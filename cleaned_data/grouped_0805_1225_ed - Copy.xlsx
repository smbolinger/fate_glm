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sarah\Dropbox\nest_models\cleaned_data\"/>
    </mc:Choice>
  </mc:AlternateContent>
  <xr:revisionPtr revIDLastSave="0" documentId="13_ncr:1_{DA06A873-4650-4DE8-875B-1FCA20BECDEE}" xr6:coauthVersionLast="47" xr6:coauthVersionMax="47" xr10:uidLastSave="{00000000-0000-0000-0000-000000000000}"/>
  <bookViews>
    <workbookView xWindow="850" yWindow="150" windowWidth="17470" windowHeight="10810" xr2:uid="{A8DEB75B-8346-4DB3-81E8-C3647CB98AAD}"/>
  </bookViews>
  <sheets>
    <sheet name="nest_data_grouped_0805_1225_"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11" i="1" l="1"/>
  <c r="AM114" i="1"/>
  <c r="AM164" i="1"/>
  <c r="AM167" i="1"/>
  <c r="AM250" i="1"/>
  <c r="AM343" i="1"/>
  <c r="AM347" i="1"/>
  <c r="AM356" i="1"/>
  <c r="AM359" i="1"/>
  <c r="AM395" i="1"/>
  <c r="AM398" i="1"/>
  <c r="AM501" i="1"/>
  <c r="AM647" i="1"/>
  <c r="AM654" i="1"/>
  <c r="AM671" i="1"/>
  <c r="AM672" i="1"/>
  <c r="AM705" i="1"/>
  <c r="AM709" i="1"/>
  <c r="AY149" i="1"/>
  <c r="AY166" i="1"/>
  <c r="AJ111" i="1" l="1"/>
  <c r="AJ172" i="1"/>
  <c r="AJ174" i="1"/>
  <c r="AJ406" i="1"/>
  <c r="AJ410" i="1"/>
  <c r="AJ659" i="1"/>
  <c r="AJ697" i="1"/>
  <c r="AJ700" i="1"/>
  <c r="AJ702" i="1"/>
  <c r="AJ709" i="1"/>
  <c r="AK111" i="1"/>
  <c r="AK149" i="1"/>
  <c r="AK172" i="1"/>
  <c r="AK174" i="1"/>
  <c r="AK406" i="1"/>
  <c r="AK410" i="1"/>
  <c r="AK659" i="1"/>
  <c r="AK677" i="1"/>
  <c r="AK697" i="1"/>
  <c r="AK700" i="1"/>
  <c r="AK702" i="1"/>
  <c r="AK709" i="1"/>
  <c r="AT675" i="1"/>
  <c r="N696" i="1"/>
  <c r="N695" i="1"/>
  <c r="N675" i="1"/>
  <c r="N674" i="1"/>
  <c r="N673" i="1"/>
  <c r="N665" i="1"/>
  <c r="N664" i="1"/>
  <c r="N651" i="1"/>
  <c r="N621" i="1"/>
  <c r="N596" i="1"/>
  <c r="N415" i="1"/>
  <c r="N413" i="1"/>
  <c r="N411" i="1"/>
  <c r="N408" i="1"/>
  <c r="N407" i="1"/>
  <c r="N406" i="1"/>
  <c r="N405" i="1"/>
  <c r="N404" i="1"/>
  <c r="N403" i="1"/>
  <c r="N402" i="1"/>
  <c r="N401" i="1"/>
  <c r="N400" i="1"/>
  <c r="N397" i="1"/>
  <c r="N372" i="1"/>
  <c r="N362" i="1"/>
  <c r="N356" i="1"/>
  <c r="N354" i="1"/>
  <c r="N353" i="1"/>
  <c r="N352" i="1"/>
  <c r="N296" i="1"/>
  <c r="N269" i="1"/>
  <c r="N706" i="1"/>
  <c r="N692" i="1"/>
  <c r="N688" i="1"/>
  <c r="N686" i="1"/>
  <c r="N682" i="1"/>
  <c r="N677" i="1"/>
  <c r="N676" i="1"/>
  <c r="N659" i="1"/>
  <c r="N652" i="1"/>
  <c r="N645" i="1"/>
  <c r="N571" i="1"/>
  <c r="N484" i="1"/>
  <c r="N483" i="1"/>
  <c r="N481" i="1"/>
  <c r="N479" i="1"/>
  <c r="N478" i="1"/>
  <c r="N454" i="1"/>
  <c r="N451" i="1"/>
  <c r="N442" i="1"/>
  <c r="N440" i="1"/>
  <c r="N438" i="1"/>
  <c r="N433" i="1"/>
  <c r="N426" i="1"/>
  <c r="N424" i="1"/>
  <c r="N423" i="1"/>
  <c r="N420" i="1"/>
  <c r="N418" i="1"/>
  <c r="N398" i="1"/>
  <c r="N365" i="1"/>
  <c r="N360" i="1"/>
  <c r="N359" i="1"/>
  <c r="N347" i="1"/>
  <c r="N345" i="1"/>
  <c r="N300" i="1"/>
  <c r="N266" i="1"/>
  <c r="N250" i="1"/>
  <c r="N239" i="1"/>
  <c r="N237" i="1"/>
  <c r="N230" i="1"/>
  <c r="N214" i="1"/>
  <c r="N173" i="1"/>
  <c r="N161" i="1"/>
  <c r="N157" i="1"/>
  <c r="N152" i="1"/>
  <c r="N151" i="1"/>
  <c r="N149" i="1"/>
  <c r="N115" i="1"/>
  <c r="N47" i="1"/>
  <c r="AW675" i="1"/>
  <c r="AS2" i="1" l="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633" i="1"/>
  <c r="AS634" i="1"/>
  <c r="AS635" i="1"/>
  <c r="AS636" i="1"/>
  <c r="AS637" i="1"/>
  <c r="AS638" i="1"/>
  <c r="AS639" i="1"/>
  <c r="AS640" i="1"/>
  <c r="AS641" i="1"/>
  <c r="AS642" i="1"/>
  <c r="AS643" i="1"/>
  <c r="AS644" i="1"/>
  <c r="AS645" i="1"/>
  <c r="AS646" i="1"/>
  <c r="AS647" i="1"/>
  <c r="AS648" i="1"/>
  <c r="AS649" i="1"/>
  <c r="AS650" i="1"/>
  <c r="AS651" i="1"/>
  <c r="AS652" i="1"/>
  <c r="AS653" i="1"/>
  <c r="AS654" i="1"/>
  <c r="AS655" i="1"/>
  <c r="AS656" i="1"/>
  <c r="AS657" i="1"/>
  <c r="AS658" i="1"/>
  <c r="AS659" i="1"/>
  <c r="AS660" i="1"/>
  <c r="AS661" i="1"/>
  <c r="AS662" i="1"/>
  <c r="AS663" i="1"/>
  <c r="AS664" i="1"/>
  <c r="AS665" i="1"/>
  <c r="AS666" i="1"/>
  <c r="AS667" i="1"/>
  <c r="AS668" i="1"/>
  <c r="AS669" i="1"/>
  <c r="AS670" i="1"/>
  <c r="AS671" i="1"/>
  <c r="AS672" i="1"/>
  <c r="AS673" i="1"/>
  <c r="AS674" i="1"/>
  <c r="AS675" i="1"/>
  <c r="AS676" i="1"/>
  <c r="AS677" i="1"/>
  <c r="AS678" i="1"/>
  <c r="AS679" i="1"/>
  <c r="AS680" i="1"/>
  <c r="AS681" i="1"/>
  <c r="AS682" i="1"/>
  <c r="AS683" i="1"/>
  <c r="AS684" i="1"/>
  <c r="AS685" i="1"/>
  <c r="AS686" i="1"/>
  <c r="AS687" i="1"/>
  <c r="AS688" i="1"/>
  <c r="AS689" i="1"/>
  <c r="AS690" i="1"/>
  <c r="AS691" i="1"/>
  <c r="AS692" i="1"/>
  <c r="AS693" i="1"/>
  <c r="AS694" i="1"/>
  <c r="AS695" i="1"/>
  <c r="AS696" i="1"/>
  <c r="AS697" i="1"/>
  <c r="AS698" i="1"/>
  <c r="AS699" i="1"/>
  <c r="AS700" i="1"/>
  <c r="AS701" i="1"/>
  <c r="AS702" i="1"/>
  <c r="AS703" i="1"/>
  <c r="AS704" i="1"/>
  <c r="AS705" i="1"/>
  <c r="AS706" i="1"/>
  <c r="AS707" i="1"/>
  <c r="AS708" i="1"/>
  <c r="AS709" i="1"/>
  <c r="AS710" i="1"/>
  <c r="AF356" i="1" l="1"/>
  <c r="AG111" i="1"/>
  <c r="AI114" i="1"/>
  <c r="AI239" i="1"/>
  <c r="AI245" i="1"/>
  <c r="AI356" i="1"/>
  <c r="AI360" i="1"/>
  <c r="AI362" i="1"/>
  <c r="AI405" i="1"/>
  <c r="AI442" i="1"/>
  <c r="AI638" i="1"/>
  <c r="AI651" i="1"/>
  <c r="AI665" i="1"/>
  <c r="AI674" i="1"/>
  <c r="AI681" i="1"/>
  <c r="AI695" i="1"/>
  <c r="AF114" i="1"/>
  <c r="AF665" i="1"/>
  <c r="AF674" i="1"/>
  <c r="AK651" i="1" l="1"/>
  <c r="AJ651" i="1"/>
  <c r="AK356" i="1"/>
  <c r="AJ356" i="1"/>
  <c r="AK405" i="1"/>
  <c r="AJ405" i="1"/>
  <c r="AK360" i="1"/>
  <c r="AJ360" i="1"/>
  <c r="AK245" i="1"/>
  <c r="AJ245" i="1"/>
  <c r="AK638" i="1"/>
  <c r="AK362" i="1"/>
  <c r="AJ362" i="1"/>
  <c r="AK681" i="1"/>
  <c r="AJ681" i="1"/>
  <c r="AK442" i="1"/>
  <c r="AJ442" i="1"/>
  <c r="AK695" i="1"/>
  <c r="AJ695" i="1"/>
  <c r="AK239" i="1"/>
  <c r="AJ239" i="1"/>
  <c r="AK114" i="1"/>
  <c r="AJ114" i="1"/>
  <c r="AK674" i="1"/>
  <c r="AJ674" i="1"/>
  <c r="AK665" i="1"/>
  <c r="AJ665" i="1"/>
  <c r="AH149" i="1"/>
  <c r="AH638" i="1"/>
  <c r="AH115" i="1"/>
  <c r="AH167" i="1"/>
  <c r="AH314" i="1"/>
  <c r="AH347" i="1"/>
  <c r="AH356" i="1"/>
  <c r="AH359" i="1"/>
  <c r="AH360" i="1"/>
  <c r="AH362" i="1"/>
  <c r="AH418" i="1"/>
  <c r="AH423" i="1"/>
  <c r="AH442" i="1"/>
  <c r="AH478" i="1"/>
  <c r="AH659" i="1"/>
  <c r="AH677" i="1"/>
  <c r="AH685" i="1"/>
  <c r="AE479" i="1" l="1"/>
  <c r="AG115" i="1"/>
  <c r="AI115" i="1" s="1"/>
  <c r="AG167" i="1"/>
  <c r="AI167" i="1" s="1"/>
  <c r="AG314" i="1"/>
  <c r="AI314" i="1" s="1"/>
  <c r="AG347" i="1"/>
  <c r="AI347" i="1" s="1"/>
  <c r="AG359" i="1"/>
  <c r="AI359" i="1" s="1"/>
  <c r="AG423" i="1"/>
  <c r="AI423" i="1" s="1"/>
  <c r="AG478" i="1"/>
  <c r="AI478" i="1" s="1"/>
  <c r="AG479" i="1"/>
  <c r="AI479" i="1" s="1"/>
  <c r="AG659" i="1"/>
  <c r="AG677" i="1"/>
  <c r="AG694" i="1"/>
  <c r="AI694" i="1" s="1"/>
  <c r="AG700" i="1"/>
  <c r="AF423" i="1"/>
  <c r="AF111" i="1"/>
  <c r="AF115" i="1"/>
  <c r="AF149" i="1"/>
  <c r="AF167" i="1"/>
  <c r="AF172" i="1"/>
  <c r="AF174" i="1"/>
  <c r="AF239" i="1"/>
  <c r="AF314" i="1"/>
  <c r="AF347" i="1"/>
  <c r="AF359" i="1"/>
  <c r="AF406" i="1"/>
  <c r="AF478" i="1"/>
  <c r="AF479" i="1"/>
  <c r="AF638" i="1"/>
  <c r="AF659" i="1"/>
  <c r="AF677" i="1"/>
  <c r="AF694" i="1"/>
  <c r="AF697" i="1"/>
  <c r="AF700" i="1"/>
  <c r="AE114" i="1"/>
  <c r="AE115" i="1"/>
  <c r="AE314" i="1"/>
  <c r="AE347" i="1"/>
  <c r="AE406" i="1"/>
  <c r="AE674" i="1"/>
  <c r="AE694" i="1"/>
  <c r="AE697" i="1"/>
  <c r="AE700" i="1"/>
  <c r="AD188" i="1"/>
  <c r="AD405" i="1"/>
  <c r="AF405" i="1" s="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3" i="1"/>
  <c r="T154" i="1"/>
  <c r="T155" i="1"/>
  <c r="T156" i="1"/>
  <c r="T157" i="1"/>
  <c r="T158" i="1"/>
  <c r="T159" i="1"/>
  <c r="T160" i="1"/>
  <c r="T161" i="1"/>
  <c r="T162" i="1"/>
  <c r="T163" i="1"/>
  <c r="T164" i="1"/>
  <c r="T166" i="1"/>
  <c r="T167" i="1"/>
  <c r="T168" i="1"/>
  <c r="T169" i="1"/>
  <c r="T170" i="1"/>
  <c r="T171" i="1"/>
  <c r="T172" i="1"/>
  <c r="T173" i="1"/>
  <c r="T174" i="1"/>
  <c r="T175" i="1"/>
  <c r="T176" i="1"/>
  <c r="T177" i="1"/>
  <c r="T178" i="1"/>
  <c r="T179" i="1"/>
  <c r="T180" i="1"/>
  <c r="T181" i="1"/>
  <c r="T182" i="1"/>
  <c r="T183" i="1"/>
  <c r="T184" i="1"/>
  <c r="T185" i="1"/>
  <c r="T186" i="1"/>
  <c r="T187"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3" i="1"/>
  <c r="T264"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72" i="1"/>
  <c r="T357" i="1"/>
  <c r="T358" i="1"/>
  <c r="T359" i="1"/>
  <c r="T360" i="1"/>
  <c r="T361" i="1"/>
  <c r="T397" i="1"/>
  <c r="T363" i="1"/>
  <c r="T364" i="1"/>
  <c r="T365" i="1"/>
  <c r="T366" i="1"/>
  <c r="T367" i="1"/>
  <c r="T368" i="1"/>
  <c r="T369" i="1"/>
  <c r="T370" i="1"/>
  <c r="T371" i="1"/>
  <c r="T400" i="1"/>
  <c r="T373" i="1"/>
  <c r="T374" i="1"/>
  <c r="T375" i="1"/>
  <c r="T376" i="1"/>
  <c r="T377" i="1"/>
  <c r="T378" i="1"/>
  <c r="T379" i="1"/>
  <c r="T380" i="1"/>
  <c r="T381" i="1"/>
  <c r="T382" i="1"/>
  <c r="T383" i="1"/>
  <c r="T384" i="1"/>
  <c r="T385" i="1"/>
  <c r="T386" i="1"/>
  <c r="T387" i="1"/>
  <c r="T388" i="1"/>
  <c r="T389" i="1"/>
  <c r="T390" i="1"/>
  <c r="T391" i="1"/>
  <c r="T392" i="1"/>
  <c r="T393" i="1"/>
  <c r="T394" i="1"/>
  <c r="T395" i="1"/>
  <c r="T396" i="1"/>
  <c r="T401" i="1"/>
  <c r="T398" i="1"/>
  <c r="T399" i="1"/>
  <c r="T402" i="1"/>
  <c r="T403" i="1"/>
  <c r="T404" i="1"/>
  <c r="T405" i="1"/>
  <c r="T407" i="1"/>
  <c r="T411" i="1"/>
  <c r="T413" i="1"/>
  <c r="T415" i="1"/>
  <c r="T594" i="1"/>
  <c r="T409" i="1"/>
  <c r="T596" i="1"/>
  <c r="T614" i="1"/>
  <c r="T412" i="1"/>
  <c r="T621" i="1"/>
  <c r="T414"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651"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661" i="1"/>
  <c r="T595" i="1"/>
  <c r="T664" i="1"/>
  <c r="T597" i="1"/>
  <c r="T598" i="1"/>
  <c r="T599" i="1"/>
  <c r="T600" i="1"/>
  <c r="T601" i="1"/>
  <c r="T602" i="1"/>
  <c r="T603" i="1"/>
  <c r="T604" i="1"/>
  <c r="T605" i="1"/>
  <c r="T606" i="1"/>
  <c r="T607" i="1"/>
  <c r="T608" i="1"/>
  <c r="T609" i="1"/>
  <c r="T610" i="1"/>
  <c r="T611" i="1"/>
  <c r="T612" i="1"/>
  <c r="T613" i="1"/>
  <c r="T665" i="1"/>
  <c r="T615" i="1"/>
  <c r="T616" i="1"/>
  <c r="T617" i="1"/>
  <c r="T618" i="1"/>
  <c r="T619" i="1"/>
  <c r="T620" i="1"/>
  <c r="T673" i="1"/>
  <c r="T622" i="1"/>
  <c r="T623" i="1"/>
  <c r="T624" i="1"/>
  <c r="T625" i="1"/>
  <c r="T626" i="1"/>
  <c r="T627" i="1"/>
  <c r="T628" i="1"/>
  <c r="T629" i="1"/>
  <c r="T630" i="1"/>
  <c r="T631" i="1"/>
  <c r="T632" i="1"/>
  <c r="T633" i="1"/>
  <c r="T634" i="1"/>
  <c r="T635" i="1"/>
  <c r="T636" i="1"/>
  <c r="T637" i="1"/>
  <c r="T674" i="1"/>
  <c r="T639" i="1"/>
  <c r="T640" i="1"/>
  <c r="T641" i="1"/>
  <c r="T642" i="1"/>
  <c r="T675" i="1"/>
  <c r="T644" i="1"/>
  <c r="T645" i="1"/>
  <c r="T647" i="1"/>
  <c r="T648" i="1"/>
  <c r="T649" i="1"/>
  <c r="T650" i="1"/>
  <c r="T681" i="1"/>
  <c r="T653" i="1"/>
  <c r="T654" i="1"/>
  <c r="T655" i="1"/>
  <c r="T656" i="1"/>
  <c r="T657" i="1"/>
  <c r="T658" i="1"/>
  <c r="T659" i="1"/>
  <c r="T660" i="1"/>
  <c r="T684" i="1"/>
  <c r="T662" i="1"/>
  <c r="T663" i="1"/>
  <c r="T666" i="1"/>
  <c r="T667" i="1"/>
  <c r="T668" i="1"/>
  <c r="T669" i="1"/>
  <c r="T670" i="1"/>
  <c r="T671" i="1"/>
  <c r="T672" i="1"/>
  <c r="T696" i="1"/>
  <c r="T709" i="1"/>
  <c r="T677" i="1"/>
  <c r="T678" i="1"/>
  <c r="T679" i="1"/>
  <c r="T680" i="1"/>
  <c r="T356" i="1"/>
  <c r="T682" i="1"/>
  <c r="T683" i="1"/>
  <c r="T362" i="1"/>
  <c r="T685" i="1"/>
  <c r="T686" i="1"/>
  <c r="T687" i="1"/>
  <c r="T688" i="1"/>
  <c r="T406" i="1"/>
  <c r="T690" i="1"/>
  <c r="T408" i="1"/>
  <c r="T692" i="1"/>
  <c r="T693" i="1"/>
  <c r="T694" i="1"/>
  <c r="T410" i="1"/>
  <c r="T472" i="1"/>
  <c r="T697" i="1"/>
  <c r="T698" i="1"/>
  <c r="T699" i="1"/>
  <c r="T700" i="1"/>
  <c r="T701" i="1"/>
  <c r="T702" i="1"/>
  <c r="T703" i="1"/>
  <c r="T704" i="1"/>
  <c r="T705" i="1"/>
  <c r="T706" i="1"/>
  <c r="T707" i="1"/>
  <c r="T708" i="1"/>
  <c r="T638" i="1"/>
  <c r="T710" i="1"/>
  <c r="AC157" i="1"/>
  <c r="AD157" i="1" s="1"/>
  <c r="AG157" i="1" s="1"/>
  <c r="AI157" i="1" s="1"/>
  <c r="AC172" i="1"/>
  <c r="AC174" i="1"/>
  <c r="AC418" i="1"/>
  <c r="AD418" i="1" s="1"/>
  <c r="AE418" i="1" s="1"/>
  <c r="AC659" i="1"/>
  <c r="AY2" i="1"/>
  <c r="AT2" i="1" s="1"/>
  <c r="AY3" i="1"/>
  <c r="AT3" i="1" s="1"/>
  <c r="AY4" i="1"/>
  <c r="AT4" i="1" s="1"/>
  <c r="AY5" i="1"/>
  <c r="AT5" i="1" s="1"/>
  <c r="AY6" i="1"/>
  <c r="AT6" i="1" s="1"/>
  <c r="AY7" i="1"/>
  <c r="AT7" i="1" s="1"/>
  <c r="AY8" i="1"/>
  <c r="AT8" i="1" s="1"/>
  <c r="AY9" i="1"/>
  <c r="AT9" i="1" s="1"/>
  <c r="AY10" i="1"/>
  <c r="AT10" i="1" s="1"/>
  <c r="AY11" i="1"/>
  <c r="AT11" i="1" s="1"/>
  <c r="AY12" i="1"/>
  <c r="AT12" i="1" s="1"/>
  <c r="AY13" i="1"/>
  <c r="AT13" i="1" s="1"/>
  <c r="AY14" i="1"/>
  <c r="AT14" i="1" s="1"/>
  <c r="AY15" i="1"/>
  <c r="AT15" i="1" s="1"/>
  <c r="AY16" i="1"/>
  <c r="AT16" i="1" s="1"/>
  <c r="AY17" i="1"/>
  <c r="AT17" i="1" s="1"/>
  <c r="AY18" i="1"/>
  <c r="AT18" i="1" s="1"/>
  <c r="AY19" i="1"/>
  <c r="AT19" i="1" s="1"/>
  <c r="AY20" i="1"/>
  <c r="AT20" i="1" s="1"/>
  <c r="AY21" i="1"/>
  <c r="AT21" i="1" s="1"/>
  <c r="AY22" i="1"/>
  <c r="AT22" i="1" s="1"/>
  <c r="AY23" i="1"/>
  <c r="AT23" i="1" s="1"/>
  <c r="AY24" i="1"/>
  <c r="AT24" i="1" s="1"/>
  <c r="AY25" i="1"/>
  <c r="AT25" i="1" s="1"/>
  <c r="AY26" i="1"/>
  <c r="AT26" i="1" s="1"/>
  <c r="AY27" i="1"/>
  <c r="AT27" i="1" s="1"/>
  <c r="AY28" i="1"/>
  <c r="AT28" i="1" s="1"/>
  <c r="AY29" i="1"/>
  <c r="AT29" i="1" s="1"/>
  <c r="AY30" i="1"/>
  <c r="AT30" i="1" s="1"/>
  <c r="AY31" i="1"/>
  <c r="AT31" i="1" s="1"/>
  <c r="AY32" i="1"/>
  <c r="AT32" i="1" s="1"/>
  <c r="AY33" i="1"/>
  <c r="AT33" i="1" s="1"/>
  <c r="AY34" i="1"/>
  <c r="AT34" i="1" s="1"/>
  <c r="AY35" i="1"/>
  <c r="AT35" i="1" s="1"/>
  <c r="AY36" i="1"/>
  <c r="AT36" i="1" s="1"/>
  <c r="AY37" i="1"/>
  <c r="AT37" i="1" s="1"/>
  <c r="AY38" i="1"/>
  <c r="AT38" i="1" s="1"/>
  <c r="AY39" i="1"/>
  <c r="AT39" i="1" s="1"/>
  <c r="AY40" i="1"/>
  <c r="AT40" i="1" s="1"/>
  <c r="AY41" i="1"/>
  <c r="AT41" i="1" s="1"/>
  <c r="AY42" i="1"/>
  <c r="AT42" i="1" s="1"/>
  <c r="AY43" i="1"/>
  <c r="AT43" i="1" s="1"/>
  <c r="AY44" i="1"/>
  <c r="AT44" i="1" s="1"/>
  <c r="AY45" i="1"/>
  <c r="AT45" i="1" s="1"/>
  <c r="AY46" i="1"/>
  <c r="AT46" i="1" s="1"/>
  <c r="AY47" i="1"/>
  <c r="AT47" i="1" s="1"/>
  <c r="AY48" i="1"/>
  <c r="AT48" i="1" s="1"/>
  <c r="AY49" i="1"/>
  <c r="AT49" i="1" s="1"/>
  <c r="AY50" i="1"/>
  <c r="AT50" i="1" s="1"/>
  <c r="AY51" i="1"/>
  <c r="AT51" i="1" s="1"/>
  <c r="AY52" i="1"/>
  <c r="AT52" i="1" s="1"/>
  <c r="AY53" i="1"/>
  <c r="AT53" i="1" s="1"/>
  <c r="AY54" i="1"/>
  <c r="AT54" i="1" s="1"/>
  <c r="AY55" i="1"/>
  <c r="AT55" i="1" s="1"/>
  <c r="AY56" i="1"/>
  <c r="AT56" i="1" s="1"/>
  <c r="AY57" i="1"/>
  <c r="AT57" i="1" s="1"/>
  <c r="AY58" i="1"/>
  <c r="AT58" i="1" s="1"/>
  <c r="AY59" i="1"/>
  <c r="AT59" i="1" s="1"/>
  <c r="AY60" i="1"/>
  <c r="AT60" i="1" s="1"/>
  <c r="AY61" i="1"/>
  <c r="AT61" i="1" s="1"/>
  <c r="AY62" i="1"/>
  <c r="AT62" i="1" s="1"/>
  <c r="AY63" i="1"/>
  <c r="AT63" i="1" s="1"/>
  <c r="AY64" i="1"/>
  <c r="AT64" i="1" s="1"/>
  <c r="AY65" i="1"/>
  <c r="AT65" i="1" s="1"/>
  <c r="AY66" i="1"/>
  <c r="AT66" i="1" s="1"/>
  <c r="AY67" i="1"/>
  <c r="AT67" i="1" s="1"/>
  <c r="AY68" i="1"/>
  <c r="AT68" i="1" s="1"/>
  <c r="AY69" i="1"/>
  <c r="AT69" i="1" s="1"/>
  <c r="AY70" i="1"/>
  <c r="AT70" i="1" s="1"/>
  <c r="AY71" i="1"/>
  <c r="AT71" i="1" s="1"/>
  <c r="AY72" i="1"/>
  <c r="AT72" i="1" s="1"/>
  <c r="AY73" i="1"/>
  <c r="AT73" i="1" s="1"/>
  <c r="AY74" i="1"/>
  <c r="AT74" i="1" s="1"/>
  <c r="AY75" i="1"/>
  <c r="AT75" i="1" s="1"/>
  <c r="AY76" i="1"/>
  <c r="AT76" i="1" s="1"/>
  <c r="AY77" i="1"/>
  <c r="AT77" i="1" s="1"/>
  <c r="AY78" i="1"/>
  <c r="AT78" i="1" s="1"/>
  <c r="AY79" i="1"/>
  <c r="AT79" i="1" s="1"/>
  <c r="AY80" i="1"/>
  <c r="AT80" i="1" s="1"/>
  <c r="AY81" i="1"/>
  <c r="AT81" i="1" s="1"/>
  <c r="AY82" i="1"/>
  <c r="AT82" i="1" s="1"/>
  <c r="AY83" i="1"/>
  <c r="AT83" i="1" s="1"/>
  <c r="AY84" i="1"/>
  <c r="AT84" i="1" s="1"/>
  <c r="AY85" i="1"/>
  <c r="AT85" i="1" s="1"/>
  <c r="AY86" i="1"/>
  <c r="AT86" i="1" s="1"/>
  <c r="AY87" i="1"/>
  <c r="AT87" i="1" s="1"/>
  <c r="AY88" i="1"/>
  <c r="AT88" i="1" s="1"/>
  <c r="AY89" i="1"/>
  <c r="AT89" i="1" s="1"/>
  <c r="AY90" i="1"/>
  <c r="AT90" i="1" s="1"/>
  <c r="AY91" i="1"/>
  <c r="AT91" i="1" s="1"/>
  <c r="AY92" i="1"/>
  <c r="AT92" i="1" s="1"/>
  <c r="AY93" i="1"/>
  <c r="AT93" i="1" s="1"/>
  <c r="AY94" i="1"/>
  <c r="AT94" i="1" s="1"/>
  <c r="AY95" i="1"/>
  <c r="AT95" i="1" s="1"/>
  <c r="AY96" i="1"/>
  <c r="AT96" i="1" s="1"/>
  <c r="AY97" i="1"/>
  <c r="AT97" i="1" s="1"/>
  <c r="AY98" i="1"/>
  <c r="AT98" i="1" s="1"/>
  <c r="AY99" i="1"/>
  <c r="AT99" i="1" s="1"/>
  <c r="AY100" i="1"/>
  <c r="AT100" i="1" s="1"/>
  <c r="AY101" i="1"/>
  <c r="AT101" i="1" s="1"/>
  <c r="AY102" i="1"/>
  <c r="AT102" i="1" s="1"/>
  <c r="AY103" i="1"/>
  <c r="AT103" i="1" s="1"/>
  <c r="AY104" i="1"/>
  <c r="AT104" i="1" s="1"/>
  <c r="AY105" i="1"/>
  <c r="AT105" i="1" s="1"/>
  <c r="AY106" i="1"/>
  <c r="AT106" i="1" s="1"/>
  <c r="AY107" i="1"/>
  <c r="AT107" i="1" s="1"/>
  <c r="AY108" i="1"/>
  <c r="AT108" i="1" s="1"/>
  <c r="AY109" i="1"/>
  <c r="AT109" i="1" s="1"/>
  <c r="AY110" i="1"/>
  <c r="AT110" i="1" s="1"/>
  <c r="AY111" i="1"/>
  <c r="AT111" i="1" s="1"/>
  <c r="AY112" i="1"/>
  <c r="AT112" i="1" s="1"/>
  <c r="AY113" i="1"/>
  <c r="AT113" i="1" s="1"/>
  <c r="AY114" i="1"/>
  <c r="AT114" i="1" s="1"/>
  <c r="AY115" i="1"/>
  <c r="AT115" i="1" s="1"/>
  <c r="AY116" i="1"/>
  <c r="AT116" i="1" s="1"/>
  <c r="AY117" i="1"/>
  <c r="AT117" i="1" s="1"/>
  <c r="AY118" i="1"/>
  <c r="AT118" i="1" s="1"/>
  <c r="AY119" i="1"/>
  <c r="AT119" i="1" s="1"/>
  <c r="AY120" i="1"/>
  <c r="AT120" i="1" s="1"/>
  <c r="AY121" i="1"/>
  <c r="AT121" i="1" s="1"/>
  <c r="AY122" i="1"/>
  <c r="AT122" i="1" s="1"/>
  <c r="AY123" i="1"/>
  <c r="AT123" i="1" s="1"/>
  <c r="AY124" i="1"/>
  <c r="AT124" i="1" s="1"/>
  <c r="AY125" i="1"/>
  <c r="AT125" i="1" s="1"/>
  <c r="AY126" i="1"/>
  <c r="AT126" i="1" s="1"/>
  <c r="AY127" i="1"/>
  <c r="AT127" i="1" s="1"/>
  <c r="AY128" i="1"/>
  <c r="AT128" i="1" s="1"/>
  <c r="AY129" i="1"/>
  <c r="AT129" i="1" s="1"/>
  <c r="AY130" i="1"/>
  <c r="AT130" i="1" s="1"/>
  <c r="AY131" i="1"/>
  <c r="AT131" i="1" s="1"/>
  <c r="AY132" i="1"/>
  <c r="AT132" i="1" s="1"/>
  <c r="AY133" i="1"/>
  <c r="AT133" i="1" s="1"/>
  <c r="AY134" i="1"/>
  <c r="AT134" i="1" s="1"/>
  <c r="AY135" i="1"/>
  <c r="AT135" i="1" s="1"/>
  <c r="AY136" i="1"/>
  <c r="AT136" i="1" s="1"/>
  <c r="AY137" i="1"/>
  <c r="AT137" i="1" s="1"/>
  <c r="AY138" i="1"/>
  <c r="AT138" i="1" s="1"/>
  <c r="AY139" i="1"/>
  <c r="AT139" i="1" s="1"/>
  <c r="AY140" i="1"/>
  <c r="AT140" i="1" s="1"/>
  <c r="AY141" i="1"/>
  <c r="AT141" i="1" s="1"/>
  <c r="AY142" i="1"/>
  <c r="AT142" i="1" s="1"/>
  <c r="AY143" i="1"/>
  <c r="AT143" i="1" s="1"/>
  <c r="AY144" i="1"/>
  <c r="AT144" i="1" s="1"/>
  <c r="AY145" i="1"/>
  <c r="AT145" i="1" s="1"/>
  <c r="AY146" i="1"/>
  <c r="AT146" i="1" s="1"/>
  <c r="AY147" i="1"/>
  <c r="AT147" i="1" s="1"/>
  <c r="AY148" i="1"/>
  <c r="AT148" i="1" s="1"/>
  <c r="AT149" i="1"/>
  <c r="AY150" i="1"/>
  <c r="AT150" i="1" s="1"/>
  <c r="AY151" i="1"/>
  <c r="AT151" i="1" s="1"/>
  <c r="AY152" i="1"/>
  <c r="AT152" i="1" s="1"/>
  <c r="AY153" i="1"/>
  <c r="AT153" i="1" s="1"/>
  <c r="AY154" i="1"/>
  <c r="AT154" i="1" s="1"/>
  <c r="AY155" i="1"/>
  <c r="AT155" i="1" s="1"/>
  <c r="AY156" i="1"/>
  <c r="AT156" i="1" s="1"/>
  <c r="AY157" i="1"/>
  <c r="AT157" i="1" s="1"/>
  <c r="AY158" i="1"/>
  <c r="AT158" i="1" s="1"/>
  <c r="AY159" i="1"/>
  <c r="AT159" i="1" s="1"/>
  <c r="AY160" i="1"/>
  <c r="AT160" i="1" s="1"/>
  <c r="AY161" i="1"/>
  <c r="AT161" i="1" s="1"/>
  <c r="AY162" i="1"/>
  <c r="AT162" i="1" s="1"/>
  <c r="AY163" i="1"/>
  <c r="AT163" i="1" s="1"/>
  <c r="AY164" i="1"/>
  <c r="AT164" i="1" s="1"/>
  <c r="AY165" i="1"/>
  <c r="AT165" i="1" s="1"/>
  <c r="AT166" i="1"/>
  <c r="AY167" i="1"/>
  <c r="AT167" i="1" s="1"/>
  <c r="AY168" i="1"/>
  <c r="AT168" i="1" s="1"/>
  <c r="AY169" i="1"/>
  <c r="AT169" i="1" s="1"/>
  <c r="AY170" i="1"/>
  <c r="AT170" i="1" s="1"/>
  <c r="AY171" i="1"/>
  <c r="AT171" i="1" s="1"/>
  <c r="AY172" i="1"/>
  <c r="AT172" i="1" s="1"/>
  <c r="AY173" i="1"/>
  <c r="AT173" i="1" s="1"/>
  <c r="AY174" i="1"/>
  <c r="AT174" i="1" s="1"/>
  <c r="AY175" i="1"/>
  <c r="AT175" i="1" s="1"/>
  <c r="AY176" i="1"/>
  <c r="AT176" i="1" s="1"/>
  <c r="AY177" i="1"/>
  <c r="AT177" i="1" s="1"/>
  <c r="AY178" i="1"/>
  <c r="AT178" i="1" s="1"/>
  <c r="AY179" i="1"/>
  <c r="AT179" i="1" s="1"/>
  <c r="AY180" i="1"/>
  <c r="AT180" i="1" s="1"/>
  <c r="AY181" i="1"/>
  <c r="AT181" i="1" s="1"/>
  <c r="AY182" i="1"/>
  <c r="AT182" i="1" s="1"/>
  <c r="AY183" i="1"/>
  <c r="AT183" i="1" s="1"/>
  <c r="AY184" i="1"/>
  <c r="AT184" i="1" s="1"/>
  <c r="AY185" i="1"/>
  <c r="AT185" i="1" s="1"/>
  <c r="AY186" i="1"/>
  <c r="AT186" i="1" s="1"/>
  <c r="AY187" i="1"/>
  <c r="AT187" i="1" s="1"/>
  <c r="AY188" i="1"/>
  <c r="AT188" i="1" s="1"/>
  <c r="AY189" i="1"/>
  <c r="AT189" i="1" s="1"/>
  <c r="AY190" i="1"/>
  <c r="AT190" i="1" s="1"/>
  <c r="AY191" i="1"/>
  <c r="AT191" i="1" s="1"/>
  <c r="AY192" i="1"/>
  <c r="AT192" i="1" s="1"/>
  <c r="AY193" i="1"/>
  <c r="AT193" i="1" s="1"/>
  <c r="AY194" i="1"/>
  <c r="AT194" i="1" s="1"/>
  <c r="AY195" i="1"/>
  <c r="AT195" i="1" s="1"/>
  <c r="AY196" i="1"/>
  <c r="AT196" i="1" s="1"/>
  <c r="AY197" i="1"/>
  <c r="AT197" i="1" s="1"/>
  <c r="AY198" i="1"/>
  <c r="AT198" i="1" s="1"/>
  <c r="AY199" i="1"/>
  <c r="AT199" i="1" s="1"/>
  <c r="AY200" i="1"/>
  <c r="AT200" i="1" s="1"/>
  <c r="AY201" i="1"/>
  <c r="AT201" i="1" s="1"/>
  <c r="AY202" i="1"/>
  <c r="AT202" i="1" s="1"/>
  <c r="AY203" i="1"/>
  <c r="AT203" i="1" s="1"/>
  <c r="AY204" i="1"/>
  <c r="AT204" i="1" s="1"/>
  <c r="AY205" i="1"/>
  <c r="AT205" i="1" s="1"/>
  <c r="AY206" i="1"/>
  <c r="AT206" i="1" s="1"/>
  <c r="AY207" i="1"/>
  <c r="AT207" i="1" s="1"/>
  <c r="AY208" i="1"/>
  <c r="AT208" i="1" s="1"/>
  <c r="AY209" i="1"/>
  <c r="AT209" i="1" s="1"/>
  <c r="AY210" i="1"/>
  <c r="AT210" i="1" s="1"/>
  <c r="AY211" i="1"/>
  <c r="AT211" i="1" s="1"/>
  <c r="AY212" i="1"/>
  <c r="AT212" i="1" s="1"/>
  <c r="AY213" i="1"/>
  <c r="AT213" i="1" s="1"/>
  <c r="AY214" i="1"/>
  <c r="AT214" i="1" s="1"/>
  <c r="AY215" i="1"/>
  <c r="AT215" i="1" s="1"/>
  <c r="AY216" i="1"/>
  <c r="AT216" i="1" s="1"/>
  <c r="AY217" i="1"/>
  <c r="AT217" i="1" s="1"/>
  <c r="AY218" i="1"/>
  <c r="AT218" i="1" s="1"/>
  <c r="AY219" i="1"/>
  <c r="AT219" i="1" s="1"/>
  <c r="AY220" i="1"/>
  <c r="AT220" i="1" s="1"/>
  <c r="AY221" i="1"/>
  <c r="AT221" i="1" s="1"/>
  <c r="AY222" i="1"/>
  <c r="AT222" i="1" s="1"/>
  <c r="AY223" i="1"/>
  <c r="AT223" i="1" s="1"/>
  <c r="AY224" i="1"/>
  <c r="AT224" i="1" s="1"/>
  <c r="AY225" i="1"/>
  <c r="AT225" i="1" s="1"/>
  <c r="AY226" i="1"/>
  <c r="AT226" i="1" s="1"/>
  <c r="AY227" i="1"/>
  <c r="AT227" i="1" s="1"/>
  <c r="AY228" i="1"/>
  <c r="AT228" i="1" s="1"/>
  <c r="AY229" i="1"/>
  <c r="AT229" i="1" s="1"/>
  <c r="AY230" i="1"/>
  <c r="AT230" i="1" s="1"/>
  <c r="AY231" i="1"/>
  <c r="AT231" i="1" s="1"/>
  <c r="AY232" i="1"/>
  <c r="AT232" i="1" s="1"/>
  <c r="AY233" i="1"/>
  <c r="AT233" i="1" s="1"/>
  <c r="AY234" i="1"/>
  <c r="AT234" i="1" s="1"/>
  <c r="AY235" i="1"/>
  <c r="AT235" i="1" s="1"/>
  <c r="AY236" i="1"/>
  <c r="AT236" i="1" s="1"/>
  <c r="AY237" i="1"/>
  <c r="AT237" i="1" s="1"/>
  <c r="AY238" i="1"/>
  <c r="AT238" i="1" s="1"/>
  <c r="AY239" i="1"/>
  <c r="AT239" i="1" s="1"/>
  <c r="AY240" i="1"/>
  <c r="AT240" i="1" s="1"/>
  <c r="AY241" i="1"/>
  <c r="AT241" i="1" s="1"/>
  <c r="AY242" i="1"/>
  <c r="AT242" i="1" s="1"/>
  <c r="AY243" i="1"/>
  <c r="AT243" i="1" s="1"/>
  <c r="AY244" i="1"/>
  <c r="AT244" i="1" s="1"/>
  <c r="AY245" i="1"/>
  <c r="AT245" i="1" s="1"/>
  <c r="AY246" i="1"/>
  <c r="AT246" i="1" s="1"/>
  <c r="AY247" i="1"/>
  <c r="AT247" i="1" s="1"/>
  <c r="AY248" i="1"/>
  <c r="AT248" i="1" s="1"/>
  <c r="AY249" i="1"/>
  <c r="AT249" i="1" s="1"/>
  <c r="AY250" i="1"/>
  <c r="AT250" i="1" s="1"/>
  <c r="AY251" i="1"/>
  <c r="AT251" i="1" s="1"/>
  <c r="AY252" i="1"/>
  <c r="AT252" i="1" s="1"/>
  <c r="AY253" i="1"/>
  <c r="AT253" i="1" s="1"/>
  <c r="AY254" i="1"/>
  <c r="AT254" i="1" s="1"/>
  <c r="AY255" i="1"/>
  <c r="AT255" i="1" s="1"/>
  <c r="AY256" i="1"/>
  <c r="AT256" i="1" s="1"/>
  <c r="AY257" i="1"/>
  <c r="AT257" i="1" s="1"/>
  <c r="AY258" i="1"/>
  <c r="AT258" i="1" s="1"/>
  <c r="AY259" i="1"/>
  <c r="AT259" i="1" s="1"/>
  <c r="AY260" i="1"/>
  <c r="AT260" i="1" s="1"/>
  <c r="AY261" i="1"/>
  <c r="AT261" i="1" s="1"/>
  <c r="AY262" i="1"/>
  <c r="AT262" i="1" s="1"/>
  <c r="AY263" i="1"/>
  <c r="AT263" i="1" s="1"/>
  <c r="AY264" i="1"/>
  <c r="AT264" i="1" s="1"/>
  <c r="AY265" i="1"/>
  <c r="AT265" i="1" s="1"/>
  <c r="AY266" i="1"/>
  <c r="AT266" i="1" s="1"/>
  <c r="AY267" i="1"/>
  <c r="AT267" i="1" s="1"/>
  <c r="AY268" i="1"/>
  <c r="AT268" i="1" s="1"/>
  <c r="AY269" i="1"/>
  <c r="AT269" i="1" s="1"/>
  <c r="AY270" i="1"/>
  <c r="AT270" i="1" s="1"/>
  <c r="AY271" i="1"/>
  <c r="AT271" i="1" s="1"/>
  <c r="AY272" i="1"/>
  <c r="AT272" i="1" s="1"/>
  <c r="AY273" i="1"/>
  <c r="AT273" i="1" s="1"/>
  <c r="AY274" i="1"/>
  <c r="AT274" i="1" s="1"/>
  <c r="AY275" i="1"/>
  <c r="AT275" i="1" s="1"/>
  <c r="AY276" i="1"/>
  <c r="AT276" i="1" s="1"/>
  <c r="AY277" i="1"/>
  <c r="AT277" i="1" s="1"/>
  <c r="AY278" i="1"/>
  <c r="AT278" i="1" s="1"/>
  <c r="AY279" i="1"/>
  <c r="AT279" i="1" s="1"/>
  <c r="AY280" i="1"/>
  <c r="AT280" i="1" s="1"/>
  <c r="AY281" i="1"/>
  <c r="AT281" i="1" s="1"/>
  <c r="AY282" i="1"/>
  <c r="AT282" i="1" s="1"/>
  <c r="AY283" i="1"/>
  <c r="AT283" i="1" s="1"/>
  <c r="AY284" i="1"/>
  <c r="AT284" i="1" s="1"/>
  <c r="AY285" i="1"/>
  <c r="AT285" i="1" s="1"/>
  <c r="AY286" i="1"/>
  <c r="AT286" i="1" s="1"/>
  <c r="AY287" i="1"/>
  <c r="AT287" i="1" s="1"/>
  <c r="AY288" i="1"/>
  <c r="AT288" i="1" s="1"/>
  <c r="AY289" i="1"/>
  <c r="AT289" i="1" s="1"/>
  <c r="AY290" i="1"/>
  <c r="AT290" i="1" s="1"/>
  <c r="AY291" i="1"/>
  <c r="AT291" i="1" s="1"/>
  <c r="AY292" i="1"/>
  <c r="AT292" i="1" s="1"/>
  <c r="AY293" i="1"/>
  <c r="AT293" i="1" s="1"/>
  <c r="AY294" i="1"/>
  <c r="AT294" i="1" s="1"/>
  <c r="AY295" i="1"/>
  <c r="AT295" i="1" s="1"/>
  <c r="AY296" i="1"/>
  <c r="AT296" i="1" s="1"/>
  <c r="AY297" i="1"/>
  <c r="AT297" i="1" s="1"/>
  <c r="AY298" i="1"/>
  <c r="AT298" i="1" s="1"/>
  <c r="AY299" i="1"/>
  <c r="AT299" i="1" s="1"/>
  <c r="AY300" i="1"/>
  <c r="AT300" i="1" s="1"/>
  <c r="AY301" i="1"/>
  <c r="AT301" i="1" s="1"/>
  <c r="AY302" i="1"/>
  <c r="AT302" i="1" s="1"/>
  <c r="AY303" i="1"/>
  <c r="AT303" i="1" s="1"/>
  <c r="AY304" i="1"/>
  <c r="AT304" i="1" s="1"/>
  <c r="AY305" i="1"/>
  <c r="AT305" i="1" s="1"/>
  <c r="AY306" i="1"/>
  <c r="AT306" i="1" s="1"/>
  <c r="AY307" i="1"/>
  <c r="AT307" i="1" s="1"/>
  <c r="AY308" i="1"/>
  <c r="AT308" i="1" s="1"/>
  <c r="AY309" i="1"/>
  <c r="AT309" i="1" s="1"/>
  <c r="AY310" i="1"/>
  <c r="AT310" i="1" s="1"/>
  <c r="AY311" i="1"/>
  <c r="AT311" i="1" s="1"/>
  <c r="AY312" i="1"/>
  <c r="AT312" i="1" s="1"/>
  <c r="AY313" i="1"/>
  <c r="AT313" i="1" s="1"/>
  <c r="AY314" i="1"/>
  <c r="AT314" i="1" s="1"/>
  <c r="AY315" i="1"/>
  <c r="AT315" i="1" s="1"/>
  <c r="AY316" i="1"/>
  <c r="AT316" i="1" s="1"/>
  <c r="AY317" i="1"/>
  <c r="AT317" i="1" s="1"/>
  <c r="AY318" i="1"/>
  <c r="AT318" i="1" s="1"/>
  <c r="AY319" i="1"/>
  <c r="AT319" i="1" s="1"/>
  <c r="AY320" i="1"/>
  <c r="AT320" i="1" s="1"/>
  <c r="AY321" i="1"/>
  <c r="AT321" i="1" s="1"/>
  <c r="AY322" i="1"/>
  <c r="AT322" i="1" s="1"/>
  <c r="AY323" i="1"/>
  <c r="AT323" i="1" s="1"/>
  <c r="AY324" i="1"/>
  <c r="AT324" i="1" s="1"/>
  <c r="AY325" i="1"/>
  <c r="AT325" i="1" s="1"/>
  <c r="AY326" i="1"/>
  <c r="AT326" i="1" s="1"/>
  <c r="AY327" i="1"/>
  <c r="AT327" i="1" s="1"/>
  <c r="AY328" i="1"/>
  <c r="AT328" i="1" s="1"/>
  <c r="AY329" i="1"/>
  <c r="AT329" i="1" s="1"/>
  <c r="AY330" i="1"/>
  <c r="AT330" i="1" s="1"/>
  <c r="AY331" i="1"/>
  <c r="AT331" i="1" s="1"/>
  <c r="AY332" i="1"/>
  <c r="AT332" i="1" s="1"/>
  <c r="AY333" i="1"/>
  <c r="AT333" i="1" s="1"/>
  <c r="AY334" i="1"/>
  <c r="AT334" i="1" s="1"/>
  <c r="AY335" i="1"/>
  <c r="AT335" i="1" s="1"/>
  <c r="AY336" i="1"/>
  <c r="AT336" i="1" s="1"/>
  <c r="AY337" i="1"/>
  <c r="AT337" i="1" s="1"/>
  <c r="AY338" i="1"/>
  <c r="AT338" i="1" s="1"/>
  <c r="AY339" i="1"/>
  <c r="AT339" i="1" s="1"/>
  <c r="AY340" i="1"/>
  <c r="AT340" i="1" s="1"/>
  <c r="AY341" i="1"/>
  <c r="AT341" i="1" s="1"/>
  <c r="AY342" i="1"/>
  <c r="AT342" i="1" s="1"/>
  <c r="AY343" i="1"/>
  <c r="AT343" i="1" s="1"/>
  <c r="AY344" i="1"/>
  <c r="AT344" i="1" s="1"/>
  <c r="AY345" i="1"/>
  <c r="AT345" i="1" s="1"/>
  <c r="AY346" i="1"/>
  <c r="AT346" i="1" s="1"/>
  <c r="AY347" i="1"/>
  <c r="AT347" i="1" s="1"/>
  <c r="AY348" i="1"/>
  <c r="AT348" i="1" s="1"/>
  <c r="AY349" i="1"/>
  <c r="AT349" i="1" s="1"/>
  <c r="AY350" i="1"/>
  <c r="AT350" i="1" s="1"/>
  <c r="AY351" i="1"/>
  <c r="AT351" i="1" s="1"/>
  <c r="AY352" i="1"/>
  <c r="AT352" i="1" s="1"/>
  <c r="AY353" i="1"/>
  <c r="AT353" i="1" s="1"/>
  <c r="AY354" i="1"/>
  <c r="AT354" i="1" s="1"/>
  <c r="AY355" i="1"/>
  <c r="AT355" i="1" s="1"/>
  <c r="AY372" i="1"/>
  <c r="AT372" i="1" s="1"/>
  <c r="AY357" i="1"/>
  <c r="AT357" i="1" s="1"/>
  <c r="AY358" i="1"/>
  <c r="AT358" i="1" s="1"/>
  <c r="AY359" i="1"/>
  <c r="AT359" i="1" s="1"/>
  <c r="AY360" i="1"/>
  <c r="AT360" i="1" s="1"/>
  <c r="AY361" i="1"/>
  <c r="AT361" i="1" s="1"/>
  <c r="AY397" i="1"/>
  <c r="AT397" i="1" s="1"/>
  <c r="AY363" i="1"/>
  <c r="AT363" i="1" s="1"/>
  <c r="AY364" i="1"/>
  <c r="AT364" i="1" s="1"/>
  <c r="AY365" i="1"/>
  <c r="AT365" i="1" s="1"/>
  <c r="AY366" i="1"/>
  <c r="AT366" i="1" s="1"/>
  <c r="AY367" i="1"/>
  <c r="AT367" i="1" s="1"/>
  <c r="AY368" i="1"/>
  <c r="AT368" i="1" s="1"/>
  <c r="AY369" i="1"/>
  <c r="AT369" i="1" s="1"/>
  <c r="AY370" i="1"/>
  <c r="AT370" i="1" s="1"/>
  <c r="AY371" i="1"/>
  <c r="AT371" i="1" s="1"/>
  <c r="AY400" i="1"/>
  <c r="AT400" i="1" s="1"/>
  <c r="AY373" i="1"/>
  <c r="AT373" i="1" s="1"/>
  <c r="AY374" i="1"/>
  <c r="AT374" i="1" s="1"/>
  <c r="AY375" i="1"/>
  <c r="AT375" i="1" s="1"/>
  <c r="AY376" i="1"/>
  <c r="AT376" i="1" s="1"/>
  <c r="AY377" i="1"/>
  <c r="AT377" i="1" s="1"/>
  <c r="AY378" i="1"/>
  <c r="AT378" i="1" s="1"/>
  <c r="AY379" i="1"/>
  <c r="AT379" i="1" s="1"/>
  <c r="AY380" i="1"/>
  <c r="AT380" i="1" s="1"/>
  <c r="AY381" i="1"/>
  <c r="AT381" i="1" s="1"/>
  <c r="AY382" i="1"/>
  <c r="AT382" i="1" s="1"/>
  <c r="AY383" i="1"/>
  <c r="AT383" i="1" s="1"/>
  <c r="AY384" i="1"/>
  <c r="AT384" i="1" s="1"/>
  <c r="AY385" i="1"/>
  <c r="AT385" i="1" s="1"/>
  <c r="AY386" i="1"/>
  <c r="AT386" i="1" s="1"/>
  <c r="AY387" i="1"/>
  <c r="AT387" i="1" s="1"/>
  <c r="AY388" i="1"/>
  <c r="AT388" i="1" s="1"/>
  <c r="AY389" i="1"/>
  <c r="AT389" i="1" s="1"/>
  <c r="AY390" i="1"/>
  <c r="AT390" i="1" s="1"/>
  <c r="AY391" i="1"/>
  <c r="AT391" i="1" s="1"/>
  <c r="AY392" i="1"/>
  <c r="AT392" i="1" s="1"/>
  <c r="AY393" i="1"/>
  <c r="AT393" i="1" s="1"/>
  <c r="AY394" i="1"/>
  <c r="AT394" i="1" s="1"/>
  <c r="AY395" i="1"/>
  <c r="AT395" i="1" s="1"/>
  <c r="AY396" i="1"/>
  <c r="AT396" i="1" s="1"/>
  <c r="AY401" i="1"/>
  <c r="AT401" i="1" s="1"/>
  <c r="AY398" i="1"/>
  <c r="AT398" i="1" s="1"/>
  <c r="AY399" i="1"/>
  <c r="AT399" i="1" s="1"/>
  <c r="AY402" i="1"/>
  <c r="AT402" i="1" s="1"/>
  <c r="AY403" i="1"/>
  <c r="AT403" i="1" s="1"/>
  <c r="AY404" i="1"/>
  <c r="AT404" i="1" s="1"/>
  <c r="AY405" i="1"/>
  <c r="AT405" i="1" s="1"/>
  <c r="AY407" i="1"/>
  <c r="AT407" i="1" s="1"/>
  <c r="AY411" i="1"/>
  <c r="AT411" i="1" s="1"/>
  <c r="AY413" i="1"/>
  <c r="AT413" i="1" s="1"/>
  <c r="AY415" i="1"/>
  <c r="AT415" i="1" s="1"/>
  <c r="AY594" i="1"/>
  <c r="AT594" i="1" s="1"/>
  <c r="AY409" i="1"/>
  <c r="AT409" i="1" s="1"/>
  <c r="AY596" i="1"/>
  <c r="AT596" i="1" s="1"/>
  <c r="AY614" i="1"/>
  <c r="AT614" i="1" s="1"/>
  <c r="AY412" i="1"/>
  <c r="AT412" i="1" s="1"/>
  <c r="AY621" i="1"/>
  <c r="AT621" i="1" s="1"/>
  <c r="AY414" i="1"/>
  <c r="AT414" i="1" s="1"/>
  <c r="AY643" i="1"/>
  <c r="AT643" i="1" s="1"/>
  <c r="AY416" i="1"/>
  <c r="AT416" i="1" s="1"/>
  <c r="AY417" i="1"/>
  <c r="AT417" i="1" s="1"/>
  <c r="AY418" i="1"/>
  <c r="AT418" i="1" s="1"/>
  <c r="AY419" i="1"/>
  <c r="AT419" i="1" s="1"/>
  <c r="AY420" i="1"/>
  <c r="AT420" i="1" s="1"/>
  <c r="AY421" i="1"/>
  <c r="AT421" i="1" s="1"/>
  <c r="AY422" i="1"/>
  <c r="AT422" i="1" s="1"/>
  <c r="AY423" i="1"/>
  <c r="AT423" i="1" s="1"/>
  <c r="AY424" i="1"/>
  <c r="AT424" i="1" s="1"/>
  <c r="AY425" i="1"/>
  <c r="AT425" i="1" s="1"/>
  <c r="AY426" i="1"/>
  <c r="AT426" i="1" s="1"/>
  <c r="AY427" i="1"/>
  <c r="AT427" i="1" s="1"/>
  <c r="AY428" i="1"/>
  <c r="AT428" i="1" s="1"/>
  <c r="AY429" i="1"/>
  <c r="AT429" i="1" s="1"/>
  <c r="AY430" i="1"/>
  <c r="AT430" i="1" s="1"/>
  <c r="AY431" i="1"/>
  <c r="AT431" i="1" s="1"/>
  <c r="AY432" i="1"/>
  <c r="AT432" i="1" s="1"/>
  <c r="AY433" i="1"/>
  <c r="AT433" i="1" s="1"/>
  <c r="AY434" i="1"/>
  <c r="AT434" i="1" s="1"/>
  <c r="AY435" i="1"/>
  <c r="AT435" i="1" s="1"/>
  <c r="AY436" i="1"/>
  <c r="AT436" i="1" s="1"/>
  <c r="AY437" i="1"/>
  <c r="AT437" i="1" s="1"/>
  <c r="AY438" i="1"/>
  <c r="AT438" i="1" s="1"/>
  <c r="AY439" i="1"/>
  <c r="AT439" i="1" s="1"/>
  <c r="AY440" i="1"/>
  <c r="AT440" i="1" s="1"/>
  <c r="AY441" i="1"/>
  <c r="AT441" i="1" s="1"/>
  <c r="AY442" i="1"/>
  <c r="AT442" i="1" s="1"/>
  <c r="AY443" i="1"/>
  <c r="AT443" i="1" s="1"/>
  <c r="AY444" i="1"/>
  <c r="AT444" i="1" s="1"/>
  <c r="AY445" i="1"/>
  <c r="AT445" i="1" s="1"/>
  <c r="AY446" i="1"/>
  <c r="AT446" i="1" s="1"/>
  <c r="AY447" i="1"/>
  <c r="AT447" i="1" s="1"/>
  <c r="AY448" i="1"/>
  <c r="AT448" i="1" s="1"/>
  <c r="AY449" i="1"/>
  <c r="AT449" i="1" s="1"/>
  <c r="AY450" i="1"/>
  <c r="AT450" i="1" s="1"/>
  <c r="AY451" i="1"/>
  <c r="AT451" i="1" s="1"/>
  <c r="AY452" i="1"/>
  <c r="AT452" i="1" s="1"/>
  <c r="AY453" i="1"/>
  <c r="AT453" i="1" s="1"/>
  <c r="AY454" i="1"/>
  <c r="AT454" i="1" s="1"/>
  <c r="AY455" i="1"/>
  <c r="AT455" i="1" s="1"/>
  <c r="AY456" i="1"/>
  <c r="AT456" i="1" s="1"/>
  <c r="AY457" i="1"/>
  <c r="AT457" i="1" s="1"/>
  <c r="AY458" i="1"/>
  <c r="AT458" i="1" s="1"/>
  <c r="AY459" i="1"/>
  <c r="AT459" i="1" s="1"/>
  <c r="AY460" i="1"/>
  <c r="AT460" i="1" s="1"/>
  <c r="AY461" i="1"/>
  <c r="AT461" i="1" s="1"/>
  <c r="AY462" i="1"/>
  <c r="AT462" i="1" s="1"/>
  <c r="AY463" i="1"/>
  <c r="AT463" i="1" s="1"/>
  <c r="AY464" i="1"/>
  <c r="AT464" i="1" s="1"/>
  <c r="AY465" i="1"/>
  <c r="AT465" i="1" s="1"/>
  <c r="AY466" i="1"/>
  <c r="AT466" i="1" s="1"/>
  <c r="AY467" i="1"/>
  <c r="AT467" i="1" s="1"/>
  <c r="AY468" i="1"/>
  <c r="AT468" i="1" s="1"/>
  <c r="AY469" i="1"/>
  <c r="AT469" i="1" s="1"/>
  <c r="AY470" i="1"/>
  <c r="AT470" i="1" s="1"/>
  <c r="AY471" i="1"/>
  <c r="AT471" i="1" s="1"/>
  <c r="AY651" i="1"/>
  <c r="AT651" i="1" s="1"/>
  <c r="AY473" i="1"/>
  <c r="AT473" i="1" s="1"/>
  <c r="AY474" i="1"/>
  <c r="AT474" i="1" s="1"/>
  <c r="AY475" i="1"/>
  <c r="AT475" i="1" s="1"/>
  <c r="AY476" i="1"/>
  <c r="AT476" i="1" s="1"/>
  <c r="AY477" i="1"/>
  <c r="AT477" i="1" s="1"/>
  <c r="AY478" i="1"/>
  <c r="AT478" i="1" s="1"/>
  <c r="AY479" i="1"/>
  <c r="AT479" i="1" s="1"/>
  <c r="AY480" i="1"/>
  <c r="AT480" i="1" s="1"/>
  <c r="AY481" i="1"/>
  <c r="AT481" i="1" s="1"/>
  <c r="AY482" i="1"/>
  <c r="AT482" i="1" s="1"/>
  <c r="AY483" i="1"/>
  <c r="AT483" i="1" s="1"/>
  <c r="AY484" i="1"/>
  <c r="AT484" i="1" s="1"/>
  <c r="AY485" i="1"/>
  <c r="AT485" i="1" s="1"/>
  <c r="AY486" i="1"/>
  <c r="AT486" i="1" s="1"/>
  <c r="AY487" i="1"/>
  <c r="AT487" i="1" s="1"/>
  <c r="AY488" i="1"/>
  <c r="AT488" i="1" s="1"/>
  <c r="AY489" i="1"/>
  <c r="AT489" i="1" s="1"/>
  <c r="AY490" i="1"/>
  <c r="AT490" i="1" s="1"/>
  <c r="AY491" i="1"/>
  <c r="AT491" i="1" s="1"/>
  <c r="AY492" i="1"/>
  <c r="AT492" i="1" s="1"/>
  <c r="AY493" i="1"/>
  <c r="AT493" i="1" s="1"/>
  <c r="AY494" i="1"/>
  <c r="AT494" i="1" s="1"/>
  <c r="AY495" i="1"/>
  <c r="AT495" i="1" s="1"/>
  <c r="AY496" i="1"/>
  <c r="AT496" i="1" s="1"/>
  <c r="AY497" i="1"/>
  <c r="AT497" i="1" s="1"/>
  <c r="AY498" i="1"/>
  <c r="AT498" i="1" s="1"/>
  <c r="AY499" i="1"/>
  <c r="AT499" i="1" s="1"/>
  <c r="AY500" i="1"/>
  <c r="AT500" i="1" s="1"/>
  <c r="AY501" i="1"/>
  <c r="AT501" i="1" s="1"/>
  <c r="AY502" i="1"/>
  <c r="AT502" i="1" s="1"/>
  <c r="AY503" i="1"/>
  <c r="AT503" i="1" s="1"/>
  <c r="AY504" i="1"/>
  <c r="AT504" i="1" s="1"/>
  <c r="AY505" i="1"/>
  <c r="AT505" i="1" s="1"/>
  <c r="AY506" i="1"/>
  <c r="AT506" i="1" s="1"/>
  <c r="AY507" i="1"/>
  <c r="AT507" i="1" s="1"/>
  <c r="AY508" i="1"/>
  <c r="AT508" i="1" s="1"/>
  <c r="AY509" i="1"/>
  <c r="AT509" i="1" s="1"/>
  <c r="AY510" i="1"/>
  <c r="AT510" i="1" s="1"/>
  <c r="AY511" i="1"/>
  <c r="AT511" i="1" s="1"/>
  <c r="AY512" i="1"/>
  <c r="AT512" i="1" s="1"/>
  <c r="AY513" i="1"/>
  <c r="AT513" i="1" s="1"/>
  <c r="AY514" i="1"/>
  <c r="AT514" i="1" s="1"/>
  <c r="AY515" i="1"/>
  <c r="AT515" i="1" s="1"/>
  <c r="AY516" i="1"/>
  <c r="AT516" i="1" s="1"/>
  <c r="AY517" i="1"/>
  <c r="AT517" i="1" s="1"/>
  <c r="AY518" i="1"/>
  <c r="AT518" i="1" s="1"/>
  <c r="AY519" i="1"/>
  <c r="AT519" i="1" s="1"/>
  <c r="AY520" i="1"/>
  <c r="AT520" i="1" s="1"/>
  <c r="AY521" i="1"/>
  <c r="AT521" i="1" s="1"/>
  <c r="AY522" i="1"/>
  <c r="AT522" i="1" s="1"/>
  <c r="AY523" i="1"/>
  <c r="AT523" i="1" s="1"/>
  <c r="AY524" i="1"/>
  <c r="AT524" i="1" s="1"/>
  <c r="AY525" i="1"/>
  <c r="AT525" i="1" s="1"/>
  <c r="AY526" i="1"/>
  <c r="AT526" i="1" s="1"/>
  <c r="AY527" i="1"/>
  <c r="AT527" i="1" s="1"/>
  <c r="AY528" i="1"/>
  <c r="AT528" i="1" s="1"/>
  <c r="AY529" i="1"/>
  <c r="AT529" i="1" s="1"/>
  <c r="AY530" i="1"/>
  <c r="AT530" i="1" s="1"/>
  <c r="AY531" i="1"/>
  <c r="AT531" i="1" s="1"/>
  <c r="AY532" i="1"/>
  <c r="AT532" i="1" s="1"/>
  <c r="AY533" i="1"/>
  <c r="AT533" i="1" s="1"/>
  <c r="AY534" i="1"/>
  <c r="AT534" i="1" s="1"/>
  <c r="AY535" i="1"/>
  <c r="AT535" i="1" s="1"/>
  <c r="AY536" i="1"/>
  <c r="AT536" i="1" s="1"/>
  <c r="AY537" i="1"/>
  <c r="AT537" i="1" s="1"/>
  <c r="AY538" i="1"/>
  <c r="AT538" i="1" s="1"/>
  <c r="AY539" i="1"/>
  <c r="AT539" i="1" s="1"/>
  <c r="AY540" i="1"/>
  <c r="AT540" i="1" s="1"/>
  <c r="AY541" i="1"/>
  <c r="AT541" i="1" s="1"/>
  <c r="AY542" i="1"/>
  <c r="AT542" i="1" s="1"/>
  <c r="AY543" i="1"/>
  <c r="AT543" i="1" s="1"/>
  <c r="AY544" i="1"/>
  <c r="AT544" i="1" s="1"/>
  <c r="AY545" i="1"/>
  <c r="AT545" i="1" s="1"/>
  <c r="AY546" i="1"/>
  <c r="AT546" i="1" s="1"/>
  <c r="AY547" i="1"/>
  <c r="AT547" i="1" s="1"/>
  <c r="AY548" i="1"/>
  <c r="AT548" i="1" s="1"/>
  <c r="AY549" i="1"/>
  <c r="AT549" i="1" s="1"/>
  <c r="AY550" i="1"/>
  <c r="AT550" i="1" s="1"/>
  <c r="AY551" i="1"/>
  <c r="AT551" i="1" s="1"/>
  <c r="AY552" i="1"/>
  <c r="AT552" i="1" s="1"/>
  <c r="AY553" i="1"/>
  <c r="AT553" i="1" s="1"/>
  <c r="AY554" i="1"/>
  <c r="AT554" i="1" s="1"/>
  <c r="AY555" i="1"/>
  <c r="AT555" i="1" s="1"/>
  <c r="AY556" i="1"/>
  <c r="AT556" i="1" s="1"/>
  <c r="AY557" i="1"/>
  <c r="AT557" i="1" s="1"/>
  <c r="AY558" i="1"/>
  <c r="AT558" i="1" s="1"/>
  <c r="AY559" i="1"/>
  <c r="AT559" i="1" s="1"/>
  <c r="AY560" i="1"/>
  <c r="AT560" i="1" s="1"/>
  <c r="AY561" i="1"/>
  <c r="AT561" i="1" s="1"/>
  <c r="AY562" i="1"/>
  <c r="AT562" i="1" s="1"/>
  <c r="AY563" i="1"/>
  <c r="AT563" i="1" s="1"/>
  <c r="AY564" i="1"/>
  <c r="AT564" i="1" s="1"/>
  <c r="AY565" i="1"/>
  <c r="AT565" i="1" s="1"/>
  <c r="AY566" i="1"/>
  <c r="AT566" i="1" s="1"/>
  <c r="AY567" i="1"/>
  <c r="AT567" i="1" s="1"/>
  <c r="AY568" i="1"/>
  <c r="AT568" i="1" s="1"/>
  <c r="AY569" i="1"/>
  <c r="AT569" i="1" s="1"/>
  <c r="AY570" i="1"/>
  <c r="AT570" i="1" s="1"/>
  <c r="AY571" i="1"/>
  <c r="AT571" i="1" s="1"/>
  <c r="AY572" i="1"/>
  <c r="AT572" i="1" s="1"/>
  <c r="AY573" i="1"/>
  <c r="AT573" i="1" s="1"/>
  <c r="AY574" i="1"/>
  <c r="AT574" i="1" s="1"/>
  <c r="AY575" i="1"/>
  <c r="AT575" i="1" s="1"/>
  <c r="AY576" i="1"/>
  <c r="AT576" i="1" s="1"/>
  <c r="AY577" i="1"/>
  <c r="AT577" i="1" s="1"/>
  <c r="AY578" i="1"/>
  <c r="AT578" i="1" s="1"/>
  <c r="AY579" i="1"/>
  <c r="AT579" i="1" s="1"/>
  <c r="AY580" i="1"/>
  <c r="AT580" i="1" s="1"/>
  <c r="AY581" i="1"/>
  <c r="AT581" i="1" s="1"/>
  <c r="AY582" i="1"/>
  <c r="AT582" i="1" s="1"/>
  <c r="AY583" i="1"/>
  <c r="AT583" i="1" s="1"/>
  <c r="AY584" i="1"/>
  <c r="AT584" i="1" s="1"/>
  <c r="AY585" i="1"/>
  <c r="AT585" i="1" s="1"/>
  <c r="AY586" i="1"/>
  <c r="AT586" i="1" s="1"/>
  <c r="AY587" i="1"/>
  <c r="AT587" i="1" s="1"/>
  <c r="AY588" i="1"/>
  <c r="AT588" i="1" s="1"/>
  <c r="AY589" i="1"/>
  <c r="AT589" i="1" s="1"/>
  <c r="AY590" i="1"/>
  <c r="AT590" i="1" s="1"/>
  <c r="AY591" i="1"/>
  <c r="AT591" i="1" s="1"/>
  <c r="AY592" i="1"/>
  <c r="AT592" i="1" s="1"/>
  <c r="AY593" i="1"/>
  <c r="AT593" i="1" s="1"/>
  <c r="AY661" i="1"/>
  <c r="AT661" i="1" s="1"/>
  <c r="AY595" i="1"/>
  <c r="AT595" i="1" s="1"/>
  <c r="AY664" i="1"/>
  <c r="AT664" i="1" s="1"/>
  <c r="AY597" i="1"/>
  <c r="AT597" i="1" s="1"/>
  <c r="AY598" i="1"/>
  <c r="AT598" i="1" s="1"/>
  <c r="AY599" i="1"/>
  <c r="AT599" i="1" s="1"/>
  <c r="AY600" i="1"/>
  <c r="AT600" i="1" s="1"/>
  <c r="AY601" i="1"/>
  <c r="AT601" i="1" s="1"/>
  <c r="AY602" i="1"/>
  <c r="AT602" i="1" s="1"/>
  <c r="AY603" i="1"/>
  <c r="AT603" i="1" s="1"/>
  <c r="AY604" i="1"/>
  <c r="AT604" i="1" s="1"/>
  <c r="AY605" i="1"/>
  <c r="AT605" i="1" s="1"/>
  <c r="AY606" i="1"/>
  <c r="AT606" i="1" s="1"/>
  <c r="AY607" i="1"/>
  <c r="AT607" i="1" s="1"/>
  <c r="AY608" i="1"/>
  <c r="AT608" i="1" s="1"/>
  <c r="AY609" i="1"/>
  <c r="AT609" i="1" s="1"/>
  <c r="AY610" i="1"/>
  <c r="AT610" i="1" s="1"/>
  <c r="AY611" i="1"/>
  <c r="AT611" i="1" s="1"/>
  <c r="AY612" i="1"/>
  <c r="AT612" i="1" s="1"/>
  <c r="AY613" i="1"/>
  <c r="AT613" i="1" s="1"/>
  <c r="AY665" i="1"/>
  <c r="AT665" i="1" s="1"/>
  <c r="AY615" i="1"/>
  <c r="AT615" i="1" s="1"/>
  <c r="AY616" i="1"/>
  <c r="AT616" i="1" s="1"/>
  <c r="AY617" i="1"/>
  <c r="AT617" i="1" s="1"/>
  <c r="AY618" i="1"/>
  <c r="AT618" i="1" s="1"/>
  <c r="AY619" i="1"/>
  <c r="AT619" i="1" s="1"/>
  <c r="AY620" i="1"/>
  <c r="AT620" i="1" s="1"/>
  <c r="AY673" i="1"/>
  <c r="AT673" i="1" s="1"/>
  <c r="AY622" i="1"/>
  <c r="AT622" i="1" s="1"/>
  <c r="AY623" i="1"/>
  <c r="AT623" i="1" s="1"/>
  <c r="AY624" i="1"/>
  <c r="AT624" i="1" s="1"/>
  <c r="AY625" i="1"/>
  <c r="AT625" i="1" s="1"/>
  <c r="AY626" i="1"/>
  <c r="AT626" i="1" s="1"/>
  <c r="AY627" i="1"/>
  <c r="AT627" i="1" s="1"/>
  <c r="AY628" i="1"/>
  <c r="AT628" i="1" s="1"/>
  <c r="AY629" i="1"/>
  <c r="AT629" i="1" s="1"/>
  <c r="AY630" i="1"/>
  <c r="AT630" i="1" s="1"/>
  <c r="AY631" i="1"/>
  <c r="AT631" i="1" s="1"/>
  <c r="AY632" i="1"/>
  <c r="AT632" i="1" s="1"/>
  <c r="AY633" i="1"/>
  <c r="AT633" i="1" s="1"/>
  <c r="AY634" i="1"/>
  <c r="AT634" i="1" s="1"/>
  <c r="AY635" i="1"/>
  <c r="AT635" i="1" s="1"/>
  <c r="AY636" i="1"/>
  <c r="AT636" i="1" s="1"/>
  <c r="AY637" i="1"/>
  <c r="AT637" i="1" s="1"/>
  <c r="AT674" i="1"/>
  <c r="AY639" i="1"/>
  <c r="AT639" i="1" s="1"/>
  <c r="AY640" i="1"/>
  <c r="AT640" i="1" s="1"/>
  <c r="AY641" i="1"/>
  <c r="AT641" i="1" s="1"/>
  <c r="AY642" i="1"/>
  <c r="AT642" i="1" s="1"/>
  <c r="BQ675" i="1"/>
  <c r="AY644" i="1"/>
  <c r="AT644" i="1" s="1"/>
  <c r="AY645" i="1"/>
  <c r="AT645" i="1" s="1"/>
  <c r="AY646" i="1"/>
  <c r="AT646" i="1" s="1"/>
  <c r="AY647" i="1"/>
  <c r="AT647" i="1" s="1"/>
  <c r="AY648" i="1"/>
  <c r="AT648" i="1" s="1"/>
  <c r="AY649" i="1"/>
  <c r="AT649" i="1" s="1"/>
  <c r="AY650" i="1"/>
  <c r="AT650" i="1" s="1"/>
  <c r="AY681" i="1"/>
  <c r="AT681" i="1" s="1"/>
  <c r="AY652" i="1"/>
  <c r="AT652" i="1" s="1"/>
  <c r="AY653" i="1"/>
  <c r="AT653" i="1" s="1"/>
  <c r="AY654" i="1"/>
  <c r="AT654" i="1" s="1"/>
  <c r="AY655" i="1"/>
  <c r="AT655" i="1" s="1"/>
  <c r="AY656" i="1"/>
  <c r="AT656" i="1" s="1"/>
  <c r="AY657" i="1"/>
  <c r="AT657" i="1" s="1"/>
  <c r="AY658" i="1"/>
  <c r="AT658" i="1" s="1"/>
  <c r="AY659" i="1"/>
  <c r="AT659" i="1" s="1"/>
  <c r="AY660" i="1"/>
  <c r="AT660" i="1" s="1"/>
  <c r="AY684" i="1"/>
  <c r="AT684" i="1" s="1"/>
  <c r="AY662" i="1"/>
  <c r="AT662" i="1" s="1"/>
  <c r="AY663" i="1"/>
  <c r="AT663" i="1" s="1"/>
  <c r="AY689" i="1"/>
  <c r="AT689" i="1" s="1"/>
  <c r="AY691" i="1"/>
  <c r="AT691" i="1" s="1"/>
  <c r="AY666" i="1"/>
  <c r="AT666" i="1" s="1"/>
  <c r="AY667" i="1"/>
  <c r="AT667" i="1" s="1"/>
  <c r="AY668" i="1"/>
  <c r="AT668" i="1" s="1"/>
  <c r="AY669" i="1"/>
  <c r="AT669" i="1" s="1"/>
  <c r="AY670" i="1"/>
  <c r="AT670" i="1" s="1"/>
  <c r="AY671" i="1"/>
  <c r="AT671" i="1" s="1"/>
  <c r="AY672" i="1"/>
  <c r="AT672" i="1" s="1"/>
  <c r="AY695" i="1"/>
  <c r="AT695" i="1" s="1"/>
  <c r="AY696" i="1"/>
  <c r="AT696" i="1" s="1"/>
  <c r="AY709" i="1"/>
  <c r="AT709" i="1" s="1"/>
  <c r="AY676" i="1"/>
  <c r="AT676" i="1" s="1"/>
  <c r="AY677" i="1"/>
  <c r="AT677" i="1" s="1"/>
  <c r="AY678" i="1"/>
  <c r="AT678" i="1" s="1"/>
  <c r="AY679" i="1"/>
  <c r="AT679" i="1" s="1"/>
  <c r="AY680" i="1"/>
  <c r="AT680" i="1" s="1"/>
  <c r="AY356" i="1"/>
  <c r="AT356" i="1" s="1"/>
  <c r="AY682" i="1"/>
  <c r="AT682" i="1" s="1"/>
  <c r="AY683" i="1"/>
  <c r="AT683" i="1" s="1"/>
  <c r="AY362" i="1"/>
  <c r="AT362" i="1" s="1"/>
  <c r="AY685" i="1"/>
  <c r="AT685" i="1" s="1"/>
  <c r="AY686" i="1"/>
  <c r="AT686" i="1" s="1"/>
  <c r="AY687" i="1"/>
  <c r="AT687" i="1" s="1"/>
  <c r="AY688" i="1"/>
  <c r="AT688" i="1" s="1"/>
  <c r="AY406" i="1"/>
  <c r="AT406" i="1" s="1"/>
  <c r="AY690" i="1"/>
  <c r="AT690" i="1" s="1"/>
  <c r="AY408" i="1"/>
  <c r="AT408" i="1" s="1"/>
  <c r="AY692" i="1"/>
  <c r="AT692" i="1" s="1"/>
  <c r="AY693" i="1"/>
  <c r="AT693" i="1" s="1"/>
  <c r="AY694" i="1"/>
  <c r="AT694" i="1" s="1"/>
  <c r="AY410" i="1"/>
  <c r="AT410" i="1" s="1"/>
  <c r="AY472" i="1"/>
  <c r="AT472" i="1" s="1"/>
  <c r="AY697" i="1"/>
  <c r="AT697" i="1" s="1"/>
  <c r="AY698" i="1"/>
  <c r="AT698" i="1" s="1"/>
  <c r="AY699" i="1"/>
  <c r="AT699" i="1" s="1"/>
  <c r="AY700" i="1"/>
  <c r="AT700" i="1" s="1"/>
  <c r="AY701" i="1"/>
  <c r="AT701" i="1" s="1"/>
  <c r="AY702" i="1"/>
  <c r="AT702" i="1" s="1"/>
  <c r="AY703" i="1"/>
  <c r="AT703" i="1" s="1"/>
  <c r="AY704" i="1"/>
  <c r="AT704" i="1" s="1"/>
  <c r="AY705" i="1"/>
  <c r="AT705" i="1" s="1"/>
  <c r="AY706" i="1"/>
  <c r="AT706" i="1" s="1"/>
  <c r="AY707" i="1"/>
  <c r="AT707" i="1" s="1"/>
  <c r="AY708" i="1"/>
  <c r="AT708" i="1" s="1"/>
  <c r="AY638" i="1"/>
  <c r="AT638" i="1" s="1"/>
  <c r="AY710" i="1"/>
  <c r="AT710" i="1" s="1"/>
  <c r="AK694" i="1" l="1"/>
  <c r="AJ694" i="1"/>
  <c r="AK479" i="1"/>
  <c r="AJ479" i="1"/>
  <c r="AK157" i="1"/>
  <c r="AJ157" i="1"/>
  <c r="AK478" i="1"/>
  <c r="AK423" i="1"/>
  <c r="AK359" i="1"/>
  <c r="AK347" i="1"/>
  <c r="AK314" i="1"/>
  <c r="AJ314" i="1"/>
  <c r="AK167" i="1"/>
  <c r="AJ167" i="1"/>
  <c r="AK115" i="1"/>
  <c r="AW695" i="1"/>
  <c r="AW613" i="1"/>
  <c r="AW541" i="1"/>
  <c r="AW469" i="1"/>
  <c r="AW409" i="1"/>
  <c r="AW349" i="1"/>
  <c r="AW301" i="1"/>
  <c r="AW241" i="1"/>
  <c r="AW181" i="1"/>
  <c r="AW121" i="1"/>
  <c r="AW85" i="1"/>
  <c r="AW13" i="1"/>
  <c r="AW472" i="1"/>
  <c r="AW648" i="1"/>
  <c r="AW588" i="1"/>
  <c r="AW528" i="1"/>
  <c r="AW468" i="1"/>
  <c r="AW594" i="1"/>
  <c r="AW348" i="1"/>
  <c r="AW288" i="1"/>
  <c r="AW216" i="1"/>
  <c r="AW156" i="1"/>
  <c r="AW84" i="1"/>
  <c r="AW36" i="1"/>
  <c r="AW671" i="1"/>
  <c r="AW611" i="1"/>
  <c r="AW563" i="1"/>
  <c r="AW503" i="1"/>
  <c r="AW455" i="1"/>
  <c r="AW415" i="1"/>
  <c r="AW359" i="1"/>
  <c r="AW311" i="1"/>
  <c r="AW251" i="1"/>
  <c r="AW203" i="1"/>
  <c r="AW155" i="1"/>
  <c r="AW107" i="1"/>
  <c r="AW71" i="1"/>
  <c r="AW23" i="1"/>
  <c r="AW706" i="1"/>
  <c r="AW694" i="1"/>
  <c r="AW682" i="1"/>
  <c r="AW670" i="1"/>
  <c r="AW658" i="1"/>
  <c r="AW646" i="1"/>
  <c r="AW634" i="1"/>
  <c r="AW622" i="1"/>
  <c r="AW610" i="1"/>
  <c r="AW598" i="1"/>
  <c r="AW586" i="1"/>
  <c r="AW574" i="1"/>
  <c r="AW562" i="1"/>
  <c r="AW550" i="1"/>
  <c r="AW538" i="1"/>
  <c r="AW526" i="1"/>
  <c r="AW514" i="1"/>
  <c r="AW502" i="1"/>
  <c r="AW490" i="1"/>
  <c r="AW478" i="1"/>
  <c r="AW466" i="1"/>
  <c r="AW454" i="1"/>
  <c r="AW442" i="1"/>
  <c r="AW430" i="1"/>
  <c r="AW418" i="1"/>
  <c r="AW413" i="1"/>
  <c r="AW394" i="1"/>
  <c r="AW382" i="1"/>
  <c r="AW370" i="1"/>
  <c r="AW358" i="1"/>
  <c r="AW346" i="1"/>
  <c r="AW334" i="1"/>
  <c r="AW322" i="1"/>
  <c r="AW310" i="1"/>
  <c r="AW298" i="1"/>
  <c r="AW286" i="1"/>
  <c r="AW274" i="1"/>
  <c r="AW262" i="1"/>
  <c r="AW250" i="1"/>
  <c r="AW238" i="1"/>
  <c r="AW226" i="1"/>
  <c r="AW214" i="1"/>
  <c r="AW202" i="1"/>
  <c r="AW190" i="1"/>
  <c r="AW178" i="1"/>
  <c r="AW166" i="1"/>
  <c r="AW154" i="1"/>
  <c r="AW142" i="1"/>
  <c r="AW130" i="1"/>
  <c r="AW118" i="1"/>
  <c r="AW106" i="1"/>
  <c r="AW94" i="1"/>
  <c r="AW82" i="1"/>
  <c r="AW70" i="1"/>
  <c r="AW58" i="1"/>
  <c r="AW46" i="1"/>
  <c r="AW34" i="1"/>
  <c r="AW22" i="1"/>
  <c r="AW10" i="1"/>
  <c r="AW705" i="1"/>
  <c r="AW693" i="1"/>
  <c r="AW356" i="1"/>
  <c r="AW669" i="1"/>
  <c r="AW657" i="1"/>
  <c r="AW645" i="1"/>
  <c r="AW633" i="1"/>
  <c r="AW673" i="1"/>
  <c r="AW609" i="1"/>
  <c r="AW597" i="1"/>
  <c r="AW585" i="1"/>
  <c r="AW573" i="1"/>
  <c r="AW561" i="1"/>
  <c r="AW549" i="1"/>
  <c r="AW537" i="1"/>
  <c r="AW525" i="1"/>
  <c r="AW513" i="1"/>
  <c r="AW501" i="1"/>
  <c r="AW489" i="1"/>
  <c r="AW477" i="1"/>
  <c r="AW465" i="1"/>
  <c r="AW453" i="1"/>
  <c r="AW441" i="1"/>
  <c r="AW429" i="1"/>
  <c r="AW417" i="1"/>
  <c r="AW411" i="1"/>
  <c r="AW393" i="1"/>
  <c r="AW381" i="1"/>
  <c r="AW369" i="1"/>
  <c r="AW357" i="1"/>
  <c r="AW345" i="1"/>
  <c r="AW333" i="1"/>
  <c r="AW321" i="1"/>
  <c r="AW309" i="1"/>
  <c r="AW297" i="1"/>
  <c r="AW285" i="1"/>
  <c r="AW273" i="1"/>
  <c r="AW261" i="1"/>
  <c r="AW249" i="1"/>
  <c r="AW237" i="1"/>
  <c r="AW225" i="1"/>
  <c r="AW213" i="1"/>
  <c r="AW201" i="1"/>
  <c r="AW189" i="1"/>
  <c r="AW177" i="1"/>
  <c r="AW165" i="1"/>
  <c r="AW153" i="1"/>
  <c r="AW141" i="1"/>
  <c r="AW129" i="1"/>
  <c r="AW117" i="1"/>
  <c r="AW105" i="1"/>
  <c r="AW93" i="1"/>
  <c r="AW81" i="1"/>
  <c r="AW69" i="1"/>
  <c r="AW57" i="1"/>
  <c r="AW45" i="1"/>
  <c r="AW33" i="1"/>
  <c r="AW21" i="1"/>
  <c r="AW9" i="1"/>
  <c r="AW638" i="1"/>
  <c r="AW649" i="1"/>
  <c r="AW589" i="1"/>
  <c r="AW517" i="1"/>
  <c r="AW445" i="1"/>
  <c r="AW361" i="1"/>
  <c r="AW289" i="1"/>
  <c r="AW229" i="1"/>
  <c r="AW133" i="1"/>
  <c r="AW61" i="1"/>
  <c r="AW708" i="1"/>
  <c r="AW636" i="1"/>
  <c r="AW576" i="1"/>
  <c r="AW504" i="1"/>
  <c r="AW444" i="1"/>
  <c r="AW396" i="1"/>
  <c r="AW336" i="1"/>
  <c r="AW252" i="1"/>
  <c r="AW192" i="1"/>
  <c r="AW108" i="1"/>
  <c r="AW647" i="1"/>
  <c r="AW575" i="1"/>
  <c r="AW515" i="1"/>
  <c r="AW443" i="1"/>
  <c r="AW371" i="1"/>
  <c r="AW299" i="1"/>
  <c r="AW239" i="1"/>
  <c r="AW191" i="1"/>
  <c r="AW143" i="1"/>
  <c r="AW83" i="1"/>
  <c r="AW35" i="1"/>
  <c r="AW704" i="1"/>
  <c r="AW656" i="1"/>
  <c r="AW608" i="1"/>
  <c r="AW560" i="1"/>
  <c r="AW512" i="1"/>
  <c r="AW464" i="1"/>
  <c r="AW416" i="1"/>
  <c r="AW372" i="1"/>
  <c r="AW308" i="1"/>
  <c r="AW272" i="1"/>
  <c r="AW224" i="1"/>
  <c r="AW188" i="1"/>
  <c r="AW140" i="1"/>
  <c r="AW80" i="1"/>
  <c r="AW20" i="1"/>
  <c r="AW679" i="1"/>
  <c r="AW631" i="1"/>
  <c r="AW583" i="1"/>
  <c r="AW535" i="1"/>
  <c r="AW487" i="1"/>
  <c r="AW439" i="1"/>
  <c r="AW391" i="1"/>
  <c r="AW343" i="1"/>
  <c r="AW295" i="1"/>
  <c r="AW259" i="1"/>
  <c r="AW223" i="1"/>
  <c r="AW175" i="1"/>
  <c r="AW127" i="1"/>
  <c r="AW91" i="1"/>
  <c r="AW55" i="1"/>
  <c r="AW7" i="1"/>
  <c r="AW702" i="1"/>
  <c r="AW666" i="1"/>
  <c r="AW618" i="1"/>
  <c r="AW582" i="1"/>
  <c r="AW534" i="1"/>
  <c r="AW486" i="1"/>
  <c r="AW438" i="1"/>
  <c r="AW390" i="1"/>
  <c r="AW342" i="1"/>
  <c r="AW294" i="1"/>
  <c r="AW246" i="1"/>
  <c r="AW198" i="1"/>
  <c r="AW150" i="1"/>
  <c r="AW90" i="1"/>
  <c r="AW30" i="1"/>
  <c r="AW701" i="1"/>
  <c r="AW406" i="1"/>
  <c r="AW677" i="1"/>
  <c r="AW691" i="1"/>
  <c r="AW653" i="1"/>
  <c r="AW641" i="1"/>
  <c r="AW629" i="1"/>
  <c r="AW617" i="1"/>
  <c r="AW605" i="1"/>
  <c r="AW593" i="1"/>
  <c r="AW581" i="1"/>
  <c r="AW569" i="1"/>
  <c r="AW557" i="1"/>
  <c r="AW545" i="1"/>
  <c r="AW533" i="1"/>
  <c r="AW521" i="1"/>
  <c r="AW509" i="1"/>
  <c r="AW497" i="1"/>
  <c r="AW485" i="1"/>
  <c r="AW473" i="1"/>
  <c r="AW461" i="1"/>
  <c r="AW449" i="1"/>
  <c r="AW437" i="1"/>
  <c r="AW425" i="1"/>
  <c r="AW621" i="1"/>
  <c r="AW403" i="1"/>
  <c r="AW389" i="1"/>
  <c r="AW377" i="1"/>
  <c r="AW365" i="1"/>
  <c r="AW353" i="1"/>
  <c r="AW341" i="1"/>
  <c r="AW329" i="1"/>
  <c r="AW317" i="1"/>
  <c r="AW305" i="1"/>
  <c r="AW293" i="1"/>
  <c r="AW281" i="1"/>
  <c r="AW269" i="1"/>
  <c r="AW257" i="1"/>
  <c r="AW245" i="1"/>
  <c r="AW233" i="1"/>
  <c r="AW221" i="1"/>
  <c r="AW209" i="1"/>
  <c r="AW197" i="1"/>
  <c r="AW185" i="1"/>
  <c r="AW173" i="1"/>
  <c r="AW161" i="1"/>
  <c r="AW149" i="1"/>
  <c r="AW137" i="1"/>
  <c r="AW125" i="1"/>
  <c r="AW113" i="1"/>
  <c r="AW101" i="1"/>
  <c r="AW89" i="1"/>
  <c r="AW77" i="1"/>
  <c r="AW65" i="1"/>
  <c r="AW53" i="1"/>
  <c r="AW41" i="1"/>
  <c r="AW29" i="1"/>
  <c r="AW17" i="1"/>
  <c r="AW5" i="1"/>
  <c r="AW685" i="1"/>
  <c r="AW625" i="1"/>
  <c r="AW577" i="1"/>
  <c r="AW529" i="1"/>
  <c r="AW493" i="1"/>
  <c r="AW433" i="1"/>
  <c r="AW401" i="1"/>
  <c r="AW337" i="1"/>
  <c r="AW277" i="1"/>
  <c r="AW217" i="1"/>
  <c r="AW169" i="1"/>
  <c r="AW109" i="1"/>
  <c r="AW49" i="1"/>
  <c r="AW362" i="1"/>
  <c r="AW624" i="1"/>
  <c r="AW552" i="1"/>
  <c r="AW492" i="1"/>
  <c r="AW432" i="1"/>
  <c r="AW360" i="1"/>
  <c r="AW300" i="1"/>
  <c r="AW240" i="1"/>
  <c r="AW180" i="1"/>
  <c r="AW132" i="1"/>
  <c r="AW72" i="1"/>
  <c r="AW24" i="1"/>
  <c r="AW410" i="1"/>
  <c r="AW635" i="1"/>
  <c r="AW587" i="1"/>
  <c r="AW527" i="1"/>
  <c r="AW467" i="1"/>
  <c r="AW395" i="1"/>
  <c r="AW323" i="1"/>
  <c r="AW263" i="1"/>
  <c r="AW179" i="1"/>
  <c r="AW119" i="1"/>
  <c r="AW47" i="1"/>
  <c r="AW680" i="1"/>
  <c r="AW632" i="1"/>
  <c r="AW584" i="1"/>
  <c r="AW548" i="1"/>
  <c r="AW500" i="1"/>
  <c r="AW452" i="1"/>
  <c r="AW407" i="1"/>
  <c r="AW368" i="1"/>
  <c r="AW332" i="1"/>
  <c r="AW284" i="1"/>
  <c r="AW248" i="1"/>
  <c r="AW200" i="1"/>
  <c r="AW152" i="1"/>
  <c r="AW104" i="1"/>
  <c r="AW68" i="1"/>
  <c r="AW32" i="1"/>
  <c r="AW408" i="1"/>
  <c r="AW655" i="1"/>
  <c r="AW607" i="1"/>
  <c r="AW559" i="1"/>
  <c r="AW523" i="1"/>
  <c r="AW475" i="1"/>
  <c r="AW427" i="1"/>
  <c r="AW379" i="1"/>
  <c r="AW331" i="1"/>
  <c r="AW283" i="1"/>
  <c r="AW235" i="1"/>
  <c r="AW187" i="1"/>
  <c r="AW139" i="1"/>
  <c r="AW79" i="1"/>
  <c r="AW19" i="1"/>
  <c r="AW654" i="1"/>
  <c r="AW606" i="1"/>
  <c r="AW558" i="1"/>
  <c r="AW522" i="1"/>
  <c r="AW474" i="1"/>
  <c r="AW426" i="1"/>
  <c r="AW404" i="1"/>
  <c r="AW354" i="1"/>
  <c r="AW318" i="1"/>
  <c r="AW282" i="1"/>
  <c r="AW234" i="1"/>
  <c r="AW186" i="1"/>
  <c r="AW138" i="1"/>
  <c r="AW102" i="1"/>
  <c r="AW54" i="1"/>
  <c r="AW6" i="1"/>
  <c r="AW700" i="1"/>
  <c r="AW688" i="1"/>
  <c r="AW676" i="1"/>
  <c r="AW689" i="1"/>
  <c r="AW652" i="1"/>
  <c r="AW640" i="1"/>
  <c r="AW628" i="1"/>
  <c r="AW616" i="1"/>
  <c r="AW604" i="1"/>
  <c r="AW592" i="1"/>
  <c r="AW580" i="1"/>
  <c r="AW568" i="1"/>
  <c r="AW556" i="1"/>
  <c r="AW544" i="1"/>
  <c r="AW532" i="1"/>
  <c r="AW520" i="1"/>
  <c r="AW508" i="1"/>
  <c r="AW496" i="1"/>
  <c r="AW484" i="1"/>
  <c r="AW651" i="1"/>
  <c r="AW460" i="1"/>
  <c r="AW448" i="1"/>
  <c r="AW436" i="1"/>
  <c r="AW424" i="1"/>
  <c r="AW412" i="1"/>
  <c r="AW402" i="1"/>
  <c r="AW388" i="1"/>
  <c r="AW376" i="1"/>
  <c r="AW364" i="1"/>
  <c r="AW352" i="1"/>
  <c r="AW340" i="1"/>
  <c r="AW328" i="1"/>
  <c r="AW316" i="1"/>
  <c r="AW304" i="1"/>
  <c r="AW292" i="1"/>
  <c r="AW280" i="1"/>
  <c r="AW268" i="1"/>
  <c r="AW256" i="1"/>
  <c r="AW244" i="1"/>
  <c r="AW232" i="1"/>
  <c r="AW220" i="1"/>
  <c r="AW208" i="1"/>
  <c r="AW196" i="1"/>
  <c r="AW184" i="1"/>
  <c r="AW172" i="1"/>
  <c r="AW160" i="1"/>
  <c r="AW148" i="1"/>
  <c r="AW136" i="1"/>
  <c r="AW124" i="1"/>
  <c r="AW112" i="1"/>
  <c r="AW100" i="1"/>
  <c r="AW88" i="1"/>
  <c r="AW76" i="1"/>
  <c r="AW64" i="1"/>
  <c r="AW52" i="1"/>
  <c r="AW40" i="1"/>
  <c r="AW28" i="1"/>
  <c r="AW16" i="1"/>
  <c r="AW4" i="1"/>
  <c r="AW697" i="1"/>
  <c r="AW637" i="1"/>
  <c r="AW565" i="1"/>
  <c r="AW505" i="1"/>
  <c r="AW457" i="1"/>
  <c r="AW385" i="1"/>
  <c r="AW325" i="1"/>
  <c r="AW265" i="1"/>
  <c r="AW205" i="1"/>
  <c r="AW145" i="1"/>
  <c r="AW73" i="1"/>
  <c r="AW25" i="1"/>
  <c r="AW660" i="1"/>
  <c r="AW600" i="1"/>
  <c r="AW540" i="1"/>
  <c r="AW456" i="1"/>
  <c r="AW384" i="1"/>
  <c r="AW312" i="1"/>
  <c r="AW264" i="1"/>
  <c r="AW204" i="1"/>
  <c r="AW144" i="1"/>
  <c r="AW96" i="1"/>
  <c r="AW60" i="1"/>
  <c r="AW12" i="1"/>
  <c r="AW707" i="1"/>
  <c r="AW659" i="1"/>
  <c r="AW599" i="1"/>
  <c r="AW539" i="1"/>
  <c r="AW479" i="1"/>
  <c r="AW419" i="1"/>
  <c r="AW347" i="1"/>
  <c r="AW287" i="1"/>
  <c r="AW215" i="1"/>
  <c r="AW131" i="1"/>
  <c r="AW11" i="1"/>
  <c r="AW692" i="1"/>
  <c r="AW644" i="1"/>
  <c r="AW664" i="1"/>
  <c r="AW536" i="1"/>
  <c r="AW488" i="1"/>
  <c r="AW440" i="1"/>
  <c r="AW392" i="1"/>
  <c r="AW344" i="1"/>
  <c r="AW296" i="1"/>
  <c r="AW236" i="1"/>
  <c r="AW176" i="1"/>
  <c r="AW116" i="1"/>
  <c r="AW56" i="1"/>
  <c r="AW8" i="1"/>
  <c r="AW703" i="1"/>
  <c r="AW667" i="1"/>
  <c r="AW619" i="1"/>
  <c r="AW571" i="1"/>
  <c r="AW511" i="1"/>
  <c r="AW463" i="1"/>
  <c r="AW643" i="1"/>
  <c r="AW367" i="1"/>
  <c r="AW319" i="1"/>
  <c r="AW247" i="1"/>
  <c r="AW199" i="1"/>
  <c r="AW151" i="1"/>
  <c r="AW103" i="1"/>
  <c r="AW43" i="1"/>
  <c r="AW678" i="1"/>
  <c r="AW630" i="1"/>
  <c r="AW570" i="1"/>
  <c r="AW510" i="1"/>
  <c r="AW450" i="1"/>
  <c r="AW366" i="1"/>
  <c r="AW306" i="1"/>
  <c r="AW258" i="1"/>
  <c r="AW210" i="1"/>
  <c r="AW162" i="1"/>
  <c r="AW114" i="1"/>
  <c r="AW66" i="1"/>
  <c r="AW18" i="1"/>
  <c r="AW687" i="1"/>
  <c r="AW663" i="1"/>
  <c r="AW681" i="1"/>
  <c r="AW639" i="1"/>
  <c r="AW627" i="1"/>
  <c r="AW615" i="1"/>
  <c r="AW603" i="1"/>
  <c r="AW591" i="1"/>
  <c r="AW579" i="1"/>
  <c r="AW567" i="1"/>
  <c r="AW555" i="1"/>
  <c r="AW543" i="1"/>
  <c r="AW531" i="1"/>
  <c r="AW519" i="1"/>
  <c r="AW507" i="1"/>
  <c r="AW495" i="1"/>
  <c r="AW483" i="1"/>
  <c r="AW471" i="1"/>
  <c r="AW459" i="1"/>
  <c r="AW447" i="1"/>
  <c r="AW435" i="1"/>
  <c r="AW423" i="1"/>
  <c r="AW614" i="1"/>
  <c r="AW399" i="1"/>
  <c r="AW387" i="1"/>
  <c r="AW375" i="1"/>
  <c r="AW363" i="1"/>
  <c r="AW351" i="1"/>
  <c r="AW339" i="1"/>
  <c r="AW327" i="1"/>
  <c r="AW315" i="1"/>
  <c r="AW303" i="1"/>
  <c r="AW291" i="1"/>
  <c r="AW279" i="1"/>
  <c r="AW267" i="1"/>
  <c r="AW255" i="1"/>
  <c r="AW243" i="1"/>
  <c r="AW231" i="1"/>
  <c r="AW219" i="1"/>
  <c r="AW207" i="1"/>
  <c r="AW195" i="1"/>
  <c r="AW183" i="1"/>
  <c r="AW171" i="1"/>
  <c r="AW159" i="1"/>
  <c r="AW147" i="1"/>
  <c r="AW135" i="1"/>
  <c r="AW123" i="1"/>
  <c r="AW111" i="1"/>
  <c r="AW99" i="1"/>
  <c r="AW87" i="1"/>
  <c r="AW75" i="1"/>
  <c r="AW63" i="1"/>
  <c r="AW51" i="1"/>
  <c r="AW39" i="1"/>
  <c r="AW27" i="1"/>
  <c r="AW15" i="1"/>
  <c r="AW3" i="1"/>
  <c r="AW684" i="1"/>
  <c r="AW601" i="1"/>
  <c r="AW553" i="1"/>
  <c r="AW481" i="1"/>
  <c r="AW421" i="1"/>
  <c r="AW373" i="1"/>
  <c r="AW313" i="1"/>
  <c r="AW253" i="1"/>
  <c r="AW193" i="1"/>
  <c r="AW157" i="1"/>
  <c r="AW97" i="1"/>
  <c r="AW37" i="1"/>
  <c r="AW672" i="1"/>
  <c r="AW612" i="1"/>
  <c r="AW564" i="1"/>
  <c r="AW516" i="1"/>
  <c r="AW480" i="1"/>
  <c r="AW420" i="1"/>
  <c r="AW400" i="1"/>
  <c r="AW324" i="1"/>
  <c r="AW276" i="1"/>
  <c r="AW228" i="1"/>
  <c r="AW168" i="1"/>
  <c r="AW120" i="1"/>
  <c r="AW48" i="1"/>
  <c r="AW683" i="1"/>
  <c r="AW623" i="1"/>
  <c r="AW551" i="1"/>
  <c r="AW491" i="1"/>
  <c r="AW431" i="1"/>
  <c r="AW383" i="1"/>
  <c r="AW335" i="1"/>
  <c r="AW275" i="1"/>
  <c r="AW227" i="1"/>
  <c r="AW167" i="1"/>
  <c r="AW95" i="1"/>
  <c r="AW59" i="1"/>
  <c r="AW668" i="1"/>
  <c r="AW620" i="1"/>
  <c r="AW572" i="1"/>
  <c r="AW524" i="1"/>
  <c r="AW476" i="1"/>
  <c r="AW428" i="1"/>
  <c r="AW380" i="1"/>
  <c r="AW320" i="1"/>
  <c r="AW260" i="1"/>
  <c r="AW212" i="1"/>
  <c r="AW164" i="1"/>
  <c r="AW128" i="1"/>
  <c r="AW92" i="1"/>
  <c r="AW44" i="1"/>
  <c r="AW595" i="1"/>
  <c r="AW547" i="1"/>
  <c r="AW499" i="1"/>
  <c r="AW451" i="1"/>
  <c r="AW405" i="1"/>
  <c r="AW355" i="1"/>
  <c r="AW307" i="1"/>
  <c r="AW271" i="1"/>
  <c r="AW211" i="1"/>
  <c r="AW163" i="1"/>
  <c r="AW115" i="1"/>
  <c r="AW67" i="1"/>
  <c r="AW31" i="1"/>
  <c r="AW690" i="1"/>
  <c r="AW642" i="1"/>
  <c r="AW661" i="1"/>
  <c r="AW546" i="1"/>
  <c r="AW498" i="1"/>
  <c r="AW462" i="1"/>
  <c r="AW414" i="1"/>
  <c r="AW378" i="1"/>
  <c r="AW330" i="1"/>
  <c r="AW270" i="1"/>
  <c r="AW222" i="1"/>
  <c r="AW174" i="1"/>
  <c r="AW126" i="1"/>
  <c r="AW78" i="1"/>
  <c r="AW42" i="1"/>
  <c r="AW699" i="1"/>
  <c r="AW709" i="1"/>
  <c r="AW710" i="1"/>
  <c r="AW698" i="1"/>
  <c r="AW686" i="1"/>
  <c r="AW696" i="1"/>
  <c r="AW662" i="1"/>
  <c r="AW650" i="1"/>
  <c r="AW674" i="1"/>
  <c r="AW626" i="1"/>
  <c r="AW665" i="1"/>
  <c r="AW602" i="1"/>
  <c r="AW590" i="1"/>
  <c r="AW578" i="1"/>
  <c r="AW566" i="1"/>
  <c r="AW554" i="1"/>
  <c r="AW542" i="1"/>
  <c r="AW530" i="1"/>
  <c r="AW518" i="1"/>
  <c r="AW506" i="1"/>
  <c r="AW494" i="1"/>
  <c r="AW482" i="1"/>
  <c r="AW470" i="1"/>
  <c r="AW458" i="1"/>
  <c r="AW446" i="1"/>
  <c r="AW434" i="1"/>
  <c r="AW422" i="1"/>
  <c r="AW596" i="1"/>
  <c r="AW398" i="1"/>
  <c r="AW386" i="1"/>
  <c r="AW374" i="1"/>
  <c r="AW397" i="1"/>
  <c r="AW350" i="1"/>
  <c r="AW338" i="1"/>
  <c r="AW326" i="1"/>
  <c r="AW314" i="1"/>
  <c r="AW302" i="1"/>
  <c r="AW290" i="1"/>
  <c r="AW278" i="1"/>
  <c r="AW266" i="1"/>
  <c r="AW254" i="1"/>
  <c r="AW242" i="1"/>
  <c r="AW230" i="1"/>
  <c r="AW218" i="1"/>
  <c r="AW206" i="1"/>
  <c r="AW194" i="1"/>
  <c r="AW182" i="1"/>
  <c r="AW170" i="1"/>
  <c r="AW158" i="1"/>
  <c r="AW146" i="1"/>
  <c r="AW134" i="1"/>
  <c r="AW122" i="1"/>
  <c r="AW110" i="1"/>
  <c r="AW98" i="1"/>
  <c r="AW86" i="1"/>
  <c r="AW74" i="1"/>
  <c r="AW62" i="1"/>
  <c r="AW50" i="1"/>
  <c r="AW38" i="1"/>
  <c r="AW26" i="1"/>
  <c r="AW14" i="1"/>
  <c r="AW2" i="1"/>
  <c r="BQ704" i="1"/>
  <c r="BQ500" i="1"/>
  <c r="BQ404" i="1"/>
  <c r="BQ700" i="1"/>
  <c r="BQ689" i="1"/>
  <c r="BQ628" i="1"/>
  <c r="BQ592" i="1"/>
  <c r="BQ544" i="1"/>
  <c r="BQ508" i="1"/>
  <c r="BQ651" i="1"/>
  <c r="BQ436" i="1"/>
  <c r="BQ402" i="1"/>
  <c r="BQ364" i="1"/>
  <c r="BQ328" i="1"/>
  <c r="BQ292" i="1"/>
  <c r="BQ256" i="1"/>
  <c r="BQ196" i="1"/>
  <c r="BQ160" i="1"/>
  <c r="BQ124" i="1"/>
  <c r="BQ76" i="1"/>
  <c r="BQ40" i="1"/>
  <c r="BQ4" i="1"/>
  <c r="BQ709" i="1"/>
  <c r="BQ639" i="1"/>
  <c r="BQ615" i="1"/>
  <c r="BQ579" i="1"/>
  <c r="BQ543" i="1"/>
  <c r="BQ507" i="1"/>
  <c r="BQ471" i="1"/>
  <c r="BQ459" i="1"/>
  <c r="BQ435" i="1"/>
  <c r="BQ614" i="1"/>
  <c r="BQ399" i="1"/>
  <c r="BQ375" i="1"/>
  <c r="BQ351" i="1"/>
  <c r="BQ339" i="1"/>
  <c r="BQ327" i="1"/>
  <c r="BQ315" i="1"/>
  <c r="BQ291" i="1"/>
  <c r="BQ267" i="1"/>
  <c r="BQ243" i="1"/>
  <c r="BQ219" i="1"/>
  <c r="BQ195" i="1"/>
  <c r="BQ147" i="1"/>
  <c r="BQ111" i="1"/>
  <c r="BQ75" i="1"/>
  <c r="BQ710" i="1"/>
  <c r="BQ662" i="1"/>
  <c r="BQ626" i="1"/>
  <c r="BQ590" i="1"/>
  <c r="BQ542" i="1"/>
  <c r="BQ506" i="1"/>
  <c r="BQ470" i="1"/>
  <c r="BQ446" i="1"/>
  <c r="BQ596" i="1"/>
  <c r="BQ374" i="1"/>
  <c r="BQ338" i="1"/>
  <c r="BQ290" i="1"/>
  <c r="BQ254" i="1"/>
  <c r="BQ218" i="1"/>
  <c r="BQ170" i="1"/>
  <c r="BQ134" i="1"/>
  <c r="BQ86" i="1"/>
  <c r="BQ26" i="1"/>
  <c r="BQ692" i="1"/>
  <c r="BQ680" i="1"/>
  <c r="BQ668" i="1"/>
  <c r="BQ656" i="1"/>
  <c r="BQ644" i="1"/>
  <c r="BQ632" i="1"/>
  <c r="BQ620" i="1"/>
  <c r="BQ608" i="1"/>
  <c r="BQ664" i="1"/>
  <c r="BQ584" i="1"/>
  <c r="BQ572" i="1"/>
  <c r="BQ560" i="1"/>
  <c r="BQ548" i="1"/>
  <c r="BQ536" i="1"/>
  <c r="BQ524" i="1"/>
  <c r="BQ512" i="1"/>
  <c r="BQ488" i="1"/>
  <c r="BQ476" i="1"/>
  <c r="BQ464" i="1"/>
  <c r="BQ452" i="1"/>
  <c r="BQ440" i="1"/>
  <c r="BQ428" i="1"/>
  <c r="BQ416" i="1"/>
  <c r="BQ372" i="1"/>
  <c r="BQ408" i="1"/>
  <c r="BQ406" i="1"/>
  <c r="BQ676" i="1"/>
  <c r="BQ640" i="1"/>
  <c r="BQ604" i="1"/>
  <c r="BQ568" i="1"/>
  <c r="BQ556" i="1"/>
  <c r="BQ520" i="1"/>
  <c r="BQ484" i="1"/>
  <c r="BQ448" i="1"/>
  <c r="BQ412" i="1"/>
  <c r="BQ388" i="1"/>
  <c r="BQ352" i="1"/>
  <c r="BQ316" i="1"/>
  <c r="BQ280" i="1"/>
  <c r="BQ244" i="1"/>
  <c r="BQ208" i="1"/>
  <c r="BQ172" i="1"/>
  <c r="BQ136" i="1"/>
  <c r="BQ100" i="1"/>
  <c r="BQ52" i="1"/>
  <c r="BQ16" i="1"/>
  <c r="BQ699" i="1"/>
  <c r="BQ603" i="1"/>
  <c r="BQ567" i="1"/>
  <c r="BQ531" i="1"/>
  <c r="BQ495" i="1"/>
  <c r="BQ387" i="1"/>
  <c r="BQ303" i="1"/>
  <c r="BQ279" i="1"/>
  <c r="BQ255" i="1"/>
  <c r="BQ231" i="1"/>
  <c r="BQ207" i="1"/>
  <c r="BQ171" i="1"/>
  <c r="BQ123" i="1"/>
  <c r="BQ87" i="1"/>
  <c r="BQ51" i="1"/>
  <c r="BQ15" i="1"/>
  <c r="BQ686" i="1"/>
  <c r="BQ674" i="1"/>
  <c r="BQ602" i="1"/>
  <c r="BQ566" i="1"/>
  <c r="BQ530" i="1"/>
  <c r="BQ482" i="1"/>
  <c r="BQ434" i="1"/>
  <c r="BQ386" i="1"/>
  <c r="BQ350" i="1"/>
  <c r="BQ314" i="1"/>
  <c r="BQ278" i="1"/>
  <c r="BQ242" i="1"/>
  <c r="BQ206" i="1"/>
  <c r="BQ182" i="1"/>
  <c r="BQ146" i="1"/>
  <c r="BQ110" i="1"/>
  <c r="BQ74" i="1"/>
  <c r="BQ38" i="1"/>
  <c r="BQ2" i="1"/>
  <c r="BQ697" i="1"/>
  <c r="BQ649" i="1"/>
  <c r="BQ625" i="1"/>
  <c r="BQ589" i="1"/>
  <c r="BQ553" i="1"/>
  <c r="BQ505" i="1"/>
  <c r="BQ457" i="1"/>
  <c r="BQ421" i="1"/>
  <c r="BQ401" i="1"/>
  <c r="BQ361" i="1"/>
  <c r="BQ337" i="1"/>
  <c r="BQ301" i="1"/>
  <c r="BQ265" i="1"/>
  <c r="BQ229" i="1"/>
  <c r="BQ205" i="1"/>
  <c r="BQ169" i="1"/>
  <c r="BQ133" i="1"/>
  <c r="BQ97" i="1"/>
  <c r="BQ61" i="1"/>
  <c r="BQ13" i="1"/>
  <c r="BQ356" i="1"/>
  <c r="BQ360" i="1"/>
  <c r="BQ348" i="1"/>
  <c r="BQ336" i="1"/>
  <c r="BQ324" i="1"/>
  <c r="BQ312" i="1"/>
  <c r="BQ300" i="1"/>
  <c r="BQ288" i="1"/>
  <c r="BQ276" i="1"/>
  <c r="BQ264" i="1"/>
  <c r="BQ252" i="1"/>
  <c r="BQ240" i="1"/>
  <c r="BQ228" i="1"/>
  <c r="BQ216" i="1"/>
  <c r="BQ204" i="1"/>
  <c r="BQ192" i="1"/>
  <c r="BQ180" i="1"/>
  <c r="BQ168" i="1"/>
  <c r="BQ156" i="1"/>
  <c r="BQ144" i="1"/>
  <c r="BQ132" i="1"/>
  <c r="BQ120" i="1"/>
  <c r="BQ108" i="1"/>
  <c r="BQ96" i="1"/>
  <c r="BQ84" i="1"/>
  <c r="BQ72" i="1"/>
  <c r="BQ60" i="1"/>
  <c r="BQ48" i="1"/>
  <c r="BQ36" i="1"/>
  <c r="BQ24" i="1"/>
  <c r="BQ12" i="1"/>
  <c r="BQ673" i="1"/>
  <c r="BQ688" i="1"/>
  <c r="BQ652" i="1"/>
  <c r="BQ616" i="1"/>
  <c r="BQ580" i="1"/>
  <c r="BQ532" i="1"/>
  <c r="BQ496" i="1"/>
  <c r="BQ460" i="1"/>
  <c r="BQ424" i="1"/>
  <c r="BQ376" i="1"/>
  <c r="BQ340" i="1"/>
  <c r="BQ304" i="1"/>
  <c r="BQ268" i="1"/>
  <c r="BQ232" i="1"/>
  <c r="BQ220" i="1"/>
  <c r="BQ184" i="1"/>
  <c r="BQ148" i="1"/>
  <c r="BQ112" i="1"/>
  <c r="BQ88" i="1"/>
  <c r="BQ64" i="1"/>
  <c r="BQ28" i="1"/>
  <c r="BQ687" i="1"/>
  <c r="BQ663" i="1"/>
  <c r="BQ627" i="1"/>
  <c r="BQ591" i="1"/>
  <c r="BQ555" i="1"/>
  <c r="BQ519" i="1"/>
  <c r="BQ483" i="1"/>
  <c r="BQ447" i="1"/>
  <c r="BQ363" i="1"/>
  <c r="BQ183" i="1"/>
  <c r="BQ159" i="1"/>
  <c r="BQ135" i="1"/>
  <c r="BQ99" i="1"/>
  <c r="BQ63" i="1"/>
  <c r="BQ39" i="1"/>
  <c r="BQ27" i="1"/>
  <c r="BQ698" i="1"/>
  <c r="BQ696" i="1"/>
  <c r="BQ650" i="1"/>
  <c r="BQ665" i="1"/>
  <c r="BQ578" i="1"/>
  <c r="BQ554" i="1"/>
  <c r="BQ518" i="1"/>
  <c r="BQ494" i="1"/>
  <c r="BQ458" i="1"/>
  <c r="BQ422" i="1"/>
  <c r="BQ398" i="1"/>
  <c r="BQ397" i="1"/>
  <c r="BQ326" i="1"/>
  <c r="BQ302" i="1"/>
  <c r="BQ266" i="1"/>
  <c r="BQ230" i="1"/>
  <c r="BQ194" i="1"/>
  <c r="BQ158" i="1"/>
  <c r="BQ122" i="1"/>
  <c r="BQ98" i="1"/>
  <c r="BQ62" i="1"/>
  <c r="BQ50" i="1"/>
  <c r="BQ14" i="1"/>
  <c r="BQ685" i="1"/>
  <c r="BQ695" i="1"/>
  <c r="BQ684" i="1"/>
  <c r="BQ637" i="1"/>
  <c r="BQ613" i="1"/>
  <c r="BQ601" i="1"/>
  <c r="BQ577" i="1"/>
  <c r="BQ565" i="1"/>
  <c r="BQ541" i="1"/>
  <c r="BQ529" i="1"/>
  <c r="BQ517" i="1"/>
  <c r="BQ493" i="1"/>
  <c r="BQ481" i="1"/>
  <c r="BQ469" i="1"/>
  <c r="BQ445" i="1"/>
  <c r="BQ433" i="1"/>
  <c r="BQ409" i="1"/>
  <c r="BQ385" i="1"/>
  <c r="BQ373" i="1"/>
  <c r="BQ349" i="1"/>
  <c r="BQ325" i="1"/>
  <c r="BQ313" i="1"/>
  <c r="BQ289" i="1"/>
  <c r="BQ277" i="1"/>
  <c r="BQ253" i="1"/>
  <c r="BQ241" i="1"/>
  <c r="BQ217" i="1"/>
  <c r="BQ193" i="1"/>
  <c r="BQ181" i="1"/>
  <c r="BQ157" i="1"/>
  <c r="BQ145" i="1"/>
  <c r="BQ121" i="1"/>
  <c r="BQ109" i="1"/>
  <c r="BQ85" i="1"/>
  <c r="BQ73" i="1"/>
  <c r="BQ49" i="1"/>
  <c r="BQ37" i="1"/>
  <c r="BQ25" i="1"/>
  <c r="BQ708" i="1"/>
  <c r="BQ472" i="1"/>
  <c r="BQ362" i="1"/>
  <c r="BQ672" i="1"/>
  <c r="BQ660" i="1"/>
  <c r="BQ648" i="1"/>
  <c r="BQ636" i="1"/>
  <c r="BQ624" i="1"/>
  <c r="BQ612" i="1"/>
  <c r="BQ600" i="1"/>
  <c r="BQ588" i="1"/>
  <c r="BQ576" i="1"/>
  <c r="BQ564" i="1"/>
  <c r="BQ552" i="1"/>
  <c r="BQ540" i="1"/>
  <c r="BQ528" i="1"/>
  <c r="BQ516" i="1"/>
  <c r="BQ504" i="1"/>
  <c r="BQ492" i="1"/>
  <c r="BQ480" i="1"/>
  <c r="BQ468" i="1"/>
  <c r="BQ456" i="1"/>
  <c r="BQ444" i="1"/>
  <c r="BQ432" i="1"/>
  <c r="BQ420" i="1"/>
  <c r="BQ594" i="1"/>
  <c r="BQ396" i="1"/>
  <c r="BQ384" i="1"/>
  <c r="BQ400" i="1"/>
  <c r="BQ707" i="1"/>
  <c r="BQ410" i="1"/>
  <c r="BQ706" i="1"/>
  <c r="BQ694" i="1"/>
  <c r="BQ682" i="1"/>
  <c r="BQ670" i="1"/>
  <c r="BQ658" i="1"/>
  <c r="BQ646" i="1"/>
  <c r="BQ634" i="1"/>
  <c r="BQ622" i="1"/>
  <c r="BQ610" i="1"/>
  <c r="BQ598" i="1"/>
  <c r="BQ586" i="1"/>
  <c r="BQ574" i="1"/>
  <c r="BQ562" i="1"/>
  <c r="BQ550" i="1"/>
  <c r="BQ538" i="1"/>
  <c r="BQ526" i="1"/>
  <c r="BQ514" i="1"/>
  <c r="BQ502" i="1"/>
  <c r="BQ490" i="1"/>
  <c r="BQ478" i="1"/>
  <c r="BQ466" i="1"/>
  <c r="BQ454" i="1"/>
  <c r="BQ442" i="1"/>
  <c r="BQ430" i="1"/>
  <c r="BQ418" i="1"/>
  <c r="BQ394" i="1"/>
  <c r="BQ382" i="1"/>
  <c r="BQ370" i="1"/>
  <c r="BQ358" i="1"/>
  <c r="BQ346" i="1"/>
  <c r="BQ334" i="1"/>
  <c r="BQ683" i="1"/>
  <c r="BQ647" i="1"/>
  <c r="BQ611" i="1"/>
  <c r="BQ575" i="1"/>
  <c r="BQ539" i="1"/>
  <c r="BQ503" i="1"/>
  <c r="BQ455" i="1"/>
  <c r="BQ415" i="1"/>
  <c r="BQ371" i="1"/>
  <c r="BQ335" i="1"/>
  <c r="BQ287" i="1"/>
  <c r="BQ251" i="1"/>
  <c r="BQ203" i="1"/>
  <c r="BQ167" i="1"/>
  <c r="BQ131" i="1"/>
  <c r="BQ95" i="1"/>
  <c r="BQ47" i="1"/>
  <c r="BQ322" i="1"/>
  <c r="BQ286" i="1"/>
  <c r="BQ238" i="1"/>
  <c r="BQ190" i="1"/>
  <c r="BQ154" i="1"/>
  <c r="BQ106" i="1"/>
  <c r="BQ46" i="1"/>
  <c r="BQ693" i="1"/>
  <c r="BQ585" i="1"/>
  <c r="BQ561" i="1"/>
  <c r="BQ525" i="1"/>
  <c r="BQ477" i="1"/>
  <c r="BQ453" i="1"/>
  <c r="BQ417" i="1"/>
  <c r="BQ369" i="1"/>
  <c r="BQ321" i="1"/>
  <c r="BQ273" i="1"/>
  <c r="BQ237" i="1"/>
  <c r="BQ189" i="1"/>
  <c r="BQ153" i="1"/>
  <c r="BQ93" i="1"/>
  <c r="BQ380" i="1"/>
  <c r="BQ344" i="1"/>
  <c r="BQ308" i="1"/>
  <c r="BQ260" i="1"/>
  <c r="BQ224" i="1"/>
  <c r="BQ176" i="1"/>
  <c r="BQ140" i="1"/>
  <c r="BQ104" i="1"/>
  <c r="BQ44" i="1"/>
  <c r="BQ607" i="1"/>
  <c r="BQ571" i="1"/>
  <c r="BQ535" i="1"/>
  <c r="BQ487" i="1"/>
  <c r="BQ439" i="1"/>
  <c r="BQ405" i="1"/>
  <c r="BQ355" i="1"/>
  <c r="BQ319" i="1"/>
  <c r="BQ283" i="1"/>
  <c r="BQ223" i="1"/>
  <c r="BQ187" i="1"/>
  <c r="BQ151" i="1"/>
  <c r="BQ115" i="1"/>
  <c r="BQ91" i="1"/>
  <c r="BQ55" i="1"/>
  <c r="BQ19" i="1"/>
  <c r="BQ702" i="1"/>
  <c r="BQ654" i="1"/>
  <c r="BQ606" i="1"/>
  <c r="BQ558" i="1"/>
  <c r="BQ510" i="1"/>
  <c r="BQ474" i="1"/>
  <c r="BQ426" i="1"/>
  <c r="BQ390" i="1"/>
  <c r="BQ354" i="1"/>
  <c r="BQ318" i="1"/>
  <c r="BQ270" i="1"/>
  <c r="BQ222" i="1"/>
  <c r="BQ174" i="1"/>
  <c r="BQ138" i="1"/>
  <c r="BQ102" i="1"/>
  <c r="BQ66" i="1"/>
  <c r="BQ30" i="1"/>
  <c r="BQ653" i="1"/>
  <c r="BQ617" i="1"/>
  <c r="BQ581" i="1"/>
  <c r="BQ521" i="1"/>
  <c r="BQ485" i="1"/>
  <c r="BQ437" i="1"/>
  <c r="BQ403" i="1"/>
  <c r="BQ353" i="1"/>
  <c r="BQ305" i="1"/>
  <c r="BQ269" i="1"/>
  <c r="BQ233" i="1"/>
  <c r="BQ197" i="1"/>
  <c r="BQ173" i="1"/>
  <c r="BQ137" i="1"/>
  <c r="BQ101" i="1"/>
  <c r="BQ65" i="1"/>
  <c r="BQ17" i="1"/>
  <c r="BQ659" i="1"/>
  <c r="BQ623" i="1"/>
  <c r="BQ587" i="1"/>
  <c r="BQ551" i="1"/>
  <c r="BQ515" i="1"/>
  <c r="BQ479" i="1"/>
  <c r="BQ443" i="1"/>
  <c r="BQ419" i="1"/>
  <c r="BQ395" i="1"/>
  <c r="BQ359" i="1"/>
  <c r="BQ323" i="1"/>
  <c r="BQ299" i="1"/>
  <c r="BQ263" i="1"/>
  <c r="BQ227" i="1"/>
  <c r="BQ191" i="1"/>
  <c r="BQ155" i="1"/>
  <c r="BQ119" i="1"/>
  <c r="BQ71" i="1"/>
  <c r="BQ35" i="1"/>
  <c r="BQ413" i="1"/>
  <c r="BQ298" i="1"/>
  <c r="BQ262" i="1"/>
  <c r="BQ250" i="1"/>
  <c r="BQ214" i="1"/>
  <c r="BQ178" i="1"/>
  <c r="BQ142" i="1"/>
  <c r="BQ118" i="1"/>
  <c r="BQ94" i="1"/>
  <c r="BQ70" i="1"/>
  <c r="BQ34" i="1"/>
  <c r="BQ10" i="1"/>
  <c r="BQ657" i="1"/>
  <c r="BQ633" i="1"/>
  <c r="BQ597" i="1"/>
  <c r="BQ549" i="1"/>
  <c r="BQ501" i="1"/>
  <c r="BQ381" i="1"/>
  <c r="BQ345" i="1"/>
  <c r="BQ309" i="1"/>
  <c r="BQ285" i="1"/>
  <c r="BQ249" i="1"/>
  <c r="BQ213" i="1"/>
  <c r="BQ177" i="1"/>
  <c r="BQ141" i="1"/>
  <c r="BQ117" i="1"/>
  <c r="BQ81" i="1"/>
  <c r="BQ57" i="1"/>
  <c r="BQ45" i="1"/>
  <c r="BQ21" i="1"/>
  <c r="BQ392" i="1"/>
  <c r="BQ368" i="1"/>
  <c r="BQ332" i="1"/>
  <c r="BQ296" i="1"/>
  <c r="BQ272" i="1"/>
  <c r="BQ236" i="1"/>
  <c r="BQ200" i="1"/>
  <c r="BQ164" i="1"/>
  <c r="BQ128" i="1"/>
  <c r="BQ92" i="1"/>
  <c r="BQ68" i="1"/>
  <c r="BQ32" i="1"/>
  <c r="BQ8" i="1"/>
  <c r="BQ703" i="1"/>
  <c r="BQ679" i="1"/>
  <c r="BQ655" i="1"/>
  <c r="BQ619" i="1"/>
  <c r="BQ595" i="1"/>
  <c r="BQ559" i="1"/>
  <c r="BQ523" i="1"/>
  <c r="BQ499" i="1"/>
  <c r="BQ463" i="1"/>
  <c r="BQ427" i="1"/>
  <c r="BQ379" i="1"/>
  <c r="BQ343" i="1"/>
  <c r="BQ307" i="1"/>
  <c r="BQ271" i="1"/>
  <c r="BQ235" i="1"/>
  <c r="BQ199" i="1"/>
  <c r="BQ175" i="1"/>
  <c r="BQ139" i="1"/>
  <c r="BQ103" i="1"/>
  <c r="BQ67" i="1"/>
  <c r="BQ31" i="1"/>
  <c r="BQ7" i="1"/>
  <c r="BQ678" i="1"/>
  <c r="BQ642" i="1"/>
  <c r="BQ618" i="1"/>
  <c r="BQ582" i="1"/>
  <c r="BQ546" i="1"/>
  <c r="BQ522" i="1"/>
  <c r="BQ486" i="1"/>
  <c r="BQ450" i="1"/>
  <c r="BQ438" i="1"/>
  <c r="BQ414" i="1"/>
  <c r="BQ378" i="1"/>
  <c r="BQ330" i="1"/>
  <c r="BQ294" i="1"/>
  <c r="BQ258" i="1"/>
  <c r="BQ234" i="1"/>
  <c r="BQ198" i="1"/>
  <c r="BQ162" i="1"/>
  <c r="BQ126" i="1"/>
  <c r="BQ90" i="1"/>
  <c r="BQ54" i="1"/>
  <c r="BQ18" i="1"/>
  <c r="BQ677" i="1"/>
  <c r="BQ629" i="1"/>
  <c r="BQ593" i="1"/>
  <c r="BQ557" i="1"/>
  <c r="BQ545" i="1"/>
  <c r="BQ509" i="1"/>
  <c r="BQ473" i="1"/>
  <c r="BQ449" i="1"/>
  <c r="BQ621" i="1"/>
  <c r="BQ377" i="1"/>
  <c r="BQ341" i="1"/>
  <c r="BQ317" i="1"/>
  <c r="BQ281" i="1"/>
  <c r="BQ245" i="1"/>
  <c r="BQ221" i="1"/>
  <c r="BQ185" i="1"/>
  <c r="BQ161" i="1"/>
  <c r="BQ125" i="1"/>
  <c r="BQ89" i="1"/>
  <c r="BQ53" i="1"/>
  <c r="BQ29" i="1"/>
  <c r="BQ671" i="1"/>
  <c r="BQ635" i="1"/>
  <c r="BQ599" i="1"/>
  <c r="BQ563" i="1"/>
  <c r="BQ527" i="1"/>
  <c r="BQ491" i="1"/>
  <c r="BQ467" i="1"/>
  <c r="BQ431" i="1"/>
  <c r="BQ383" i="1"/>
  <c r="BQ347" i="1"/>
  <c r="BQ311" i="1"/>
  <c r="BQ275" i="1"/>
  <c r="BQ239" i="1"/>
  <c r="BQ215" i="1"/>
  <c r="BQ179" i="1"/>
  <c r="BQ143" i="1"/>
  <c r="BQ107" i="1"/>
  <c r="BQ83" i="1"/>
  <c r="BQ59" i="1"/>
  <c r="BQ23" i="1"/>
  <c r="BQ11" i="1"/>
  <c r="BQ310" i="1"/>
  <c r="BQ274" i="1"/>
  <c r="BQ226" i="1"/>
  <c r="BQ202" i="1"/>
  <c r="BQ166" i="1"/>
  <c r="BQ130" i="1"/>
  <c r="BQ82" i="1"/>
  <c r="BQ58" i="1"/>
  <c r="BQ22" i="1"/>
  <c r="BQ705" i="1"/>
  <c r="BQ669" i="1"/>
  <c r="BQ645" i="1"/>
  <c r="BQ609" i="1"/>
  <c r="BQ573" i="1"/>
  <c r="BQ537" i="1"/>
  <c r="BQ513" i="1"/>
  <c r="BQ489" i="1"/>
  <c r="BQ465" i="1"/>
  <c r="BQ441" i="1"/>
  <c r="BQ429" i="1"/>
  <c r="BQ393" i="1"/>
  <c r="BQ357" i="1"/>
  <c r="BQ333" i="1"/>
  <c r="BQ297" i="1"/>
  <c r="BQ261" i="1"/>
  <c r="BQ225" i="1"/>
  <c r="BQ201" i="1"/>
  <c r="BQ165" i="1"/>
  <c r="BQ129" i="1"/>
  <c r="BQ105" i="1"/>
  <c r="BQ69" i="1"/>
  <c r="BQ33" i="1"/>
  <c r="BQ9" i="1"/>
  <c r="BQ407" i="1"/>
  <c r="BQ320" i="1"/>
  <c r="BQ284" i="1"/>
  <c r="BQ248" i="1"/>
  <c r="BQ212" i="1"/>
  <c r="BQ188" i="1"/>
  <c r="BQ152" i="1"/>
  <c r="BQ116" i="1"/>
  <c r="BQ80" i="1"/>
  <c r="BQ56" i="1"/>
  <c r="BQ20" i="1"/>
  <c r="BQ667" i="1"/>
  <c r="BQ631" i="1"/>
  <c r="BQ583" i="1"/>
  <c r="BQ547" i="1"/>
  <c r="BQ511" i="1"/>
  <c r="BQ475" i="1"/>
  <c r="BQ451" i="1"/>
  <c r="BQ643" i="1"/>
  <c r="BQ391" i="1"/>
  <c r="BQ367" i="1"/>
  <c r="BQ331" i="1"/>
  <c r="BQ295" i="1"/>
  <c r="BQ259" i="1"/>
  <c r="BQ247" i="1"/>
  <c r="BQ211" i="1"/>
  <c r="BQ163" i="1"/>
  <c r="BQ127" i="1"/>
  <c r="BQ79" i="1"/>
  <c r="BQ43" i="1"/>
  <c r="BQ690" i="1"/>
  <c r="BQ666" i="1"/>
  <c r="BQ630" i="1"/>
  <c r="BQ661" i="1"/>
  <c r="BQ570" i="1"/>
  <c r="BQ534" i="1"/>
  <c r="BQ498" i="1"/>
  <c r="BQ462" i="1"/>
  <c r="BQ366" i="1"/>
  <c r="BQ342" i="1"/>
  <c r="BQ306" i="1"/>
  <c r="BQ282" i="1"/>
  <c r="BQ246" i="1"/>
  <c r="BQ210" i="1"/>
  <c r="BQ186" i="1"/>
  <c r="BQ150" i="1"/>
  <c r="BQ114" i="1"/>
  <c r="BQ78" i="1"/>
  <c r="BQ42" i="1"/>
  <c r="BQ6" i="1"/>
  <c r="BQ701" i="1"/>
  <c r="BQ691" i="1"/>
  <c r="BQ641" i="1"/>
  <c r="BQ605" i="1"/>
  <c r="BQ569" i="1"/>
  <c r="BQ533" i="1"/>
  <c r="BQ497" i="1"/>
  <c r="BQ461" i="1"/>
  <c r="BQ425" i="1"/>
  <c r="BQ389" i="1"/>
  <c r="BQ365" i="1"/>
  <c r="BQ329" i="1"/>
  <c r="BQ293" i="1"/>
  <c r="BQ257" i="1"/>
  <c r="BQ209" i="1"/>
  <c r="BQ113" i="1"/>
  <c r="BQ77" i="1"/>
  <c r="BQ41" i="1"/>
  <c r="BQ5" i="1"/>
  <c r="BQ681" i="1"/>
  <c r="BQ3" i="1"/>
  <c r="AG188" i="1"/>
  <c r="AI188" i="1" s="1"/>
  <c r="AG418" i="1"/>
  <c r="AI418" i="1" s="1"/>
  <c r="AF188" i="1"/>
  <c r="AF418" i="1"/>
  <c r="AF157" i="1"/>
  <c r="AE157" i="1"/>
  <c r="AE188" i="1"/>
  <c r="BQ411" i="1"/>
  <c r="BQ638" i="1"/>
  <c r="BQ149" i="1"/>
  <c r="BQ423" i="1"/>
  <c r="AB356" i="1"/>
  <c r="AB115" i="1"/>
  <c r="AC115" i="1" s="1"/>
  <c r="AB149" i="1"/>
  <c r="AC149" i="1" s="1"/>
  <c r="AB347" i="1"/>
  <c r="AB359" i="1"/>
  <c r="AC359" i="1" s="1"/>
  <c r="AB360" i="1"/>
  <c r="AB362" i="1"/>
  <c r="AC362" i="1" s="1"/>
  <c r="AB423" i="1"/>
  <c r="AC423" i="1" s="1"/>
  <c r="AB442" i="1"/>
  <c r="AB478" i="1"/>
  <c r="AB638" i="1"/>
  <c r="AC638" i="1" s="1"/>
  <c r="AB677" i="1"/>
  <c r="AC677" i="1" s="1"/>
  <c r="AK188" i="1" l="1"/>
  <c r="AJ188" i="1"/>
  <c r="AK418" i="1"/>
  <c r="AJ418" i="1"/>
  <c r="BG157" i="1"/>
  <c r="BG172" i="1"/>
  <c r="BG174" i="1"/>
  <c r="BG659" i="1"/>
  <c r="BB2" i="1"/>
  <c r="BB3" i="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187" i="1"/>
  <c r="BB188" i="1"/>
  <c r="BB189" i="1"/>
  <c r="BB190" i="1"/>
  <c r="BB191" i="1"/>
  <c r="BB192" i="1"/>
  <c r="BB193" i="1"/>
  <c r="BB194" i="1"/>
  <c r="BB195" i="1"/>
  <c r="BB196" i="1"/>
  <c r="BB197" i="1"/>
  <c r="BB198" i="1"/>
  <c r="BB199" i="1"/>
  <c r="BB200" i="1"/>
  <c r="BB201" i="1"/>
  <c r="BB202" i="1"/>
  <c r="BB203" i="1"/>
  <c r="BB204" i="1"/>
  <c r="BB205" i="1"/>
  <c r="BB206" i="1"/>
  <c r="BB207" i="1"/>
  <c r="BB208" i="1"/>
  <c r="BB209" i="1"/>
  <c r="BB210" i="1"/>
  <c r="BB211" i="1"/>
  <c r="BB212" i="1"/>
  <c r="BB213" i="1"/>
  <c r="BB214" i="1"/>
  <c r="BB215" i="1"/>
  <c r="BB216" i="1"/>
  <c r="BB217" i="1"/>
  <c r="BB218" i="1"/>
  <c r="BB219" i="1"/>
  <c r="BB220" i="1"/>
  <c r="BB221" i="1"/>
  <c r="BB222" i="1"/>
  <c r="BB223" i="1"/>
  <c r="BB224" i="1"/>
  <c r="BB225" i="1"/>
  <c r="BB226" i="1"/>
  <c r="BB227" i="1"/>
  <c r="BB228" i="1"/>
  <c r="BB229" i="1"/>
  <c r="BB230" i="1"/>
  <c r="BB231" i="1"/>
  <c r="BB232" i="1"/>
  <c r="BB233" i="1"/>
  <c r="BB234" i="1"/>
  <c r="BB235" i="1"/>
  <c r="BB236" i="1"/>
  <c r="BB237" i="1"/>
  <c r="BB238" i="1"/>
  <c r="BB239" i="1"/>
  <c r="BB240" i="1"/>
  <c r="BB241" i="1"/>
  <c r="BB242" i="1"/>
  <c r="BB243" i="1"/>
  <c r="BB244" i="1"/>
  <c r="BB245" i="1"/>
  <c r="BB246" i="1"/>
  <c r="BB247" i="1"/>
  <c r="BB248" i="1"/>
  <c r="BB249" i="1"/>
  <c r="BB250" i="1"/>
  <c r="BB251" i="1"/>
  <c r="BB252" i="1"/>
  <c r="BB253" i="1"/>
  <c r="BB254" i="1"/>
  <c r="BB255" i="1"/>
  <c r="BB256" i="1"/>
  <c r="BB257" i="1"/>
  <c r="BB258" i="1"/>
  <c r="BB259" i="1"/>
  <c r="BB260" i="1"/>
  <c r="BB261" i="1"/>
  <c r="BB262" i="1"/>
  <c r="BB263" i="1"/>
  <c r="BB264" i="1"/>
  <c r="BB265" i="1"/>
  <c r="BB266" i="1"/>
  <c r="BB267" i="1"/>
  <c r="BB268" i="1"/>
  <c r="BB269" i="1"/>
  <c r="BB270" i="1"/>
  <c r="BB271" i="1"/>
  <c r="BB272" i="1"/>
  <c r="BB273" i="1"/>
  <c r="BB274" i="1"/>
  <c r="BB275" i="1"/>
  <c r="BB276" i="1"/>
  <c r="BB277" i="1"/>
  <c r="BB278" i="1"/>
  <c r="BB279" i="1"/>
  <c r="BB280" i="1"/>
  <c r="BB281" i="1"/>
  <c r="BB282" i="1"/>
  <c r="BB283" i="1"/>
  <c r="BB284" i="1"/>
  <c r="BB285" i="1"/>
  <c r="BB286" i="1"/>
  <c r="BB287" i="1"/>
  <c r="BB288" i="1"/>
  <c r="BB289" i="1"/>
  <c r="BB290" i="1"/>
  <c r="BB291" i="1"/>
  <c r="BB292" i="1"/>
  <c r="BB293" i="1"/>
  <c r="BB294" i="1"/>
  <c r="BB295" i="1"/>
  <c r="BB296" i="1"/>
  <c r="BB297" i="1"/>
  <c r="BB298" i="1"/>
  <c r="BB299" i="1"/>
  <c r="BB300" i="1"/>
  <c r="BB301" i="1"/>
  <c r="BB302" i="1"/>
  <c r="BB303" i="1"/>
  <c r="BB304" i="1"/>
  <c r="BB305" i="1"/>
  <c r="BB306" i="1"/>
  <c r="BB307" i="1"/>
  <c r="BB308" i="1"/>
  <c r="BB309" i="1"/>
  <c r="BB310" i="1"/>
  <c r="BB311" i="1"/>
  <c r="BB312" i="1"/>
  <c r="BB313" i="1"/>
  <c r="BB314" i="1"/>
  <c r="BB315" i="1"/>
  <c r="BB316" i="1"/>
  <c r="BB317" i="1"/>
  <c r="BB318" i="1"/>
  <c r="BB319" i="1"/>
  <c r="BB320" i="1"/>
  <c r="BB321" i="1"/>
  <c r="BB322" i="1"/>
  <c r="BB323" i="1"/>
  <c r="BB324" i="1"/>
  <c r="BB325" i="1"/>
  <c r="BB326" i="1"/>
  <c r="BB327" i="1"/>
  <c r="BB328" i="1"/>
  <c r="BB329" i="1"/>
  <c r="BB330" i="1"/>
  <c r="BB331" i="1"/>
  <c r="BB332" i="1"/>
  <c r="BB333" i="1"/>
  <c r="BB334" i="1"/>
  <c r="BB335" i="1"/>
  <c r="BB336" i="1"/>
  <c r="BB337" i="1"/>
  <c r="BB338" i="1"/>
  <c r="BB339" i="1"/>
  <c r="BB340" i="1"/>
  <c r="BB341" i="1"/>
  <c r="BB342" i="1"/>
  <c r="BB343" i="1"/>
  <c r="BB344" i="1"/>
  <c r="BB345" i="1"/>
  <c r="BB346" i="1"/>
  <c r="BB347" i="1"/>
  <c r="BB348" i="1"/>
  <c r="BB349" i="1"/>
  <c r="BB350" i="1"/>
  <c r="BB351" i="1"/>
  <c r="BB352" i="1"/>
  <c r="BB353" i="1"/>
  <c r="BB354" i="1"/>
  <c r="BB355" i="1"/>
  <c r="BB356" i="1"/>
  <c r="BB357" i="1"/>
  <c r="BB358" i="1"/>
  <c r="BB359" i="1"/>
  <c r="BB360" i="1"/>
  <c r="BB361" i="1"/>
  <c r="BB362" i="1"/>
  <c r="BB363" i="1"/>
  <c r="BB364" i="1"/>
  <c r="BB365" i="1"/>
  <c r="BB366" i="1"/>
  <c r="BB367" i="1"/>
  <c r="BB368" i="1"/>
  <c r="BB369" i="1"/>
  <c r="BB370" i="1"/>
  <c r="BB371" i="1"/>
  <c r="BB372" i="1"/>
  <c r="BB373" i="1"/>
  <c r="BB374" i="1"/>
  <c r="BB375" i="1"/>
  <c r="BB376" i="1"/>
  <c r="BB377" i="1"/>
  <c r="BB378" i="1"/>
  <c r="BB379" i="1"/>
  <c r="BB380" i="1"/>
  <c r="BB381" i="1"/>
  <c r="BB382" i="1"/>
  <c r="BB383" i="1"/>
  <c r="BB384" i="1"/>
  <c r="BB385" i="1"/>
  <c r="BB386" i="1"/>
  <c r="BB387" i="1"/>
  <c r="BB388" i="1"/>
  <c r="BB389" i="1"/>
  <c r="BB390" i="1"/>
  <c r="BB391" i="1"/>
  <c r="BB392" i="1"/>
  <c r="BB393" i="1"/>
  <c r="BB394" i="1"/>
  <c r="BB395" i="1"/>
  <c r="BB396" i="1"/>
  <c r="BB397" i="1"/>
  <c r="BB398" i="1"/>
  <c r="BB399" i="1"/>
  <c r="BB400" i="1"/>
  <c r="BB401" i="1"/>
  <c r="BB402" i="1"/>
  <c r="BB403" i="1"/>
  <c r="BB404" i="1"/>
  <c r="BB405" i="1"/>
  <c r="BB406" i="1"/>
  <c r="BB407" i="1"/>
  <c r="BB408" i="1"/>
  <c r="BB409" i="1"/>
  <c r="BB410" i="1"/>
  <c r="BB411" i="1"/>
  <c r="BB412" i="1"/>
  <c r="BB413" i="1"/>
  <c r="BB414" i="1"/>
  <c r="BB415" i="1"/>
  <c r="BB416" i="1"/>
  <c r="BB417" i="1"/>
  <c r="BB418" i="1"/>
  <c r="BB419" i="1"/>
  <c r="BB420" i="1"/>
  <c r="BB421" i="1"/>
  <c r="BB422" i="1"/>
  <c r="BB423" i="1"/>
  <c r="BB424" i="1"/>
  <c r="BB425" i="1"/>
  <c r="BB426" i="1"/>
  <c r="BB427" i="1"/>
  <c r="BB428" i="1"/>
  <c r="BB429" i="1"/>
  <c r="BB430" i="1"/>
  <c r="BB431" i="1"/>
  <c r="BB432" i="1"/>
  <c r="BB433" i="1"/>
  <c r="BB434" i="1"/>
  <c r="BB435" i="1"/>
  <c r="BB436" i="1"/>
  <c r="BB437" i="1"/>
  <c r="BB438" i="1"/>
  <c r="BB439" i="1"/>
  <c r="BB440" i="1"/>
  <c r="BB441" i="1"/>
  <c r="BB442" i="1"/>
  <c r="BB443" i="1"/>
  <c r="BB444" i="1"/>
  <c r="BB445" i="1"/>
  <c r="BB446" i="1"/>
  <c r="BB447" i="1"/>
  <c r="BB448" i="1"/>
  <c r="BB449" i="1"/>
  <c r="BB450" i="1"/>
  <c r="BB451" i="1"/>
  <c r="BB452" i="1"/>
  <c r="BB453" i="1"/>
  <c r="BB454" i="1"/>
  <c r="BB455" i="1"/>
  <c r="BB456" i="1"/>
  <c r="BB457" i="1"/>
  <c r="BB458" i="1"/>
  <c r="BB459" i="1"/>
  <c r="BB460" i="1"/>
  <c r="BB461" i="1"/>
  <c r="BB462" i="1"/>
  <c r="BB463" i="1"/>
  <c r="BB464" i="1"/>
  <c r="BB465" i="1"/>
  <c r="BB466" i="1"/>
  <c r="BB467" i="1"/>
  <c r="BB468" i="1"/>
  <c r="BB469" i="1"/>
  <c r="BB470" i="1"/>
  <c r="BB471" i="1"/>
  <c r="BB472" i="1"/>
  <c r="BB473" i="1"/>
  <c r="BB474" i="1"/>
  <c r="BB475" i="1"/>
  <c r="BB476" i="1"/>
  <c r="BB477" i="1"/>
  <c r="BB478" i="1"/>
  <c r="BB479" i="1"/>
  <c r="BB480" i="1"/>
  <c r="BB481" i="1"/>
  <c r="BB482" i="1"/>
  <c r="BB483" i="1"/>
  <c r="BB484" i="1"/>
  <c r="BB485" i="1"/>
  <c r="BB486" i="1"/>
  <c r="BB487" i="1"/>
  <c r="BB488" i="1"/>
  <c r="BB489" i="1"/>
  <c r="BB490" i="1"/>
  <c r="BB491" i="1"/>
  <c r="BB492" i="1"/>
  <c r="BB493" i="1"/>
  <c r="BB494" i="1"/>
  <c r="BB495" i="1"/>
  <c r="BB496" i="1"/>
  <c r="BB497" i="1"/>
  <c r="BB498" i="1"/>
  <c r="BB499" i="1"/>
  <c r="BB500" i="1"/>
  <c r="BB501" i="1"/>
  <c r="BB502" i="1"/>
  <c r="BB503" i="1"/>
  <c r="BB504" i="1"/>
  <c r="BB505" i="1"/>
  <c r="BB506" i="1"/>
  <c r="BB507" i="1"/>
  <c r="BB508" i="1"/>
  <c r="BB509" i="1"/>
  <c r="BB510" i="1"/>
  <c r="BB511" i="1"/>
  <c r="BB512" i="1"/>
  <c r="BB513" i="1"/>
  <c r="BB514" i="1"/>
  <c r="BB515" i="1"/>
  <c r="BB516" i="1"/>
  <c r="BB517" i="1"/>
  <c r="BB518" i="1"/>
  <c r="BB519" i="1"/>
  <c r="BB520" i="1"/>
  <c r="BB521" i="1"/>
  <c r="BB522" i="1"/>
  <c r="BB523" i="1"/>
  <c r="BB524" i="1"/>
  <c r="BB525" i="1"/>
  <c r="BB526" i="1"/>
  <c r="BB527" i="1"/>
  <c r="BB528" i="1"/>
  <c r="BB529" i="1"/>
  <c r="BB530" i="1"/>
  <c r="BB531" i="1"/>
  <c r="BB532" i="1"/>
  <c r="BB533" i="1"/>
  <c r="BB534" i="1"/>
  <c r="BB535" i="1"/>
  <c r="BB536" i="1"/>
  <c r="BB537" i="1"/>
  <c r="BB538" i="1"/>
  <c r="BB539" i="1"/>
  <c r="BB540" i="1"/>
  <c r="BB541" i="1"/>
  <c r="BB542" i="1"/>
  <c r="BB543" i="1"/>
  <c r="BB544" i="1"/>
  <c r="BB545" i="1"/>
  <c r="BB546" i="1"/>
  <c r="BB547" i="1"/>
  <c r="BB548" i="1"/>
  <c r="BB549" i="1"/>
  <c r="BB550" i="1"/>
  <c r="BB551" i="1"/>
  <c r="BB552" i="1"/>
  <c r="BB553" i="1"/>
  <c r="BB554" i="1"/>
  <c r="BB555" i="1"/>
  <c r="BB556" i="1"/>
  <c r="BB557" i="1"/>
  <c r="BB558" i="1"/>
  <c r="BB559" i="1"/>
  <c r="BB560" i="1"/>
  <c r="BB561" i="1"/>
  <c r="BB562" i="1"/>
  <c r="BB563" i="1"/>
  <c r="BB564" i="1"/>
  <c r="BB565" i="1"/>
  <c r="BB566" i="1"/>
  <c r="BB567" i="1"/>
  <c r="BB568" i="1"/>
  <c r="BB569" i="1"/>
  <c r="BB570" i="1"/>
  <c r="BB571" i="1"/>
  <c r="BB572" i="1"/>
  <c r="BB573" i="1"/>
  <c r="BB574" i="1"/>
  <c r="BB575" i="1"/>
  <c r="BB576" i="1"/>
  <c r="BB577" i="1"/>
  <c r="BB578" i="1"/>
  <c r="BB579" i="1"/>
  <c r="BB580" i="1"/>
  <c r="BB581" i="1"/>
  <c r="BB582" i="1"/>
  <c r="BB583" i="1"/>
  <c r="BB584" i="1"/>
  <c r="BB585" i="1"/>
  <c r="BB586" i="1"/>
  <c r="BB587" i="1"/>
  <c r="BB588" i="1"/>
  <c r="BB589" i="1"/>
  <c r="BB590" i="1"/>
  <c r="BB591" i="1"/>
  <c r="BB592" i="1"/>
  <c r="BB593" i="1"/>
  <c r="BB594" i="1"/>
  <c r="BB595" i="1"/>
  <c r="BB596" i="1"/>
  <c r="BB597" i="1"/>
  <c r="BB598" i="1"/>
  <c r="BB599" i="1"/>
  <c r="BB600" i="1"/>
  <c r="BB601" i="1"/>
  <c r="BB602" i="1"/>
  <c r="BB603" i="1"/>
  <c r="BB604" i="1"/>
  <c r="BB605" i="1"/>
  <c r="BB606" i="1"/>
  <c r="BB607" i="1"/>
  <c r="BB608" i="1"/>
  <c r="BB609" i="1"/>
  <c r="BB610" i="1"/>
  <c r="BB611" i="1"/>
  <c r="BB612" i="1"/>
  <c r="BB613" i="1"/>
  <c r="BB614" i="1"/>
  <c r="BB615" i="1"/>
  <c r="BB616" i="1"/>
  <c r="BB617" i="1"/>
  <c r="BB618" i="1"/>
  <c r="BB619" i="1"/>
  <c r="BB620" i="1"/>
  <c r="BB621" i="1"/>
  <c r="BB622" i="1"/>
  <c r="BB623" i="1"/>
  <c r="BB624" i="1"/>
  <c r="BB625" i="1"/>
  <c r="BB626" i="1"/>
  <c r="BB627" i="1"/>
  <c r="BB628" i="1"/>
  <c r="BB629" i="1"/>
  <c r="BB630" i="1"/>
  <c r="BB631" i="1"/>
  <c r="BB632" i="1"/>
  <c r="BB633"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676" i="1"/>
  <c r="BB677" i="1"/>
  <c r="BB678" i="1"/>
  <c r="BB679" i="1"/>
  <c r="BB680" i="1"/>
  <c r="BB681" i="1"/>
  <c r="BB682" i="1"/>
  <c r="BB683" i="1"/>
  <c r="BB684" i="1"/>
  <c r="BB685" i="1"/>
  <c r="BB686" i="1"/>
  <c r="BB687" i="1"/>
  <c r="BB688" i="1"/>
  <c r="BB689" i="1"/>
  <c r="BB690" i="1"/>
  <c r="BB691" i="1"/>
  <c r="BB692" i="1"/>
  <c r="BB693" i="1"/>
  <c r="BB694" i="1"/>
  <c r="BB695" i="1"/>
  <c r="BB696" i="1"/>
  <c r="BB697" i="1"/>
  <c r="BB698" i="1"/>
  <c r="BB699" i="1"/>
  <c r="BB700" i="1"/>
  <c r="BB701" i="1"/>
  <c r="BB702" i="1"/>
  <c r="BB703" i="1"/>
  <c r="BB704" i="1"/>
  <c r="BB705" i="1"/>
  <c r="BB706" i="1"/>
  <c r="BB707" i="1"/>
  <c r="BB708" i="1"/>
  <c r="BB709" i="1"/>
  <c r="BB710" i="1"/>
  <c r="BG677" i="1" l="1"/>
  <c r="AB672" i="1"/>
  <c r="AC672" i="1" s="1"/>
  <c r="AD672" i="1" s="1"/>
  <c r="AB669" i="1"/>
  <c r="AC669" i="1" s="1"/>
  <c r="AD669" i="1" s="1"/>
  <c r="BG638" i="1"/>
  <c r="BG478" i="1"/>
  <c r="BG442" i="1"/>
  <c r="BG423" i="1"/>
  <c r="BG418" i="1"/>
  <c r="BG362" i="1"/>
  <c r="BG360" i="1"/>
  <c r="BF359" i="1"/>
  <c r="BF356" i="1"/>
  <c r="BF347" i="1"/>
  <c r="AB314" i="1"/>
  <c r="AC314" i="1" s="1"/>
  <c r="AB167" i="1"/>
  <c r="AC167" i="1" s="1"/>
  <c r="BG149" i="1"/>
  <c r="BG115" i="1"/>
  <c r="AB685" i="1"/>
  <c r="AC685" i="1" s="1"/>
  <c r="AD685" i="1" s="1"/>
  <c r="AF685" i="1" l="1"/>
  <c r="AG685" i="1"/>
  <c r="AI685" i="1" s="1"/>
  <c r="AF669" i="1"/>
  <c r="AG669" i="1"/>
  <c r="AI669" i="1" s="1"/>
  <c r="AF672" i="1"/>
  <c r="AG672" i="1"/>
  <c r="AI672" i="1" s="1"/>
  <c r="AE685" i="1"/>
  <c r="AE669" i="1"/>
  <c r="AE672" i="1"/>
  <c r="BF167" i="1"/>
  <c r="BG669" i="1"/>
  <c r="BF672" i="1"/>
  <c r="BG685" i="1"/>
  <c r="BG314" i="1"/>
  <c r="BG359" i="1"/>
  <c r="BG167" i="1"/>
  <c r="BG672" i="1"/>
  <c r="BG356" i="1"/>
  <c r="BG347" i="1"/>
  <c r="BC677" i="1"/>
  <c r="BC478" i="1"/>
  <c r="BC442" i="1"/>
  <c r="BC423" i="1"/>
  <c r="BC418" i="1"/>
  <c r="BC362" i="1"/>
  <c r="BC360" i="1"/>
  <c r="BC359" i="1"/>
  <c r="BC347" i="1"/>
  <c r="BC314" i="1"/>
  <c r="BC2" i="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50" i="1"/>
  <c r="BC152" i="1"/>
  <c r="BC153" i="1"/>
  <c r="BC154" i="1"/>
  <c r="BC155" i="1"/>
  <c r="BC156" i="1"/>
  <c r="BC158" i="1"/>
  <c r="BC159" i="1"/>
  <c r="BC160" i="1"/>
  <c r="BC162" i="1"/>
  <c r="BC164" i="1"/>
  <c r="BC165" i="1"/>
  <c r="BC168" i="1"/>
  <c r="BC169" i="1"/>
  <c r="BC170" i="1"/>
  <c r="BC171" i="1"/>
  <c r="BC173" i="1"/>
  <c r="BC175" i="1"/>
  <c r="BC176" i="1"/>
  <c r="BC177" i="1"/>
  <c r="BC178" i="1"/>
  <c r="BC179" i="1"/>
  <c r="BC180" i="1"/>
  <c r="BC181" i="1"/>
  <c r="BC182" i="1"/>
  <c r="BC183" i="1"/>
  <c r="BC184" i="1"/>
  <c r="BC185" i="1"/>
  <c r="BC186" i="1"/>
  <c r="BC187"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4" i="1"/>
  <c r="BC225" i="1"/>
  <c r="BC226" i="1"/>
  <c r="BC227" i="1"/>
  <c r="BC228" i="1"/>
  <c r="BC229" i="1"/>
  <c r="BC230" i="1"/>
  <c r="BC231" i="1"/>
  <c r="BC232" i="1"/>
  <c r="BC233" i="1"/>
  <c r="BC234" i="1"/>
  <c r="BC235" i="1"/>
  <c r="BC236" i="1"/>
  <c r="BC237" i="1"/>
  <c r="BC238"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5" i="1"/>
  <c r="BC316"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8" i="1"/>
  <c r="BC349" i="1"/>
  <c r="BC350" i="1"/>
  <c r="BC351" i="1"/>
  <c r="BC352" i="1"/>
  <c r="BC353" i="1"/>
  <c r="BC354" i="1"/>
  <c r="BC355" i="1"/>
  <c r="BC357" i="1"/>
  <c r="BC358" i="1"/>
  <c r="BC361" i="1"/>
  <c r="BC363" i="1"/>
  <c r="BC364" i="1"/>
  <c r="BC365" i="1"/>
  <c r="BC366" i="1"/>
  <c r="BC367" i="1"/>
  <c r="BC368" i="1"/>
  <c r="BC369" i="1"/>
  <c r="BC370" i="1"/>
  <c r="BC371" i="1"/>
  <c r="BC372" i="1"/>
  <c r="BC373" i="1"/>
  <c r="BC374" i="1"/>
  <c r="BC375" i="1"/>
  <c r="BC376"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7" i="1"/>
  <c r="BC409" i="1"/>
  <c r="BC411" i="1"/>
  <c r="BC412" i="1"/>
  <c r="BC413" i="1"/>
  <c r="BC414" i="1"/>
  <c r="BC415" i="1"/>
  <c r="BC416" i="1"/>
  <c r="BC417" i="1"/>
  <c r="BC419" i="1"/>
  <c r="BC420" i="1"/>
  <c r="BC421" i="1"/>
  <c r="BC422" i="1"/>
  <c r="BC424" i="1"/>
  <c r="BC425" i="1"/>
  <c r="BC426" i="1"/>
  <c r="BC427" i="1"/>
  <c r="BC428" i="1"/>
  <c r="BC429" i="1"/>
  <c r="BC430" i="1"/>
  <c r="BC431" i="1"/>
  <c r="BC432" i="1"/>
  <c r="BC433" i="1"/>
  <c r="BC434" i="1"/>
  <c r="BC435" i="1"/>
  <c r="BC436" i="1"/>
  <c r="BC437" i="1"/>
  <c r="BC438" i="1"/>
  <c r="BC439" i="1"/>
  <c r="BC440" i="1"/>
  <c r="BC441"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3" i="1"/>
  <c r="BC474" i="1"/>
  <c r="BC475" i="1"/>
  <c r="BC476" i="1"/>
  <c r="BC477"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633" i="1"/>
  <c r="BC634" i="1"/>
  <c r="BC635" i="1"/>
  <c r="BC636" i="1"/>
  <c r="BC639" i="1"/>
  <c r="BC640" i="1"/>
  <c r="BC641" i="1"/>
  <c r="BC642" i="1"/>
  <c r="BC643" i="1"/>
  <c r="BC644" i="1"/>
  <c r="BC645" i="1"/>
  <c r="BC646" i="1"/>
  <c r="BC647" i="1"/>
  <c r="BC648" i="1"/>
  <c r="BC649" i="1"/>
  <c r="BC650" i="1"/>
  <c r="BC651" i="1"/>
  <c r="BC652" i="1"/>
  <c r="BC653" i="1"/>
  <c r="BC654" i="1"/>
  <c r="BC655" i="1"/>
  <c r="BC656" i="1"/>
  <c r="BC658" i="1"/>
  <c r="BC660" i="1"/>
  <c r="BC661" i="1"/>
  <c r="BC662" i="1"/>
  <c r="BC663" i="1"/>
  <c r="BC664" i="1"/>
  <c r="BC665" i="1"/>
  <c r="BC666" i="1"/>
  <c r="BC667" i="1"/>
  <c r="BC668" i="1"/>
  <c r="BC669" i="1"/>
  <c r="BC670" i="1"/>
  <c r="BC671" i="1"/>
  <c r="BC672" i="1"/>
  <c r="BC673" i="1"/>
  <c r="BC674" i="1"/>
  <c r="BC675" i="1"/>
  <c r="BC676" i="1"/>
  <c r="BC678" i="1"/>
  <c r="BC679" i="1"/>
  <c r="BC680" i="1"/>
  <c r="BC681" i="1"/>
  <c r="BC683" i="1"/>
  <c r="BC684" i="1"/>
  <c r="BC686" i="1"/>
  <c r="BC687" i="1"/>
  <c r="BC688" i="1"/>
  <c r="BC689" i="1"/>
  <c r="BC690" i="1"/>
  <c r="BC691" i="1"/>
  <c r="BC694" i="1"/>
  <c r="BC695" i="1"/>
  <c r="BC696" i="1"/>
  <c r="BC697" i="1"/>
  <c r="BC698" i="1"/>
  <c r="BC699" i="1"/>
  <c r="BC700" i="1"/>
  <c r="BC701" i="1"/>
  <c r="BC702" i="1"/>
  <c r="BC703" i="1"/>
  <c r="BC707" i="1"/>
  <c r="BC709" i="1"/>
  <c r="BC710"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50" i="1"/>
  <c r="AA151" i="1"/>
  <c r="AA152" i="1"/>
  <c r="AA153" i="1"/>
  <c r="AA154" i="1"/>
  <c r="AA155" i="1"/>
  <c r="AA156" i="1"/>
  <c r="AA157" i="1"/>
  <c r="AA158" i="1"/>
  <c r="AA159" i="1"/>
  <c r="AA160" i="1"/>
  <c r="AA161" i="1"/>
  <c r="AA162" i="1"/>
  <c r="AA163" i="1"/>
  <c r="AA164" i="1"/>
  <c r="AA165" i="1"/>
  <c r="AA166"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8" i="1"/>
  <c r="AA349" i="1"/>
  <c r="AA350" i="1"/>
  <c r="AA351" i="1"/>
  <c r="AA352" i="1"/>
  <c r="AA353" i="1"/>
  <c r="AA354" i="1"/>
  <c r="AA355" i="1"/>
  <c r="AA357" i="1"/>
  <c r="AA358" i="1"/>
  <c r="AA361"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9" i="1"/>
  <c r="AA420" i="1"/>
  <c r="AA421" i="1"/>
  <c r="AA422" i="1"/>
  <c r="AA424" i="1"/>
  <c r="AA425" i="1"/>
  <c r="AA426" i="1"/>
  <c r="AA427" i="1"/>
  <c r="AA428" i="1"/>
  <c r="AA429" i="1"/>
  <c r="AA430" i="1"/>
  <c r="AA431" i="1"/>
  <c r="AA432" i="1"/>
  <c r="AA433" i="1"/>
  <c r="AA434" i="1"/>
  <c r="AA435" i="1"/>
  <c r="AA436" i="1"/>
  <c r="AA437" i="1"/>
  <c r="AA438" i="1"/>
  <c r="AA439" i="1"/>
  <c r="AA440" i="1"/>
  <c r="AA441"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9" i="1"/>
  <c r="AA640" i="1"/>
  <c r="AA641" i="1"/>
  <c r="AA642" i="1"/>
  <c r="AA643" i="1"/>
  <c r="AA644" i="1"/>
  <c r="AA645" i="1"/>
  <c r="AA646" i="1"/>
  <c r="AA647" i="1"/>
  <c r="AA648" i="1"/>
  <c r="AA649" i="1"/>
  <c r="AA650" i="1"/>
  <c r="AA651" i="1"/>
  <c r="AA652" i="1"/>
  <c r="AA653" i="1"/>
  <c r="AA654" i="1"/>
  <c r="AA655" i="1"/>
  <c r="AA656" i="1"/>
  <c r="AA657" i="1"/>
  <c r="AA658" i="1"/>
  <c r="AA660" i="1"/>
  <c r="AA661" i="1"/>
  <c r="AA662" i="1"/>
  <c r="AA663" i="1"/>
  <c r="AA664" i="1"/>
  <c r="AA665" i="1"/>
  <c r="AA666" i="1"/>
  <c r="AA667" i="1"/>
  <c r="AA668" i="1"/>
  <c r="AA669" i="1"/>
  <c r="AA670" i="1"/>
  <c r="AA671" i="1"/>
  <c r="AA672" i="1"/>
  <c r="AA673" i="1"/>
  <c r="AA674" i="1"/>
  <c r="AA675" i="1"/>
  <c r="AA676" i="1"/>
  <c r="AA678" i="1"/>
  <c r="AA679" i="1"/>
  <c r="AA680" i="1"/>
  <c r="AA681" i="1"/>
  <c r="AA682" i="1"/>
  <c r="AA683" i="1"/>
  <c r="AA684"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BD250" i="1"/>
  <c r="AK672" i="1" l="1"/>
  <c r="AJ672" i="1"/>
  <c r="AK669" i="1"/>
  <c r="AJ669" i="1"/>
  <c r="AK685" i="1"/>
  <c r="AJ685" i="1"/>
  <c r="AH682" i="1"/>
  <c r="AH619" i="1"/>
  <c r="AH571" i="1"/>
  <c r="AH523" i="1"/>
  <c r="AH462" i="1"/>
  <c r="AH399" i="1"/>
  <c r="AH334" i="1"/>
  <c r="AH273" i="1"/>
  <c r="AH201" i="1"/>
  <c r="AH139" i="1"/>
  <c r="AH66" i="1"/>
  <c r="AH6" i="1"/>
  <c r="AH694" i="1"/>
  <c r="AH630" i="1"/>
  <c r="AH570" i="1"/>
  <c r="AH510" i="1"/>
  <c r="AH449" i="1"/>
  <c r="AH386" i="1"/>
  <c r="AH308" i="1"/>
  <c r="AH260" i="1"/>
  <c r="AH212" i="1"/>
  <c r="AH138" i="1"/>
  <c r="AH77" i="1"/>
  <c r="AH17" i="1"/>
  <c r="AH667" i="1"/>
  <c r="AH605" i="1"/>
  <c r="AH533" i="1"/>
  <c r="AH448" i="1"/>
  <c r="AH332" i="1"/>
  <c r="AH52" i="1"/>
  <c r="AH656" i="1"/>
  <c r="AH595" i="1"/>
  <c r="AH535" i="1"/>
  <c r="AH474" i="1"/>
  <c r="AH411" i="1"/>
  <c r="AH346" i="1"/>
  <c r="AH285" i="1"/>
  <c r="AH237" i="1"/>
  <c r="AH177" i="1"/>
  <c r="AH127" i="1"/>
  <c r="AH78" i="1"/>
  <c r="AH18" i="1"/>
  <c r="AH668" i="1"/>
  <c r="AH606" i="1"/>
  <c r="AH534" i="1"/>
  <c r="AH473" i="1"/>
  <c r="AH410" i="1"/>
  <c r="AH361" i="1"/>
  <c r="AH296" i="1"/>
  <c r="AH236" i="1"/>
  <c r="AH188" i="1"/>
  <c r="AH113" i="1"/>
  <c r="AH53" i="1"/>
  <c r="AH5" i="1"/>
  <c r="AH680" i="1"/>
  <c r="AH617" i="1"/>
  <c r="AH557" i="1"/>
  <c r="AH497" i="1"/>
  <c r="AH435" i="1"/>
  <c r="AH373" i="1"/>
  <c r="AH307" i="1"/>
  <c r="AH259" i="1"/>
  <c r="AH223" i="1"/>
  <c r="AH175" i="1"/>
  <c r="AH125" i="1"/>
  <c r="AH76" i="1"/>
  <c r="AH28" i="1"/>
  <c r="AH679" i="1"/>
  <c r="AH628" i="1"/>
  <c r="AH580" i="1"/>
  <c r="AH532" i="1"/>
  <c r="AH496" i="1"/>
  <c r="AH447" i="1"/>
  <c r="AH408" i="1"/>
  <c r="AH357" i="1"/>
  <c r="AH319" i="1"/>
  <c r="AH270" i="1"/>
  <c r="AH234" i="1"/>
  <c r="AH186" i="1"/>
  <c r="AH124" i="1"/>
  <c r="AH63" i="1"/>
  <c r="AH15" i="1"/>
  <c r="AH703" i="1"/>
  <c r="AH691" i="1"/>
  <c r="AH678" i="1"/>
  <c r="AH665" i="1"/>
  <c r="AH652" i="1"/>
  <c r="AH640" i="1"/>
  <c r="AH627" i="1"/>
  <c r="AH615" i="1"/>
  <c r="AH603" i="1"/>
  <c r="AH591" i="1"/>
  <c r="AH579" i="1"/>
  <c r="AH567" i="1"/>
  <c r="AH555" i="1"/>
  <c r="AH543" i="1"/>
  <c r="AH531" i="1"/>
  <c r="AH519" i="1"/>
  <c r="AH507" i="1"/>
  <c r="AH495" i="1"/>
  <c r="AH483" i="1"/>
  <c r="AH470" i="1"/>
  <c r="AH458" i="1"/>
  <c r="AH446" i="1"/>
  <c r="AH433" i="1"/>
  <c r="AH420" i="1"/>
  <c r="AH407" i="1"/>
  <c r="AH395" i="1"/>
  <c r="AH383" i="1"/>
  <c r="AH371" i="1"/>
  <c r="AH355" i="1"/>
  <c r="AH342" i="1"/>
  <c r="AH330" i="1"/>
  <c r="AH318" i="1"/>
  <c r="AH305" i="1"/>
  <c r="AH293" i="1"/>
  <c r="AH281" i="1"/>
  <c r="AH269" i="1"/>
  <c r="AH257" i="1"/>
  <c r="AH245" i="1"/>
  <c r="AH233" i="1"/>
  <c r="AH221" i="1"/>
  <c r="AH209" i="1"/>
  <c r="AH197" i="1"/>
  <c r="AH185" i="1"/>
  <c r="AH173" i="1"/>
  <c r="AH160" i="1"/>
  <c r="AH147" i="1"/>
  <c r="AH135" i="1"/>
  <c r="AH123" i="1"/>
  <c r="AH110" i="1"/>
  <c r="AH98" i="1"/>
  <c r="AH86" i="1"/>
  <c r="AH74" i="1"/>
  <c r="AH62" i="1"/>
  <c r="AH50" i="1"/>
  <c r="AH38" i="1"/>
  <c r="AH26" i="1"/>
  <c r="AH14" i="1"/>
  <c r="AH2" i="1"/>
  <c r="AH151" i="1"/>
  <c r="AH65" i="1"/>
  <c r="AH654" i="1"/>
  <c r="AH593" i="1"/>
  <c r="AH545" i="1"/>
  <c r="AH485" i="1"/>
  <c r="AH422" i="1"/>
  <c r="AH385" i="1"/>
  <c r="AH320" i="1"/>
  <c r="AH283" i="1"/>
  <c r="AH235" i="1"/>
  <c r="AH187" i="1"/>
  <c r="AH137" i="1"/>
  <c r="AH112" i="1"/>
  <c r="AH64" i="1"/>
  <c r="AH4" i="1"/>
  <c r="AH692" i="1"/>
  <c r="AH641" i="1"/>
  <c r="AH592" i="1"/>
  <c r="AH556" i="1"/>
  <c r="AH520" i="1"/>
  <c r="AH459" i="1"/>
  <c r="AH396" i="1"/>
  <c r="AH306" i="1"/>
  <c r="AH246" i="1"/>
  <c r="AH198" i="1"/>
  <c r="AH148" i="1"/>
  <c r="AH99" i="1"/>
  <c r="AH39" i="1"/>
  <c r="AH690" i="1"/>
  <c r="AH651" i="1"/>
  <c r="AH614" i="1"/>
  <c r="AH566" i="1"/>
  <c r="AH518" i="1"/>
  <c r="AH469" i="1"/>
  <c r="AH419" i="1"/>
  <c r="AH370" i="1"/>
  <c r="AH317" i="1"/>
  <c r="AH268" i="1"/>
  <c r="AH220" i="1"/>
  <c r="AH159" i="1"/>
  <c r="AH97" i="1"/>
  <c r="AH49" i="1"/>
  <c r="AH25" i="1"/>
  <c r="AH701" i="1"/>
  <c r="AH650" i="1"/>
  <c r="AH613" i="1"/>
  <c r="AH565" i="1"/>
  <c r="AH517" i="1"/>
  <c r="AH468" i="1"/>
  <c r="AH417" i="1"/>
  <c r="AH369" i="1"/>
  <c r="AH316" i="1"/>
  <c r="AH267" i="1"/>
  <c r="AH219" i="1"/>
  <c r="AH171" i="1"/>
  <c r="AH121" i="1"/>
  <c r="AH72" i="1"/>
  <c r="AH36" i="1"/>
  <c r="AH700" i="1"/>
  <c r="AH649" i="1"/>
  <c r="AH612" i="1"/>
  <c r="AH552" i="1"/>
  <c r="AH504" i="1"/>
  <c r="AH492" i="1"/>
  <c r="AH443" i="1"/>
  <c r="AH392" i="1"/>
  <c r="AH368" i="1"/>
  <c r="AH327" i="1"/>
  <c r="AH278" i="1"/>
  <c r="AH254" i="1"/>
  <c r="AH206" i="1"/>
  <c r="AH157" i="1"/>
  <c r="AH120" i="1"/>
  <c r="AH83" i="1"/>
  <c r="AH35" i="1"/>
  <c r="AH699" i="1"/>
  <c r="AH687" i="1"/>
  <c r="AH673" i="1"/>
  <c r="AH661" i="1"/>
  <c r="AH648" i="1"/>
  <c r="AH635" i="1"/>
  <c r="AH623" i="1"/>
  <c r="AH611" i="1"/>
  <c r="AH599" i="1"/>
  <c r="AH587" i="1"/>
  <c r="AH575" i="1"/>
  <c r="AH563" i="1"/>
  <c r="AH551" i="1"/>
  <c r="AH539" i="1"/>
  <c r="AH527" i="1"/>
  <c r="AH515" i="1"/>
  <c r="AH503" i="1"/>
  <c r="AH491" i="1"/>
  <c r="AH479" i="1"/>
  <c r="AH466" i="1"/>
  <c r="AH454" i="1"/>
  <c r="AH441" i="1"/>
  <c r="AH429" i="1"/>
  <c r="AH415" i="1"/>
  <c r="AH403" i="1"/>
  <c r="AH391" i="1"/>
  <c r="AH379" i="1"/>
  <c r="AH367" i="1"/>
  <c r="AH351" i="1"/>
  <c r="AH338" i="1"/>
  <c r="AH326" i="1"/>
  <c r="AH313" i="1"/>
  <c r="AH301" i="1"/>
  <c r="AH289" i="1"/>
  <c r="AH277" i="1"/>
  <c r="AH265" i="1"/>
  <c r="AH253" i="1"/>
  <c r="AH241" i="1"/>
  <c r="AH229" i="1"/>
  <c r="AH217" i="1"/>
  <c r="AH205" i="1"/>
  <c r="AH193" i="1"/>
  <c r="AH181" i="1"/>
  <c r="AH169" i="1"/>
  <c r="AH156" i="1"/>
  <c r="AH143" i="1"/>
  <c r="AH131" i="1"/>
  <c r="AH119" i="1"/>
  <c r="AH106" i="1"/>
  <c r="AH94" i="1"/>
  <c r="AH82" i="1"/>
  <c r="AH70" i="1"/>
  <c r="AH58" i="1"/>
  <c r="AH46" i="1"/>
  <c r="AH34" i="1"/>
  <c r="AH22" i="1"/>
  <c r="AH10" i="1"/>
  <c r="AH695" i="1"/>
  <c r="AH644" i="1"/>
  <c r="AH583" i="1"/>
  <c r="AH511" i="1"/>
  <c r="AH450" i="1"/>
  <c r="AH387" i="1"/>
  <c r="AH322" i="1"/>
  <c r="AH261" i="1"/>
  <c r="AH213" i="1"/>
  <c r="AH164" i="1"/>
  <c r="AH102" i="1"/>
  <c r="AH42" i="1"/>
  <c r="AH681" i="1"/>
  <c r="AH618" i="1"/>
  <c r="AH558" i="1"/>
  <c r="AH498" i="1"/>
  <c r="AH436" i="1"/>
  <c r="AH398" i="1"/>
  <c r="AH333" i="1"/>
  <c r="AH284" i="1"/>
  <c r="AH248" i="1"/>
  <c r="AH200" i="1"/>
  <c r="AH126" i="1"/>
  <c r="AH89" i="1"/>
  <c r="AH29" i="1"/>
  <c r="AH705" i="1"/>
  <c r="AH629" i="1"/>
  <c r="AH569" i="1"/>
  <c r="AH509" i="1"/>
  <c r="AH472" i="1"/>
  <c r="AH409" i="1"/>
  <c r="AH358" i="1"/>
  <c r="AH295" i="1"/>
  <c r="AH247" i="1"/>
  <c r="AH199" i="1"/>
  <c r="AH150" i="1"/>
  <c r="AH88" i="1"/>
  <c r="AH16" i="1"/>
  <c r="AH666" i="1"/>
  <c r="AH616" i="1"/>
  <c r="AH568" i="1"/>
  <c r="AH508" i="1"/>
  <c r="AH471" i="1"/>
  <c r="AH434" i="1"/>
  <c r="AH384" i="1"/>
  <c r="AH343" i="1"/>
  <c r="AH294" i="1"/>
  <c r="AH258" i="1"/>
  <c r="AH210" i="1"/>
  <c r="AH174" i="1"/>
  <c r="AH136" i="1"/>
  <c r="AH87" i="1"/>
  <c r="AH51" i="1"/>
  <c r="AH3" i="1"/>
  <c r="AH702" i="1"/>
  <c r="AH664" i="1"/>
  <c r="AH626" i="1"/>
  <c r="AH578" i="1"/>
  <c r="AH530" i="1"/>
  <c r="AH482" i="1"/>
  <c r="AH432" i="1"/>
  <c r="AH382" i="1"/>
  <c r="AH341" i="1"/>
  <c r="AH304" i="1"/>
  <c r="AH256" i="1"/>
  <c r="AH208" i="1"/>
  <c r="AH172" i="1"/>
  <c r="AH122" i="1"/>
  <c r="AH85" i="1"/>
  <c r="AH37" i="1"/>
  <c r="AH663" i="1"/>
  <c r="AH601" i="1"/>
  <c r="AH553" i="1"/>
  <c r="AH505" i="1"/>
  <c r="AH456" i="1"/>
  <c r="AH405" i="1"/>
  <c r="AH353" i="1"/>
  <c r="AH303" i="1"/>
  <c r="AH255" i="1"/>
  <c r="AH207" i="1"/>
  <c r="AH158" i="1"/>
  <c r="AH108" i="1"/>
  <c r="AH60" i="1"/>
  <c r="AH12" i="1"/>
  <c r="AH688" i="1"/>
  <c r="AH636" i="1"/>
  <c r="AH576" i="1"/>
  <c r="AH528" i="1"/>
  <c r="AH467" i="1"/>
  <c r="AH416" i="1"/>
  <c r="AH352" i="1"/>
  <c r="AH290" i="1"/>
  <c r="AH230" i="1"/>
  <c r="AH194" i="1"/>
  <c r="AH144" i="1"/>
  <c r="AH95" i="1"/>
  <c r="AH47" i="1"/>
  <c r="AH11" i="1"/>
  <c r="AH710" i="1"/>
  <c r="AH672" i="1"/>
  <c r="AH647" i="1"/>
  <c r="AH634" i="1"/>
  <c r="AH622" i="1"/>
  <c r="AH610" i="1"/>
  <c r="AH598" i="1"/>
  <c r="AH586" i="1"/>
  <c r="AH574" i="1"/>
  <c r="AH562" i="1"/>
  <c r="AH550" i="1"/>
  <c r="AH538" i="1"/>
  <c r="AH526" i="1"/>
  <c r="AH514" i="1"/>
  <c r="AH502" i="1"/>
  <c r="AH490" i="1"/>
  <c r="AH477" i="1"/>
  <c r="AH465" i="1"/>
  <c r="AH453" i="1"/>
  <c r="AH440" i="1"/>
  <c r="AH428" i="1"/>
  <c r="AH414" i="1"/>
  <c r="AH402" i="1"/>
  <c r="AH390" i="1"/>
  <c r="AH378" i="1"/>
  <c r="AH366" i="1"/>
  <c r="AH350" i="1"/>
  <c r="AH337" i="1"/>
  <c r="AH325" i="1"/>
  <c r="AH312" i="1"/>
  <c r="AH300" i="1"/>
  <c r="AH288" i="1"/>
  <c r="AH276" i="1"/>
  <c r="AH264" i="1"/>
  <c r="AH252" i="1"/>
  <c r="AH240" i="1"/>
  <c r="AH228" i="1"/>
  <c r="AH216" i="1"/>
  <c r="AH204" i="1"/>
  <c r="AH192" i="1"/>
  <c r="AH180" i="1"/>
  <c r="AH168" i="1"/>
  <c r="AH155" i="1"/>
  <c r="AH142" i="1"/>
  <c r="AH130" i="1"/>
  <c r="AH118" i="1"/>
  <c r="AH105" i="1"/>
  <c r="AH93" i="1"/>
  <c r="AH81" i="1"/>
  <c r="AH69" i="1"/>
  <c r="AH57" i="1"/>
  <c r="AH45" i="1"/>
  <c r="AH33" i="1"/>
  <c r="AH21" i="1"/>
  <c r="AH9" i="1"/>
  <c r="AH669" i="1"/>
  <c r="AH607" i="1"/>
  <c r="AH547" i="1"/>
  <c r="AH487" i="1"/>
  <c r="AH425" i="1"/>
  <c r="AH363" i="1"/>
  <c r="AH309" i="1"/>
  <c r="AH249" i="1"/>
  <c r="AH189" i="1"/>
  <c r="AH152" i="1"/>
  <c r="AH90" i="1"/>
  <c r="AH30" i="1"/>
  <c r="AH655" i="1"/>
  <c r="AH594" i="1"/>
  <c r="AH546" i="1"/>
  <c r="AH486" i="1"/>
  <c r="AH424" i="1"/>
  <c r="AH374" i="1"/>
  <c r="AH321" i="1"/>
  <c r="AH272" i="1"/>
  <c r="AH224" i="1"/>
  <c r="AH163" i="1"/>
  <c r="AH101" i="1"/>
  <c r="AH41" i="1"/>
  <c r="AH693" i="1"/>
  <c r="AH642" i="1"/>
  <c r="AH581" i="1"/>
  <c r="AH521" i="1"/>
  <c r="AH460" i="1"/>
  <c r="AH397" i="1"/>
  <c r="AH344" i="1"/>
  <c r="AH271" i="1"/>
  <c r="AH211" i="1"/>
  <c r="AH162" i="1"/>
  <c r="AH100" i="1"/>
  <c r="AH40" i="1"/>
  <c r="AH704" i="1"/>
  <c r="AH653" i="1"/>
  <c r="AH604" i="1"/>
  <c r="AH544" i="1"/>
  <c r="AH484" i="1"/>
  <c r="AH421" i="1"/>
  <c r="AH372" i="1"/>
  <c r="AH331" i="1"/>
  <c r="AH282" i="1"/>
  <c r="AH222" i="1"/>
  <c r="AH161" i="1"/>
  <c r="AH111" i="1"/>
  <c r="AH75" i="1"/>
  <c r="AH27" i="1"/>
  <c r="AH676" i="1"/>
  <c r="AH639" i="1"/>
  <c r="AH602" i="1"/>
  <c r="AH554" i="1"/>
  <c r="AH506" i="1"/>
  <c r="AH457" i="1"/>
  <c r="AH406" i="1"/>
  <c r="AH354" i="1"/>
  <c r="AH292" i="1"/>
  <c r="AH244" i="1"/>
  <c r="AH196" i="1"/>
  <c r="AH146" i="1"/>
  <c r="AH109" i="1"/>
  <c r="AH73" i="1"/>
  <c r="AH13" i="1"/>
  <c r="AH689" i="1"/>
  <c r="AH637" i="1"/>
  <c r="AH589" i="1"/>
  <c r="AH541" i="1"/>
  <c r="AH493" i="1"/>
  <c r="AH444" i="1"/>
  <c r="AH393" i="1"/>
  <c r="AH340" i="1"/>
  <c r="AH291" i="1"/>
  <c r="AH243" i="1"/>
  <c r="AH195" i="1"/>
  <c r="AH133" i="1"/>
  <c r="AH84" i="1"/>
  <c r="AH24" i="1"/>
  <c r="AH662" i="1"/>
  <c r="AH600" i="1"/>
  <c r="AH540" i="1"/>
  <c r="AH455" i="1"/>
  <c r="AH404" i="1"/>
  <c r="AH339" i="1"/>
  <c r="AH302" i="1"/>
  <c r="AH242" i="1"/>
  <c r="AH182" i="1"/>
  <c r="AH132" i="1"/>
  <c r="AH59" i="1"/>
  <c r="AH686" i="1"/>
  <c r="AH697" i="1"/>
  <c r="AH684" i="1"/>
  <c r="AH671" i="1"/>
  <c r="AH658" i="1"/>
  <c r="AH646" i="1"/>
  <c r="AH633" i="1"/>
  <c r="AH621" i="1"/>
  <c r="AH609" i="1"/>
  <c r="AH597" i="1"/>
  <c r="AH585" i="1"/>
  <c r="AH573" i="1"/>
  <c r="AH561" i="1"/>
  <c r="AH549" i="1"/>
  <c r="AH537" i="1"/>
  <c r="AH525" i="1"/>
  <c r="AH513" i="1"/>
  <c r="AH501" i="1"/>
  <c r="AH489" i="1"/>
  <c r="AH476" i="1"/>
  <c r="AH464" i="1"/>
  <c r="AH452" i="1"/>
  <c r="AH439" i="1"/>
  <c r="AH427" i="1"/>
  <c r="AH413" i="1"/>
  <c r="AH401" i="1"/>
  <c r="AH389" i="1"/>
  <c r="AH377" i="1"/>
  <c r="AH365" i="1"/>
  <c r="AH349" i="1"/>
  <c r="AH336" i="1"/>
  <c r="AH324" i="1"/>
  <c r="AH311" i="1"/>
  <c r="AH299" i="1"/>
  <c r="AH287" i="1"/>
  <c r="AH275" i="1"/>
  <c r="AH263" i="1"/>
  <c r="AH251" i="1"/>
  <c r="AH239" i="1"/>
  <c r="AH227" i="1"/>
  <c r="AH215" i="1"/>
  <c r="AH203" i="1"/>
  <c r="AH191" i="1"/>
  <c r="AH179" i="1"/>
  <c r="AH166" i="1"/>
  <c r="AH154" i="1"/>
  <c r="AH141" i="1"/>
  <c r="AH129" i="1"/>
  <c r="AH117" i="1"/>
  <c r="AH104" i="1"/>
  <c r="AH92" i="1"/>
  <c r="AH80" i="1"/>
  <c r="AH68" i="1"/>
  <c r="AH56" i="1"/>
  <c r="AH44" i="1"/>
  <c r="AH32" i="1"/>
  <c r="AH20" i="1"/>
  <c r="AH8" i="1"/>
  <c r="AH707" i="1"/>
  <c r="AH631" i="1"/>
  <c r="AH559" i="1"/>
  <c r="AH499" i="1"/>
  <c r="AH437" i="1"/>
  <c r="AH375" i="1"/>
  <c r="AH297" i="1"/>
  <c r="AH225" i="1"/>
  <c r="AH54" i="1"/>
  <c r="AH706" i="1"/>
  <c r="AH643" i="1"/>
  <c r="AH582" i="1"/>
  <c r="AH522" i="1"/>
  <c r="AH461" i="1"/>
  <c r="AH345" i="1"/>
  <c r="AH176" i="1"/>
  <c r="AH590" i="1"/>
  <c r="AH542" i="1"/>
  <c r="AH494" i="1"/>
  <c r="AH445" i="1"/>
  <c r="AH394" i="1"/>
  <c r="AH329" i="1"/>
  <c r="AH280" i="1"/>
  <c r="AH232" i="1"/>
  <c r="AH184" i="1"/>
  <c r="AH134" i="1"/>
  <c r="AH61" i="1"/>
  <c r="AH675" i="1"/>
  <c r="AH625" i="1"/>
  <c r="AH577" i="1"/>
  <c r="AH529" i="1"/>
  <c r="AH481" i="1"/>
  <c r="AH431" i="1"/>
  <c r="AH381" i="1"/>
  <c r="AH328" i="1"/>
  <c r="AH279" i="1"/>
  <c r="AH231" i="1"/>
  <c r="AH183" i="1"/>
  <c r="AH145" i="1"/>
  <c r="AH96" i="1"/>
  <c r="AH48" i="1"/>
  <c r="AH674" i="1"/>
  <c r="AH624" i="1"/>
  <c r="AH588" i="1"/>
  <c r="AH564" i="1"/>
  <c r="AH516" i="1"/>
  <c r="AH480" i="1"/>
  <c r="AH430" i="1"/>
  <c r="AH380" i="1"/>
  <c r="AH315" i="1"/>
  <c r="AH266" i="1"/>
  <c r="AH218" i="1"/>
  <c r="AH170" i="1"/>
  <c r="AH107" i="1"/>
  <c r="AH71" i="1"/>
  <c r="AH23" i="1"/>
  <c r="AH698" i="1"/>
  <c r="AH660" i="1"/>
  <c r="AH709" i="1"/>
  <c r="AH708" i="1"/>
  <c r="AH696" i="1"/>
  <c r="AH683" i="1"/>
  <c r="AH670" i="1"/>
  <c r="AH657" i="1"/>
  <c r="AH645" i="1"/>
  <c r="AH632" i="1"/>
  <c r="AH620" i="1"/>
  <c r="AH608" i="1"/>
  <c r="AH596" i="1"/>
  <c r="AH584" i="1"/>
  <c r="AH572" i="1"/>
  <c r="AH560" i="1"/>
  <c r="AH548" i="1"/>
  <c r="AH536" i="1"/>
  <c r="AH524" i="1"/>
  <c r="AH512" i="1"/>
  <c r="AH500" i="1"/>
  <c r="AH488" i="1"/>
  <c r="AH475" i="1"/>
  <c r="AH463" i="1"/>
  <c r="AH451" i="1"/>
  <c r="AH438" i="1"/>
  <c r="AH426" i="1"/>
  <c r="AH412" i="1"/>
  <c r="AH400" i="1"/>
  <c r="AH388" i="1"/>
  <c r="AH376" i="1"/>
  <c r="AH364" i="1"/>
  <c r="AH348" i="1"/>
  <c r="AH335" i="1"/>
  <c r="AH323" i="1"/>
  <c r="AH310" i="1"/>
  <c r="AH298" i="1"/>
  <c r="AH286" i="1"/>
  <c r="AH274" i="1"/>
  <c r="AH262" i="1"/>
  <c r="AH250" i="1"/>
  <c r="AH238" i="1"/>
  <c r="AH226" i="1"/>
  <c r="AH214" i="1"/>
  <c r="AH202" i="1"/>
  <c r="AH190" i="1"/>
  <c r="AH178" i="1"/>
  <c r="AH165" i="1"/>
  <c r="AH153" i="1"/>
  <c r="AH140" i="1"/>
  <c r="AH128" i="1"/>
  <c r="AH116" i="1"/>
  <c r="AH103" i="1"/>
  <c r="AH91" i="1"/>
  <c r="AH79" i="1"/>
  <c r="AH67" i="1"/>
  <c r="AH55" i="1"/>
  <c r="AH43" i="1"/>
  <c r="AH31" i="1"/>
  <c r="AH19" i="1"/>
  <c r="AH7" i="1"/>
  <c r="AB656" i="1"/>
  <c r="AC656" i="1" s="1"/>
  <c r="AD656" i="1" s="1"/>
  <c r="AE656" i="1" s="1"/>
  <c r="AB583" i="1"/>
  <c r="AB523" i="1"/>
  <c r="AC523" i="1" s="1"/>
  <c r="AD523" i="1" s="1"/>
  <c r="AG523" i="1" s="1"/>
  <c r="AI523" i="1" s="1"/>
  <c r="AB450" i="1"/>
  <c r="AC450" i="1" s="1"/>
  <c r="AD450" i="1" s="1"/>
  <c r="AF450" i="1" s="1"/>
  <c r="AB375" i="1"/>
  <c r="AC375" i="1" s="1"/>
  <c r="AD375" i="1" s="1"/>
  <c r="AB297" i="1"/>
  <c r="AC297" i="1" s="1"/>
  <c r="AD297" i="1" s="1"/>
  <c r="AF297" i="1" s="1"/>
  <c r="AB249" i="1"/>
  <c r="AC249" i="1" s="1"/>
  <c r="AD249" i="1" s="1"/>
  <c r="AF249" i="1" s="1"/>
  <c r="AB201" i="1"/>
  <c r="AB164" i="1"/>
  <c r="BG164" i="1" s="1"/>
  <c r="AB90" i="1"/>
  <c r="AC90" i="1" s="1"/>
  <c r="AD90" i="1" s="1"/>
  <c r="AB66" i="1"/>
  <c r="AC66" i="1" s="1"/>
  <c r="AD66" i="1" s="1"/>
  <c r="AB42" i="1"/>
  <c r="AC42" i="1" s="1"/>
  <c r="AD42" i="1" s="1"/>
  <c r="AB18" i="1"/>
  <c r="AC18" i="1" s="1"/>
  <c r="AD18" i="1" s="1"/>
  <c r="AE18" i="1" s="1"/>
  <c r="AB694" i="1"/>
  <c r="AC694" i="1" s="1"/>
  <c r="AB668" i="1"/>
  <c r="AB643" i="1"/>
  <c r="AC643" i="1" s="1"/>
  <c r="AD643" i="1" s="1"/>
  <c r="AB618" i="1"/>
  <c r="AC618" i="1" s="1"/>
  <c r="AD618" i="1" s="1"/>
  <c r="AE618" i="1" s="1"/>
  <c r="AB594" i="1"/>
  <c r="AC594" i="1" s="1"/>
  <c r="AD594" i="1" s="1"/>
  <c r="AG594" i="1" s="1"/>
  <c r="AI594" i="1" s="1"/>
  <c r="AB570" i="1"/>
  <c r="AC570" i="1" s="1"/>
  <c r="AD570" i="1" s="1"/>
  <c r="AB546" i="1"/>
  <c r="AC546" i="1" s="1"/>
  <c r="AD546" i="1" s="1"/>
  <c r="AG546" i="1" s="1"/>
  <c r="AI546" i="1" s="1"/>
  <c r="AB522" i="1"/>
  <c r="AC522" i="1" s="1"/>
  <c r="AD522" i="1" s="1"/>
  <c r="AB498" i="1"/>
  <c r="AC498" i="1" s="1"/>
  <c r="AD498" i="1" s="1"/>
  <c r="AG498" i="1" s="1"/>
  <c r="AI498" i="1" s="1"/>
  <c r="AB473" i="1"/>
  <c r="AB449" i="1"/>
  <c r="AB424" i="1"/>
  <c r="AC424" i="1" s="1"/>
  <c r="AD424" i="1" s="1"/>
  <c r="AG424" i="1" s="1"/>
  <c r="AI424" i="1" s="1"/>
  <c r="AB374" i="1"/>
  <c r="AC374" i="1" s="1"/>
  <c r="AD374" i="1" s="1"/>
  <c r="AB236" i="1"/>
  <c r="AC236" i="1" s="1"/>
  <c r="AD236" i="1" s="1"/>
  <c r="AF236" i="1" s="1"/>
  <c r="AB212" i="1"/>
  <c r="AC212" i="1" s="1"/>
  <c r="AD212" i="1" s="1"/>
  <c r="AB200" i="1"/>
  <c r="AB176" i="1"/>
  <c r="AC176" i="1" s="1"/>
  <c r="AD176" i="1" s="1"/>
  <c r="AG176" i="1" s="1"/>
  <c r="AI176" i="1" s="1"/>
  <c r="AB151" i="1"/>
  <c r="AC151" i="1" s="1"/>
  <c r="AD151" i="1" s="1"/>
  <c r="AF151" i="1" s="1"/>
  <c r="AB126" i="1"/>
  <c r="AC126" i="1" s="1"/>
  <c r="AD126" i="1" s="1"/>
  <c r="AF126" i="1" s="1"/>
  <c r="AB101" i="1"/>
  <c r="AC101" i="1" s="1"/>
  <c r="AD101" i="1" s="1"/>
  <c r="AE101" i="1" s="1"/>
  <c r="AB89" i="1"/>
  <c r="AB65" i="1"/>
  <c r="AB53" i="1"/>
  <c r="AB41" i="1"/>
  <c r="AC41" i="1" s="1"/>
  <c r="AD41" i="1" s="1"/>
  <c r="AE41" i="1" s="1"/>
  <c r="AB29" i="1"/>
  <c r="AC29" i="1" s="1"/>
  <c r="AD29" i="1" s="1"/>
  <c r="AB17" i="1"/>
  <c r="AC17" i="1" s="1"/>
  <c r="AD17" i="1" s="1"/>
  <c r="AF17" i="1" s="1"/>
  <c r="AB705" i="1"/>
  <c r="AC705" i="1" s="1"/>
  <c r="AD705" i="1" s="1"/>
  <c r="AF705" i="1" s="1"/>
  <c r="AB693" i="1"/>
  <c r="AC693" i="1" s="1"/>
  <c r="AD693" i="1" s="1"/>
  <c r="AF693" i="1" s="1"/>
  <c r="AB667" i="1"/>
  <c r="AC667" i="1" s="1"/>
  <c r="AD667" i="1" s="1"/>
  <c r="AB642" i="1"/>
  <c r="AC642" i="1" s="1"/>
  <c r="AD642" i="1" s="1"/>
  <c r="AE642" i="1" s="1"/>
  <c r="AB617" i="1"/>
  <c r="AC617" i="1" s="1"/>
  <c r="AD617" i="1" s="1"/>
  <c r="AG617" i="1" s="1"/>
  <c r="AI617" i="1" s="1"/>
  <c r="AB605" i="1"/>
  <c r="AC605" i="1" s="1"/>
  <c r="AD605" i="1" s="1"/>
  <c r="AG605" i="1" s="1"/>
  <c r="AI605" i="1" s="1"/>
  <c r="AB581" i="1"/>
  <c r="AB557" i="1"/>
  <c r="AC557" i="1" s="1"/>
  <c r="AD557" i="1" s="1"/>
  <c r="AG557" i="1" s="1"/>
  <c r="AI557" i="1" s="1"/>
  <c r="AB533" i="1"/>
  <c r="AC533" i="1" s="1"/>
  <c r="AD533" i="1" s="1"/>
  <c r="AB509" i="1"/>
  <c r="AC509" i="1" s="1"/>
  <c r="AD509" i="1" s="1"/>
  <c r="AG509" i="1" s="1"/>
  <c r="AI509" i="1" s="1"/>
  <c r="AB485" i="1"/>
  <c r="AB472" i="1"/>
  <c r="AC472" i="1" s="1"/>
  <c r="AD472" i="1" s="1"/>
  <c r="AB448" i="1"/>
  <c r="AC448" i="1" s="1"/>
  <c r="AD448" i="1" s="1"/>
  <c r="AG448" i="1" s="1"/>
  <c r="AI448" i="1" s="1"/>
  <c r="AB422" i="1"/>
  <c r="AC422" i="1" s="1"/>
  <c r="AD422" i="1" s="1"/>
  <c r="AF422" i="1" s="1"/>
  <c r="AB409" i="1"/>
  <c r="AC409" i="1" s="1"/>
  <c r="AD409" i="1" s="1"/>
  <c r="AF409" i="1" s="1"/>
  <c r="AB385" i="1"/>
  <c r="AC385" i="1" s="1"/>
  <c r="AD385" i="1" s="1"/>
  <c r="AE385" i="1" s="1"/>
  <c r="AB358" i="1"/>
  <c r="AB344" i="1"/>
  <c r="AC344" i="1" s="1"/>
  <c r="AD344" i="1" s="1"/>
  <c r="AE344" i="1" s="1"/>
  <c r="AB320" i="1"/>
  <c r="AC320" i="1" s="1"/>
  <c r="AD320" i="1" s="1"/>
  <c r="AE320" i="1" s="1"/>
  <c r="AB307" i="1"/>
  <c r="AB295" i="1"/>
  <c r="AB271" i="1"/>
  <c r="AC271" i="1" s="1"/>
  <c r="AD271" i="1" s="1"/>
  <c r="AE271" i="1" s="1"/>
  <c r="AB259" i="1"/>
  <c r="AB247" i="1"/>
  <c r="AC247" i="1" s="1"/>
  <c r="AD247" i="1" s="1"/>
  <c r="AG247" i="1" s="1"/>
  <c r="AI247" i="1" s="1"/>
  <c r="AB235" i="1"/>
  <c r="AC235" i="1" s="1"/>
  <c r="AD235" i="1" s="1"/>
  <c r="AG235" i="1" s="1"/>
  <c r="AI235" i="1" s="1"/>
  <c r="AB223" i="1"/>
  <c r="AB211" i="1"/>
  <c r="AC211" i="1" s="1"/>
  <c r="AD211" i="1" s="1"/>
  <c r="AB199" i="1"/>
  <c r="AC199" i="1" s="1"/>
  <c r="AD199" i="1" s="1"/>
  <c r="AB175" i="1"/>
  <c r="AC175" i="1" s="1"/>
  <c r="AD175" i="1" s="1"/>
  <c r="AE175" i="1" s="1"/>
  <c r="AB150" i="1"/>
  <c r="AC150" i="1" s="1"/>
  <c r="AD150" i="1" s="1"/>
  <c r="AG150" i="1" s="1"/>
  <c r="AI150" i="1" s="1"/>
  <c r="AB125" i="1"/>
  <c r="AC125" i="1" s="1"/>
  <c r="AD125" i="1" s="1"/>
  <c r="AB100" i="1"/>
  <c r="AB76" i="1"/>
  <c r="AC76" i="1" s="1"/>
  <c r="AD76" i="1" s="1"/>
  <c r="AG76" i="1" s="1"/>
  <c r="AI76" i="1" s="1"/>
  <c r="AB52" i="1"/>
  <c r="AC52" i="1" s="1"/>
  <c r="AD52" i="1" s="1"/>
  <c r="AE52" i="1" s="1"/>
  <c r="AB40" i="1"/>
  <c r="AB16" i="1"/>
  <c r="AC16" i="1" s="1"/>
  <c r="AD16" i="1" s="1"/>
  <c r="AF16" i="1" s="1"/>
  <c r="AB4" i="1"/>
  <c r="AC4" i="1" s="1"/>
  <c r="AD4" i="1" s="1"/>
  <c r="AE4" i="1" s="1"/>
  <c r="AB704" i="1"/>
  <c r="AB692" i="1"/>
  <c r="AC692" i="1" s="1"/>
  <c r="AD692" i="1" s="1"/>
  <c r="AG692" i="1" s="1"/>
  <c r="AI692" i="1" s="1"/>
  <c r="AB679" i="1"/>
  <c r="AC679" i="1" s="1"/>
  <c r="AD679" i="1" s="1"/>
  <c r="AG679" i="1" s="1"/>
  <c r="AI679" i="1" s="1"/>
  <c r="AB666" i="1"/>
  <c r="AB653" i="1"/>
  <c r="AC653" i="1" s="1"/>
  <c r="AD653" i="1" s="1"/>
  <c r="AF653" i="1" s="1"/>
  <c r="AB641" i="1"/>
  <c r="AB628" i="1"/>
  <c r="AB616" i="1"/>
  <c r="AC616" i="1" s="1"/>
  <c r="AD616" i="1" s="1"/>
  <c r="AF616" i="1" s="1"/>
  <c r="AB604" i="1"/>
  <c r="AC604" i="1" s="1"/>
  <c r="AD604" i="1" s="1"/>
  <c r="AG604" i="1" s="1"/>
  <c r="AI604" i="1" s="1"/>
  <c r="AB592" i="1"/>
  <c r="AC592" i="1" s="1"/>
  <c r="AD592" i="1" s="1"/>
  <c r="AE592" i="1" s="1"/>
  <c r="AB580" i="1"/>
  <c r="AC580" i="1" s="1"/>
  <c r="AD580" i="1" s="1"/>
  <c r="AF580" i="1" s="1"/>
  <c r="AB568" i="1"/>
  <c r="AC568" i="1" s="1"/>
  <c r="AD568" i="1" s="1"/>
  <c r="AG568" i="1" s="1"/>
  <c r="AI568" i="1" s="1"/>
  <c r="AB556" i="1"/>
  <c r="AC556" i="1" s="1"/>
  <c r="AD556" i="1" s="1"/>
  <c r="AB544" i="1"/>
  <c r="AC544" i="1" s="1"/>
  <c r="AD544" i="1" s="1"/>
  <c r="AE544" i="1" s="1"/>
  <c r="AB532" i="1"/>
  <c r="AC532" i="1" s="1"/>
  <c r="AD532" i="1" s="1"/>
  <c r="AG532" i="1" s="1"/>
  <c r="AI532" i="1" s="1"/>
  <c r="AB520" i="1"/>
  <c r="AC520" i="1" s="1"/>
  <c r="AD520" i="1" s="1"/>
  <c r="AF520" i="1" s="1"/>
  <c r="AB508" i="1"/>
  <c r="AC508" i="1" s="1"/>
  <c r="AD508" i="1" s="1"/>
  <c r="AF508" i="1" s="1"/>
  <c r="AB496" i="1"/>
  <c r="AB484" i="1"/>
  <c r="AB471" i="1"/>
  <c r="AB459" i="1"/>
  <c r="AC459" i="1" s="1"/>
  <c r="AD459" i="1" s="1"/>
  <c r="AF459" i="1" s="1"/>
  <c r="AB447" i="1"/>
  <c r="AC447" i="1" s="1"/>
  <c r="AD447" i="1" s="1"/>
  <c r="AF447" i="1" s="1"/>
  <c r="AB434" i="1"/>
  <c r="AB421" i="1"/>
  <c r="AC421" i="1" s="1"/>
  <c r="AD421" i="1" s="1"/>
  <c r="AF421" i="1" s="1"/>
  <c r="AB408" i="1"/>
  <c r="AB396" i="1"/>
  <c r="AB384" i="1"/>
  <c r="AC384" i="1" s="1"/>
  <c r="AD384" i="1" s="1"/>
  <c r="AB372" i="1"/>
  <c r="AC372" i="1" s="1"/>
  <c r="AD372" i="1" s="1"/>
  <c r="AF372" i="1" s="1"/>
  <c r="AB357" i="1"/>
  <c r="AC357" i="1" s="1"/>
  <c r="AD357" i="1" s="1"/>
  <c r="AG357" i="1" s="1"/>
  <c r="AI357" i="1" s="1"/>
  <c r="AB343" i="1"/>
  <c r="BG343" i="1" s="1"/>
  <c r="AB331" i="1"/>
  <c r="AB319" i="1"/>
  <c r="AB306" i="1"/>
  <c r="AC306" i="1" s="1"/>
  <c r="AD306" i="1" s="1"/>
  <c r="AF306" i="1" s="1"/>
  <c r="AB294" i="1"/>
  <c r="AC294" i="1" s="1"/>
  <c r="AD294" i="1" s="1"/>
  <c r="AF294" i="1" s="1"/>
  <c r="AB282" i="1"/>
  <c r="AC282" i="1" s="1"/>
  <c r="AD282" i="1" s="1"/>
  <c r="AB270" i="1"/>
  <c r="AC270" i="1" s="1"/>
  <c r="AD270" i="1" s="1"/>
  <c r="AF270" i="1" s="1"/>
  <c r="AB258" i="1"/>
  <c r="AC258" i="1" s="1"/>
  <c r="AD258" i="1" s="1"/>
  <c r="AE258" i="1" s="1"/>
  <c r="AB246" i="1"/>
  <c r="AC246" i="1" s="1"/>
  <c r="AD246" i="1" s="1"/>
  <c r="AB234" i="1"/>
  <c r="AB222" i="1"/>
  <c r="AB210" i="1"/>
  <c r="AC210" i="1" s="1"/>
  <c r="AD210" i="1" s="1"/>
  <c r="AB198" i="1"/>
  <c r="AB186" i="1"/>
  <c r="AB161" i="1"/>
  <c r="AC161" i="1" s="1"/>
  <c r="AD161" i="1" s="1"/>
  <c r="AG161" i="1" s="1"/>
  <c r="AI161" i="1" s="1"/>
  <c r="AB148" i="1"/>
  <c r="AC148" i="1" s="1"/>
  <c r="AD148" i="1" s="1"/>
  <c r="AE148" i="1" s="1"/>
  <c r="AB136" i="1"/>
  <c r="AB124" i="1"/>
  <c r="AB111" i="1"/>
  <c r="AC111" i="1" s="1"/>
  <c r="AB99" i="1"/>
  <c r="AB87" i="1"/>
  <c r="AC87" i="1" s="1"/>
  <c r="AD87" i="1" s="1"/>
  <c r="AB75" i="1"/>
  <c r="AC75" i="1" s="1"/>
  <c r="AD75" i="1" s="1"/>
  <c r="AB63" i="1"/>
  <c r="AC63" i="1" s="1"/>
  <c r="AD63" i="1" s="1"/>
  <c r="AF63" i="1" s="1"/>
  <c r="AB51" i="1"/>
  <c r="AC51" i="1" s="1"/>
  <c r="AD51" i="1" s="1"/>
  <c r="AG51" i="1" s="1"/>
  <c r="AI51" i="1" s="1"/>
  <c r="AB39" i="1"/>
  <c r="AC39" i="1" s="1"/>
  <c r="AD39" i="1" s="1"/>
  <c r="AE39" i="1" s="1"/>
  <c r="AB27" i="1"/>
  <c r="AC27" i="1" s="1"/>
  <c r="AD27" i="1" s="1"/>
  <c r="AB15" i="1"/>
  <c r="AB3" i="1"/>
  <c r="AC3" i="1" s="1"/>
  <c r="AD3" i="1" s="1"/>
  <c r="AG3" i="1" s="1"/>
  <c r="AI3" i="1" s="1"/>
  <c r="AB682" i="1"/>
  <c r="AB607" i="1"/>
  <c r="AB535" i="1"/>
  <c r="AC535" i="1" s="1"/>
  <c r="AD535" i="1" s="1"/>
  <c r="AF535" i="1" s="1"/>
  <c r="AB462" i="1"/>
  <c r="AC462" i="1" s="1"/>
  <c r="AD462" i="1" s="1"/>
  <c r="AE462" i="1" s="1"/>
  <c r="AB387" i="1"/>
  <c r="AC387" i="1" s="1"/>
  <c r="AD387" i="1" s="1"/>
  <c r="AE387" i="1" s="1"/>
  <c r="AB334" i="1"/>
  <c r="AB273" i="1"/>
  <c r="AB213" i="1"/>
  <c r="AC213" i="1" s="1"/>
  <c r="AD213" i="1" s="1"/>
  <c r="AG213" i="1" s="1"/>
  <c r="AI213" i="1" s="1"/>
  <c r="AB177" i="1"/>
  <c r="AC177" i="1" s="1"/>
  <c r="AD177" i="1" s="1"/>
  <c r="AF177" i="1" s="1"/>
  <c r="AB127" i="1"/>
  <c r="AB78" i="1"/>
  <c r="AC78" i="1" s="1"/>
  <c r="AD78" i="1" s="1"/>
  <c r="AB54" i="1"/>
  <c r="AC54" i="1" s="1"/>
  <c r="AD54" i="1" s="1"/>
  <c r="AE54" i="1" s="1"/>
  <c r="AB30" i="1"/>
  <c r="AB6" i="1"/>
  <c r="AB706" i="1"/>
  <c r="AC706" i="1" s="1"/>
  <c r="AD706" i="1" s="1"/>
  <c r="AE706" i="1" s="1"/>
  <c r="AB681" i="1"/>
  <c r="AC681" i="1" s="1"/>
  <c r="AB655" i="1"/>
  <c r="AC655" i="1" s="1"/>
  <c r="AD655" i="1" s="1"/>
  <c r="AF655" i="1" s="1"/>
  <c r="AB630" i="1"/>
  <c r="AC630" i="1" s="1"/>
  <c r="AD630" i="1" s="1"/>
  <c r="AB606" i="1"/>
  <c r="AC606" i="1" s="1"/>
  <c r="AD606" i="1" s="1"/>
  <c r="AE606" i="1" s="1"/>
  <c r="AB582" i="1"/>
  <c r="AC582" i="1" s="1"/>
  <c r="AD582" i="1" s="1"/>
  <c r="AF582" i="1" s="1"/>
  <c r="AB558" i="1"/>
  <c r="AC558" i="1" s="1"/>
  <c r="AD558" i="1" s="1"/>
  <c r="AF558" i="1" s="1"/>
  <c r="AB534" i="1"/>
  <c r="AB510" i="1"/>
  <c r="AC510" i="1" s="1"/>
  <c r="AD510" i="1" s="1"/>
  <c r="AF510" i="1" s="1"/>
  <c r="AB486" i="1"/>
  <c r="AC486" i="1" s="1"/>
  <c r="AD486" i="1" s="1"/>
  <c r="AF486" i="1" s="1"/>
  <c r="AB461" i="1"/>
  <c r="AB436" i="1"/>
  <c r="AC436" i="1" s="1"/>
  <c r="AD436" i="1" s="1"/>
  <c r="AF436" i="1" s="1"/>
  <c r="AB410" i="1"/>
  <c r="AC410" i="1" s="1"/>
  <c r="AD410" i="1" s="1"/>
  <c r="AE410" i="1" s="1"/>
  <c r="AB398" i="1"/>
  <c r="AC398" i="1" s="1"/>
  <c r="AD398" i="1" s="1"/>
  <c r="AB386" i="1"/>
  <c r="AC386" i="1" s="1"/>
  <c r="AD386" i="1" s="1"/>
  <c r="AE386" i="1" s="1"/>
  <c r="AB361" i="1"/>
  <c r="AC361" i="1" s="1"/>
  <c r="AD361" i="1" s="1"/>
  <c r="AB345" i="1"/>
  <c r="AC345" i="1" s="1"/>
  <c r="AD345" i="1" s="1"/>
  <c r="AG345" i="1" s="1"/>
  <c r="AI345" i="1" s="1"/>
  <c r="AB333" i="1"/>
  <c r="AC333" i="1" s="1"/>
  <c r="AD333" i="1" s="1"/>
  <c r="AE333" i="1" s="1"/>
  <c r="AB321" i="1"/>
  <c r="AB308" i="1"/>
  <c r="AB296" i="1"/>
  <c r="AB284" i="1"/>
  <c r="AB272" i="1"/>
  <c r="AB260" i="1"/>
  <c r="AB248" i="1"/>
  <c r="AC248" i="1" s="1"/>
  <c r="AD248" i="1" s="1"/>
  <c r="AF248" i="1" s="1"/>
  <c r="AB224" i="1"/>
  <c r="AB163" i="1"/>
  <c r="AC163" i="1" s="1"/>
  <c r="AD163" i="1" s="1"/>
  <c r="AE163" i="1" s="1"/>
  <c r="AB138" i="1"/>
  <c r="AB113" i="1"/>
  <c r="AC113" i="1" s="1"/>
  <c r="AD113" i="1" s="1"/>
  <c r="AB77" i="1"/>
  <c r="AC77" i="1" s="1"/>
  <c r="AD77" i="1" s="1"/>
  <c r="AF77" i="1" s="1"/>
  <c r="AB5" i="1"/>
  <c r="AC5" i="1" s="1"/>
  <c r="AD5" i="1" s="1"/>
  <c r="AE5" i="1" s="1"/>
  <c r="AB680" i="1"/>
  <c r="AC680" i="1" s="1"/>
  <c r="AD680" i="1" s="1"/>
  <c r="AF680" i="1" s="1"/>
  <c r="AB654" i="1"/>
  <c r="AC654" i="1" s="1"/>
  <c r="AD654" i="1" s="1"/>
  <c r="AE654" i="1" s="1"/>
  <c r="AB629" i="1"/>
  <c r="AC629" i="1" s="1"/>
  <c r="AD629" i="1" s="1"/>
  <c r="AE629" i="1" s="1"/>
  <c r="AB593" i="1"/>
  <c r="AB569" i="1"/>
  <c r="AB545" i="1"/>
  <c r="AC545" i="1" s="1"/>
  <c r="AD545" i="1" s="1"/>
  <c r="AF545" i="1" s="1"/>
  <c r="AB521" i="1"/>
  <c r="AB497" i="1"/>
  <c r="AC497" i="1" s="1"/>
  <c r="AD497" i="1" s="1"/>
  <c r="AF497" i="1" s="1"/>
  <c r="AB460" i="1"/>
  <c r="AC460" i="1" s="1"/>
  <c r="AD460" i="1" s="1"/>
  <c r="AB435" i="1"/>
  <c r="AC435" i="1" s="1"/>
  <c r="AD435" i="1" s="1"/>
  <c r="AE435" i="1" s="1"/>
  <c r="AB397" i="1"/>
  <c r="AC397" i="1" s="1"/>
  <c r="AD397" i="1" s="1"/>
  <c r="AF397" i="1" s="1"/>
  <c r="AB373" i="1"/>
  <c r="AC373" i="1" s="1"/>
  <c r="AD373" i="1" s="1"/>
  <c r="AB332" i="1"/>
  <c r="AC332" i="1" s="1"/>
  <c r="AD332" i="1" s="1"/>
  <c r="AF332" i="1" s="1"/>
  <c r="AB283" i="1"/>
  <c r="AB162" i="1"/>
  <c r="AC162" i="1" s="1"/>
  <c r="AD162" i="1" s="1"/>
  <c r="AE162" i="1" s="1"/>
  <c r="AB137" i="1"/>
  <c r="AC137" i="1" s="1"/>
  <c r="AD137" i="1" s="1"/>
  <c r="AG137" i="1" s="1"/>
  <c r="AI137" i="1" s="1"/>
  <c r="AB112" i="1"/>
  <c r="AC112" i="1" s="1"/>
  <c r="AD112" i="1" s="1"/>
  <c r="AB88" i="1"/>
  <c r="AC88" i="1" s="1"/>
  <c r="AD88" i="1" s="1"/>
  <c r="AB64" i="1"/>
  <c r="AB28" i="1"/>
  <c r="AC28" i="1" s="1"/>
  <c r="AD28" i="1" s="1"/>
  <c r="AF28" i="1" s="1"/>
  <c r="AB703" i="1"/>
  <c r="AC703" i="1" s="1"/>
  <c r="AD703" i="1" s="1"/>
  <c r="AE703" i="1" s="1"/>
  <c r="AB691" i="1"/>
  <c r="AC691" i="1" s="1"/>
  <c r="AD691" i="1" s="1"/>
  <c r="AB678" i="1"/>
  <c r="AC678" i="1" s="1"/>
  <c r="AD678" i="1" s="1"/>
  <c r="AG678" i="1" s="1"/>
  <c r="AI678" i="1" s="1"/>
  <c r="AB665" i="1"/>
  <c r="AC665" i="1" s="1"/>
  <c r="AB652" i="1"/>
  <c r="AB640" i="1"/>
  <c r="AC640" i="1" s="1"/>
  <c r="AD640" i="1" s="1"/>
  <c r="AB627" i="1"/>
  <c r="AC627" i="1" s="1"/>
  <c r="AD627" i="1" s="1"/>
  <c r="AG627" i="1" s="1"/>
  <c r="AI627" i="1" s="1"/>
  <c r="AB615" i="1"/>
  <c r="AC615" i="1" s="1"/>
  <c r="AD615" i="1" s="1"/>
  <c r="AF615" i="1" s="1"/>
  <c r="AB603" i="1"/>
  <c r="AC603" i="1" s="1"/>
  <c r="AD603" i="1" s="1"/>
  <c r="AF603" i="1" s="1"/>
  <c r="AB591" i="1"/>
  <c r="AC591" i="1" s="1"/>
  <c r="AD591" i="1" s="1"/>
  <c r="AF591" i="1" s="1"/>
  <c r="AB579" i="1"/>
  <c r="AC579" i="1" s="1"/>
  <c r="AD579" i="1" s="1"/>
  <c r="AE579" i="1" s="1"/>
  <c r="AB567" i="1"/>
  <c r="AC567" i="1" s="1"/>
  <c r="AD567" i="1" s="1"/>
  <c r="AF567" i="1" s="1"/>
  <c r="AB555" i="1"/>
  <c r="AC555" i="1" s="1"/>
  <c r="AD555" i="1" s="1"/>
  <c r="AB543" i="1"/>
  <c r="AB531" i="1"/>
  <c r="AC531" i="1" s="1"/>
  <c r="AD531" i="1" s="1"/>
  <c r="AB519" i="1"/>
  <c r="AB507" i="1"/>
  <c r="AB495" i="1"/>
  <c r="AC495" i="1" s="1"/>
  <c r="AD495" i="1" s="1"/>
  <c r="AE495" i="1" s="1"/>
  <c r="AB483" i="1"/>
  <c r="AC483" i="1" s="1"/>
  <c r="AD483" i="1" s="1"/>
  <c r="AF483" i="1" s="1"/>
  <c r="AB470" i="1"/>
  <c r="AC470" i="1" s="1"/>
  <c r="AD470" i="1" s="1"/>
  <c r="AG470" i="1" s="1"/>
  <c r="AI470" i="1" s="1"/>
  <c r="AB458" i="1"/>
  <c r="AC458" i="1" s="1"/>
  <c r="AD458" i="1" s="1"/>
  <c r="AG458" i="1" s="1"/>
  <c r="AI458" i="1" s="1"/>
  <c r="AB446" i="1"/>
  <c r="AC446" i="1" s="1"/>
  <c r="AD446" i="1" s="1"/>
  <c r="AG446" i="1" s="1"/>
  <c r="AI446" i="1" s="1"/>
  <c r="AB433" i="1"/>
  <c r="AC433" i="1" s="1"/>
  <c r="AD433" i="1" s="1"/>
  <c r="AG433" i="1" s="1"/>
  <c r="AI433" i="1" s="1"/>
  <c r="AB420" i="1"/>
  <c r="AC420" i="1" s="1"/>
  <c r="AD420" i="1" s="1"/>
  <c r="AG420" i="1" s="1"/>
  <c r="AI420" i="1" s="1"/>
  <c r="AB407" i="1"/>
  <c r="AC407" i="1" s="1"/>
  <c r="AD407" i="1" s="1"/>
  <c r="AG407" i="1" s="1"/>
  <c r="AI407" i="1" s="1"/>
  <c r="AB395" i="1"/>
  <c r="AC395" i="1" s="1"/>
  <c r="AD395" i="1" s="1"/>
  <c r="AF395" i="1" s="1"/>
  <c r="AB383" i="1"/>
  <c r="AC383" i="1" s="1"/>
  <c r="AD383" i="1" s="1"/>
  <c r="AB371" i="1"/>
  <c r="AB355" i="1"/>
  <c r="AC355" i="1" s="1"/>
  <c r="AD355" i="1" s="1"/>
  <c r="AF355" i="1" s="1"/>
  <c r="AB342" i="1"/>
  <c r="AB330" i="1"/>
  <c r="AC330" i="1" s="1"/>
  <c r="AD330" i="1" s="1"/>
  <c r="AE330" i="1" s="1"/>
  <c r="AB318" i="1"/>
  <c r="AC318" i="1" s="1"/>
  <c r="AD318" i="1" s="1"/>
  <c r="AB305" i="1"/>
  <c r="AC305" i="1" s="1"/>
  <c r="AD305" i="1" s="1"/>
  <c r="AE305" i="1" s="1"/>
  <c r="AB293" i="1"/>
  <c r="AC293" i="1" s="1"/>
  <c r="AD293" i="1" s="1"/>
  <c r="AE293" i="1" s="1"/>
  <c r="AB281" i="1"/>
  <c r="AC281" i="1" s="1"/>
  <c r="AD281" i="1" s="1"/>
  <c r="AE281" i="1" s="1"/>
  <c r="AB269" i="1"/>
  <c r="AC269" i="1" s="1"/>
  <c r="AD269" i="1" s="1"/>
  <c r="AE269" i="1" s="1"/>
  <c r="AB257" i="1"/>
  <c r="AC257" i="1" s="1"/>
  <c r="AD257" i="1" s="1"/>
  <c r="AG257" i="1" s="1"/>
  <c r="AI257" i="1" s="1"/>
  <c r="AB233" i="1"/>
  <c r="AC233" i="1" s="1"/>
  <c r="AD233" i="1" s="1"/>
  <c r="AE233" i="1" s="1"/>
  <c r="AB221" i="1"/>
  <c r="AC221" i="1" s="1"/>
  <c r="AD221" i="1" s="1"/>
  <c r="AG221" i="1" s="1"/>
  <c r="AI221" i="1" s="1"/>
  <c r="AB209" i="1"/>
  <c r="AB197" i="1"/>
  <c r="AC197" i="1" s="1"/>
  <c r="AD197" i="1" s="1"/>
  <c r="AE197" i="1" s="1"/>
  <c r="AB185" i="1"/>
  <c r="AB173" i="1"/>
  <c r="AC173" i="1" s="1"/>
  <c r="AD173" i="1" s="1"/>
  <c r="AE173" i="1" s="1"/>
  <c r="AB160" i="1"/>
  <c r="AC160" i="1" s="1"/>
  <c r="AD160" i="1" s="1"/>
  <c r="AB147" i="1"/>
  <c r="AC147" i="1" s="1"/>
  <c r="AD147" i="1" s="1"/>
  <c r="AB135" i="1"/>
  <c r="AC135" i="1" s="1"/>
  <c r="AD135" i="1" s="1"/>
  <c r="AG135" i="1" s="1"/>
  <c r="AI135" i="1" s="1"/>
  <c r="AB123" i="1"/>
  <c r="AC123" i="1" s="1"/>
  <c r="AD123" i="1" s="1"/>
  <c r="AB110" i="1"/>
  <c r="AC110" i="1" s="1"/>
  <c r="AD110" i="1" s="1"/>
  <c r="AE110" i="1" s="1"/>
  <c r="AB98" i="1"/>
  <c r="AC98" i="1" s="1"/>
  <c r="AD98" i="1" s="1"/>
  <c r="AE98" i="1" s="1"/>
  <c r="AB86" i="1"/>
  <c r="AC86" i="1" s="1"/>
  <c r="AD86" i="1" s="1"/>
  <c r="AB74" i="1"/>
  <c r="AC74" i="1" s="1"/>
  <c r="AD74" i="1" s="1"/>
  <c r="AG74" i="1" s="1"/>
  <c r="AI74" i="1" s="1"/>
  <c r="AB62" i="1"/>
  <c r="AB50" i="1"/>
  <c r="AB38" i="1"/>
  <c r="AC38" i="1" s="1"/>
  <c r="AD38" i="1" s="1"/>
  <c r="AB26" i="1"/>
  <c r="AC26" i="1" s="1"/>
  <c r="AD26" i="1" s="1"/>
  <c r="AG26" i="1" s="1"/>
  <c r="AI26" i="1" s="1"/>
  <c r="AB14" i="1"/>
  <c r="AC14" i="1" s="1"/>
  <c r="AD14" i="1" s="1"/>
  <c r="AG14" i="1" s="1"/>
  <c r="AI14" i="1" s="1"/>
  <c r="AB2" i="1"/>
  <c r="AC2" i="1" s="1"/>
  <c r="AD2" i="1" s="1"/>
  <c r="AF2" i="1" s="1"/>
  <c r="AB631" i="1"/>
  <c r="AC631" i="1" s="1"/>
  <c r="AD631" i="1" s="1"/>
  <c r="AF631" i="1" s="1"/>
  <c r="AB559" i="1"/>
  <c r="AC559" i="1" s="1"/>
  <c r="AD559" i="1" s="1"/>
  <c r="AE559" i="1" s="1"/>
  <c r="AB474" i="1"/>
  <c r="AB399" i="1"/>
  <c r="AC399" i="1" s="1"/>
  <c r="AD399" i="1" s="1"/>
  <c r="AF399" i="1" s="1"/>
  <c r="AB309" i="1"/>
  <c r="AB225" i="1"/>
  <c r="AC225" i="1" s="1"/>
  <c r="AD225" i="1" s="1"/>
  <c r="AF225" i="1" s="1"/>
  <c r="AB102" i="1"/>
  <c r="AB664" i="1"/>
  <c r="AB602" i="1"/>
  <c r="AC602" i="1" s="1"/>
  <c r="AD602" i="1" s="1"/>
  <c r="AB554" i="1"/>
  <c r="AC554" i="1" s="1"/>
  <c r="AD554" i="1" s="1"/>
  <c r="AF554" i="1" s="1"/>
  <c r="AB506" i="1"/>
  <c r="AC506" i="1" s="1"/>
  <c r="AD506" i="1" s="1"/>
  <c r="AB469" i="1"/>
  <c r="AC469" i="1" s="1"/>
  <c r="AD469" i="1" s="1"/>
  <c r="AG469" i="1" s="1"/>
  <c r="AI469" i="1" s="1"/>
  <c r="AB419" i="1"/>
  <c r="AC419" i="1" s="1"/>
  <c r="AD419" i="1" s="1"/>
  <c r="AG419" i="1" s="1"/>
  <c r="AI419" i="1" s="1"/>
  <c r="AB370" i="1"/>
  <c r="AC370" i="1" s="1"/>
  <c r="AD370" i="1" s="1"/>
  <c r="AE370" i="1" s="1"/>
  <c r="AB329" i="1"/>
  <c r="AC329" i="1" s="1"/>
  <c r="AD329" i="1" s="1"/>
  <c r="AG329" i="1" s="1"/>
  <c r="AI329" i="1" s="1"/>
  <c r="AB304" i="1"/>
  <c r="AC304" i="1" s="1"/>
  <c r="AD304" i="1" s="1"/>
  <c r="AE304" i="1" s="1"/>
  <c r="AB256" i="1"/>
  <c r="AC256" i="1" s="1"/>
  <c r="AD256" i="1" s="1"/>
  <c r="AG256" i="1" s="1"/>
  <c r="AI256" i="1" s="1"/>
  <c r="AB208" i="1"/>
  <c r="AC208" i="1" s="1"/>
  <c r="AD208" i="1" s="1"/>
  <c r="AG208" i="1" s="1"/>
  <c r="AI208" i="1" s="1"/>
  <c r="AB159" i="1"/>
  <c r="AC159" i="1" s="1"/>
  <c r="AD159" i="1" s="1"/>
  <c r="AE159" i="1" s="1"/>
  <c r="AB97" i="1"/>
  <c r="AB49" i="1"/>
  <c r="AB701" i="1"/>
  <c r="AC701" i="1" s="1"/>
  <c r="AD701" i="1" s="1"/>
  <c r="AE701" i="1" s="1"/>
  <c r="AB675" i="1"/>
  <c r="AC675" i="1" s="1"/>
  <c r="AD675" i="1" s="1"/>
  <c r="AB650" i="1"/>
  <c r="AC650" i="1" s="1"/>
  <c r="AD650" i="1" s="1"/>
  <c r="AF650" i="1" s="1"/>
  <c r="AB625" i="1"/>
  <c r="AC625" i="1" s="1"/>
  <c r="AD625" i="1" s="1"/>
  <c r="AB601" i="1"/>
  <c r="AB577" i="1"/>
  <c r="AC577" i="1" s="1"/>
  <c r="AD577" i="1" s="1"/>
  <c r="AG577" i="1" s="1"/>
  <c r="AI577" i="1" s="1"/>
  <c r="AB553" i="1"/>
  <c r="AC553" i="1" s="1"/>
  <c r="AD553" i="1" s="1"/>
  <c r="AF553" i="1" s="1"/>
  <c r="AB529" i="1"/>
  <c r="AC529" i="1" s="1"/>
  <c r="AD529" i="1" s="1"/>
  <c r="AE529" i="1" s="1"/>
  <c r="AB505" i="1"/>
  <c r="AC505" i="1" s="1"/>
  <c r="AD505" i="1" s="1"/>
  <c r="AF505" i="1" s="1"/>
  <c r="AB481" i="1"/>
  <c r="AC481" i="1" s="1"/>
  <c r="AD481" i="1" s="1"/>
  <c r="AG481" i="1" s="1"/>
  <c r="AI481" i="1" s="1"/>
  <c r="AB456" i="1"/>
  <c r="AC456" i="1" s="1"/>
  <c r="AD456" i="1" s="1"/>
  <c r="AB431" i="1"/>
  <c r="AC431" i="1" s="1"/>
  <c r="AD431" i="1" s="1"/>
  <c r="AF431" i="1" s="1"/>
  <c r="BG405" i="1"/>
  <c r="AB381" i="1"/>
  <c r="AC381" i="1" s="1"/>
  <c r="AD381" i="1" s="1"/>
  <c r="AE381" i="1" s="1"/>
  <c r="AB353" i="1"/>
  <c r="AC353" i="1" s="1"/>
  <c r="AD353" i="1" s="1"/>
  <c r="AF353" i="1" s="1"/>
  <c r="AB328" i="1"/>
  <c r="AB303" i="1"/>
  <c r="AC303" i="1" s="1"/>
  <c r="AD303" i="1" s="1"/>
  <c r="AB279" i="1"/>
  <c r="AC279" i="1" s="1"/>
  <c r="AD279" i="1" s="1"/>
  <c r="AF279" i="1" s="1"/>
  <c r="AB255" i="1"/>
  <c r="AC255" i="1" s="1"/>
  <c r="AD255" i="1" s="1"/>
  <c r="AB231" i="1"/>
  <c r="AC231" i="1" s="1"/>
  <c r="AD231" i="1" s="1"/>
  <c r="AB207" i="1"/>
  <c r="AC207" i="1" s="1"/>
  <c r="AD207" i="1" s="1"/>
  <c r="AE207" i="1" s="1"/>
  <c r="AB183" i="1"/>
  <c r="AB158" i="1"/>
  <c r="AB133" i="1"/>
  <c r="AB108" i="1"/>
  <c r="AC108" i="1" s="1"/>
  <c r="AD108" i="1" s="1"/>
  <c r="AG108" i="1" s="1"/>
  <c r="AI108" i="1" s="1"/>
  <c r="AB84" i="1"/>
  <c r="AC84" i="1" s="1"/>
  <c r="AD84" i="1" s="1"/>
  <c r="AF84" i="1" s="1"/>
  <c r="AB60" i="1"/>
  <c r="AC60" i="1" s="1"/>
  <c r="AD60" i="1" s="1"/>
  <c r="AF60" i="1" s="1"/>
  <c r="AB36" i="1"/>
  <c r="AC36" i="1" s="1"/>
  <c r="AD36" i="1" s="1"/>
  <c r="AF36" i="1" s="1"/>
  <c r="AB12" i="1"/>
  <c r="AC12" i="1" s="1"/>
  <c r="AD12" i="1" s="1"/>
  <c r="AG12" i="1" s="1"/>
  <c r="AI12" i="1" s="1"/>
  <c r="AB700" i="1"/>
  <c r="AC700" i="1" s="1"/>
  <c r="BG674" i="1"/>
  <c r="AB649" i="1"/>
  <c r="AC649" i="1" s="1"/>
  <c r="AD649" i="1" s="1"/>
  <c r="AB624" i="1"/>
  <c r="AC624" i="1" s="1"/>
  <c r="AD624" i="1" s="1"/>
  <c r="AE624" i="1" s="1"/>
  <c r="AB600" i="1"/>
  <c r="AB576" i="1"/>
  <c r="AC576" i="1" s="1"/>
  <c r="AD576" i="1" s="1"/>
  <c r="AB552" i="1"/>
  <c r="AB528" i="1"/>
  <c r="AC528" i="1" s="1"/>
  <c r="AD528" i="1" s="1"/>
  <c r="AE528" i="1" s="1"/>
  <c r="AB504" i="1"/>
  <c r="AC504" i="1" s="1"/>
  <c r="AD504" i="1" s="1"/>
  <c r="AG504" i="1" s="1"/>
  <c r="AI504" i="1" s="1"/>
  <c r="AB480" i="1"/>
  <c r="AC480" i="1" s="1"/>
  <c r="AD480" i="1" s="1"/>
  <c r="AB455" i="1"/>
  <c r="AC455" i="1" s="1"/>
  <c r="AD455" i="1" s="1"/>
  <c r="AE455" i="1" s="1"/>
  <c r="AB430" i="1"/>
  <c r="AC430" i="1" s="1"/>
  <c r="AD430" i="1" s="1"/>
  <c r="AE430" i="1" s="1"/>
  <c r="AB404" i="1"/>
  <c r="AC404" i="1" s="1"/>
  <c r="AD404" i="1" s="1"/>
  <c r="AG404" i="1" s="1"/>
  <c r="AI404" i="1" s="1"/>
  <c r="AB380" i="1"/>
  <c r="AC380" i="1" s="1"/>
  <c r="AD380" i="1" s="1"/>
  <c r="AG380" i="1" s="1"/>
  <c r="AI380" i="1" s="1"/>
  <c r="AB352" i="1"/>
  <c r="AC352" i="1" s="1"/>
  <c r="AD352" i="1" s="1"/>
  <c r="AG352" i="1" s="1"/>
  <c r="AI352" i="1" s="1"/>
  <c r="AB327" i="1"/>
  <c r="AC327" i="1" s="1"/>
  <c r="AD327" i="1" s="1"/>
  <c r="AB302" i="1"/>
  <c r="AC302" i="1" s="1"/>
  <c r="AD302" i="1" s="1"/>
  <c r="AB278" i="1"/>
  <c r="AB254" i="1"/>
  <c r="AB230" i="1"/>
  <c r="AC230" i="1" s="1"/>
  <c r="AD230" i="1" s="1"/>
  <c r="AF230" i="1" s="1"/>
  <c r="AB206" i="1"/>
  <c r="AC206" i="1" s="1"/>
  <c r="AD206" i="1" s="1"/>
  <c r="AE206" i="1" s="1"/>
  <c r="AB132" i="1"/>
  <c r="AC132" i="1" s="1"/>
  <c r="AD132" i="1" s="1"/>
  <c r="AF132" i="1" s="1"/>
  <c r="AB107" i="1"/>
  <c r="AC107" i="1" s="1"/>
  <c r="AD107" i="1" s="1"/>
  <c r="AF107" i="1" s="1"/>
  <c r="AB83" i="1"/>
  <c r="AC83" i="1" s="1"/>
  <c r="AD83" i="1" s="1"/>
  <c r="AB59" i="1"/>
  <c r="AC59" i="1" s="1"/>
  <c r="AD59" i="1" s="1"/>
  <c r="AF59" i="1" s="1"/>
  <c r="AB35" i="1"/>
  <c r="AC35" i="1" s="1"/>
  <c r="AD35" i="1" s="1"/>
  <c r="AB11" i="1"/>
  <c r="AC11" i="1" s="1"/>
  <c r="AD11" i="1" s="1"/>
  <c r="AB687" i="1"/>
  <c r="AC687" i="1" s="1"/>
  <c r="AD687" i="1" s="1"/>
  <c r="AG687" i="1" s="1"/>
  <c r="AI687" i="1" s="1"/>
  <c r="AB648" i="1"/>
  <c r="AC648" i="1" s="1"/>
  <c r="AD648" i="1" s="1"/>
  <c r="AF648" i="1" s="1"/>
  <c r="AB623" i="1"/>
  <c r="AB599" i="1"/>
  <c r="AB587" i="1"/>
  <c r="AC587" i="1" s="1"/>
  <c r="AD587" i="1" s="1"/>
  <c r="AG587" i="1" s="1"/>
  <c r="AI587" i="1" s="1"/>
  <c r="AB575" i="1"/>
  <c r="AB563" i="1"/>
  <c r="AC563" i="1" s="1"/>
  <c r="AD563" i="1" s="1"/>
  <c r="AF563" i="1" s="1"/>
  <c r="AB551" i="1"/>
  <c r="AC551" i="1" s="1"/>
  <c r="AD551" i="1" s="1"/>
  <c r="AG551" i="1" s="1"/>
  <c r="AI551" i="1" s="1"/>
  <c r="AB539" i="1"/>
  <c r="AC539" i="1" s="1"/>
  <c r="AD539" i="1" s="1"/>
  <c r="AG539" i="1" s="1"/>
  <c r="AI539" i="1" s="1"/>
  <c r="AB527" i="1"/>
  <c r="AC527" i="1" s="1"/>
  <c r="AD527" i="1" s="1"/>
  <c r="AE527" i="1" s="1"/>
  <c r="AB515" i="1"/>
  <c r="AC515" i="1" s="1"/>
  <c r="AD515" i="1" s="1"/>
  <c r="AG515" i="1" s="1"/>
  <c r="AI515" i="1" s="1"/>
  <c r="AB503" i="1"/>
  <c r="AC503" i="1" s="1"/>
  <c r="AD503" i="1" s="1"/>
  <c r="AB491" i="1"/>
  <c r="AC491" i="1" s="1"/>
  <c r="AD491" i="1" s="1"/>
  <c r="AG491" i="1" s="1"/>
  <c r="AI491" i="1" s="1"/>
  <c r="AB479" i="1"/>
  <c r="AB466" i="1"/>
  <c r="AB454" i="1"/>
  <c r="AB441" i="1"/>
  <c r="AC441" i="1" s="1"/>
  <c r="AD441" i="1" s="1"/>
  <c r="AF441" i="1" s="1"/>
  <c r="AB429" i="1"/>
  <c r="AB415" i="1"/>
  <c r="AC415" i="1" s="1"/>
  <c r="AD415" i="1" s="1"/>
  <c r="AF415" i="1" s="1"/>
  <c r="AB403" i="1"/>
  <c r="AC403" i="1" s="1"/>
  <c r="AD403" i="1" s="1"/>
  <c r="AF403" i="1" s="1"/>
  <c r="AB391" i="1"/>
  <c r="AC391" i="1" s="1"/>
  <c r="AD391" i="1" s="1"/>
  <c r="AG391" i="1" s="1"/>
  <c r="AI391" i="1" s="1"/>
  <c r="AB379" i="1"/>
  <c r="AC379" i="1" s="1"/>
  <c r="AD379" i="1" s="1"/>
  <c r="AB367" i="1"/>
  <c r="AC367" i="1" s="1"/>
  <c r="AD367" i="1" s="1"/>
  <c r="AF367" i="1" s="1"/>
  <c r="AB351" i="1"/>
  <c r="AB338" i="1"/>
  <c r="AC338" i="1" s="1"/>
  <c r="AD338" i="1" s="1"/>
  <c r="AF338" i="1" s="1"/>
  <c r="AB326" i="1"/>
  <c r="AC326" i="1" s="1"/>
  <c r="AD326" i="1" s="1"/>
  <c r="AF326" i="1" s="1"/>
  <c r="AB313" i="1"/>
  <c r="AB301" i="1"/>
  <c r="AC301" i="1" s="1"/>
  <c r="AD301" i="1" s="1"/>
  <c r="AF301" i="1" s="1"/>
  <c r="AB289" i="1"/>
  <c r="AC289" i="1" s="1"/>
  <c r="AD289" i="1" s="1"/>
  <c r="AF289" i="1" s="1"/>
  <c r="AB277" i="1"/>
  <c r="AC277" i="1" s="1"/>
  <c r="AD277" i="1" s="1"/>
  <c r="AB265" i="1"/>
  <c r="AB253" i="1"/>
  <c r="AC253" i="1" s="1"/>
  <c r="AD253" i="1" s="1"/>
  <c r="AE253" i="1" s="1"/>
  <c r="AB241" i="1"/>
  <c r="AC241" i="1" s="1"/>
  <c r="AD241" i="1" s="1"/>
  <c r="AB229" i="1"/>
  <c r="AB217" i="1"/>
  <c r="AC217" i="1" s="1"/>
  <c r="AD217" i="1" s="1"/>
  <c r="AB205" i="1"/>
  <c r="AC205" i="1" s="1"/>
  <c r="AD205" i="1" s="1"/>
  <c r="AG205" i="1" s="1"/>
  <c r="AI205" i="1" s="1"/>
  <c r="AB193" i="1"/>
  <c r="AC193" i="1" s="1"/>
  <c r="AD193" i="1" s="1"/>
  <c r="AE193" i="1" s="1"/>
  <c r="AB181" i="1"/>
  <c r="AB169" i="1"/>
  <c r="AB156" i="1"/>
  <c r="AC156" i="1" s="1"/>
  <c r="AD156" i="1" s="1"/>
  <c r="AF156" i="1" s="1"/>
  <c r="AB143" i="1"/>
  <c r="AC143" i="1" s="1"/>
  <c r="AD143" i="1" s="1"/>
  <c r="AF143" i="1" s="1"/>
  <c r="AB131" i="1"/>
  <c r="AC131" i="1" s="1"/>
  <c r="AD131" i="1" s="1"/>
  <c r="AB119" i="1"/>
  <c r="AC119" i="1" s="1"/>
  <c r="AD119" i="1" s="1"/>
  <c r="AG119" i="1" s="1"/>
  <c r="AI119" i="1" s="1"/>
  <c r="AB106" i="1"/>
  <c r="AC106" i="1" s="1"/>
  <c r="AD106" i="1" s="1"/>
  <c r="AG106" i="1" s="1"/>
  <c r="AI106" i="1" s="1"/>
  <c r="AB94" i="1"/>
  <c r="AC94" i="1" s="1"/>
  <c r="AD94" i="1" s="1"/>
  <c r="AE94" i="1" s="1"/>
  <c r="AB82" i="1"/>
  <c r="AC82" i="1" s="1"/>
  <c r="AD82" i="1" s="1"/>
  <c r="AE82" i="1" s="1"/>
  <c r="AB70" i="1"/>
  <c r="AB58" i="1"/>
  <c r="AB46" i="1"/>
  <c r="AC46" i="1" s="1"/>
  <c r="AD46" i="1" s="1"/>
  <c r="AF46" i="1" s="1"/>
  <c r="AB34" i="1"/>
  <c r="AB22" i="1"/>
  <c r="AC22" i="1" s="1"/>
  <c r="AD22" i="1" s="1"/>
  <c r="AB10" i="1"/>
  <c r="AC10" i="1" s="1"/>
  <c r="AD10" i="1" s="1"/>
  <c r="AG10" i="1" s="1"/>
  <c r="AI10" i="1" s="1"/>
  <c r="AB695" i="1"/>
  <c r="AC695" i="1" s="1"/>
  <c r="AB619" i="1"/>
  <c r="AC619" i="1" s="1"/>
  <c r="AD619" i="1" s="1"/>
  <c r="AE619" i="1" s="1"/>
  <c r="AB547" i="1"/>
  <c r="AB487" i="1"/>
  <c r="AC487" i="1" s="1"/>
  <c r="AD487" i="1" s="1"/>
  <c r="AE487" i="1" s="1"/>
  <c r="AB411" i="1"/>
  <c r="AB322" i="1"/>
  <c r="AC322" i="1" s="1"/>
  <c r="AD322" i="1" s="1"/>
  <c r="AB237" i="1"/>
  <c r="AC237" i="1" s="1"/>
  <c r="AD237" i="1" s="1"/>
  <c r="AB139" i="1"/>
  <c r="AC139" i="1" s="1"/>
  <c r="AD139" i="1" s="1"/>
  <c r="AF139" i="1" s="1"/>
  <c r="AB702" i="1"/>
  <c r="AC702" i="1" s="1"/>
  <c r="AD702" i="1" s="1"/>
  <c r="AB651" i="1"/>
  <c r="AC651" i="1" s="1"/>
  <c r="AB614" i="1"/>
  <c r="AB566" i="1"/>
  <c r="AB530" i="1"/>
  <c r="AC530" i="1" s="1"/>
  <c r="AD530" i="1" s="1"/>
  <c r="AG530" i="1" s="1"/>
  <c r="AI530" i="1" s="1"/>
  <c r="AB482" i="1"/>
  <c r="AC482" i="1" s="1"/>
  <c r="AD482" i="1" s="1"/>
  <c r="AB432" i="1"/>
  <c r="AC432" i="1" s="1"/>
  <c r="AD432" i="1" s="1"/>
  <c r="AB394" i="1"/>
  <c r="AC394" i="1" s="1"/>
  <c r="AD394" i="1" s="1"/>
  <c r="AF394" i="1" s="1"/>
  <c r="AB354" i="1"/>
  <c r="AC354" i="1" s="1"/>
  <c r="AD354" i="1" s="1"/>
  <c r="AG354" i="1" s="1"/>
  <c r="AI354" i="1" s="1"/>
  <c r="AB292" i="1"/>
  <c r="AC292" i="1" s="1"/>
  <c r="AD292" i="1" s="1"/>
  <c r="AB232" i="1"/>
  <c r="AC232" i="1" s="1"/>
  <c r="AD232" i="1" s="1"/>
  <c r="AF232" i="1" s="1"/>
  <c r="AB122" i="1"/>
  <c r="AB73" i="1"/>
  <c r="AC73" i="1" s="1"/>
  <c r="AD73" i="1" s="1"/>
  <c r="AF73" i="1" s="1"/>
  <c r="AB25" i="1"/>
  <c r="AB689" i="1"/>
  <c r="AB663" i="1"/>
  <c r="AB637" i="1"/>
  <c r="AC637" i="1" s="1"/>
  <c r="AD637" i="1" s="1"/>
  <c r="AF637" i="1" s="1"/>
  <c r="AB613" i="1"/>
  <c r="AC613" i="1" s="1"/>
  <c r="AD613" i="1" s="1"/>
  <c r="AB589" i="1"/>
  <c r="AC589" i="1" s="1"/>
  <c r="AD589" i="1" s="1"/>
  <c r="AB565" i="1"/>
  <c r="AC565" i="1" s="1"/>
  <c r="AD565" i="1" s="1"/>
  <c r="AG565" i="1" s="1"/>
  <c r="AI565" i="1" s="1"/>
  <c r="AB541" i="1"/>
  <c r="AC541" i="1" s="1"/>
  <c r="AD541" i="1" s="1"/>
  <c r="AE541" i="1" s="1"/>
  <c r="AB517" i="1"/>
  <c r="AC517" i="1" s="1"/>
  <c r="AD517" i="1" s="1"/>
  <c r="AB493" i="1"/>
  <c r="AC493" i="1" s="1"/>
  <c r="AD493" i="1" s="1"/>
  <c r="AG493" i="1" s="1"/>
  <c r="AI493" i="1" s="1"/>
  <c r="AB468" i="1"/>
  <c r="AB444" i="1"/>
  <c r="AC444" i="1" s="1"/>
  <c r="AD444" i="1" s="1"/>
  <c r="AG444" i="1" s="1"/>
  <c r="AI444" i="1" s="1"/>
  <c r="AB417" i="1"/>
  <c r="AB393" i="1"/>
  <c r="AB369" i="1"/>
  <c r="AB340" i="1"/>
  <c r="AC340" i="1" s="1"/>
  <c r="AD340" i="1" s="1"/>
  <c r="AF340" i="1" s="1"/>
  <c r="AB316" i="1"/>
  <c r="AC316" i="1" s="1"/>
  <c r="AD316" i="1" s="1"/>
  <c r="AE316" i="1" s="1"/>
  <c r="AB291" i="1"/>
  <c r="AC291" i="1" s="1"/>
  <c r="AD291" i="1" s="1"/>
  <c r="AB267" i="1"/>
  <c r="AC267" i="1" s="1"/>
  <c r="AD267" i="1" s="1"/>
  <c r="AE267" i="1" s="1"/>
  <c r="AB243" i="1"/>
  <c r="AC243" i="1" s="1"/>
  <c r="AD243" i="1" s="1"/>
  <c r="AE243" i="1" s="1"/>
  <c r="AB219" i="1"/>
  <c r="AC219" i="1" s="1"/>
  <c r="AD219" i="1" s="1"/>
  <c r="AB195" i="1"/>
  <c r="AB171" i="1"/>
  <c r="AC171" i="1" s="1"/>
  <c r="AD171" i="1" s="1"/>
  <c r="AF171" i="1" s="1"/>
  <c r="AB145" i="1"/>
  <c r="AC145" i="1" s="1"/>
  <c r="AD145" i="1" s="1"/>
  <c r="AE145" i="1" s="1"/>
  <c r="AB121" i="1"/>
  <c r="AB96" i="1"/>
  <c r="AC96" i="1" s="1"/>
  <c r="AD96" i="1" s="1"/>
  <c r="AE96" i="1" s="1"/>
  <c r="AB72" i="1"/>
  <c r="AC72" i="1" s="1"/>
  <c r="AD72" i="1" s="1"/>
  <c r="AG72" i="1" s="1"/>
  <c r="AI72" i="1" s="1"/>
  <c r="AB48" i="1"/>
  <c r="AC48" i="1" s="1"/>
  <c r="AD48" i="1" s="1"/>
  <c r="AE48" i="1" s="1"/>
  <c r="AB24" i="1"/>
  <c r="AC24" i="1" s="1"/>
  <c r="AD24" i="1" s="1"/>
  <c r="AF24" i="1" s="1"/>
  <c r="AB688" i="1"/>
  <c r="AC688" i="1" s="1"/>
  <c r="AD688" i="1" s="1"/>
  <c r="AB662" i="1"/>
  <c r="AC662" i="1" s="1"/>
  <c r="AD662" i="1" s="1"/>
  <c r="AF662" i="1" s="1"/>
  <c r="AB636" i="1"/>
  <c r="AC636" i="1" s="1"/>
  <c r="AD636" i="1" s="1"/>
  <c r="AB612" i="1"/>
  <c r="AC612" i="1" s="1"/>
  <c r="AD612" i="1" s="1"/>
  <c r="AB588" i="1"/>
  <c r="AC588" i="1" s="1"/>
  <c r="AD588" i="1" s="1"/>
  <c r="AF588" i="1" s="1"/>
  <c r="AB564" i="1"/>
  <c r="AC564" i="1" s="1"/>
  <c r="AD564" i="1" s="1"/>
  <c r="AB540" i="1"/>
  <c r="AC540" i="1" s="1"/>
  <c r="AD540" i="1" s="1"/>
  <c r="AE540" i="1" s="1"/>
  <c r="AB516" i="1"/>
  <c r="AC516" i="1" s="1"/>
  <c r="AD516" i="1" s="1"/>
  <c r="AE516" i="1" s="1"/>
  <c r="AB492" i="1"/>
  <c r="AB467" i="1"/>
  <c r="AB443" i="1"/>
  <c r="AC443" i="1" s="1"/>
  <c r="AD443" i="1" s="1"/>
  <c r="AE443" i="1" s="1"/>
  <c r="AB416" i="1"/>
  <c r="AC416" i="1" s="1"/>
  <c r="AD416" i="1" s="1"/>
  <c r="AE416" i="1" s="1"/>
  <c r="AB392" i="1"/>
  <c r="AC392" i="1" s="1"/>
  <c r="AD392" i="1" s="1"/>
  <c r="AB368" i="1"/>
  <c r="AC368" i="1" s="1"/>
  <c r="AD368" i="1" s="1"/>
  <c r="AF368" i="1" s="1"/>
  <c r="AB339" i="1"/>
  <c r="AC339" i="1" s="1"/>
  <c r="AD339" i="1" s="1"/>
  <c r="AB315" i="1"/>
  <c r="AC315" i="1" s="1"/>
  <c r="AD315" i="1" s="1"/>
  <c r="AB290" i="1"/>
  <c r="AC290" i="1" s="1"/>
  <c r="AD290" i="1" s="1"/>
  <c r="AE290" i="1" s="1"/>
  <c r="AB266" i="1"/>
  <c r="AC266" i="1" s="1"/>
  <c r="AD266" i="1" s="1"/>
  <c r="AB242" i="1"/>
  <c r="AC242" i="1" s="1"/>
  <c r="AD242" i="1" s="1"/>
  <c r="AB218" i="1"/>
  <c r="AC218" i="1" s="1"/>
  <c r="AD218" i="1" s="1"/>
  <c r="AF218" i="1" s="1"/>
  <c r="AB194" i="1"/>
  <c r="AC194" i="1" s="1"/>
  <c r="AD194" i="1" s="1"/>
  <c r="AB182" i="1"/>
  <c r="AC182" i="1" s="1"/>
  <c r="AD182" i="1" s="1"/>
  <c r="AE182" i="1" s="1"/>
  <c r="AB170" i="1"/>
  <c r="AC170" i="1" s="1"/>
  <c r="AD170" i="1" s="1"/>
  <c r="AF170" i="1" s="1"/>
  <c r="AB144" i="1"/>
  <c r="AC144" i="1" s="1"/>
  <c r="AD144" i="1" s="1"/>
  <c r="AF144" i="1" s="1"/>
  <c r="AB120" i="1"/>
  <c r="AC120" i="1" s="1"/>
  <c r="AD120" i="1" s="1"/>
  <c r="AB95" i="1"/>
  <c r="AC95" i="1" s="1"/>
  <c r="AD95" i="1" s="1"/>
  <c r="AB71" i="1"/>
  <c r="AC71" i="1" s="1"/>
  <c r="AD71" i="1" s="1"/>
  <c r="AG71" i="1" s="1"/>
  <c r="AI71" i="1" s="1"/>
  <c r="AB47" i="1"/>
  <c r="AC47" i="1" s="1"/>
  <c r="AD47" i="1" s="1"/>
  <c r="AE47" i="1" s="1"/>
  <c r="AB23" i="1"/>
  <c r="AC23" i="1" s="1"/>
  <c r="AD23" i="1" s="1"/>
  <c r="AF23" i="1" s="1"/>
  <c r="AB699" i="1"/>
  <c r="AC699" i="1" s="1"/>
  <c r="AD699" i="1" s="1"/>
  <c r="AE699" i="1" s="1"/>
  <c r="AB673" i="1"/>
  <c r="AC673" i="1" s="1"/>
  <c r="AD673" i="1" s="1"/>
  <c r="AE673" i="1" s="1"/>
  <c r="AB661" i="1"/>
  <c r="AB635" i="1"/>
  <c r="AB611" i="1"/>
  <c r="AC611" i="1" s="1"/>
  <c r="AD611" i="1" s="1"/>
  <c r="AB710" i="1"/>
  <c r="AC710" i="1" s="1"/>
  <c r="AD710" i="1" s="1"/>
  <c r="AF710" i="1" s="1"/>
  <c r="AB698" i="1"/>
  <c r="AC698" i="1" s="1"/>
  <c r="AD698" i="1" s="1"/>
  <c r="AG698" i="1" s="1"/>
  <c r="AI698" i="1" s="1"/>
  <c r="AB686" i="1"/>
  <c r="AC686" i="1" s="1"/>
  <c r="AD686" i="1" s="1"/>
  <c r="AE686" i="1" s="1"/>
  <c r="AB660" i="1"/>
  <c r="AC660" i="1" s="1"/>
  <c r="AD660" i="1" s="1"/>
  <c r="AF660" i="1" s="1"/>
  <c r="AB647" i="1"/>
  <c r="BG647" i="1" s="1"/>
  <c r="AB634" i="1"/>
  <c r="AB622" i="1"/>
  <c r="AC622" i="1" s="1"/>
  <c r="AD622" i="1" s="1"/>
  <c r="AE622" i="1" s="1"/>
  <c r="AB610" i="1"/>
  <c r="AC610" i="1" s="1"/>
  <c r="AD610" i="1" s="1"/>
  <c r="AG610" i="1" s="1"/>
  <c r="AI610" i="1" s="1"/>
  <c r="AB598" i="1"/>
  <c r="AC598" i="1" s="1"/>
  <c r="AD598" i="1" s="1"/>
  <c r="AB586" i="1"/>
  <c r="AC586" i="1" s="1"/>
  <c r="AD586" i="1" s="1"/>
  <c r="AB574" i="1"/>
  <c r="AB562" i="1"/>
  <c r="AC562" i="1" s="1"/>
  <c r="AD562" i="1" s="1"/>
  <c r="AG562" i="1" s="1"/>
  <c r="AI562" i="1" s="1"/>
  <c r="AB550" i="1"/>
  <c r="AC550" i="1" s="1"/>
  <c r="AD550" i="1" s="1"/>
  <c r="AE550" i="1" s="1"/>
  <c r="AB538" i="1"/>
  <c r="AB526" i="1"/>
  <c r="AC526" i="1" s="1"/>
  <c r="AD526" i="1" s="1"/>
  <c r="AF526" i="1" s="1"/>
  <c r="AB514" i="1"/>
  <c r="AC514" i="1" s="1"/>
  <c r="AD514" i="1" s="1"/>
  <c r="AE514" i="1" s="1"/>
  <c r="AB502" i="1"/>
  <c r="AC502" i="1" s="1"/>
  <c r="AD502" i="1" s="1"/>
  <c r="AF502" i="1" s="1"/>
  <c r="AB490" i="1"/>
  <c r="AC490" i="1" s="1"/>
  <c r="AD490" i="1" s="1"/>
  <c r="AB477" i="1"/>
  <c r="AC477" i="1" s="1"/>
  <c r="AD477" i="1" s="1"/>
  <c r="AE477" i="1" s="1"/>
  <c r="AB465" i="1"/>
  <c r="AC465" i="1" s="1"/>
  <c r="AD465" i="1" s="1"/>
  <c r="AF465" i="1" s="1"/>
  <c r="AB453" i="1"/>
  <c r="AC453" i="1" s="1"/>
  <c r="AD453" i="1" s="1"/>
  <c r="AG453" i="1" s="1"/>
  <c r="AI453" i="1" s="1"/>
  <c r="AB440" i="1"/>
  <c r="AC440" i="1" s="1"/>
  <c r="AD440" i="1" s="1"/>
  <c r="AG440" i="1" s="1"/>
  <c r="AI440" i="1" s="1"/>
  <c r="AB428" i="1"/>
  <c r="AC428" i="1" s="1"/>
  <c r="AD428" i="1" s="1"/>
  <c r="AB414" i="1"/>
  <c r="AC414" i="1" s="1"/>
  <c r="AD414" i="1" s="1"/>
  <c r="AB402" i="1"/>
  <c r="AC402" i="1" s="1"/>
  <c r="AD402" i="1" s="1"/>
  <c r="AG402" i="1" s="1"/>
  <c r="AI402" i="1" s="1"/>
  <c r="AB390" i="1"/>
  <c r="AC390" i="1" s="1"/>
  <c r="AD390" i="1" s="1"/>
  <c r="AB378" i="1"/>
  <c r="AC378" i="1" s="1"/>
  <c r="AD378" i="1" s="1"/>
  <c r="AE378" i="1" s="1"/>
  <c r="AB366" i="1"/>
  <c r="AC366" i="1" s="1"/>
  <c r="AD366" i="1" s="1"/>
  <c r="AE366" i="1" s="1"/>
  <c r="AB350" i="1"/>
  <c r="AB337" i="1"/>
  <c r="AC337" i="1" s="1"/>
  <c r="AD337" i="1" s="1"/>
  <c r="AG337" i="1" s="1"/>
  <c r="AI337" i="1" s="1"/>
  <c r="AB325" i="1"/>
  <c r="AC325" i="1" s="1"/>
  <c r="AD325" i="1" s="1"/>
  <c r="AF325" i="1" s="1"/>
  <c r="AB312" i="1"/>
  <c r="AC312" i="1" s="1"/>
  <c r="AD312" i="1" s="1"/>
  <c r="AE312" i="1" s="1"/>
  <c r="AB300" i="1"/>
  <c r="AC300" i="1" s="1"/>
  <c r="AD300" i="1" s="1"/>
  <c r="AE300" i="1" s="1"/>
  <c r="AB288" i="1"/>
  <c r="AB276" i="1"/>
  <c r="AC276" i="1" s="1"/>
  <c r="AD276" i="1" s="1"/>
  <c r="AB264" i="1"/>
  <c r="AB252" i="1"/>
  <c r="AC252" i="1" s="1"/>
  <c r="AD252" i="1" s="1"/>
  <c r="AG252" i="1" s="1"/>
  <c r="AI252" i="1" s="1"/>
  <c r="AB240" i="1"/>
  <c r="AC240" i="1" s="1"/>
  <c r="AD240" i="1" s="1"/>
  <c r="AF240" i="1" s="1"/>
  <c r="AB228" i="1"/>
  <c r="AC228" i="1" s="1"/>
  <c r="AD228" i="1" s="1"/>
  <c r="AE228" i="1" s="1"/>
  <c r="AB216" i="1"/>
  <c r="AC216" i="1" s="1"/>
  <c r="AD216" i="1" s="1"/>
  <c r="AG216" i="1" s="1"/>
  <c r="AI216" i="1" s="1"/>
  <c r="AB204" i="1"/>
  <c r="AC204" i="1" s="1"/>
  <c r="AD204" i="1" s="1"/>
  <c r="AE204" i="1" s="1"/>
  <c r="AB192" i="1"/>
  <c r="AC192" i="1" s="1"/>
  <c r="AD192" i="1" s="1"/>
  <c r="AF192" i="1" s="1"/>
  <c r="AB180" i="1"/>
  <c r="AC180" i="1" s="1"/>
  <c r="AD180" i="1" s="1"/>
  <c r="AG180" i="1" s="1"/>
  <c r="AI180" i="1" s="1"/>
  <c r="AB168" i="1"/>
  <c r="AC168" i="1" s="1"/>
  <c r="AD168" i="1" s="1"/>
  <c r="AE168" i="1" s="1"/>
  <c r="AB155" i="1"/>
  <c r="AC155" i="1" s="1"/>
  <c r="AD155" i="1" s="1"/>
  <c r="AF155" i="1" s="1"/>
  <c r="AB142" i="1"/>
  <c r="AB130" i="1"/>
  <c r="AC130" i="1" s="1"/>
  <c r="AD130" i="1" s="1"/>
  <c r="AG130" i="1" s="1"/>
  <c r="AI130" i="1" s="1"/>
  <c r="AB118" i="1"/>
  <c r="AB105" i="1"/>
  <c r="AC105" i="1" s="1"/>
  <c r="AD105" i="1" s="1"/>
  <c r="AE105" i="1" s="1"/>
  <c r="AB93" i="1"/>
  <c r="AC93" i="1" s="1"/>
  <c r="AD93" i="1" s="1"/>
  <c r="AB81" i="1"/>
  <c r="AC81" i="1" s="1"/>
  <c r="AD81" i="1" s="1"/>
  <c r="AB69" i="1"/>
  <c r="AC69" i="1" s="1"/>
  <c r="AD69" i="1" s="1"/>
  <c r="AE69" i="1" s="1"/>
  <c r="AB57" i="1"/>
  <c r="AB45" i="1"/>
  <c r="AC45" i="1" s="1"/>
  <c r="AD45" i="1" s="1"/>
  <c r="AB33" i="1"/>
  <c r="AC33" i="1" s="1"/>
  <c r="AD33" i="1" s="1"/>
  <c r="AB21" i="1"/>
  <c r="AC21" i="1" s="1"/>
  <c r="AD21" i="1" s="1"/>
  <c r="AG21" i="1" s="1"/>
  <c r="AI21" i="1" s="1"/>
  <c r="AB9" i="1"/>
  <c r="AC9" i="1" s="1"/>
  <c r="AD9" i="1" s="1"/>
  <c r="AF9" i="1" s="1"/>
  <c r="AB595" i="1"/>
  <c r="AB511" i="1"/>
  <c r="AC511" i="1" s="1"/>
  <c r="AD511" i="1" s="1"/>
  <c r="AB437" i="1"/>
  <c r="AB363" i="1"/>
  <c r="AC363" i="1" s="1"/>
  <c r="AD363" i="1" s="1"/>
  <c r="AF363" i="1" s="1"/>
  <c r="AB261" i="1"/>
  <c r="AC261" i="1" s="1"/>
  <c r="AD261" i="1" s="1"/>
  <c r="AE261" i="1" s="1"/>
  <c r="AB152" i="1"/>
  <c r="AC152" i="1" s="1"/>
  <c r="AD152" i="1" s="1"/>
  <c r="AE152" i="1" s="1"/>
  <c r="AB676" i="1"/>
  <c r="AC676" i="1" s="1"/>
  <c r="AD676" i="1" s="1"/>
  <c r="AF676" i="1" s="1"/>
  <c r="AB626" i="1"/>
  <c r="AC626" i="1" s="1"/>
  <c r="AD626" i="1" s="1"/>
  <c r="AB578" i="1"/>
  <c r="AC578" i="1" s="1"/>
  <c r="AD578" i="1" s="1"/>
  <c r="AB518" i="1"/>
  <c r="AC518" i="1" s="1"/>
  <c r="AD518" i="1" s="1"/>
  <c r="AB445" i="1"/>
  <c r="AC445" i="1" s="1"/>
  <c r="AD445" i="1" s="1"/>
  <c r="AB382" i="1"/>
  <c r="AC382" i="1" s="1"/>
  <c r="AD382" i="1" s="1"/>
  <c r="AG382" i="1" s="1"/>
  <c r="AI382" i="1" s="1"/>
  <c r="AB317" i="1"/>
  <c r="AC317" i="1" s="1"/>
  <c r="AD317" i="1" s="1"/>
  <c r="AB268" i="1"/>
  <c r="AB220" i="1"/>
  <c r="AB184" i="1"/>
  <c r="AC184" i="1" s="1"/>
  <c r="AD184" i="1" s="1"/>
  <c r="AG184" i="1" s="1"/>
  <c r="AI184" i="1" s="1"/>
  <c r="AB134" i="1"/>
  <c r="AC134" i="1" s="1"/>
  <c r="AD134" i="1" s="1"/>
  <c r="AE134" i="1" s="1"/>
  <c r="AB85" i="1"/>
  <c r="AC85" i="1" s="1"/>
  <c r="AD85" i="1" s="1"/>
  <c r="AE85" i="1" s="1"/>
  <c r="AB37" i="1"/>
  <c r="AC37" i="1" s="1"/>
  <c r="AD37" i="1" s="1"/>
  <c r="AG37" i="1" s="1"/>
  <c r="AI37" i="1" s="1"/>
  <c r="AB709" i="1"/>
  <c r="AB501" i="1"/>
  <c r="AC501" i="1" s="1"/>
  <c r="AD501" i="1" s="1"/>
  <c r="AB707" i="1"/>
  <c r="AB644" i="1"/>
  <c r="AB571" i="1"/>
  <c r="AC571" i="1" s="1"/>
  <c r="AD571" i="1" s="1"/>
  <c r="AG571" i="1" s="1"/>
  <c r="AI571" i="1" s="1"/>
  <c r="AB499" i="1"/>
  <c r="AB425" i="1"/>
  <c r="AB346" i="1"/>
  <c r="AB285" i="1"/>
  <c r="AC285" i="1" s="1"/>
  <c r="AD285" i="1" s="1"/>
  <c r="AG285" i="1" s="1"/>
  <c r="AI285" i="1" s="1"/>
  <c r="AB189" i="1"/>
  <c r="AC189" i="1" s="1"/>
  <c r="AD189" i="1" s="1"/>
  <c r="AG189" i="1" s="1"/>
  <c r="AI189" i="1" s="1"/>
  <c r="AB114" i="1"/>
  <c r="AC114" i="1" s="1"/>
  <c r="AB690" i="1"/>
  <c r="AC690" i="1" s="1"/>
  <c r="AD690" i="1" s="1"/>
  <c r="AF690" i="1" s="1"/>
  <c r="AB639" i="1"/>
  <c r="AC639" i="1" s="1"/>
  <c r="AD639" i="1" s="1"/>
  <c r="AF639" i="1" s="1"/>
  <c r="AB590" i="1"/>
  <c r="AC590" i="1" s="1"/>
  <c r="AD590" i="1" s="1"/>
  <c r="AE590" i="1" s="1"/>
  <c r="AB542" i="1"/>
  <c r="AC542" i="1" s="1"/>
  <c r="AD542" i="1" s="1"/>
  <c r="AE542" i="1" s="1"/>
  <c r="AB494" i="1"/>
  <c r="AB457" i="1"/>
  <c r="AC457" i="1" s="1"/>
  <c r="AD457" i="1" s="1"/>
  <c r="AE457" i="1" s="1"/>
  <c r="AB406" i="1"/>
  <c r="AB341" i="1"/>
  <c r="AC341" i="1" s="1"/>
  <c r="AD341" i="1" s="1"/>
  <c r="AB280" i="1"/>
  <c r="AB244" i="1"/>
  <c r="AC244" i="1" s="1"/>
  <c r="AD244" i="1" s="1"/>
  <c r="AE244" i="1" s="1"/>
  <c r="AB196" i="1"/>
  <c r="AC196" i="1" s="1"/>
  <c r="AD196" i="1" s="1"/>
  <c r="AG196" i="1" s="1"/>
  <c r="AI196" i="1" s="1"/>
  <c r="AB146" i="1"/>
  <c r="AC146" i="1" s="1"/>
  <c r="AD146" i="1" s="1"/>
  <c r="AF146" i="1" s="1"/>
  <c r="AB109" i="1"/>
  <c r="AC109" i="1" s="1"/>
  <c r="AD109" i="1" s="1"/>
  <c r="AF109" i="1" s="1"/>
  <c r="AB61" i="1"/>
  <c r="AC61" i="1" s="1"/>
  <c r="AD61" i="1" s="1"/>
  <c r="AB13" i="1"/>
  <c r="AC13" i="1" s="1"/>
  <c r="AD13" i="1" s="1"/>
  <c r="AF13" i="1" s="1"/>
  <c r="AB697" i="1"/>
  <c r="AC697" i="1" s="1"/>
  <c r="AB684" i="1"/>
  <c r="AC684" i="1" s="1"/>
  <c r="AD684" i="1" s="1"/>
  <c r="AE684" i="1" s="1"/>
  <c r="AB671" i="1"/>
  <c r="BG671" i="1" s="1"/>
  <c r="AB658" i="1"/>
  <c r="AC658" i="1" s="1"/>
  <c r="AD658" i="1" s="1"/>
  <c r="AB646" i="1"/>
  <c r="AC646" i="1" s="1"/>
  <c r="AD646" i="1" s="1"/>
  <c r="AB633" i="1"/>
  <c r="AB621" i="1"/>
  <c r="AC621" i="1" s="1"/>
  <c r="AD621" i="1" s="1"/>
  <c r="AE621" i="1" s="1"/>
  <c r="AB609" i="1"/>
  <c r="AB597" i="1"/>
  <c r="AB585" i="1"/>
  <c r="AC585" i="1" s="1"/>
  <c r="AD585" i="1" s="1"/>
  <c r="AG585" i="1" s="1"/>
  <c r="AI585" i="1" s="1"/>
  <c r="AB573" i="1"/>
  <c r="AB561" i="1"/>
  <c r="AC561" i="1" s="1"/>
  <c r="AD561" i="1" s="1"/>
  <c r="AE561" i="1" s="1"/>
  <c r="AB549" i="1"/>
  <c r="AC549" i="1" s="1"/>
  <c r="AD549" i="1" s="1"/>
  <c r="AB537" i="1"/>
  <c r="AC537" i="1" s="1"/>
  <c r="AD537" i="1" s="1"/>
  <c r="AF537" i="1" s="1"/>
  <c r="AB525" i="1"/>
  <c r="AB513" i="1"/>
  <c r="AB489" i="1"/>
  <c r="AC489" i="1" s="1"/>
  <c r="AD489" i="1" s="1"/>
  <c r="AE489" i="1" s="1"/>
  <c r="AB476" i="1"/>
  <c r="AB464" i="1"/>
  <c r="AC464" i="1" s="1"/>
  <c r="AD464" i="1" s="1"/>
  <c r="AE464" i="1" s="1"/>
  <c r="AB452" i="1"/>
  <c r="AC452" i="1" s="1"/>
  <c r="AD452" i="1" s="1"/>
  <c r="AB439" i="1"/>
  <c r="AC439" i="1" s="1"/>
  <c r="AD439" i="1" s="1"/>
  <c r="AE439" i="1" s="1"/>
  <c r="AB427" i="1"/>
  <c r="AB413" i="1"/>
  <c r="AB401" i="1"/>
  <c r="AC401" i="1" s="1"/>
  <c r="AD401" i="1" s="1"/>
  <c r="AB389" i="1"/>
  <c r="AC389" i="1" s="1"/>
  <c r="AD389" i="1" s="1"/>
  <c r="AG389" i="1" s="1"/>
  <c r="AI389" i="1" s="1"/>
  <c r="AB377" i="1"/>
  <c r="AB365" i="1"/>
  <c r="AC365" i="1" s="1"/>
  <c r="AD365" i="1" s="1"/>
  <c r="AF365" i="1" s="1"/>
  <c r="AB349" i="1"/>
  <c r="AB336" i="1"/>
  <c r="AB324" i="1"/>
  <c r="AB311" i="1"/>
  <c r="AC311" i="1" s="1"/>
  <c r="AD311" i="1" s="1"/>
  <c r="AE311" i="1" s="1"/>
  <c r="AB299" i="1"/>
  <c r="AC299" i="1" s="1"/>
  <c r="AD299" i="1" s="1"/>
  <c r="AF299" i="1" s="1"/>
  <c r="AB287" i="1"/>
  <c r="AC287" i="1" s="1"/>
  <c r="AD287" i="1" s="1"/>
  <c r="AG287" i="1" s="1"/>
  <c r="AI287" i="1" s="1"/>
  <c r="AB275" i="1"/>
  <c r="AB263" i="1"/>
  <c r="AB251" i="1"/>
  <c r="AB239" i="1"/>
  <c r="AB227" i="1"/>
  <c r="AB215" i="1"/>
  <c r="AC215" i="1" s="1"/>
  <c r="AD215" i="1" s="1"/>
  <c r="AG215" i="1" s="1"/>
  <c r="AI215" i="1" s="1"/>
  <c r="AB203" i="1"/>
  <c r="AC203" i="1" s="1"/>
  <c r="AD203" i="1" s="1"/>
  <c r="AE203" i="1" s="1"/>
  <c r="AB191" i="1"/>
  <c r="AB179" i="1"/>
  <c r="AC179" i="1" s="1"/>
  <c r="AD179" i="1" s="1"/>
  <c r="AF179" i="1" s="1"/>
  <c r="AB166" i="1"/>
  <c r="AC166" i="1" s="1"/>
  <c r="AD166" i="1" s="1"/>
  <c r="AB154" i="1"/>
  <c r="AC154" i="1" s="1"/>
  <c r="AD154" i="1" s="1"/>
  <c r="AG154" i="1" s="1"/>
  <c r="AI154" i="1" s="1"/>
  <c r="AB141" i="1"/>
  <c r="AB129" i="1"/>
  <c r="AC129" i="1" s="1"/>
  <c r="AD129" i="1" s="1"/>
  <c r="AB117" i="1"/>
  <c r="AC117" i="1" s="1"/>
  <c r="AD117" i="1" s="1"/>
  <c r="AF117" i="1" s="1"/>
  <c r="AB104" i="1"/>
  <c r="AB92" i="1"/>
  <c r="AC92" i="1" s="1"/>
  <c r="AD92" i="1" s="1"/>
  <c r="AF92" i="1" s="1"/>
  <c r="AB80" i="1"/>
  <c r="AC80" i="1" s="1"/>
  <c r="AD80" i="1" s="1"/>
  <c r="AE80" i="1" s="1"/>
  <c r="AB68" i="1"/>
  <c r="AC68" i="1" s="1"/>
  <c r="AD68" i="1" s="1"/>
  <c r="AE68" i="1" s="1"/>
  <c r="AB56" i="1"/>
  <c r="AB44" i="1"/>
  <c r="AB32" i="1"/>
  <c r="AC32" i="1" s="1"/>
  <c r="AD32" i="1" s="1"/>
  <c r="AB20" i="1"/>
  <c r="AC20" i="1" s="1"/>
  <c r="AD20" i="1" s="1"/>
  <c r="AE20" i="1" s="1"/>
  <c r="AB8" i="1"/>
  <c r="AC8" i="1" s="1"/>
  <c r="AD8" i="1" s="1"/>
  <c r="AF8" i="1" s="1"/>
  <c r="AB708" i="1"/>
  <c r="AC708" i="1" s="1"/>
  <c r="AD708" i="1" s="1"/>
  <c r="AB696" i="1"/>
  <c r="AC696" i="1" s="1"/>
  <c r="AD696" i="1" s="1"/>
  <c r="AF696" i="1" s="1"/>
  <c r="AB683" i="1"/>
  <c r="AC683" i="1" s="1"/>
  <c r="AD683" i="1" s="1"/>
  <c r="AG683" i="1" s="1"/>
  <c r="AI683" i="1" s="1"/>
  <c r="AB670" i="1"/>
  <c r="AC670" i="1" s="1"/>
  <c r="AD670" i="1" s="1"/>
  <c r="AG670" i="1" s="1"/>
  <c r="AI670" i="1" s="1"/>
  <c r="AB657" i="1"/>
  <c r="AC657" i="1" s="1"/>
  <c r="AD657" i="1" s="1"/>
  <c r="AB645" i="1"/>
  <c r="AC645" i="1" s="1"/>
  <c r="AD645" i="1" s="1"/>
  <c r="AG645" i="1" s="1"/>
  <c r="AI645" i="1" s="1"/>
  <c r="AB632" i="1"/>
  <c r="AC632" i="1" s="1"/>
  <c r="AD632" i="1" s="1"/>
  <c r="AG632" i="1" s="1"/>
  <c r="AI632" i="1" s="1"/>
  <c r="AB620" i="1"/>
  <c r="AB608" i="1"/>
  <c r="AB596" i="1"/>
  <c r="AC596" i="1" s="1"/>
  <c r="AD596" i="1" s="1"/>
  <c r="AB584" i="1"/>
  <c r="AC584" i="1" s="1"/>
  <c r="AD584" i="1" s="1"/>
  <c r="AB572" i="1"/>
  <c r="AB560" i="1"/>
  <c r="AC560" i="1" s="1"/>
  <c r="AD560" i="1" s="1"/>
  <c r="AE560" i="1" s="1"/>
  <c r="AB548" i="1"/>
  <c r="AC548" i="1" s="1"/>
  <c r="AD548" i="1" s="1"/>
  <c r="AF548" i="1" s="1"/>
  <c r="AB536" i="1"/>
  <c r="AC536" i="1" s="1"/>
  <c r="AD536" i="1" s="1"/>
  <c r="AE536" i="1" s="1"/>
  <c r="AB524" i="1"/>
  <c r="AC524" i="1" s="1"/>
  <c r="AD524" i="1" s="1"/>
  <c r="AF524" i="1" s="1"/>
  <c r="AB512" i="1"/>
  <c r="AC512" i="1" s="1"/>
  <c r="AD512" i="1" s="1"/>
  <c r="AF512" i="1" s="1"/>
  <c r="AB500" i="1"/>
  <c r="AC500" i="1" s="1"/>
  <c r="AD500" i="1" s="1"/>
  <c r="AG500" i="1" s="1"/>
  <c r="AI500" i="1" s="1"/>
  <c r="AB488" i="1"/>
  <c r="AC488" i="1" s="1"/>
  <c r="AD488" i="1" s="1"/>
  <c r="AF488" i="1" s="1"/>
  <c r="AB475" i="1"/>
  <c r="AC475" i="1" s="1"/>
  <c r="AD475" i="1" s="1"/>
  <c r="AB463" i="1"/>
  <c r="AB451" i="1"/>
  <c r="AC451" i="1" s="1"/>
  <c r="AD451" i="1" s="1"/>
  <c r="AF451" i="1" s="1"/>
  <c r="AB438" i="1"/>
  <c r="AC438" i="1" s="1"/>
  <c r="AD438" i="1" s="1"/>
  <c r="AE438" i="1" s="1"/>
  <c r="AB426" i="1"/>
  <c r="AB412" i="1"/>
  <c r="AB400" i="1"/>
  <c r="AB388" i="1"/>
  <c r="AC388" i="1" s="1"/>
  <c r="AD388" i="1" s="1"/>
  <c r="AB376" i="1"/>
  <c r="AC376" i="1" s="1"/>
  <c r="AD376" i="1" s="1"/>
  <c r="AF376" i="1" s="1"/>
  <c r="AB364" i="1"/>
  <c r="AC364" i="1" s="1"/>
  <c r="AD364" i="1" s="1"/>
  <c r="AB348" i="1"/>
  <c r="AC348" i="1" s="1"/>
  <c r="AD348" i="1" s="1"/>
  <c r="AG348" i="1" s="1"/>
  <c r="AI348" i="1" s="1"/>
  <c r="AB335" i="1"/>
  <c r="AC335" i="1" s="1"/>
  <c r="AD335" i="1" s="1"/>
  <c r="AG335" i="1" s="1"/>
  <c r="AI335" i="1" s="1"/>
  <c r="AB323" i="1"/>
  <c r="AC323" i="1" s="1"/>
  <c r="AD323" i="1" s="1"/>
  <c r="AB310" i="1"/>
  <c r="AB298" i="1"/>
  <c r="AC298" i="1" s="1"/>
  <c r="AD298" i="1" s="1"/>
  <c r="AF298" i="1" s="1"/>
  <c r="AB286" i="1"/>
  <c r="AC286" i="1" s="1"/>
  <c r="AD286" i="1" s="1"/>
  <c r="AE286" i="1" s="1"/>
  <c r="AB274" i="1"/>
  <c r="AB262" i="1"/>
  <c r="AC262" i="1" s="1"/>
  <c r="AD262" i="1" s="1"/>
  <c r="AB250" i="1"/>
  <c r="AC250" i="1" s="1"/>
  <c r="AD250" i="1" s="1"/>
  <c r="AB238" i="1"/>
  <c r="AB226" i="1"/>
  <c r="AC226" i="1" s="1"/>
  <c r="AD226" i="1" s="1"/>
  <c r="AF226" i="1" s="1"/>
  <c r="AB214" i="1"/>
  <c r="AB202" i="1"/>
  <c r="AC202" i="1" s="1"/>
  <c r="AD202" i="1" s="1"/>
  <c r="AE202" i="1" s="1"/>
  <c r="AB190" i="1"/>
  <c r="AC190" i="1" s="1"/>
  <c r="AD190" i="1" s="1"/>
  <c r="AE190" i="1" s="1"/>
  <c r="AB178" i="1"/>
  <c r="AC178" i="1" s="1"/>
  <c r="AD178" i="1" s="1"/>
  <c r="AF178" i="1" s="1"/>
  <c r="AB165" i="1"/>
  <c r="AC165" i="1" s="1"/>
  <c r="AD165" i="1" s="1"/>
  <c r="AB153" i="1"/>
  <c r="AC153" i="1" s="1"/>
  <c r="AD153" i="1" s="1"/>
  <c r="AG153" i="1" s="1"/>
  <c r="AI153" i="1" s="1"/>
  <c r="AB140" i="1"/>
  <c r="AC140" i="1" s="1"/>
  <c r="AD140" i="1" s="1"/>
  <c r="AF140" i="1" s="1"/>
  <c r="AB128" i="1"/>
  <c r="AC128" i="1" s="1"/>
  <c r="AD128" i="1" s="1"/>
  <c r="AB116" i="1"/>
  <c r="AB103" i="1"/>
  <c r="AC103" i="1" s="1"/>
  <c r="AD103" i="1" s="1"/>
  <c r="AE103" i="1" s="1"/>
  <c r="AB91" i="1"/>
  <c r="AC91" i="1" s="1"/>
  <c r="AD91" i="1" s="1"/>
  <c r="AB79" i="1"/>
  <c r="AC79" i="1" s="1"/>
  <c r="AD79" i="1" s="1"/>
  <c r="AB67" i="1"/>
  <c r="AC67" i="1" s="1"/>
  <c r="AD67" i="1" s="1"/>
  <c r="AF67" i="1" s="1"/>
  <c r="AB55" i="1"/>
  <c r="AC55" i="1" s="1"/>
  <c r="AD55" i="1" s="1"/>
  <c r="AB43" i="1"/>
  <c r="AB31" i="1"/>
  <c r="AB19" i="1"/>
  <c r="AC19" i="1" s="1"/>
  <c r="AD19" i="1" s="1"/>
  <c r="AB7" i="1"/>
  <c r="BG188" i="1"/>
  <c r="BG245" i="1"/>
  <c r="AB187" i="1"/>
  <c r="AC187" i="1" s="1"/>
  <c r="AD187" i="1" s="1"/>
  <c r="BE250" i="1"/>
  <c r="BE167" i="1"/>
  <c r="BE343" i="1"/>
  <c r="BE111" i="1"/>
  <c r="AK498" i="1" l="1"/>
  <c r="AJ498" i="1"/>
  <c r="AK335" i="1"/>
  <c r="AJ335" i="1"/>
  <c r="AK215" i="1"/>
  <c r="AJ215" i="1"/>
  <c r="AK571" i="1"/>
  <c r="AJ571" i="1"/>
  <c r="AK382" i="1"/>
  <c r="AJ382" i="1"/>
  <c r="AK453" i="1"/>
  <c r="AJ453" i="1"/>
  <c r="AK444" i="1"/>
  <c r="AJ444" i="1"/>
  <c r="AK491" i="1"/>
  <c r="AJ491" i="1"/>
  <c r="AK687" i="1"/>
  <c r="AJ687" i="1"/>
  <c r="AK208" i="1"/>
  <c r="AJ208" i="1"/>
  <c r="AK74" i="1"/>
  <c r="AJ74" i="1"/>
  <c r="AK221" i="1"/>
  <c r="AJ221" i="1"/>
  <c r="AK678" i="1"/>
  <c r="AJ678" i="1"/>
  <c r="AK213" i="1"/>
  <c r="AJ213" i="1"/>
  <c r="AK51" i="1"/>
  <c r="AJ51" i="1"/>
  <c r="AK357" i="1"/>
  <c r="AJ357" i="1"/>
  <c r="AK150" i="1"/>
  <c r="AJ150" i="1"/>
  <c r="AK605" i="1"/>
  <c r="AJ605" i="1"/>
  <c r="AK348" i="1"/>
  <c r="AJ348" i="1"/>
  <c r="AK500" i="1"/>
  <c r="AJ500" i="1"/>
  <c r="AK645" i="1"/>
  <c r="AJ645" i="1"/>
  <c r="AK21" i="1"/>
  <c r="AJ21" i="1"/>
  <c r="AK610" i="1"/>
  <c r="AJ610" i="1"/>
  <c r="AK205" i="1"/>
  <c r="AJ205" i="1"/>
  <c r="AK352" i="1"/>
  <c r="AJ352" i="1"/>
  <c r="AK256" i="1"/>
  <c r="AJ256" i="1"/>
  <c r="AK345" i="1"/>
  <c r="AJ345" i="1"/>
  <c r="AK617" i="1"/>
  <c r="AJ617" i="1"/>
  <c r="AK546" i="1"/>
  <c r="AJ546" i="1"/>
  <c r="AK632" i="1"/>
  <c r="AJ632" i="1"/>
  <c r="AK389" i="1"/>
  <c r="AJ389" i="1"/>
  <c r="AK180" i="1"/>
  <c r="AJ180" i="1"/>
  <c r="AK493" i="1"/>
  <c r="AJ493" i="1"/>
  <c r="AK515" i="1"/>
  <c r="AJ515" i="1"/>
  <c r="AK380" i="1"/>
  <c r="AJ380" i="1"/>
  <c r="AK257" i="1"/>
  <c r="AJ257" i="1"/>
  <c r="AK407" i="1"/>
  <c r="AJ407" i="1"/>
  <c r="AK532" i="1"/>
  <c r="AJ532" i="1"/>
  <c r="AK679" i="1"/>
  <c r="AJ679" i="1"/>
  <c r="AK481" i="1"/>
  <c r="AJ481" i="1"/>
  <c r="AK337" i="1"/>
  <c r="AJ337" i="1"/>
  <c r="AK404" i="1"/>
  <c r="AJ404" i="1"/>
  <c r="AK577" i="1"/>
  <c r="AJ577" i="1"/>
  <c r="AK329" i="1"/>
  <c r="AJ329" i="1"/>
  <c r="AK420" i="1"/>
  <c r="AJ420" i="1"/>
  <c r="AK692" i="1"/>
  <c r="AJ692" i="1"/>
  <c r="AK176" i="1"/>
  <c r="AJ176" i="1"/>
  <c r="AK594" i="1"/>
  <c r="AJ594" i="1"/>
  <c r="AK670" i="1"/>
  <c r="AJ670" i="1"/>
  <c r="AK683" i="1"/>
  <c r="AJ683" i="1"/>
  <c r="AK71" i="1"/>
  <c r="AJ71" i="1"/>
  <c r="AK354" i="1"/>
  <c r="AJ354" i="1"/>
  <c r="AK391" i="1"/>
  <c r="AJ391" i="1"/>
  <c r="AK539" i="1"/>
  <c r="AJ539" i="1"/>
  <c r="AK12" i="1"/>
  <c r="AJ12" i="1"/>
  <c r="AK433" i="1"/>
  <c r="AJ433" i="1"/>
  <c r="AK130" i="1"/>
  <c r="AJ130" i="1"/>
  <c r="AK37" i="1"/>
  <c r="AJ37" i="1"/>
  <c r="AK216" i="1"/>
  <c r="AJ216" i="1"/>
  <c r="AK565" i="1"/>
  <c r="AJ565" i="1"/>
  <c r="AK106" i="1"/>
  <c r="AJ106" i="1"/>
  <c r="AK551" i="1"/>
  <c r="AJ551" i="1"/>
  <c r="AK419" i="1"/>
  <c r="AJ419" i="1"/>
  <c r="AK135" i="1"/>
  <c r="AJ135" i="1"/>
  <c r="AK446" i="1"/>
  <c r="AJ446" i="1"/>
  <c r="AK568" i="1"/>
  <c r="AJ568" i="1"/>
  <c r="AK235" i="1"/>
  <c r="AJ235" i="1"/>
  <c r="AK448" i="1"/>
  <c r="AJ448" i="1"/>
  <c r="AK557" i="1"/>
  <c r="AJ557" i="1"/>
  <c r="AK585" i="1"/>
  <c r="AJ585" i="1"/>
  <c r="AK287" i="1"/>
  <c r="AJ287" i="1"/>
  <c r="AK119" i="1"/>
  <c r="AJ119" i="1"/>
  <c r="AK469" i="1"/>
  <c r="AJ469" i="1"/>
  <c r="AK458" i="1"/>
  <c r="AJ458" i="1"/>
  <c r="AK247" i="1"/>
  <c r="AJ247" i="1"/>
  <c r="AK523" i="1"/>
  <c r="AJ523" i="1"/>
  <c r="AK440" i="1"/>
  <c r="AJ440" i="1"/>
  <c r="AK154" i="1"/>
  <c r="AJ154" i="1"/>
  <c r="AK196" i="1"/>
  <c r="AJ196" i="1"/>
  <c r="AK189" i="1"/>
  <c r="AJ189" i="1"/>
  <c r="AK698" i="1"/>
  <c r="AJ698" i="1"/>
  <c r="AK504" i="1"/>
  <c r="AJ504" i="1"/>
  <c r="AK14" i="1"/>
  <c r="AJ14" i="1"/>
  <c r="AK470" i="1"/>
  <c r="AJ470" i="1"/>
  <c r="AK137" i="1"/>
  <c r="AJ137" i="1"/>
  <c r="AK285" i="1"/>
  <c r="AJ285" i="1"/>
  <c r="AK252" i="1"/>
  <c r="AJ252" i="1"/>
  <c r="AK587" i="1"/>
  <c r="AJ587" i="1"/>
  <c r="AK108" i="1"/>
  <c r="AJ108" i="1"/>
  <c r="AK26" i="1"/>
  <c r="AJ26" i="1"/>
  <c r="AK627" i="1"/>
  <c r="AJ627" i="1"/>
  <c r="AK3" i="1"/>
  <c r="AJ3" i="1"/>
  <c r="AK604" i="1"/>
  <c r="AJ604" i="1"/>
  <c r="AK509" i="1"/>
  <c r="AJ509" i="1"/>
  <c r="AK424" i="1"/>
  <c r="AJ424" i="1"/>
  <c r="AK184" i="1"/>
  <c r="AJ184" i="1"/>
  <c r="AK402" i="1"/>
  <c r="AJ402" i="1"/>
  <c r="AK530" i="1"/>
  <c r="AJ530" i="1"/>
  <c r="AK153" i="1"/>
  <c r="AJ153" i="1"/>
  <c r="AK562" i="1"/>
  <c r="AJ562" i="1"/>
  <c r="AK72" i="1"/>
  <c r="AJ72" i="1"/>
  <c r="AK10" i="1"/>
  <c r="AJ10" i="1"/>
  <c r="AK161" i="1"/>
  <c r="AJ161" i="1"/>
  <c r="AK76" i="1"/>
  <c r="AJ76" i="1"/>
  <c r="BG665" i="1"/>
  <c r="AG326" i="1"/>
  <c r="AI326" i="1" s="1"/>
  <c r="AF516" i="1"/>
  <c r="BG558" i="1"/>
  <c r="BG582" i="1"/>
  <c r="AF333" i="1"/>
  <c r="AG344" i="1"/>
  <c r="AI344" i="1" s="1"/>
  <c r="AG455" i="1"/>
  <c r="AI455" i="1" s="1"/>
  <c r="BG51" i="1"/>
  <c r="BG344" i="1"/>
  <c r="AF624" i="1"/>
  <c r="BG101" i="1"/>
  <c r="AF101" i="1"/>
  <c r="BG531" i="1"/>
  <c r="BG150" i="1"/>
  <c r="AF208" i="1"/>
  <c r="BG125" i="1"/>
  <c r="AG5" i="1"/>
  <c r="AI5" i="1" s="1"/>
  <c r="BG397" i="1"/>
  <c r="AG101" i="1"/>
  <c r="AI101" i="1" s="1"/>
  <c r="AF498" i="1"/>
  <c r="AE450" i="1"/>
  <c r="BG444" i="1"/>
  <c r="BG498" i="1"/>
  <c r="BG505" i="1"/>
  <c r="BG522" i="1"/>
  <c r="AG46" i="1"/>
  <c r="AI46" i="1" s="1"/>
  <c r="AF106" i="1"/>
  <c r="BG604" i="1"/>
  <c r="BG687" i="1"/>
  <c r="BG702" i="1"/>
  <c r="BG208" i="1"/>
  <c r="BG333" i="1"/>
  <c r="AG333" i="1"/>
  <c r="AI333" i="1" s="1"/>
  <c r="AE155" i="1"/>
  <c r="BG165" i="1"/>
  <c r="BG230" i="1"/>
  <c r="BG135" i="1"/>
  <c r="AF135" i="1"/>
  <c r="AG248" i="1"/>
  <c r="AI248" i="1" s="1"/>
  <c r="BG450" i="1"/>
  <c r="BG690" i="1"/>
  <c r="AE662" i="1"/>
  <c r="AE690" i="1"/>
  <c r="BG409" i="1"/>
  <c r="AE679" i="1"/>
  <c r="AF404" i="1"/>
  <c r="BG329" i="1"/>
  <c r="AE404" i="1"/>
  <c r="BG562" i="1"/>
  <c r="BG63" i="1"/>
  <c r="AE63" i="1"/>
  <c r="BG87" i="1"/>
  <c r="AG684" i="1"/>
  <c r="AI684" i="1" s="1"/>
  <c r="BG266" i="1"/>
  <c r="BG246" i="1"/>
  <c r="BG503" i="1"/>
  <c r="BG348" i="1"/>
  <c r="BG401" i="1"/>
  <c r="AF80" i="1"/>
  <c r="AG514" i="1"/>
  <c r="AI514" i="1" s="1"/>
  <c r="AF679" i="1"/>
  <c r="BG490" i="1"/>
  <c r="BG585" i="1"/>
  <c r="AE345" i="1"/>
  <c r="BG518" i="1"/>
  <c r="BG497" i="1"/>
  <c r="BG233" i="1"/>
  <c r="BG23" i="1"/>
  <c r="BG28" i="1"/>
  <c r="BG379" i="1"/>
  <c r="AG155" i="1"/>
  <c r="AI155" i="1" s="1"/>
  <c r="BG372" i="1"/>
  <c r="BG693" i="1"/>
  <c r="BG544" i="1"/>
  <c r="AF585" i="1"/>
  <c r="BG107" i="1"/>
  <c r="BG691" i="1"/>
  <c r="BG88" i="1"/>
  <c r="AE407" i="1"/>
  <c r="AF532" i="1"/>
  <c r="BG577" i="1"/>
  <c r="BG384" i="1"/>
  <c r="AE171" i="1"/>
  <c r="BG21" i="1"/>
  <c r="AE109" i="1"/>
  <c r="AF610" i="1"/>
  <c r="AG580" i="1"/>
  <c r="AI580" i="1" s="1"/>
  <c r="BG132" i="1"/>
  <c r="BG515" i="1"/>
  <c r="BG300" i="1"/>
  <c r="BG361" i="1"/>
  <c r="AE551" i="1"/>
  <c r="AE433" i="1"/>
  <c r="AF699" i="1"/>
  <c r="AG450" i="1"/>
  <c r="AI450" i="1" s="1"/>
  <c r="AF352" i="1"/>
  <c r="BG529" i="1"/>
  <c r="BG553" i="1"/>
  <c r="BG86" i="1"/>
  <c r="BG249" i="1"/>
  <c r="AE670" i="1"/>
  <c r="AE563" i="1"/>
  <c r="AE446" i="1"/>
  <c r="BG9" i="1"/>
  <c r="BG207" i="1"/>
  <c r="AE340" i="1"/>
  <c r="AF673" i="1"/>
  <c r="AG505" i="1"/>
  <c r="AI505" i="1" s="1"/>
  <c r="BG162" i="1"/>
  <c r="AF402" i="1"/>
  <c r="BG291" i="1"/>
  <c r="BG147" i="1"/>
  <c r="AF184" i="1"/>
  <c r="AF252" i="1"/>
  <c r="BG540" i="1"/>
  <c r="BG441" i="1"/>
  <c r="BG603" i="1"/>
  <c r="BG262" i="1"/>
  <c r="BG335" i="1"/>
  <c r="AE402" i="1"/>
  <c r="AF215" i="1"/>
  <c r="AE146" i="1"/>
  <c r="BG289" i="1"/>
  <c r="AE483" i="1"/>
  <c r="AG338" i="1"/>
  <c r="AI338" i="1" s="1"/>
  <c r="AG701" i="1"/>
  <c r="AI701" i="1" s="1"/>
  <c r="AE247" i="1"/>
  <c r="AE580" i="1"/>
  <c r="BG303" i="1"/>
  <c r="BG421" i="1"/>
  <c r="BG462" i="1"/>
  <c r="AE676" i="1"/>
  <c r="AF455" i="1"/>
  <c r="BG660" i="1"/>
  <c r="BG146" i="1"/>
  <c r="BF250" i="1"/>
  <c r="BG487" i="1"/>
  <c r="AE16" i="1"/>
  <c r="AE287" i="1"/>
  <c r="AG410" i="1"/>
  <c r="AF487" i="1"/>
  <c r="AF551" i="1"/>
  <c r="AF446" i="1"/>
  <c r="AG293" i="1"/>
  <c r="AI293" i="1" s="1"/>
  <c r="BG368" i="1"/>
  <c r="BG415" i="1"/>
  <c r="BG541" i="1"/>
  <c r="BG281" i="1"/>
  <c r="BG556" i="1"/>
  <c r="BG5" i="1"/>
  <c r="BG618" i="1"/>
  <c r="BG523" i="1"/>
  <c r="AE394" i="1"/>
  <c r="AE591" i="1"/>
  <c r="AF410" i="1"/>
  <c r="AG535" i="1"/>
  <c r="AI535" i="1" s="1"/>
  <c r="AG591" i="1"/>
  <c r="AI591" i="1" s="1"/>
  <c r="AF12" i="1"/>
  <c r="AF293" i="1"/>
  <c r="AE631" i="1"/>
  <c r="BG430" i="1"/>
  <c r="AE12" i="1"/>
  <c r="BG433" i="1"/>
  <c r="AF247" i="1"/>
  <c r="BG446" i="1"/>
  <c r="BG451" i="1"/>
  <c r="AE135" i="1"/>
  <c r="AE535" i="1"/>
  <c r="AG422" i="1"/>
  <c r="AI422" i="1" s="1"/>
  <c r="AG103" i="1"/>
  <c r="AI103" i="1" s="1"/>
  <c r="AF419" i="1"/>
  <c r="BG366" i="1"/>
  <c r="AF514" i="1"/>
  <c r="BG565" i="1"/>
  <c r="BG106" i="1"/>
  <c r="BG535" i="1"/>
  <c r="BG563" i="1"/>
  <c r="BG681" i="1"/>
  <c r="BG419" i="1"/>
  <c r="AG60" i="1"/>
  <c r="AI60" i="1" s="1"/>
  <c r="BG548" i="1"/>
  <c r="BG481" i="1"/>
  <c r="BG60" i="1"/>
  <c r="BG69" i="1"/>
  <c r="BG2" i="1"/>
  <c r="BG422" i="1"/>
  <c r="BG374" i="1"/>
  <c r="BG539" i="1"/>
  <c r="BG403" i="1"/>
  <c r="AE326" i="1"/>
  <c r="AE107" i="1"/>
  <c r="AF539" i="1"/>
  <c r="AG438" i="1"/>
  <c r="AI438" i="1" s="1"/>
  <c r="AG107" i="1"/>
  <c r="AI107" i="1" s="1"/>
  <c r="AG690" i="1"/>
  <c r="AI690" i="1" s="1"/>
  <c r="AF565" i="1"/>
  <c r="AG487" i="1"/>
  <c r="AI487" i="1" s="1"/>
  <c r="BG293" i="1"/>
  <c r="BG568" i="1"/>
  <c r="BG643" i="1"/>
  <c r="BG551" i="1"/>
  <c r="AE419" i="1"/>
  <c r="AG36" i="1"/>
  <c r="AI36" i="1" s="1"/>
  <c r="BG111" i="1"/>
  <c r="BG589" i="1"/>
  <c r="BG394" i="1"/>
  <c r="BG580" i="1"/>
  <c r="BG631" i="1"/>
  <c r="AE422" i="1"/>
  <c r="AE693" i="1"/>
  <c r="AG631" i="1"/>
  <c r="AI631" i="1" s="1"/>
  <c r="BG676" i="1"/>
  <c r="BG706" i="1"/>
  <c r="BG662" i="1"/>
  <c r="BG378" i="1"/>
  <c r="BG579" i="1"/>
  <c r="BG258" i="1"/>
  <c r="BG514" i="1"/>
  <c r="BG398" i="1"/>
  <c r="BG90" i="1"/>
  <c r="BG91" i="1"/>
  <c r="AG366" i="1"/>
  <c r="AI366" i="1" s="1"/>
  <c r="AG109" i="1"/>
  <c r="AI109" i="1" s="1"/>
  <c r="AF433" i="1"/>
  <c r="BG109" i="1"/>
  <c r="BG235" i="1"/>
  <c r="AG603" i="1"/>
  <c r="AI603" i="1" s="1"/>
  <c r="BG455" i="1"/>
  <c r="AE36" i="1"/>
  <c r="BG12" i="1"/>
  <c r="AE106" i="1"/>
  <c r="AE2" i="1"/>
  <c r="BG36" i="1"/>
  <c r="BG458" i="1"/>
  <c r="AE660" i="1"/>
  <c r="BG83" i="1"/>
  <c r="BG243" i="1"/>
  <c r="BG123" i="1"/>
  <c r="BG591" i="1"/>
  <c r="BG270" i="1"/>
  <c r="BG16" i="1"/>
  <c r="BG545" i="1"/>
  <c r="BG410" i="1"/>
  <c r="BG114" i="1"/>
  <c r="BG103" i="1"/>
  <c r="AE539" i="1"/>
  <c r="AE565" i="1"/>
  <c r="AF69" i="1"/>
  <c r="AE424" i="1"/>
  <c r="AG52" i="1"/>
  <c r="AI52" i="1" s="1"/>
  <c r="AF629" i="1"/>
  <c r="AF587" i="1"/>
  <c r="AF94" i="1"/>
  <c r="AF18" i="1"/>
  <c r="AF366" i="1"/>
  <c r="AF670" i="1"/>
  <c r="AG443" i="1"/>
  <c r="AI443" i="1" s="1"/>
  <c r="AG244" i="1"/>
  <c r="AI244" i="1" s="1"/>
  <c r="AG243" i="1"/>
  <c r="AI243" i="1" s="1"/>
  <c r="AG629" i="1"/>
  <c r="AI629" i="1" s="1"/>
  <c r="AG94" i="1"/>
  <c r="AI94" i="1" s="1"/>
  <c r="BG271" i="1"/>
  <c r="BG424" i="1"/>
  <c r="BG683" i="1"/>
  <c r="BG140" i="1"/>
  <c r="BG701" i="1"/>
  <c r="BG37" i="1"/>
  <c r="BG26" i="1"/>
  <c r="BG306" i="1"/>
  <c r="BG216" i="1"/>
  <c r="BG536" i="1"/>
  <c r="BG486" i="1"/>
  <c r="BG502" i="1"/>
  <c r="BG117" i="1"/>
  <c r="AE587" i="1"/>
  <c r="AE170" i="1"/>
  <c r="AE637" i="1"/>
  <c r="AE184" i="1"/>
  <c r="AE26" i="1"/>
  <c r="AE627" i="1"/>
  <c r="AE486" i="1"/>
  <c r="AF52" i="1"/>
  <c r="AG143" i="1"/>
  <c r="AI143" i="1" s="1"/>
  <c r="AG54" i="1"/>
  <c r="AI54" i="1" s="1"/>
  <c r="AG656" i="1"/>
  <c r="AI656" i="1" s="1"/>
  <c r="AG477" i="1"/>
  <c r="AI477" i="1" s="1"/>
  <c r="AF443" i="1"/>
  <c r="AF244" i="1"/>
  <c r="AG267" i="1"/>
  <c r="AI267" i="1" s="1"/>
  <c r="AG590" i="1"/>
  <c r="AI590" i="1" s="1"/>
  <c r="AF438" i="1"/>
  <c r="AF701" i="1"/>
  <c r="BG438" i="1"/>
  <c r="BG380" i="1"/>
  <c r="BG72" i="1"/>
  <c r="BG637" i="1"/>
  <c r="BG550" i="1"/>
  <c r="BG252" i="1"/>
  <c r="BG129" i="1"/>
  <c r="AE230" i="1"/>
  <c r="AE3" i="1"/>
  <c r="AG162" i="1"/>
  <c r="AI162" i="1" s="1"/>
  <c r="AG117" i="1"/>
  <c r="AI117" i="1" s="1"/>
  <c r="AF54" i="1"/>
  <c r="AF656" i="1"/>
  <c r="AF477" i="1"/>
  <c r="AF148" i="1"/>
  <c r="AG340" i="1"/>
  <c r="AI340" i="1" s="1"/>
  <c r="BG330" i="1"/>
  <c r="AE459" i="1"/>
  <c r="AE710" i="1"/>
  <c r="AE252" i="1"/>
  <c r="AG18" i="1"/>
  <c r="AI18" i="1" s="1"/>
  <c r="BG339" i="1"/>
  <c r="BG48" i="1"/>
  <c r="BG639" i="1"/>
  <c r="BG402" i="1"/>
  <c r="BG530" i="1"/>
  <c r="BG483" i="1"/>
  <c r="BG710" i="1"/>
  <c r="BG510" i="1"/>
  <c r="BG18" i="1"/>
  <c r="BG656" i="1"/>
  <c r="BG311" i="1"/>
  <c r="AE143" i="1"/>
  <c r="AE380" i="1"/>
  <c r="AF162" i="1"/>
  <c r="AG306" i="1"/>
  <c r="AI306" i="1" s="1"/>
  <c r="AF285" i="1"/>
  <c r="AG464" i="1"/>
  <c r="AI464" i="1" s="1"/>
  <c r="AF604" i="1"/>
  <c r="AG69" i="1"/>
  <c r="AI69" i="1" s="1"/>
  <c r="AG394" i="1"/>
  <c r="AI394" i="1" s="1"/>
  <c r="AG676" i="1"/>
  <c r="AI676" i="1" s="1"/>
  <c r="BG443" i="1"/>
  <c r="BG41" i="1"/>
  <c r="BG695" i="1"/>
  <c r="AG311" i="1"/>
  <c r="AI311" i="1" s="1"/>
  <c r="BG71" i="1"/>
  <c r="BG255" i="1"/>
  <c r="BG587" i="1"/>
  <c r="BG459" i="1"/>
  <c r="BG464" i="1"/>
  <c r="AE289" i="1"/>
  <c r="AE530" i="1"/>
  <c r="AF311" i="1"/>
  <c r="AF424" i="1"/>
  <c r="AG621" i="1"/>
  <c r="AI621" i="1" s="1"/>
  <c r="AG289" i="1"/>
  <c r="AI289" i="1" s="1"/>
  <c r="AG105" i="1"/>
  <c r="AI105" i="1" s="1"/>
  <c r="AG528" i="1"/>
  <c r="AI528" i="1" s="1"/>
  <c r="AG483" i="1"/>
  <c r="AI483" i="1" s="1"/>
  <c r="AF26" i="1"/>
  <c r="BG54" i="1"/>
  <c r="BG244" i="1"/>
  <c r="BG52" i="1"/>
  <c r="BG509" i="1"/>
  <c r="AE554" i="1"/>
  <c r="AG486" i="1"/>
  <c r="AI486" i="1" s="1"/>
  <c r="AF105" i="1"/>
  <c r="AF528" i="1"/>
  <c r="BG143" i="1"/>
  <c r="AE179" i="1"/>
  <c r="AF41" i="1"/>
  <c r="AF627" i="1"/>
  <c r="AF103" i="1"/>
  <c r="AG230" i="1"/>
  <c r="AI230" i="1" s="1"/>
  <c r="AF530" i="1"/>
  <c r="AF3" i="1"/>
  <c r="BG184" i="1"/>
  <c r="AE604" i="1"/>
  <c r="AE285" i="1"/>
  <c r="AF464" i="1"/>
  <c r="BG528" i="1"/>
  <c r="AG41" i="1"/>
  <c r="AI41" i="1" s="1"/>
  <c r="AF621" i="1"/>
  <c r="AG637" i="1"/>
  <c r="AI637" i="1" s="1"/>
  <c r="BG340" i="1"/>
  <c r="BG354" i="1"/>
  <c r="BG627" i="1"/>
  <c r="BG629" i="1"/>
  <c r="BG285" i="1"/>
  <c r="BG105" i="1"/>
  <c r="AE515" i="1"/>
  <c r="AG459" i="1"/>
  <c r="AI459" i="1" s="1"/>
  <c r="AG441" i="1"/>
  <c r="AI441" i="1" s="1"/>
  <c r="AG140" i="1"/>
  <c r="AI140" i="1" s="1"/>
  <c r="AG660" i="1"/>
  <c r="AI660" i="1" s="1"/>
  <c r="AG662" i="1"/>
  <c r="AI662" i="1" s="1"/>
  <c r="AG554" i="1"/>
  <c r="AI554" i="1" s="1"/>
  <c r="BG554" i="1"/>
  <c r="BG94" i="1"/>
  <c r="BG173" i="1"/>
  <c r="BG3" i="1"/>
  <c r="AE512" i="1"/>
  <c r="BG621" i="1"/>
  <c r="AE441" i="1"/>
  <c r="AE140" i="1"/>
  <c r="BG170" i="1"/>
  <c r="BG367" i="1"/>
  <c r="BG67" i="1"/>
  <c r="AG710" i="1"/>
  <c r="AI710" i="1" s="1"/>
  <c r="AC609" i="1"/>
  <c r="AD609" i="1" s="1"/>
  <c r="BG609" i="1"/>
  <c r="AF277" i="1"/>
  <c r="AG277" i="1"/>
  <c r="AI277" i="1" s="1"/>
  <c r="AG675" i="1"/>
  <c r="AI675" i="1" s="1"/>
  <c r="AF675" i="1"/>
  <c r="AE615" i="1"/>
  <c r="AG615" i="1"/>
  <c r="AI615" i="1" s="1"/>
  <c r="AF374" i="1"/>
  <c r="AG374" i="1"/>
  <c r="AI374" i="1" s="1"/>
  <c r="BG144" i="1"/>
  <c r="BG675" i="1"/>
  <c r="BG694" i="1"/>
  <c r="BG619" i="1"/>
  <c r="AG529" i="1"/>
  <c r="AI529" i="1" s="1"/>
  <c r="BG480" i="1"/>
  <c r="BG381" i="1"/>
  <c r="BG445" i="1"/>
  <c r="BG160" i="1"/>
  <c r="BG470" i="1"/>
  <c r="BG592" i="1"/>
  <c r="BG435" i="1"/>
  <c r="BG139" i="1"/>
  <c r="BF501" i="1"/>
  <c r="AE372" i="1"/>
  <c r="AE603" i="1"/>
  <c r="AF196" i="1"/>
  <c r="AF529" i="1"/>
  <c r="AG2" i="1"/>
  <c r="AI2" i="1" s="1"/>
  <c r="BG206" i="1"/>
  <c r="BG504" i="1"/>
  <c r="BG192" i="1"/>
  <c r="BG134" i="1"/>
  <c r="BG469" i="1"/>
  <c r="BG282" i="1"/>
  <c r="BG137" i="1"/>
  <c r="BG472" i="1"/>
  <c r="BG29" i="1"/>
  <c r="BG436" i="1"/>
  <c r="BG152" i="1"/>
  <c r="BG537" i="1"/>
  <c r="AE119" i="1"/>
  <c r="AE240" i="1"/>
  <c r="AE28" i="1"/>
  <c r="AG80" i="1"/>
  <c r="AI80" i="1" s="1"/>
  <c r="AG132" i="1"/>
  <c r="AI132" i="1" s="1"/>
  <c r="AC274" i="1"/>
  <c r="AD274" i="1" s="1"/>
  <c r="BG274" i="1"/>
  <c r="AF390" i="1"/>
  <c r="AG390" i="1"/>
  <c r="AI390" i="1" s="1"/>
  <c r="AE390" i="1"/>
  <c r="AG131" i="1"/>
  <c r="AI131" i="1" s="1"/>
  <c r="AF131" i="1"/>
  <c r="AC429" i="1"/>
  <c r="AD429" i="1" s="1"/>
  <c r="BG429" i="1"/>
  <c r="AE14" i="1"/>
  <c r="AF14" i="1"/>
  <c r="AC593" i="1"/>
  <c r="AD593" i="1" s="1"/>
  <c r="BG593" i="1"/>
  <c r="BG189" i="1"/>
  <c r="AG144" i="1"/>
  <c r="AI144" i="1" s="1"/>
  <c r="AF266" i="1"/>
  <c r="AE266" i="1"/>
  <c r="AG266" i="1"/>
  <c r="AI266" i="1" s="1"/>
  <c r="AC543" i="1"/>
  <c r="AD543" i="1" s="1"/>
  <c r="BG543" i="1"/>
  <c r="AF691" i="1"/>
  <c r="AE691" i="1"/>
  <c r="AF435" i="1"/>
  <c r="AG435" i="1"/>
  <c r="AI435" i="1" s="1"/>
  <c r="AE113" i="1"/>
  <c r="AF113" i="1"/>
  <c r="AG113" i="1"/>
  <c r="AI113" i="1" s="1"/>
  <c r="AC222" i="1"/>
  <c r="AD222" i="1" s="1"/>
  <c r="AE222" i="1" s="1"/>
  <c r="BG222" i="1"/>
  <c r="AC666" i="1"/>
  <c r="AD666" i="1" s="1"/>
  <c r="AE666" i="1" s="1"/>
  <c r="BG666" i="1"/>
  <c r="AC358" i="1"/>
  <c r="AD358" i="1" s="1"/>
  <c r="BG358" i="1"/>
  <c r="AC201" i="1"/>
  <c r="AD201" i="1" s="1"/>
  <c r="BG201" i="1"/>
  <c r="BG564" i="1"/>
  <c r="BG465" i="1"/>
  <c r="BG171" i="1"/>
  <c r="BG119" i="1"/>
  <c r="BG196" i="1"/>
  <c r="BG175" i="1"/>
  <c r="BG176" i="1"/>
  <c r="BG228" i="1"/>
  <c r="BG261" i="1"/>
  <c r="BG524" i="1"/>
  <c r="BG8" i="1"/>
  <c r="AE205" i="1"/>
  <c r="AF119" i="1"/>
  <c r="AF189" i="1"/>
  <c r="AG82" i="1"/>
  <c r="AI82" i="1" s="1"/>
  <c r="AG563" i="1"/>
  <c r="AI563" i="1" s="1"/>
  <c r="AF206" i="1"/>
  <c r="AC214" i="1"/>
  <c r="AD214" i="1" s="1"/>
  <c r="AG214" i="1" s="1"/>
  <c r="AI214" i="1" s="1"/>
  <c r="BG214" i="1"/>
  <c r="AF364" i="1"/>
  <c r="AE364" i="1"/>
  <c r="AC239" i="1"/>
  <c r="BG239" i="1"/>
  <c r="AC707" i="1"/>
  <c r="AD707" i="1" s="1"/>
  <c r="AG707" i="1" s="1"/>
  <c r="AI707" i="1" s="1"/>
  <c r="BG707" i="1"/>
  <c r="AF518" i="1"/>
  <c r="AE518" i="1"/>
  <c r="AC70" i="1"/>
  <c r="AD70" i="1" s="1"/>
  <c r="BG70" i="1"/>
  <c r="AE217" i="1"/>
  <c r="AF217" i="1"/>
  <c r="AG35" i="1"/>
  <c r="AI35" i="1" s="1"/>
  <c r="AF35" i="1"/>
  <c r="AF255" i="1"/>
  <c r="AE255" i="1"/>
  <c r="AG255" i="1"/>
  <c r="AI255" i="1" s="1"/>
  <c r="AF555" i="1"/>
  <c r="AE555" i="1"/>
  <c r="AE460" i="1"/>
  <c r="AF460" i="1"/>
  <c r="AC138" i="1"/>
  <c r="AD138" i="1" s="1"/>
  <c r="AG138" i="1" s="1"/>
  <c r="AI138" i="1" s="1"/>
  <c r="BG138" i="1"/>
  <c r="AG630" i="1"/>
  <c r="AI630" i="1" s="1"/>
  <c r="AE630" i="1"/>
  <c r="AC334" i="1"/>
  <c r="AD334" i="1" s="1"/>
  <c r="AF334" i="1" s="1"/>
  <c r="BG334" i="1"/>
  <c r="AG75" i="1"/>
  <c r="AI75" i="1" s="1"/>
  <c r="AE75" i="1"/>
  <c r="AF75" i="1"/>
  <c r="AC234" i="1"/>
  <c r="AD234" i="1" s="1"/>
  <c r="BG234" i="1"/>
  <c r="AF384" i="1"/>
  <c r="AG384" i="1"/>
  <c r="AI384" i="1" s="1"/>
  <c r="AE384" i="1"/>
  <c r="AG570" i="1"/>
  <c r="AI570" i="1" s="1"/>
  <c r="AF570" i="1"/>
  <c r="AE570" i="1"/>
  <c r="AC572" i="1"/>
  <c r="AD572" i="1" s="1"/>
  <c r="BG572" i="1"/>
  <c r="AF613" i="1"/>
  <c r="AG613" i="1"/>
  <c r="AI613" i="1" s="1"/>
  <c r="AC272" i="1"/>
  <c r="AD272" i="1" s="1"/>
  <c r="AF272" i="1" s="1"/>
  <c r="BG272" i="1"/>
  <c r="AC136" i="1"/>
  <c r="AD136" i="1" s="1"/>
  <c r="BG136" i="1"/>
  <c r="AC259" i="1"/>
  <c r="AD259" i="1" s="1"/>
  <c r="AG259" i="1" s="1"/>
  <c r="AI259" i="1" s="1"/>
  <c r="BG259" i="1"/>
  <c r="AF564" i="1"/>
  <c r="AE564" i="1"/>
  <c r="AC58" i="1"/>
  <c r="AD58" i="1" s="1"/>
  <c r="BG58" i="1"/>
  <c r="AF503" i="1"/>
  <c r="AG503" i="1"/>
  <c r="AI503" i="1" s="1"/>
  <c r="AF231" i="1"/>
  <c r="AE231" i="1"/>
  <c r="AC273" i="1"/>
  <c r="AD273" i="1" s="1"/>
  <c r="AG273" i="1" s="1"/>
  <c r="AI273" i="1" s="1"/>
  <c r="BG273" i="1"/>
  <c r="BG699" i="1"/>
  <c r="BG560" i="1"/>
  <c r="AE196" i="1"/>
  <c r="AF287" i="1"/>
  <c r="AG376" i="1"/>
  <c r="AI376" i="1" s="1"/>
  <c r="AE376" i="1"/>
  <c r="AE59" i="1"/>
  <c r="AG59" i="1"/>
  <c r="AI59" i="1" s="1"/>
  <c r="AF386" i="1"/>
  <c r="AG386" i="1"/>
  <c r="AI386" i="1" s="1"/>
  <c r="AF87" i="1"/>
  <c r="AE87" i="1"/>
  <c r="AC396" i="1"/>
  <c r="AD396" i="1" s="1"/>
  <c r="AF396" i="1" s="1"/>
  <c r="BG396" i="1"/>
  <c r="AC538" i="1"/>
  <c r="AD538" i="1" s="1"/>
  <c r="AG538" i="1" s="1"/>
  <c r="AI538" i="1" s="1"/>
  <c r="BG538" i="1"/>
  <c r="AC30" i="1"/>
  <c r="AD30" i="1" s="1"/>
  <c r="BG30" i="1"/>
  <c r="AG29" i="1"/>
  <c r="AI29" i="1" s="1"/>
  <c r="AE29" i="1"/>
  <c r="AE131" i="1"/>
  <c r="AE504" i="1"/>
  <c r="AE613" i="1"/>
  <c r="BG93" i="1"/>
  <c r="AE374" i="1"/>
  <c r="AF504" i="1"/>
  <c r="AC227" i="1"/>
  <c r="AD227" i="1" s="1"/>
  <c r="BG227" i="1"/>
  <c r="AC644" i="1"/>
  <c r="AD644" i="1" s="1"/>
  <c r="BG644" i="1"/>
  <c r="AE21" i="1"/>
  <c r="AF21" i="1"/>
  <c r="AC351" i="1"/>
  <c r="AD351" i="1" s="1"/>
  <c r="AG351" i="1" s="1"/>
  <c r="AI351" i="1" s="1"/>
  <c r="BG351" i="1"/>
  <c r="BG352" i="1"/>
  <c r="AG401" i="1"/>
  <c r="AI401" i="1" s="1"/>
  <c r="AF401" i="1"/>
  <c r="AG192" i="1"/>
  <c r="AI192" i="1" s="1"/>
  <c r="AE192" i="1"/>
  <c r="AF379" i="1"/>
  <c r="AG379" i="1"/>
  <c r="AI379" i="1" s="1"/>
  <c r="AE379" i="1"/>
  <c r="AF211" i="1"/>
  <c r="AG211" i="1"/>
  <c r="AI211" i="1" s="1"/>
  <c r="BG613" i="1"/>
  <c r="BG277" i="1"/>
  <c r="BG14" i="1"/>
  <c r="BG615" i="1"/>
  <c r="BG131" i="1"/>
  <c r="AE277" i="1"/>
  <c r="AE132" i="1"/>
  <c r="AG175" i="1"/>
  <c r="AI175" i="1" s="1"/>
  <c r="AF205" i="1"/>
  <c r="AG261" i="1"/>
  <c r="AI261" i="1" s="1"/>
  <c r="AG316" i="1"/>
  <c r="AI316" i="1" s="1"/>
  <c r="AF91" i="1"/>
  <c r="AE91" i="1"/>
  <c r="AC238" i="1"/>
  <c r="AD238" i="1" s="1"/>
  <c r="BG238" i="1"/>
  <c r="AF536" i="1"/>
  <c r="AG536" i="1"/>
  <c r="AI536" i="1" s="1"/>
  <c r="AE683" i="1"/>
  <c r="AF683" i="1"/>
  <c r="AG639" i="1"/>
  <c r="AI639" i="1" s="1"/>
  <c r="AE639" i="1"/>
  <c r="AC709" i="1"/>
  <c r="AD709" i="1" s="1"/>
  <c r="BG709" i="1"/>
  <c r="AC57" i="1"/>
  <c r="AD57" i="1" s="1"/>
  <c r="AE57" i="1" s="1"/>
  <c r="BG57" i="1"/>
  <c r="AG204" i="1"/>
  <c r="AI204" i="1" s="1"/>
  <c r="AF204" i="1"/>
  <c r="AC350" i="1"/>
  <c r="AD350" i="1" s="1"/>
  <c r="BG350" i="1"/>
  <c r="AC647" i="1"/>
  <c r="AD647" i="1" s="1"/>
  <c r="BF647" i="1"/>
  <c r="AG339" i="1"/>
  <c r="AI339" i="1" s="1"/>
  <c r="AE339" i="1"/>
  <c r="AG541" i="1"/>
  <c r="AI541" i="1" s="1"/>
  <c r="AF541" i="1"/>
  <c r="AC411" i="1"/>
  <c r="AD411" i="1" s="1"/>
  <c r="BG411" i="1"/>
  <c r="AE241" i="1"/>
  <c r="AF241" i="1"/>
  <c r="AF430" i="1"/>
  <c r="AG430" i="1"/>
  <c r="AI430" i="1" s="1"/>
  <c r="AG303" i="1"/>
  <c r="AI303" i="1" s="1"/>
  <c r="AF303" i="1"/>
  <c r="AE303" i="1"/>
  <c r="AE123" i="1"/>
  <c r="AF123" i="1"/>
  <c r="AG123" i="1"/>
  <c r="AI123" i="1" s="1"/>
  <c r="AF281" i="1"/>
  <c r="AG281" i="1"/>
  <c r="AI281" i="1" s="1"/>
  <c r="AF579" i="1"/>
  <c r="AG579" i="1"/>
  <c r="AI579" i="1" s="1"/>
  <c r="AC64" i="1"/>
  <c r="AD64" i="1" s="1"/>
  <c r="AG64" i="1" s="1"/>
  <c r="AI64" i="1" s="1"/>
  <c r="BG64" i="1"/>
  <c r="AC521" i="1"/>
  <c r="AD521" i="1" s="1"/>
  <c r="AF521" i="1" s="1"/>
  <c r="BG521" i="1"/>
  <c r="AC224" i="1"/>
  <c r="AD224" i="1" s="1"/>
  <c r="BG224" i="1"/>
  <c r="AE398" i="1"/>
  <c r="AF398" i="1"/>
  <c r="AG398" i="1"/>
  <c r="AI398" i="1" s="1"/>
  <c r="AC99" i="1"/>
  <c r="AD99" i="1" s="1"/>
  <c r="BG99" i="1"/>
  <c r="AF258" i="1"/>
  <c r="AG258" i="1"/>
  <c r="AI258" i="1" s="1"/>
  <c r="AC408" i="1"/>
  <c r="AD408" i="1" s="1"/>
  <c r="BG408" i="1"/>
  <c r="AF556" i="1"/>
  <c r="AG556" i="1"/>
  <c r="AI556" i="1" s="1"/>
  <c r="AC704" i="1"/>
  <c r="AD704" i="1" s="1"/>
  <c r="BG704" i="1"/>
  <c r="AC223" i="1"/>
  <c r="AD223" i="1" s="1"/>
  <c r="BG223" i="1"/>
  <c r="AC200" i="1"/>
  <c r="AD200" i="1" s="1"/>
  <c r="BG200" i="1"/>
  <c r="AF375" i="1"/>
  <c r="AG375" i="1"/>
  <c r="AI375" i="1" s="1"/>
  <c r="AC426" i="1"/>
  <c r="AD426" i="1" s="1"/>
  <c r="AE426" i="1" s="1"/>
  <c r="BG426" i="1"/>
  <c r="AF482" i="1"/>
  <c r="AE482" i="1"/>
  <c r="AG482" i="1"/>
  <c r="AI482" i="1" s="1"/>
  <c r="AC575" i="1"/>
  <c r="AD575" i="1" s="1"/>
  <c r="AG575" i="1" s="1"/>
  <c r="AI575" i="1" s="1"/>
  <c r="BG575" i="1"/>
  <c r="AF506" i="1"/>
  <c r="AG506" i="1"/>
  <c r="AI506" i="1" s="1"/>
  <c r="AE506" i="1"/>
  <c r="AF137" i="1"/>
  <c r="AE137" i="1"/>
  <c r="AC461" i="1"/>
  <c r="AD461" i="1" s="1"/>
  <c r="BG461" i="1"/>
  <c r="AC682" i="1"/>
  <c r="AD682" i="1" s="1"/>
  <c r="BG682" i="1"/>
  <c r="AC40" i="1"/>
  <c r="AD40" i="1" s="1"/>
  <c r="BG40" i="1"/>
  <c r="AC583" i="1"/>
  <c r="AD583" i="1" s="1"/>
  <c r="BG583" i="1"/>
  <c r="BG482" i="1"/>
  <c r="BG128" i="1"/>
  <c r="AE189" i="1"/>
  <c r="BG240" i="1"/>
  <c r="BG698" i="1"/>
  <c r="BG506" i="1"/>
  <c r="AF29" i="1"/>
  <c r="AG206" i="1"/>
  <c r="AI206" i="1" s="1"/>
  <c r="AG537" i="1"/>
  <c r="AI537" i="1" s="1"/>
  <c r="AE537" i="1"/>
  <c r="AF445" i="1"/>
  <c r="AE445" i="1"/>
  <c r="AG445" i="1"/>
  <c r="AI445" i="1" s="1"/>
  <c r="AE256" i="1"/>
  <c r="AF256" i="1"/>
  <c r="BG11" i="1"/>
  <c r="BG205" i="1"/>
  <c r="BG312" i="1"/>
  <c r="AC251" i="1"/>
  <c r="AD251" i="1" s="1"/>
  <c r="AE251" i="1" s="1"/>
  <c r="BG251" i="1"/>
  <c r="AF561" i="1"/>
  <c r="AG561" i="1"/>
  <c r="AI561" i="1" s="1"/>
  <c r="AG490" i="1"/>
  <c r="AI490" i="1" s="1"/>
  <c r="AF490" i="1"/>
  <c r="AE490" i="1"/>
  <c r="AC634" i="1"/>
  <c r="AD634" i="1" s="1"/>
  <c r="AF634" i="1" s="1"/>
  <c r="BG634" i="1"/>
  <c r="AF322" i="1"/>
  <c r="AG322" i="1"/>
  <c r="AI322" i="1" s="1"/>
  <c r="AC229" i="1"/>
  <c r="AD229" i="1" s="1"/>
  <c r="AE229" i="1" s="1"/>
  <c r="BG229" i="1"/>
  <c r="AF527" i="1"/>
  <c r="AG527" i="1"/>
  <c r="AI527" i="1" s="1"/>
  <c r="AG567" i="1"/>
  <c r="AI567" i="1" s="1"/>
  <c r="AE567" i="1"/>
  <c r="AG246" i="1"/>
  <c r="AI246" i="1" s="1"/>
  <c r="AF246" i="1"/>
  <c r="BG688" i="1"/>
  <c r="BG231" i="1"/>
  <c r="BG305" i="1"/>
  <c r="BG247" i="1"/>
  <c r="BG708" i="1"/>
  <c r="BG526" i="1"/>
  <c r="BG256" i="1"/>
  <c r="BG318" i="1"/>
  <c r="BG520" i="1"/>
  <c r="BG345" i="1"/>
  <c r="BG390" i="1"/>
  <c r="BG287" i="1"/>
  <c r="BG82" i="1"/>
  <c r="AE144" i="1"/>
  <c r="AE60" i="1"/>
  <c r="AE354" i="1"/>
  <c r="AE117" i="1"/>
  <c r="AF175" i="1"/>
  <c r="AG699" i="1"/>
  <c r="AI699" i="1" s="1"/>
  <c r="AG241" i="1"/>
  <c r="AI241" i="1" s="1"/>
  <c r="AG592" i="1"/>
  <c r="AI592" i="1" s="1"/>
  <c r="AF261" i="1"/>
  <c r="AG619" i="1"/>
  <c r="AI619" i="1" s="1"/>
  <c r="AG240" i="1"/>
  <c r="AI240" i="1" s="1"/>
  <c r="AF339" i="1"/>
  <c r="AF316" i="1"/>
  <c r="AE93" i="1"/>
  <c r="AF93" i="1"/>
  <c r="AG93" i="1"/>
  <c r="AI93" i="1" s="1"/>
  <c r="AE160" i="1"/>
  <c r="AF160" i="1"/>
  <c r="AG160" i="1"/>
  <c r="AI160" i="1" s="1"/>
  <c r="AC485" i="1"/>
  <c r="AD485" i="1" s="1"/>
  <c r="BG485" i="1"/>
  <c r="BG416" i="1"/>
  <c r="BG299" i="1"/>
  <c r="AF592" i="1"/>
  <c r="AF619" i="1"/>
  <c r="AE262" i="1"/>
  <c r="AF262" i="1"/>
  <c r="AG262" i="1"/>
  <c r="AI262" i="1" s="1"/>
  <c r="AC412" i="1"/>
  <c r="AD412" i="1" s="1"/>
  <c r="BG412" i="1"/>
  <c r="AF560" i="1"/>
  <c r="AG560" i="1"/>
  <c r="AI560" i="1" s="1"/>
  <c r="AF708" i="1"/>
  <c r="AG708" i="1"/>
  <c r="AI708" i="1" s="1"/>
  <c r="AE708" i="1"/>
  <c r="AC141" i="1"/>
  <c r="AD141" i="1" s="1"/>
  <c r="AG141" i="1" s="1"/>
  <c r="AI141" i="1" s="1"/>
  <c r="BG141" i="1"/>
  <c r="AC597" i="1"/>
  <c r="AD597" i="1" s="1"/>
  <c r="BG597" i="1"/>
  <c r="AF228" i="1"/>
  <c r="AG228" i="1"/>
  <c r="AI228" i="1" s="1"/>
  <c r="AG526" i="1"/>
  <c r="AI526" i="1" s="1"/>
  <c r="AE526" i="1"/>
  <c r="AF291" i="1"/>
  <c r="AE291" i="1"/>
  <c r="AG291" i="1"/>
  <c r="AI291" i="1" s="1"/>
  <c r="AF589" i="1"/>
  <c r="AG589" i="1"/>
  <c r="AI589" i="1" s="1"/>
  <c r="AE589" i="1"/>
  <c r="AG415" i="1"/>
  <c r="AI415" i="1" s="1"/>
  <c r="AE415" i="1"/>
  <c r="AF480" i="1"/>
  <c r="AG480" i="1"/>
  <c r="AI480" i="1" s="1"/>
  <c r="AE480" i="1"/>
  <c r="AF305" i="1"/>
  <c r="AG305" i="1"/>
  <c r="AI305" i="1" s="1"/>
  <c r="AE458" i="1"/>
  <c r="AF458" i="1"/>
  <c r="AC569" i="1"/>
  <c r="AD569" i="1" s="1"/>
  <c r="AF569" i="1" s="1"/>
  <c r="BG569" i="1"/>
  <c r="AC260" i="1"/>
  <c r="AD260" i="1" s="1"/>
  <c r="BG260" i="1"/>
  <c r="AC6" i="1"/>
  <c r="AD6" i="1" s="1"/>
  <c r="BG6" i="1"/>
  <c r="AC124" i="1"/>
  <c r="AD124" i="1" s="1"/>
  <c r="BG124" i="1"/>
  <c r="AC434" i="1"/>
  <c r="AD434" i="1" s="1"/>
  <c r="BG434" i="1"/>
  <c r="AF472" i="1"/>
  <c r="AG472" i="1"/>
  <c r="AI472" i="1" s="1"/>
  <c r="AE472" i="1"/>
  <c r="AC668" i="1"/>
  <c r="AD668" i="1" s="1"/>
  <c r="BG668" i="1"/>
  <c r="AE523" i="1"/>
  <c r="AF523" i="1"/>
  <c r="BG215" i="1"/>
  <c r="AF382" i="1"/>
  <c r="AE338" i="1"/>
  <c r="AE215" i="1"/>
  <c r="AG516" i="1"/>
  <c r="AI516" i="1" s="1"/>
  <c r="AF357" i="1"/>
  <c r="AE453" i="1"/>
  <c r="AF491" i="1"/>
  <c r="AF453" i="1"/>
  <c r="BG658" i="1"/>
  <c r="AE687" i="1"/>
  <c r="AE508" i="1"/>
  <c r="AE92" i="1"/>
  <c r="AF678" i="1"/>
  <c r="AF5" i="1"/>
  <c r="AF684" i="1"/>
  <c r="AG193" i="1"/>
  <c r="AI193" i="1" s="1"/>
  <c r="AG691" i="1"/>
  <c r="AI691" i="1" s="1"/>
  <c r="AF407" i="1"/>
  <c r="AF74" i="1"/>
  <c r="BG610" i="1"/>
  <c r="BG113" i="1"/>
  <c r="AE610" i="1"/>
  <c r="AE520" i="1"/>
  <c r="AE77" i="1"/>
  <c r="AE139" i="1"/>
  <c r="AG582" i="1"/>
  <c r="AI582" i="1" s="1"/>
  <c r="AG63" i="1"/>
  <c r="AI63" i="1" s="1"/>
  <c r="AG372" i="1"/>
  <c r="AI372" i="1" s="1"/>
  <c r="AG171" i="1"/>
  <c r="AI171" i="1" s="1"/>
  <c r="AF98" i="1"/>
  <c r="AG508" i="1"/>
  <c r="AI508" i="1" s="1"/>
  <c r="BG365" i="1"/>
  <c r="AE397" i="1"/>
  <c r="AE221" i="1"/>
  <c r="AG139" i="1"/>
  <c r="AI139" i="1" s="1"/>
  <c r="AF645" i="1"/>
  <c r="AF540" i="1"/>
  <c r="AG518" i="1"/>
  <c r="AI518" i="1" s="1"/>
  <c r="BG389" i="1"/>
  <c r="AE653" i="1"/>
  <c r="AE505" i="1"/>
  <c r="AE126" i="1"/>
  <c r="AE498" i="1"/>
  <c r="AE177" i="1"/>
  <c r="AG320" i="1"/>
  <c r="AI320" i="1" s="1"/>
  <c r="AG465" i="1"/>
  <c r="AI465" i="1" s="1"/>
  <c r="AF622" i="1"/>
  <c r="AG564" i="1"/>
  <c r="AI564" i="1" s="1"/>
  <c r="AG520" i="1"/>
  <c r="AI520" i="1" s="1"/>
  <c r="AG231" i="1"/>
  <c r="AI231" i="1" s="1"/>
  <c r="AE503" i="1"/>
  <c r="AE465" i="1"/>
  <c r="AE558" i="1"/>
  <c r="AF320" i="1"/>
  <c r="AG217" i="1"/>
  <c r="AI217" i="1" s="1"/>
  <c r="AG451" i="1"/>
  <c r="AI451" i="1" s="1"/>
  <c r="AF481" i="1"/>
  <c r="AG542" i="1"/>
  <c r="AI542" i="1" s="1"/>
  <c r="AC220" i="1"/>
  <c r="AD220" i="1" s="1"/>
  <c r="BG220" i="1"/>
  <c r="AC264" i="1"/>
  <c r="AD264" i="1" s="1"/>
  <c r="BG264" i="1"/>
  <c r="AF611" i="1"/>
  <c r="AG611" i="1"/>
  <c r="AI611" i="1" s="1"/>
  <c r="AE611" i="1"/>
  <c r="AC369" i="1"/>
  <c r="AD369" i="1" s="1"/>
  <c r="BG369" i="1"/>
  <c r="AC566" i="1"/>
  <c r="AD566" i="1" s="1"/>
  <c r="BG566" i="1"/>
  <c r="AC471" i="1"/>
  <c r="AD471" i="1" s="1"/>
  <c r="AF471" i="1" s="1"/>
  <c r="BG471" i="1"/>
  <c r="AE42" i="1"/>
  <c r="AG42" i="1"/>
  <c r="AI42" i="1" s="1"/>
  <c r="AC310" i="1"/>
  <c r="AD310" i="1" s="1"/>
  <c r="AE310" i="1" s="1"/>
  <c r="BG310" i="1"/>
  <c r="AF428" i="1"/>
  <c r="AG428" i="1"/>
  <c r="AI428" i="1" s="1"/>
  <c r="AC635" i="1"/>
  <c r="AD635" i="1" s="1"/>
  <c r="BG635" i="1"/>
  <c r="AC689" i="1"/>
  <c r="AD689" i="1" s="1"/>
  <c r="AE689" i="1" s="1"/>
  <c r="BG689" i="1"/>
  <c r="AC507" i="1"/>
  <c r="AD507" i="1" s="1"/>
  <c r="BG507" i="1"/>
  <c r="AC534" i="1"/>
  <c r="AD534" i="1" s="1"/>
  <c r="BG534" i="1"/>
  <c r="BG10" i="1"/>
  <c r="BG355" i="1"/>
  <c r="BG42" i="1"/>
  <c r="AG179" i="1"/>
  <c r="AI179" i="1" s="1"/>
  <c r="AC620" i="1"/>
  <c r="AD620" i="1" s="1"/>
  <c r="AE620" i="1" s="1"/>
  <c r="BG620" i="1"/>
  <c r="AC56" i="1"/>
  <c r="AD56" i="1" s="1"/>
  <c r="BG56" i="1"/>
  <c r="AF203" i="1"/>
  <c r="AG203" i="1"/>
  <c r="AI203" i="1" s="1"/>
  <c r="AC349" i="1"/>
  <c r="AD349" i="1" s="1"/>
  <c r="BG349" i="1"/>
  <c r="AC513" i="1"/>
  <c r="AD513" i="1" s="1"/>
  <c r="BG513" i="1"/>
  <c r="AF658" i="1"/>
  <c r="AE658" i="1"/>
  <c r="AG658" i="1"/>
  <c r="AI658" i="1" s="1"/>
  <c r="AC406" i="1"/>
  <c r="BG406" i="1"/>
  <c r="AE317" i="1"/>
  <c r="AF317" i="1"/>
  <c r="AG317" i="1"/>
  <c r="AI317" i="1" s="1"/>
  <c r="AC595" i="1"/>
  <c r="AD595" i="1" s="1"/>
  <c r="BG595" i="1"/>
  <c r="AC142" i="1"/>
  <c r="AD142" i="1" s="1"/>
  <c r="BG142" i="1"/>
  <c r="AC288" i="1"/>
  <c r="AD288" i="1" s="1"/>
  <c r="AG288" i="1" s="1"/>
  <c r="AI288" i="1" s="1"/>
  <c r="BG288" i="1"/>
  <c r="AF586" i="1"/>
  <c r="AG586" i="1"/>
  <c r="AI586" i="1" s="1"/>
  <c r="AE586" i="1"/>
  <c r="AC661" i="1"/>
  <c r="AD661" i="1" s="1"/>
  <c r="AE661" i="1" s="1"/>
  <c r="BG661" i="1"/>
  <c r="AG218" i="1"/>
  <c r="AI218" i="1" s="1"/>
  <c r="AE218" i="1"/>
  <c r="AC121" i="1"/>
  <c r="AD121" i="1" s="1"/>
  <c r="BG121" i="1"/>
  <c r="AC417" i="1"/>
  <c r="AD417" i="1" s="1"/>
  <c r="BG417" i="1"/>
  <c r="AC25" i="1"/>
  <c r="AD25" i="1" s="1"/>
  <c r="BG25" i="1"/>
  <c r="AC479" i="1"/>
  <c r="BG479" i="1"/>
  <c r="AE648" i="1"/>
  <c r="AG648" i="1"/>
  <c r="AI648" i="1" s="1"/>
  <c r="AC600" i="1"/>
  <c r="AD600" i="1" s="1"/>
  <c r="AF600" i="1" s="1"/>
  <c r="BG600" i="1"/>
  <c r="AC183" i="1"/>
  <c r="AD183" i="1" s="1"/>
  <c r="BG183" i="1"/>
  <c r="AF159" i="1"/>
  <c r="AG159" i="1"/>
  <c r="AI159" i="1" s="1"/>
  <c r="AC102" i="1"/>
  <c r="AD102" i="1" s="1"/>
  <c r="BG102" i="1"/>
  <c r="AC62" i="1"/>
  <c r="AD62" i="1" s="1"/>
  <c r="BG62" i="1"/>
  <c r="AC209" i="1"/>
  <c r="AD209" i="1" s="1"/>
  <c r="BG209" i="1"/>
  <c r="AC371" i="1"/>
  <c r="AD371" i="1" s="1"/>
  <c r="BG371" i="1"/>
  <c r="AF373" i="1"/>
  <c r="AG373" i="1"/>
  <c r="AI373" i="1" s="1"/>
  <c r="AE373" i="1"/>
  <c r="AC321" i="1"/>
  <c r="AD321" i="1" s="1"/>
  <c r="BG321" i="1"/>
  <c r="AC198" i="1"/>
  <c r="AD198" i="1" s="1"/>
  <c r="AE198" i="1" s="1"/>
  <c r="BG198" i="1"/>
  <c r="AC343" i="1"/>
  <c r="AD343" i="1" s="1"/>
  <c r="BF343" i="1"/>
  <c r="AC496" i="1"/>
  <c r="AD496" i="1" s="1"/>
  <c r="BG496" i="1"/>
  <c r="AC641" i="1"/>
  <c r="AD641" i="1" s="1"/>
  <c r="BG641" i="1"/>
  <c r="AF125" i="1"/>
  <c r="AG125" i="1"/>
  <c r="AI125" i="1" s="1"/>
  <c r="AC581" i="1"/>
  <c r="AD581" i="1" s="1"/>
  <c r="BG581" i="1"/>
  <c r="AC89" i="1"/>
  <c r="AD89" i="1" s="1"/>
  <c r="BG89" i="1"/>
  <c r="BG159" i="1"/>
  <c r="BG298" i="1"/>
  <c r="BG22" i="1"/>
  <c r="AE125" i="1"/>
  <c r="AE481" i="1"/>
  <c r="AG558" i="1"/>
  <c r="AI558" i="1" s="1"/>
  <c r="BG182" i="1"/>
  <c r="BG640" i="1"/>
  <c r="BG320" i="1"/>
  <c r="BG475" i="1"/>
  <c r="BG78" i="1"/>
  <c r="AC7" i="1"/>
  <c r="AD7" i="1" s="1"/>
  <c r="BG7" i="1"/>
  <c r="AC346" i="1"/>
  <c r="AD346" i="1" s="1"/>
  <c r="BG346" i="1"/>
  <c r="AF414" i="1"/>
  <c r="AG414" i="1"/>
  <c r="AI414" i="1" s="1"/>
  <c r="AE72" i="1"/>
  <c r="AF72" i="1"/>
  <c r="AC599" i="1"/>
  <c r="AD599" i="1" s="1"/>
  <c r="AF599" i="1" s="1"/>
  <c r="BG599" i="1"/>
  <c r="AG38" i="1"/>
  <c r="AI38" i="1" s="1"/>
  <c r="AE38" i="1"/>
  <c r="AF640" i="1"/>
  <c r="AE640" i="1"/>
  <c r="AC296" i="1"/>
  <c r="AD296" i="1" s="1"/>
  <c r="BG296" i="1"/>
  <c r="AC15" i="1"/>
  <c r="AD15" i="1" s="1"/>
  <c r="AF15" i="1" s="1"/>
  <c r="BG15" i="1"/>
  <c r="AC53" i="1"/>
  <c r="AD53" i="1" s="1"/>
  <c r="AF53" i="1" s="1"/>
  <c r="BG53" i="1"/>
  <c r="AC608" i="1"/>
  <c r="AD608" i="1" s="1"/>
  <c r="AF608" i="1" s="1"/>
  <c r="BG608" i="1"/>
  <c r="AF646" i="1"/>
  <c r="AE646" i="1"/>
  <c r="AC492" i="1"/>
  <c r="AD492" i="1" s="1"/>
  <c r="AE492" i="1" s="1"/>
  <c r="BG492" i="1"/>
  <c r="AF22" i="1"/>
  <c r="AG22" i="1"/>
  <c r="AI22" i="1" s="1"/>
  <c r="AE22" i="1"/>
  <c r="AC313" i="1"/>
  <c r="AD313" i="1" s="1"/>
  <c r="AE313" i="1" s="1"/>
  <c r="BG313" i="1"/>
  <c r="AC623" i="1"/>
  <c r="AD623" i="1" s="1"/>
  <c r="BG623" i="1"/>
  <c r="AC158" i="1"/>
  <c r="AD158" i="1" s="1"/>
  <c r="AF158" i="1" s="1"/>
  <c r="BG158" i="1"/>
  <c r="AC664" i="1"/>
  <c r="AD664" i="1" s="1"/>
  <c r="BG664" i="1"/>
  <c r="AC127" i="1"/>
  <c r="AD127" i="1" s="1"/>
  <c r="AF127" i="1" s="1"/>
  <c r="BG127" i="1"/>
  <c r="AC331" i="1"/>
  <c r="AD331" i="1" s="1"/>
  <c r="BG331" i="1"/>
  <c r="AC484" i="1"/>
  <c r="AD484" i="1" s="1"/>
  <c r="BG484" i="1"/>
  <c r="AC100" i="1"/>
  <c r="AD100" i="1" s="1"/>
  <c r="BG100" i="1"/>
  <c r="AC307" i="1"/>
  <c r="AD307" i="1" s="1"/>
  <c r="BG307" i="1"/>
  <c r="AC65" i="1"/>
  <c r="AD65" i="1" s="1"/>
  <c r="BG65" i="1"/>
  <c r="AF596" i="1"/>
  <c r="AG596" i="1"/>
  <c r="AI596" i="1" s="1"/>
  <c r="AC280" i="1"/>
  <c r="AD280" i="1" s="1"/>
  <c r="AF280" i="1" s="1"/>
  <c r="BG280" i="1"/>
  <c r="AC118" i="1"/>
  <c r="AD118" i="1" s="1"/>
  <c r="BG118" i="1"/>
  <c r="AF182" i="1"/>
  <c r="AG182" i="1"/>
  <c r="AI182" i="1" s="1"/>
  <c r="AF602" i="1"/>
  <c r="AG602" i="1"/>
  <c r="AI602" i="1" s="1"/>
  <c r="AF533" i="1"/>
  <c r="AE533" i="1"/>
  <c r="BG153" i="1"/>
  <c r="AE130" i="1"/>
  <c r="AF130" i="1"/>
  <c r="AC614" i="1"/>
  <c r="AD614" i="1" s="1"/>
  <c r="BG614" i="1"/>
  <c r="AC278" i="1"/>
  <c r="AD278" i="1" s="1"/>
  <c r="BG278" i="1"/>
  <c r="AC97" i="1"/>
  <c r="AD97" i="1" s="1"/>
  <c r="AE97" i="1" s="1"/>
  <c r="BG97" i="1"/>
  <c r="AC50" i="1"/>
  <c r="AD50" i="1" s="1"/>
  <c r="AE50" i="1" s="1"/>
  <c r="BG50" i="1"/>
  <c r="AC308" i="1"/>
  <c r="AD308" i="1" s="1"/>
  <c r="BG308" i="1"/>
  <c r="AC186" i="1"/>
  <c r="AD186" i="1" s="1"/>
  <c r="AG186" i="1" s="1"/>
  <c r="AI186" i="1" s="1"/>
  <c r="BG186" i="1"/>
  <c r="AC628" i="1"/>
  <c r="AD628" i="1" s="1"/>
  <c r="BG628" i="1"/>
  <c r="AE557" i="1"/>
  <c r="AF557" i="1"/>
  <c r="BG194" i="1"/>
  <c r="BG533" i="1"/>
  <c r="BG648" i="1"/>
  <c r="BG39" i="1"/>
  <c r="BG557" i="1"/>
  <c r="AE355" i="1"/>
  <c r="AE562" i="1"/>
  <c r="AE428" i="1"/>
  <c r="AG533" i="1"/>
  <c r="AI533" i="1" s="1"/>
  <c r="AC476" i="1"/>
  <c r="AD476" i="1" s="1"/>
  <c r="BG476" i="1"/>
  <c r="AC437" i="1"/>
  <c r="AD437" i="1" s="1"/>
  <c r="BG437" i="1"/>
  <c r="AC467" i="1"/>
  <c r="AD467" i="1" s="1"/>
  <c r="AF467" i="1" s="1"/>
  <c r="BG467" i="1"/>
  <c r="AC663" i="1"/>
  <c r="AD663" i="1" s="1"/>
  <c r="BG663" i="1"/>
  <c r="AG156" i="1"/>
  <c r="AI156" i="1" s="1"/>
  <c r="AE156" i="1"/>
  <c r="AC454" i="1"/>
  <c r="AD454" i="1" s="1"/>
  <c r="BG454" i="1"/>
  <c r="AC133" i="1"/>
  <c r="AD133" i="1" s="1"/>
  <c r="AF133" i="1" s="1"/>
  <c r="BG133" i="1"/>
  <c r="AC49" i="1"/>
  <c r="AD49" i="1" s="1"/>
  <c r="BG49" i="1"/>
  <c r="AC185" i="1"/>
  <c r="AD185" i="1" s="1"/>
  <c r="BG185" i="1"/>
  <c r="AC342" i="1"/>
  <c r="AD342" i="1" s="1"/>
  <c r="BG342" i="1"/>
  <c r="AF78" i="1"/>
  <c r="AG78" i="1"/>
  <c r="AI78" i="1" s="1"/>
  <c r="AC319" i="1"/>
  <c r="AD319" i="1" s="1"/>
  <c r="AF319" i="1" s="1"/>
  <c r="BG319" i="1"/>
  <c r="AC295" i="1"/>
  <c r="AD295" i="1" s="1"/>
  <c r="AF295" i="1" s="1"/>
  <c r="BG295" i="1"/>
  <c r="AC449" i="1"/>
  <c r="AD449" i="1" s="1"/>
  <c r="AF449" i="1" s="1"/>
  <c r="BG449" i="1"/>
  <c r="AG19" i="1"/>
  <c r="AI19" i="1" s="1"/>
  <c r="AE19" i="1"/>
  <c r="AC44" i="1"/>
  <c r="AD44" i="1" s="1"/>
  <c r="AG44" i="1" s="1"/>
  <c r="AI44" i="1" s="1"/>
  <c r="BG44" i="1"/>
  <c r="AC336" i="1"/>
  <c r="AD336" i="1" s="1"/>
  <c r="BG336" i="1"/>
  <c r="AC425" i="1"/>
  <c r="AD425" i="1" s="1"/>
  <c r="BG425" i="1"/>
  <c r="AF194" i="1"/>
  <c r="AG194" i="1"/>
  <c r="AI194" i="1" s="1"/>
  <c r="AE194" i="1"/>
  <c r="AC393" i="1"/>
  <c r="AD393" i="1" s="1"/>
  <c r="BG393" i="1"/>
  <c r="AC169" i="1"/>
  <c r="AD169" i="1" s="1"/>
  <c r="AE169" i="1" s="1"/>
  <c r="BG169" i="1"/>
  <c r="AF27" i="1"/>
  <c r="AE27" i="1"/>
  <c r="AC473" i="1"/>
  <c r="AD473" i="1" s="1"/>
  <c r="BG473" i="1"/>
  <c r="BG197" i="1"/>
  <c r="BG27" i="1"/>
  <c r="BG586" i="1"/>
  <c r="BG179" i="1"/>
  <c r="AE602" i="1"/>
  <c r="AF19" i="1"/>
  <c r="AG489" i="1"/>
  <c r="AI489" i="1" s="1"/>
  <c r="BG218" i="1"/>
  <c r="BG373" i="1"/>
  <c r="BG203" i="1"/>
  <c r="BG489" i="1"/>
  <c r="AF42" i="1"/>
  <c r="AF489" i="1"/>
  <c r="AF562" i="1"/>
  <c r="BG516" i="1"/>
  <c r="BG602" i="1"/>
  <c r="BG495" i="1"/>
  <c r="BG511" i="1"/>
  <c r="BG19" i="1"/>
  <c r="BG651" i="1"/>
  <c r="BG317" i="1"/>
  <c r="BG130" i="1"/>
  <c r="BG326" i="1"/>
  <c r="AE596" i="1"/>
  <c r="AG355" i="1"/>
  <c r="AI355" i="1" s="1"/>
  <c r="AC254" i="1"/>
  <c r="AD254" i="1" s="1"/>
  <c r="AF254" i="1" s="1"/>
  <c r="BG254" i="1"/>
  <c r="AE78" i="1"/>
  <c r="AC552" i="1"/>
  <c r="AD552" i="1" s="1"/>
  <c r="AF552" i="1" s="1"/>
  <c r="BG552" i="1"/>
  <c r="BG156" i="1"/>
  <c r="BG456" i="1"/>
  <c r="BG341" i="1"/>
  <c r="BG38" i="1"/>
  <c r="BG428" i="1"/>
  <c r="AE153" i="1"/>
  <c r="AF153" i="1"/>
  <c r="AF38" i="1"/>
  <c r="AG640" i="1"/>
  <c r="AI640" i="1" s="1"/>
  <c r="AF542" i="1"/>
  <c r="BG404" i="1"/>
  <c r="BG279" i="1"/>
  <c r="BG382" i="1"/>
  <c r="BG678" i="1"/>
  <c r="BG75" i="1"/>
  <c r="BG364" i="1"/>
  <c r="BG385" i="1"/>
  <c r="BG386" i="1"/>
  <c r="BG193" i="1"/>
  <c r="BG322" i="1"/>
  <c r="BG226" i="1"/>
  <c r="BG697" i="1"/>
  <c r="AE367" i="1"/>
  <c r="AE51" i="1"/>
  <c r="AE279" i="1"/>
  <c r="AE553" i="1"/>
  <c r="AE532" i="1"/>
  <c r="AE208" i="1"/>
  <c r="AE420" i="1"/>
  <c r="AE582" i="1"/>
  <c r="AF344" i="1"/>
  <c r="AG460" i="1"/>
  <c r="AI460" i="1" s="1"/>
  <c r="AG622" i="1"/>
  <c r="AI622" i="1" s="1"/>
  <c r="AG673" i="1"/>
  <c r="AI673" i="1" s="1"/>
  <c r="AG540" i="1"/>
  <c r="AI540" i="1" s="1"/>
  <c r="AG98" i="1"/>
  <c r="AI98" i="1" s="1"/>
  <c r="BG588" i="1"/>
  <c r="BG703" i="1"/>
  <c r="BG59" i="1"/>
  <c r="BG242" i="1"/>
  <c r="BG477" i="1"/>
  <c r="BG221" i="1"/>
  <c r="BG383" i="1"/>
  <c r="BG555" i="1"/>
  <c r="BG491" i="1"/>
  <c r="BG594" i="1"/>
  <c r="BG632" i="1"/>
  <c r="BG387" i="1"/>
  <c r="AE246" i="1"/>
  <c r="AE322" i="1"/>
  <c r="AE678" i="1"/>
  <c r="AE488" i="1"/>
  <c r="AE225" i="1"/>
  <c r="AF213" i="1"/>
  <c r="AG92" i="1"/>
  <c r="AI92" i="1" s="1"/>
  <c r="AF82" i="1"/>
  <c r="AG367" i="1"/>
  <c r="AI367" i="1" s="1"/>
  <c r="AF687" i="1"/>
  <c r="AG488" i="1"/>
  <c r="AI488" i="1" s="1"/>
  <c r="AG703" i="1"/>
  <c r="AI703" i="1" s="1"/>
  <c r="AF692" i="1"/>
  <c r="AG145" i="1"/>
  <c r="AI145" i="1" s="1"/>
  <c r="AF457" i="1"/>
  <c r="AF590" i="1"/>
  <c r="BG571" i="1"/>
  <c r="AE389" i="1"/>
  <c r="BG624" i="1"/>
  <c r="BG590" i="1"/>
  <c r="BG338" i="1"/>
  <c r="BG145" i="1"/>
  <c r="BG598" i="1"/>
  <c r="BG74" i="1"/>
  <c r="BG407" i="1"/>
  <c r="BG567" i="1"/>
  <c r="BG653" i="1"/>
  <c r="BG399" i="1"/>
  <c r="AE23" i="1"/>
  <c r="AE357" i="1"/>
  <c r="AE401" i="1"/>
  <c r="AE9" i="1"/>
  <c r="AE151" i="1"/>
  <c r="AE249" i="1"/>
  <c r="AF337" i="1"/>
  <c r="AG151" i="1"/>
  <c r="AI151" i="1" s="1"/>
  <c r="AG225" i="1"/>
  <c r="AI225" i="1" s="1"/>
  <c r="AF180" i="1"/>
  <c r="AG555" i="1"/>
  <c r="AI555" i="1" s="1"/>
  <c r="AG9" i="1"/>
  <c r="AI9" i="1" s="1"/>
  <c r="AG290" i="1"/>
  <c r="AI290" i="1" s="1"/>
  <c r="AF703" i="1"/>
  <c r="AF145" i="1"/>
  <c r="AG279" i="1"/>
  <c r="AI279" i="1" s="1"/>
  <c r="AG553" i="1"/>
  <c r="AI553" i="1" s="1"/>
  <c r="AF221" i="1"/>
  <c r="AG653" i="1"/>
  <c r="AI653" i="1" s="1"/>
  <c r="BG33" i="1"/>
  <c r="AF193" i="1"/>
  <c r="BG73" i="1"/>
  <c r="BG457" i="1"/>
  <c r="BG420" i="1"/>
  <c r="BG376" i="1"/>
  <c r="BG508" i="1"/>
  <c r="BG670" i="1"/>
  <c r="BG460" i="1"/>
  <c r="BG605" i="1"/>
  <c r="BG92" i="1"/>
  <c r="BG549" i="1"/>
  <c r="AE497" i="1"/>
  <c r="AE35" i="1"/>
  <c r="AE74" i="1"/>
  <c r="AG385" i="1"/>
  <c r="AI385" i="1" s="1"/>
  <c r="AG249" i="1"/>
  <c r="AI249" i="1" s="1"/>
  <c r="AG544" i="1"/>
  <c r="AI544" i="1" s="1"/>
  <c r="AG364" i="1"/>
  <c r="AI364" i="1" s="1"/>
  <c r="AG23" i="1"/>
  <c r="AI23" i="1" s="1"/>
  <c r="AF290" i="1"/>
  <c r="AG588" i="1"/>
  <c r="AI588" i="1" s="1"/>
  <c r="AG87" i="1"/>
  <c r="AI87" i="1" s="1"/>
  <c r="BG35" i="1"/>
  <c r="BG542" i="1"/>
  <c r="BG217" i="1"/>
  <c r="AG457" i="1"/>
  <c r="AI457" i="1" s="1"/>
  <c r="BG501" i="1"/>
  <c r="BG292" i="1"/>
  <c r="BG98" i="1"/>
  <c r="BG269" i="1"/>
  <c r="BG357" i="1"/>
  <c r="BG679" i="1"/>
  <c r="BG453" i="1"/>
  <c r="BG77" i="1"/>
  <c r="BG655" i="1"/>
  <c r="BG673" i="1"/>
  <c r="BG561" i="1"/>
  <c r="AE491" i="1"/>
  <c r="AE588" i="1"/>
  <c r="AE180" i="1"/>
  <c r="AG28" i="1"/>
  <c r="AI28" i="1" s="1"/>
  <c r="AG397" i="1"/>
  <c r="AI397" i="1" s="1"/>
  <c r="AG497" i="1"/>
  <c r="AI497" i="1" s="1"/>
  <c r="AG77" i="1"/>
  <c r="AI77" i="1" s="1"/>
  <c r="AF544" i="1"/>
  <c r="AG512" i="1"/>
  <c r="AI512" i="1" s="1"/>
  <c r="BG488" i="1"/>
  <c r="BG290" i="1"/>
  <c r="BG700" i="1"/>
  <c r="BG304" i="1"/>
  <c r="BG512" i="1"/>
  <c r="BG210" i="1"/>
  <c r="BG532" i="1"/>
  <c r="BG692" i="1"/>
  <c r="BG667" i="1"/>
  <c r="BG325" i="1"/>
  <c r="BG225" i="1"/>
  <c r="BG622" i="1"/>
  <c r="AE382" i="1"/>
  <c r="AF389" i="1"/>
  <c r="AF51" i="1"/>
  <c r="AG624" i="1"/>
  <c r="AI624" i="1" s="1"/>
  <c r="AE90" i="1"/>
  <c r="AF90" i="1"/>
  <c r="AG90" i="1"/>
  <c r="AI90" i="1" s="1"/>
  <c r="AC268" i="1"/>
  <c r="AD268" i="1" s="1"/>
  <c r="BG268" i="1"/>
  <c r="AC499" i="1"/>
  <c r="AD499" i="1" s="1"/>
  <c r="BG499" i="1"/>
  <c r="AC494" i="1"/>
  <c r="AD494" i="1" s="1"/>
  <c r="BG494" i="1"/>
  <c r="AC519" i="1"/>
  <c r="AD519" i="1" s="1"/>
  <c r="BG519" i="1"/>
  <c r="AC652" i="1"/>
  <c r="AD652" i="1" s="1"/>
  <c r="AE652" i="1" s="1"/>
  <c r="BG652" i="1"/>
  <c r="AC283" i="1"/>
  <c r="AD283" i="1" s="1"/>
  <c r="BG283" i="1"/>
  <c r="AC284" i="1"/>
  <c r="AD284" i="1" s="1"/>
  <c r="BG284" i="1"/>
  <c r="AF66" i="1"/>
  <c r="AG66" i="1"/>
  <c r="AI66" i="1" s="1"/>
  <c r="AE66" i="1"/>
  <c r="AC263" i="1"/>
  <c r="AD263" i="1" s="1"/>
  <c r="BG263" i="1"/>
  <c r="AC309" i="1"/>
  <c r="AD309" i="1" s="1"/>
  <c r="BG309" i="1"/>
  <c r="AG86" i="1"/>
  <c r="AI86" i="1" s="1"/>
  <c r="AF86" i="1"/>
  <c r="AE86" i="1"/>
  <c r="AF383" i="1"/>
  <c r="AE383" i="1"/>
  <c r="AG383" i="1"/>
  <c r="AI383" i="1" s="1"/>
  <c r="AC328" i="1"/>
  <c r="AD328" i="1" s="1"/>
  <c r="BG328" i="1"/>
  <c r="AC601" i="1"/>
  <c r="AD601" i="1" s="1"/>
  <c r="BG601" i="1"/>
  <c r="AC195" i="1"/>
  <c r="AD195" i="1" s="1"/>
  <c r="BG195" i="1"/>
  <c r="AC468" i="1"/>
  <c r="AD468" i="1" s="1"/>
  <c r="BG468" i="1"/>
  <c r="AC122" i="1"/>
  <c r="AD122" i="1" s="1"/>
  <c r="BG122" i="1"/>
  <c r="AF702" i="1"/>
  <c r="AG702" i="1"/>
  <c r="AE702" i="1"/>
  <c r="AC34" i="1"/>
  <c r="AD34" i="1" s="1"/>
  <c r="BG34" i="1"/>
  <c r="AC181" i="1"/>
  <c r="AD181" i="1" s="1"/>
  <c r="BG181" i="1"/>
  <c r="AE219" i="1"/>
  <c r="AF219" i="1"/>
  <c r="AG219" i="1"/>
  <c r="AI219" i="1" s="1"/>
  <c r="AF625" i="1"/>
  <c r="AE625" i="1"/>
  <c r="AG625" i="1"/>
  <c r="AI625" i="1" s="1"/>
  <c r="BG46" i="1"/>
  <c r="BG154" i="1"/>
  <c r="AG395" i="1"/>
  <c r="AI395" i="1" s="1"/>
  <c r="AF190" i="1"/>
  <c r="AG190" i="1"/>
  <c r="AI190" i="1" s="1"/>
  <c r="AE32" i="1"/>
  <c r="AG32" i="1"/>
  <c r="AI32" i="1" s="1"/>
  <c r="AF166" i="1"/>
  <c r="AG166" i="1"/>
  <c r="AI166" i="1" s="1"/>
  <c r="AE166" i="1"/>
  <c r="AE95" i="1"/>
  <c r="AG95" i="1"/>
  <c r="AI95" i="1" s="1"/>
  <c r="AF636" i="1"/>
  <c r="AE636" i="1"/>
  <c r="AF237" i="1"/>
  <c r="AG237" i="1"/>
  <c r="AI237" i="1" s="1"/>
  <c r="AE237" i="1"/>
  <c r="AE108" i="1"/>
  <c r="AF108" i="1"/>
  <c r="AF381" i="1"/>
  <c r="AG381" i="1"/>
  <c r="AI381" i="1" s="1"/>
  <c r="AE650" i="1"/>
  <c r="AG650" i="1"/>
  <c r="AI650" i="1" s="1"/>
  <c r="AF199" i="1"/>
  <c r="AG199" i="1"/>
  <c r="AI199" i="1" s="1"/>
  <c r="BG241" i="1"/>
  <c r="BG84" i="1"/>
  <c r="BG110" i="1"/>
  <c r="BG257" i="1"/>
  <c r="BG178" i="1"/>
  <c r="BG166" i="1"/>
  <c r="AE352" i="1"/>
  <c r="AE24" i="1"/>
  <c r="AE440" i="1"/>
  <c r="AE395" i="1"/>
  <c r="AF385" i="1"/>
  <c r="AG294" i="1"/>
  <c r="AI294" i="1" s="1"/>
  <c r="AG24" i="1"/>
  <c r="AI24" i="1" s="1"/>
  <c r="AF243" i="1"/>
  <c r="AF37" i="1"/>
  <c r="AF55" i="1"/>
  <c r="AG55" i="1"/>
  <c r="AI55" i="1" s="1"/>
  <c r="AE55" i="1"/>
  <c r="AG475" i="1"/>
  <c r="AI475" i="1" s="1"/>
  <c r="AE475" i="1"/>
  <c r="AE299" i="1"/>
  <c r="AG299" i="1"/>
  <c r="AI299" i="1" s="1"/>
  <c r="AE698" i="1"/>
  <c r="AF698" i="1"/>
  <c r="AE120" i="1"/>
  <c r="AF120" i="1"/>
  <c r="AG120" i="1"/>
  <c r="AI120" i="1" s="1"/>
  <c r="AE302" i="1"/>
  <c r="AF302" i="1"/>
  <c r="AG302" i="1"/>
  <c r="AI302" i="1" s="1"/>
  <c r="AE409" i="1"/>
  <c r="AG409" i="1"/>
  <c r="AI409" i="1" s="1"/>
  <c r="AF667" i="1"/>
  <c r="AE667" i="1"/>
  <c r="AF176" i="1"/>
  <c r="AE176" i="1"/>
  <c r="AE594" i="1"/>
  <c r="AF594" i="1"/>
  <c r="BG108" i="1"/>
  <c r="BG267" i="1"/>
  <c r="BG431" i="1"/>
  <c r="BG13" i="1"/>
  <c r="BG253" i="1"/>
  <c r="BG236" i="1"/>
  <c r="BG546" i="1"/>
  <c r="BG168" i="1"/>
  <c r="BG297" i="1"/>
  <c r="BG657" i="1"/>
  <c r="BG180" i="1"/>
  <c r="AE414" i="1"/>
  <c r="AE368" i="1"/>
  <c r="AE399" i="1"/>
  <c r="AE675" i="1"/>
  <c r="AE294" i="1"/>
  <c r="AE297" i="1"/>
  <c r="AE213" i="1"/>
  <c r="AE645" i="1"/>
  <c r="AF617" i="1"/>
  <c r="AG646" i="1"/>
  <c r="AI646" i="1" s="1"/>
  <c r="AG403" i="1"/>
  <c r="AI403" i="1" s="1"/>
  <c r="AF95" i="1"/>
  <c r="AG233" i="1"/>
  <c r="AI233" i="1" s="1"/>
  <c r="AG67" i="1"/>
  <c r="AI67" i="1" s="1"/>
  <c r="AE67" i="1"/>
  <c r="AF33" i="1"/>
  <c r="AE33" i="1"/>
  <c r="AG33" i="1"/>
  <c r="AI33" i="1" s="1"/>
  <c r="AE688" i="1"/>
  <c r="AF688" i="1"/>
  <c r="AG688" i="1"/>
  <c r="AI688" i="1" s="1"/>
  <c r="AG282" i="1"/>
  <c r="AI282" i="1" s="1"/>
  <c r="AF282" i="1"/>
  <c r="AE282" i="1"/>
  <c r="AF233" i="1"/>
  <c r="AF11" i="1"/>
  <c r="AG11" i="1"/>
  <c r="AI11" i="1" s="1"/>
  <c r="AG300" i="1"/>
  <c r="AI300" i="1" s="1"/>
  <c r="AG368" i="1"/>
  <c r="AI368" i="1" s="1"/>
  <c r="AF312" i="1"/>
  <c r="AG312" i="1"/>
  <c r="AI312" i="1" s="1"/>
  <c r="AF48" i="1"/>
  <c r="AG48" i="1"/>
  <c r="AI48" i="1" s="1"/>
  <c r="AE236" i="1"/>
  <c r="AG236" i="1"/>
  <c r="AI236" i="1" s="1"/>
  <c r="BG232" i="1"/>
  <c r="BG617" i="1"/>
  <c r="BG596" i="1"/>
  <c r="BG527" i="1"/>
  <c r="BG414" i="1"/>
  <c r="BG439" i="1"/>
  <c r="BG440" i="1"/>
  <c r="AE680" i="1"/>
  <c r="AE37" i="1"/>
  <c r="AE556" i="1"/>
  <c r="AG642" i="1"/>
  <c r="AI642" i="1" s="1"/>
  <c r="AF606" i="1"/>
  <c r="AG439" i="1"/>
  <c r="AI439" i="1" s="1"/>
  <c r="AF300" i="1"/>
  <c r="AG550" i="1"/>
  <c r="AI550" i="1" s="1"/>
  <c r="AG39" i="1"/>
  <c r="AI39" i="1" s="1"/>
  <c r="AG399" i="1"/>
  <c r="AI399" i="1" s="1"/>
  <c r="AF32" i="1"/>
  <c r="AF391" i="1"/>
  <c r="AF354" i="1"/>
  <c r="AF267" i="1"/>
  <c r="AG353" i="1"/>
  <c r="AI353" i="1" s="1"/>
  <c r="AF493" i="1"/>
  <c r="AF257" i="1"/>
  <c r="AG657" i="1"/>
  <c r="AI657" i="1" s="1"/>
  <c r="AF657" i="1"/>
  <c r="AE657" i="1"/>
  <c r="AG325" i="1"/>
  <c r="AI325" i="1" s="1"/>
  <c r="AE325" i="1"/>
  <c r="AG598" i="1"/>
  <c r="AI598" i="1" s="1"/>
  <c r="AE598" i="1"/>
  <c r="AF207" i="1"/>
  <c r="AG207" i="1"/>
  <c r="AI207" i="1" s="1"/>
  <c r="AE318" i="1"/>
  <c r="AF318" i="1"/>
  <c r="AG45" i="1"/>
  <c r="AI45" i="1" s="1"/>
  <c r="AF45" i="1"/>
  <c r="BG391" i="1"/>
  <c r="BG190" i="1"/>
  <c r="AE493" i="1"/>
  <c r="AF546" i="1"/>
  <c r="AG126" i="1"/>
  <c r="AI126" i="1" s="1"/>
  <c r="AF345" i="1"/>
  <c r="AF550" i="1"/>
  <c r="AF39" i="1"/>
  <c r="AF440" i="1"/>
  <c r="AF380" i="1"/>
  <c r="AG370" i="1"/>
  <c r="AI370" i="1" s="1"/>
  <c r="AG318" i="1"/>
  <c r="AI318" i="1" s="1"/>
  <c r="AG341" i="1"/>
  <c r="AI341" i="1" s="1"/>
  <c r="AF341" i="1"/>
  <c r="AE341" i="1"/>
  <c r="AF152" i="1"/>
  <c r="AG152" i="1"/>
  <c r="AI152" i="1" s="1"/>
  <c r="AF173" i="1"/>
  <c r="AG173" i="1"/>
  <c r="AI173" i="1" s="1"/>
  <c r="AF330" i="1"/>
  <c r="AG330" i="1"/>
  <c r="AI330" i="1" s="1"/>
  <c r="AE470" i="1"/>
  <c r="AF470" i="1"/>
  <c r="AF88" i="1"/>
  <c r="AG88" i="1"/>
  <c r="AI88" i="1" s="1"/>
  <c r="AE88" i="1"/>
  <c r="AG545" i="1"/>
  <c r="AI545" i="1" s="1"/>
  <c r="AE545" i="1"/>
  <c r="AG655" i="1"/>
  <c r="AI655" i="1" s="1"/>
  <c r="AE655" i="1"/>
  <c r="AF271" i="1"/>
  <c r="AG271" i="1"/>
  <c r="AI271" i="1" s="1"/>
  <c r="AF509" i="1"/>
  <c r="AE509" i="1"/>
  <c r="AF323" i="1"/>
  <c r="AG323" i="1"/>
  <c r="AI323" i="1" s="1"/>
  <c r="AE323" i="1"/>
  <c r="AE584" i="1"/>
  <c r="AF584" i="1"/>
  <c r="AF531" i="1"/>
  <c r="AE531" i="1"/>
  <c r="AE332" i="1"/>
  <c r="AG332" i="1"/>
  <c r="AI332" i="1" s="1"/>
  <c r="BG32" i="1"/>
  <c r="AG79" i="1"/>
  <c r="AI79" i="1" s="1"/>
  <c r="AF79" i="1"/>
  <c r="AE79" i="1"/>
  <c r="AE431" i="1"/>
  <c r="AG431" i="1"/>
  <c r="AI431" i="1" s="1"/>
  <c r="AE447" i="1"/>
  <c r="AG447" i="1"/>
  <c r="AI447" i="1" s="1"/>
  <c r="AF4" i="1"/>
  <c r="AG4" i="1"/>
  <c r="AI4" i="1" s="1"/>
  <c r="BG576" i="1"/>
  <c r="BG370" i="1"/>
  <c r="AE617" i="1"/>
  <c r="AE257" i="1"/>
  <c r="AG606" i="1"/>
  <c r="AI606" i="1" s="1"/>
  <c r="AG13" i="1"/>
  <c r="AI13" i="1" s="1"/>
  <c r="AF253" i="1"/>
  <c r="AG253" i="1"/>
  <c r="AI253" i="1" s="1"/>
  <c r="AF456" i="1"/>
  <c r="AE456" i="1"/>
  <c r="AG456" i="1"/>
  <c r="AI456" i="1" s="1"/>
  <c r="AF163" i="1"/>
  <c r="AG163" i="1"/>
  <c r="AI163" i="1" s="1"/>
  <c r="AG361" i="1"/>
  <c r="AI361" i="1" s="1"/>
  <c r="AE361" i="1"/>
  <c r="AG17" i="1"/>
  <c r="AI17" i="1" s="1"/>
  <c r="AE17" i="1"/>
  <c r="BG155" i="1"/>
  <c r="BG316" i="1"/>
  <c r="BG578" i="1"/>
  <c r="BG294" i="1"/>
  <c r="BG447" i="1"/>
  <c r="BG611" i="1"/>
  <c r="BG126" i="1"/>
  <c r="BG68" i="1"/>
  <c r="BG452" i="1"/>
  <c r="AE46" i="1"/>
  <c r="AE84" i="1"/>
  <c r="AE232" i="1"/>
  <c r="AE692" i="1"/>
  <c r="AF642" i="1"/>
  <c r="AF630" i="1"/>
  <c r="AF439" i="1"/>
  <c r="BG120" i="1"/>
  <c r="BG612" i="1"/>
  <c r="BG650" i="1"/>
  <c r="BG584" i="1"/>
  <c r="BG148" i="1"/>
  <c r="BG4" i="1"/>
  <c r="BG332" i="1"/>
  <c r="BG642" i="1"/>
  <c r="BG606" i="1"/>
  <c r="BG323" i="1"/>
  <c r="BG213" i="1"/>
  <c r="BG363" i="1"/>
  <c r="BG55" i="1"/>
  <c r="BG80" i="1"/>
  <c r="BG646" i="1"/>
  <c r="AE391" i="1"/>
  <c r="AE585" i="1"/>
  <c r="AE375" i="1"/>
  <c r="AG667" i="1"/>
  <c r="AI667" i="1" s="1"/>
  <c r="AF361" i="1"/>
  <c r="AG177" i="1"/>
  <c r="AI177" i="1" s="1"/>
  <c r="AF598" i="1"/>
  <c r="AF515" i="1"/>
  <c r="AF475" i="1"/>
  <c r="AG170" i="1"/>
  <c r="AI170" i="1" s="1"/>
  <c r="AF370" i="1"/>
  <c r="AG27" i="1"/>
  <c r="AI27" i="1" s="1"/>
  <c r="AG232" i="1"/>
  <c r="AI232" i="1" s="1"/>
  <c r="AF134" i="1"/>
  <c r="AG134" i="1"/>
  <c r="AI134" i="1" s="1"/>
  <c r="AE81" i="1"/>
  <c r="AF81" i="1"/>
  <c r="AF387" i="1"/>
  <c r="AG387" i="1"/>
  <c r="AI387" i="1" s="1"/>
  <c r="AE210" i="1"/>
  <c r="AF210" i="1"/>
  <c r="AG210" i="1"/>
  <c r="AI210" i="1" s="1"/>
  <c r="AE649" i="1"/>
  <c r="AF649" i="1"/>
  <c r="BG570" i="1"/>
  <c r="BG177" i="1"/>
  <c r="AE13" i="1"/>
  <c r="AE500" i="1"/>
  <c r="AF500" i="1"/>
  <c r="BG493" i="1"/>
  <c r="BF395" i="1"/>
  <c r="BG645" i="1"/>
  <c r="AE11" i="1"/>
  <c r="AE546" i="1"/>
  <c r="AG680" i="1"/>
  <c r="AI680" i="1" s="1"/>
  <c r="AG531" i="1"/>
  <c r="AI531" i="1" s="1"/>
  <c r="AG559" i="1"/>
  <c r="AI559" i="1" s="1"/>
  <c r="AF348" i="1"/>
  <c r="AG168" i="1"/>
  <c r="AI168" i="1" s="1"/>
  <c r="AG84" i="1"/>
  <c r="AI84" i="1" s="1"/>
  <c r="AE363" i="1"/>
  <c r="AG363" i="1"/>
  <c r="AI363" i="1" s="1"/>
  <c r="AE216" i="1"/>
  <c r="AF216" i="1"/>
  <c r="AF304" i="1"/>
  <c r="AG304" i="1"/>
  <c r="AI304" i="1" s="1"/>
  <c r="AF197" i="1"/>
  <c r="AG197" i="1"/>
  <c r="AI197" i="1" s="1"/>
  <c r="AF495" i="1"/>
  <c r="AG495" i="1"/>
  <c r="AI495" i="1" s="1"/>
  <c r="AF462" i="1"/>
  <c r="AG462" i="1"/>
  <c r="AI462" i="1" s="1"/>
  <c r="AF416" i="1"/>
  <c r="AG416" i="1"/>
  <c r="AI416" i="1" s="1"/>
  <c r="BG95" i="1"/>
  <c r="BG625" i="1"/>
  <c r="BG24" i="1"/>
  <c r="BG517" i="1"/>
  <c r="BG161" i="1"/>
  <c r="BG199" i="1"/>
  <c r="BG151" i="1"/>
  <c r="BG66" i="1"/>
  <c r="BG375" i="1"/>
  <c r="BG202" i="1"/>
  <c r="AE403" i="1"/>
  <c r="BG395" i="1"/>
  <c r="BG302" i="1"/>
  <c r="BG649" i="1"/>
  <c r="BG353" i="1"/>
  <c r="BG211" i="1"/>
  <c r="BG680" i="1"/>
  <c r="BG17" i="1"/>
  <c r="BG163" i="1"/>
  <c r="BG630" i="1"/>
  <c r="BG500" i="1"/>
  <c r="BG237" i="1"/>
  <c r="BG559" i="1"/>
  <c r="BG79" i="1"/>
  <c r="BG684" i="1"/>
  <c r="AE211" i="1"/>
  <c r="AE353" i="1"/>
  <c r="AE178" i="1"/>
  <c r="AE199" i="1"/>
  <c r="AE348" i="1"/>
  <c r="AG297" i="1"/>
  <c r="AI297" i="1" s="1"/>
  <c r="AF559" i="1"/>
  <c r="AG148" i="1"/>
  <c r="AI148" i="1" s="1"/>
  <c r="AG178" i="1"/>
  <c r="AI178" i="1" s="1"/>
  <c r="AG584" i="1"/>
  <c r="AI584" i="1" s="1"/>
  <c r="AF168" i="1"/>
  <c r="AG649" i="1"/>
  <c r="AI649" i="1" s="1"/>
  <c r="AE129" i="1"/>
  <c r="AF129" i="1"/>
  <c r="AG129" i="1"/>
  <c r="AI129" i="1" s="1"/>
  <c r="AF549" i="1"/>
  <c r="AG549" i="1"/>
  <c r="AI549" i="1" s="1"/>
  <c r="AE549" i="1"/>
  <c r="AE444" i="1"/>
  <c r="AF444" i="1"/>
  <c r="AF329" i="1"/>
  <c r="AE329" i="1"/>
  <c r="AE306" i="1"/>
  <c r="AG693" i="1"/>
  <c r="AI693" i="1" s="1"/>
  <c r="AG618" i="1"/>
  <c r="AI618" i="1" s="1"/>
  <c r="AG16" i="1"/>
  <c r="AI16" i="1" s="1"/>
  <c r="AF618" i="1"/>
  <c r="AG146" i="1"/>
  <c r="AI146" i="1" s="1"/>
  <c r="AE128" i="1"/>
  <c r="AF128" i="1"/>
  <c r="AG128" i="1"/>
  <c r="AI128" i="1" s="1"/>
  <c r="AG250" i="1"/>
  <c r="AI250" i="1" s="1"/>
  <c r="AE250" i="1"/>
  <c r="AC324" i="1"/>
  <c r="AD324" i="1" s="1"/>
  <c r="BG324" i="1"/>
  <c r="AF452" i="1"/>
  <c r="AG452" i="1"/>
  <c r="AI452" i="1" s="1"/>
  <c r="AC573" i="1"/>
  <c r="AD573" i="1" s="1"/>
  <c r="BG573" i="1"/>
  <c r="AF85" i="1"/>
  <c r="AG85" i="1"/>
  <c r="AI85" i="1" s="1"/>
  <c r="AE626" i="1"/>
  <c r="AF626" i="1"/>
  <c r="AF686" i="1"/>
  <c r="AG686" i="1"/>
  <c r="AI686" i="1" s="1"/>
  <c r="AF315" i="1"/>
  <c r="AG315" i="1"/>
  <c r="AI315" i="1" s="1"/>
  <c r="AE315" i="1"/>
  <c r="AF432" i="1"/>
  <c r="AG432" i="1"/>
  <c r="AI432" i="1" s="1"/>
  <c r="AE432" i="1"/>
  <c r="AC607" i="1"/>
  <c r="AD607" i="1" s="1"/>
  <c r="BG607" i="1"/>
  <c r="AE616" i="1"/>
  <c r="AG616" i="1"/>
  <c r="AI616" i="1" s="1"/>
  <c r="AE76" i="1"/>
  <c r="AF76" i="1"/>
  <c r="BG392" i="1"/>
  <c r="BG626" i="1"/>
  <c r="BG61" i="1"/>
  <c r="BG248" i="1"/>
  <c r="AE71" i="1"/>
  <c r="AE248" i="1"/>
  <c r="AG81" i="1"/>
  <c r="AI81" i="1" s="1"/>
  <c r="AG286" i="1"/>
  <c r="AI286" i="1" s="1"/>
  <c r="AF71" i="1"/>
  <c r="AG8" i="1"/>
  <c r="AI8" i="1" s="1"/>
  <c r="AE8" i="1"/>
  <c r="AF269" i="1"/>
  <c r="AG269" i="1"/>
  <c r="AI269" i="1" s="1"/>
  <c r="AC164" i="1"/>
  <c r="AD164" i="1" s="1"/>
  <c r="BF164" i="1"/>
  <c r="AF286" i="1"/>
  <c r="AG636" i="1"/>
  <c r="AI636" i="1" s="1"/>
  <c r="AC31" i="1"/>
  <c r="AD31" i="1" s="1"/>
  <c r="BG31" i="1"/>
  <c r="AF388" i="1"/>
  <c r="AE388" i="1"/>
  <c r="AG388" i="1"/>
  <c r="AI388" i="1" s="1"/>
  <c r="AG301" i="1"/>
  <c r="AI301" i="1" s="1"/>
  <c r="AE301" i="1"/>
  <c r="AG327" i="1"/>
  <c r="AI327" i="1" s="1"/>
  <c r="AE327" i="1"/>
  <c r="AF576" i="1"/>
  <c r="AG576" i="1"/>
  <c r="AI576" i="1" s="1"/>
  <c r="AF147" i="1"/>
  <c r="AG147" i="1"/>
  <c r="AI147" i="1" s="1"/>
  <c r="AG212" i="1"/>
  <c r="AI212" i="1" s="1"/>
  <c r="AE212" i="1"/>
  <c r="BG250" i="1"/>
  <c r="BG219" i="1"/>
  <c r="BG85" i="1"/>
  <c r="BG301" i="1"/>
  <c r="BG81" i="1"/>
  <c r="BF654" i="1"/>
  <c r="AE452" i="1"/>
  <c r="AE147" i="1"/>
  <c r="AC43" i="1"/>
  <c r="AD43" i="1" s="1"/>
  <c r="BG43" i="1"/>
  <c r="AF165" i="1"/>
  <c r="AG165" i="1"/>
  <c r="AI165" i="1" s="1"/>
  <c r="AE165" i="1"/>
  <c r="AC400" i="1"/>
  <c r="AD400" i="1" s="1"/>
  <c r="BG400" i="1"/>
  <c r="AC574" i="1"/>
  <c r="AD574" i="1" s="1"/>
  <c r="BG574" i="1"/>
  <c r="AF612" i="1"/>
  <c r="AG612" i="1"/>
  <c r="AI612" i="1" s="1"/>
  <c r="AE612" i="1"/>
  <c r="AC547" i="1"/>
  <c r="AD547" i="1" s="1"/>
  <c r="BG547" i="1"/>
  <c r="AE270" i="1"/>
  <c r="AG270" i="1"/>
  <c r="AI270" i="1" s="1"/>
  <c r="AF643" i="1"/>
  <c r="AG643" i="1"/>
  <c r="AI643" i="1" s="1"/>
  <c r="AE643" i="1"/>
  <c r="AG696" i="1"/>
  <c r="AI696" i="1" s="1"/>
  <c r="AE696" i="1"/>
  <c r="AE276" i="1"/>
  <c r="AF276" i="1"/>
  <c r="AG276" i="1"/>
  <c r="AI276" i="1" s="1"/>
  <c r="AG20" i="1"/>
  <c r="AI20" i="1" s="1"/>
  <c r="AG298" i="1"/>
  <c r="AI298" i="1" s="1"/>
  <c r="AE298" i="1"/>
  <c r="AG365" i="1"/>
  <c r="AI365" i="1" s="1"/>
  <c r="AE365" i="1"/>
  <c r="AE571" i="1"/>
  <c r="AF571" i="1"/>
  <c r="AG73" i="1"/>
  <c r="AI73" i="1" s="1"/>
  <c r="AE73" i="1"/>
  <c r="AF83" i="1"/>
  <c r="AG83" i="1"/>
  <c r="AI83" i="1" s="1"/>
  <c r="AE83" i="1"/>
  <c r="AE577" i="1"/>
  <c r="AF577" i="1"/>
  <c r="AG421" i="1"/>
  <c r="AI421" i="1" s="1"/>
  <c r="AE421" i="1"/>
  <c r="AF47" i="1"/>
  <c r="AG47" i="1"/>
  <c r="AI47" i="1" s="1"/>
  <c r="BG76" i="1"/>
  <c r="BG45" i="1"/>
  <c r="BG432" i="1"/>
  <c r="BG204" i="1"/>
  <c r="AF20" i="1"/>
  <c r="AG626" i="1"/>
  <c r="AI626" i="1" s="1"/>
  <c r="AG548" i="1"/>
  <c r="AI548" i="1" s="1"/>
  <c r="AE548" i="1"/>
  <c r="AE154" i="1"/>
  <c r="AF154" i="1"/>
  <c r="AC377" i="1"/>
  <c r="AD377" i="1" s="1"/>
  <c r="BG377" i="1"/>
  <c r="AC525" i="1"/>
  <c r="AD525" i="1" s="1"/>
  <c r="BG525" i="1"/>
  <c r="AC633" i="1"/>
  <c r="AD633" i="1" s="1"/>
  <c r="BG633" i="1"/>
  <c r="AE436" i="1"/>
  <c r="AG436" i="1"/>
  <c r="AI436" i="1" s="1"/>
  <c r="AE161" i="1"/>
  <c r="AF161" i="1"/>
  <c r="AF568" i="1"/>
  <c r="AE568" i="1"/>
  <c r="AC265" i="1"/>
  <c r="AD265" i="1" s="1"/>
  <c r="BG265" i="1"/>
  <c r="AE524" i="1"/>
  <c r="AG524" i="1"/>
  <c r="AI524" i="1" s="1"/>
  <c r="AG61" i="1"/>
  <c r="AI61" i="1" s="1"/>
  <c r="AF61" i="1"/>
  <c r="AE61" i="1"/>
  <c r="AF654" i="1"/>
  <c r="AG654" i="1"/>
  <c r="AI654" i="1" s="1"/>
  <c r="AE150" i="1"/>
  <c r="AF150" i="1"/>
  <c r="BF111" i="1"/>
  <c r="BG696" i="1"/>
  <c r="BF705" i="1"/>
  <c r="BG388" i="1"/>
  <c r="AE45" i="1"/>
  <c r="AE705" i="1"/>
  <c r="AF511" i="1"/>
  <c r="AG511" i="1"/>
  <c r="AI511" i="1" s="1"/>
  <c r="AE511" i="1"/>
  <c r="AE517" i="1"/>
  <c r="AF517" i="1"/>
  <c r="AG517" i="1"/>
  <c r="AI517" i="1" s="1"/>
  <c r="AC466" i="1"/>
  <c r="AD466" i="1" s="1"/>
  <c r="BG466" i="1"/>
  <c r="AE605" i="1"/>
  <c r="AF605" i="1"/>
  <c r="AC104" i="1"/>
  <c r="AD104" i="1" s="1"/>
  <c r="BG104" i="1"/>
  <c r="AF96" i="1"/>
  <c r="AG96" i="1"/>
  <c r="AI96" i="1" s="1"/>
  <c r="BG654" i="1"/>
  <c r="BG315" i="1"/>
  <c r="BG276" i="1"/>
  <c r="BG705" i="1"/>
  <c r="BG327" i="1"/>
  <c r="BG112" i="1"/>
  <c r="AF250" i="1"/>
  <c r="AF327" i="1"/>
  <c r="AF202" i="1"/>
  <c r="AG202" i="1"/>
  <c r="AI202" i="1" s="1"/>
  <c r="AE335" i="1"/>
  <c r="AF335" i="1"/>
  <c r="AF68" i="1"/>
  <c r="AG68" i="1"/>
  <c r="AI68" i="1" s="1"/>
  <c r="AC275" i="1"/>
  <c r="AD275" i="1" s="1"/>
  <c r="BG275" i="1"/>
  <c r="AF501" i="1"/>
  <c r="AG501" i="1"/>
  <c r="AI501" i="1" s="1"/>
  <c r="AE501" i="1"/>
  <c r="AF378" i="1"/>
  <c r="AG378" i="1"/>
  <c r="AI378" i="1" s="1"/>
  <c r="AG502" i="1"/>
  <c r="AI502" i="1" s="1"/>
  <c r="AE502" i="1"/>
  <c r="AE292" i="1"/>
  <c r="AF292" i="1"/>
  <c r="AG292" i="1"/>
  <c r="AI292" i="1" s="1"/>
  <c r="AE10" i="1"/>
  <c r="AF10" i="1"/>
  <c r="AF706" i="1"/>
  <c r="AG706" i="1"/>
  <c r="AI706" i="1" s="1"/>
  <c r="AG112" i="1"/>
  <c r="AI112" i="1" s="1"/>
  <c r="AE112" i="1"/>
  <c r="AF392" i="1"/>
  <c r="AG392" i="1"/>
  <c r="AI392" i="1" s="1"/>
  <c r="AE392" i="1"/>
  <c r="BG96" i="1"/>
  <c r="BG636" i="1"/>
  <c r="BG337" i="1"/>
  <c r="BG616" i="1"/>
  <c r="AF112" i="1"/>
  <c r="AF448" i="1"/>
  <c r="AG705" i="1"/>
  <c r="AI705" i="1" s="1"/>
  <c r="AF212" i="1"/>
  <c r="AC463" i="1"/>
  <c r="AD463" i="1" s="1"/>
  <c r="BG463" i="1"/>
  <c r="AC191" i="1"/>
  <c r="AD191" i="1" s="1"/>
  <c r="BG191" i="1"/>
  <c r="AC413" i="1"/>
  <c r="AD413" i="1" s="1"/>
  <c r="BG413" i="1"/>
  <c r="AF242" i="1"/>
  <c r="AG242" i="1"/>
  <c r="AI242" i="1" s="1"/>
  <c r="AE242" i="1"/>
  <c r="AC474" i="1"/>
  <c r="AD474" i="1" s="1"/>
  <c r="BG474" i="1"/>
  <c r="AG510" i="1"/>
  <c r="AI510" i="1" s="1"/>
  <c r="AE510" i="1"/>
  <c r="AE235" i="1"/>
  <c r="AF235" i="1"/>
  <c r="AC116" i="1"/>
  <c r="AD116" i="1" s="1"/>
  <c r="BG116" i="1"/>
  <c r="AF578" i="1"/>
  <c r="AG578" i="1"/>
  <c r="AI578" i="1" s="1"/>
  <c r="AE578" i="1"/>
  <c r="AE448" i="1"/>
  <c r="AE632" i="1"/>
  <c r="AF632" i="1"/>
  <c r="BG20" i="1"/>
  <c r="BG47" i="1"/>
  <c r="BG686" i="1"/>
  <c r="BG448" i="1"/>
  <c r="BG212" i="1"/>
  <c r="BG286" i="1"/>
  <c r="AE576" i="1"/>
  <c r="AE337" i="1"/>
  <c r="AF420" i="1"/>
  <c r="AG226" i="1"/>
  <c r="AI226" i="1" s="1"/>
  <c r="AE226" i="1"/>
  <c r="AC427" i="1"/>
  <c r="AD427" i="1" s="1"/>
  <c r="BG427" i="1"/>
  <c r="AC671" i="1"/>
  <c r="AD671" i="1" s="1"/>
  <c r="BF671" i="1"/>
  <c r="AE469" i="1"/>
  <c r="AF469" i="1"/>
  <c r="AF110" i="1"/>
  <c r="AG110" i="1"/>
  <c r="AI110" i="1" s="1"/>
  <c r="AF522" i="1"/>
  <c r="AG522" i="1"/>
  <c r="AI522" i="1" s="1"/>
  <c r="AE522" i="1"/>
  <c r="AG91" i="1"/>
  <c r="AI91" i="1" s="1"/>
  <c r="AF187" i="1"/>
  <c r="AG187" i="1"/>
  <c r="AI187" i="1" s="1"/>
  <c r="AE187" i="1"/>
  <c r="BG187"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N710" i="1"/>
  <c r="N709" i="1"/>
  <c r="N708" i="1"/>
  <c r="N707" i="1"/>
  <c r="N705" i="1"/>
  <c r="N704" i="1"/>
  <c r="N703" i="1"/>
  <c r="N702" i="1"/>
  <c r="N701" i="1"/>
  <c r="N700" i="1"/>
  <c r="N699" i="1"/>
  <c r="N698" i="1"/>
  <c r="N697" i="1"/>
  <c r="N694" i="1"/>
  <c r="N693" i="1"/>
  <c r="N691" i="1"/>
  <c r="N690" i="1"/>
  <c r="N689" i="1"/>
  <c r="N687" i="1"/>
  <c r="N685" i="1"/>
  <c r="N684" i="1"/>
  <c r="N683" i="1"/>
  <c r="N681" i="1"/>
  <c r="N680" i="1"/>
  <c r="N679" i="1"/>
  <c r="N678" i="1"/>
  <c r="N672" i="1"/>
  <c r="N671" i="1"/>
  <c r="N670" i="1"/>
  <c r="N669" i="1"/>
  <c r="N668" i="1"/>
  <c r="N667" i="1"/>
  <c r="N666" i="1"/>
  <c r="N663" i="1"/>
  <c r="N662" i="1"/>
  <c r="N661" i="1"/>
  <c r="N660" i="1"/>
  <c r="N658" i="1"/>
  <c r="N657" i="1"/>
  <c r="N656" i="1"/>
  <c r="N655" i="1"/>
  <c r="N654" i="1"/>
  <c r="N653" i="1"/>
  <c r="N650" i="1"/>
  <c r="N649" i="1"/>
  <c r="N648" i="1"/>
  <c r="N647" i="1"/>
  <c r="N646" i="1"/>
  <c r="N644" i="1"/>
  <c r="N643" i="1"/>
  <c r="N642" i="1"/>
  <c r="N641" i="1"/>
  <c r="N640" i="1"/>
  <c r="N639" i="1"/>
  <c r="N638" i="1"/>
  <c r="N637" i="1"/>
  <c r="N636" i="1"/>
  <c r="N635" i="1"/>
  <c r="N634" i="1"/>
  <c r="N633" i="1"/>
  <c r="N632" i="1"/>
  <c r="N631" i="1"/>
  <c r="N627" i="1"/>
  <c r="N626" i="1"/>
  <c r="N625" i="1"/>
  <c r="N624" i="1"/>
  <c r="N623" i="1"/>
  <c r="N622" i="1"/>
  <c r="N620" i="1"/>
  <c r="N619" i="1"/>
  <c r="N618" i="1"/>
  <c r="N617" i="1"/>
  <c r="N616" i="1"/>
  <c r="N615" i="1"/>
  <c r="N614" i="1"/>
  <c r="N613" i="1"/>
  <c r="N612" i="1"/>
  <c r="N611" i="1"/>
  <c r="N610" i="1"/>
  <c r="N609" i="1"/>
  <c r="N608" i="1"/>
  <c r="N607" i="1"/>
  <c r="N606" i="1"/>
  <c r="N605" i="1"/>
  <c r="N604" i="1"/>
  <c r="N603" i="1"/>
  <c r="N602" i="1"/>
  <c r="N601" i="1"/>
  <c r="N600" i="1"/>
  <c r="N599" i="1"/>
  <c r="N598" i="1"/>
  <c r="N597" i="1"/>
  <c r="N595" i="1"/>
  <c r="N594" i="1"/>
  <c r="N593" i="1"/>
  <c r="N592" i="1"/>
  <c r="N591" i="1"/>
  <c r="N590" i="1"/>
  <c r="N589" i="1"/>
  <c r="N588" i="1"/>
  <c r="N587" i="1"/>
  <c r="N586" i="1"/>
  <c r="N585" i="1"/>
  <c r="N584" i="1"/>
  <c r="N583" i="1"/>
  <c r="N582" i="1"/>
  <c r="N581" i="1"/>
  <c r="N580" i="1"/>
  <c r="N579" i="1"/>
  <c r="N578" i="1"/>
  <c r="N577" i="1"/>
  <c r="N576" i="1"/>
  <c r="N575" i="1"/>
  <c r="N574" i="1"/>
  <c r="N573" i="1"/>
  <c r="N572"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2" i="1"/>
  <c r="N480" i="1"/>
  <c r="N477" i="1"/>
  <c r="N476" i="1"/>
  <c r="N475" i="1"/>
  <c r="N474" i="1"/>
  <c r="N473" i="1"/>
  <c r="N472" i="1"/>
  <c r="N471" i="1"/>
  <c r="N470" i="1"/>
  <c r="N469" i="1"/>
  <c r="N468" i="1"/>
  <c r="N467" i="1"/>
  <c r="N466" i="1"/>
  <c r="N465" i="1"/>
  <c r="N464" i="1"/>
  <c r="N463" i="1"/>
  <c r="N462" i="1"/>
  <c r="N461" i="1"/>
  <c r="N460" i="1"/>
  <c r="N459" i="1"/>
  <c r="N458" i="1"/>
  <c r="N457" i="1"/>
  <c r="N456" i="1"/>
  <c r="N455" i="1"/>
  <c r="N453" i="1"/>
  <c r="N452" i="1"/>
  <c r="N450" i="1"/>
  <c r="N449" i="1"/>
  <c r="N448" i="1"/>
  <c r="N447" i="1"/>
  <c r="N446" i="1"/>
  <c r="N445" i="1"/>
  <c r="N444" i="1"/>
  <c r="N443" i="1"/>
  <c r="N441" i="1"/>
  <c r="N439" i="1"/>
  <c r="N437" i="1"/>
  <c r="N436" i="1"/>
  <c r="N435" i="1"/>
  <c r="N434" i="1"/>
  <c r="N432" i="1"/>
  <c r="N431" i="1"/>
  <c r="N430" i="1"/>
  <c r="N429" i="1"/>
  <c r="N428" i="1"/>
  <c r="N427" i="1"/>
  <c r="N425" i="1"/>
  <c r="N422" i="1"/>
  <c r="N421" i="1"/>
  <c r="N419" i="1"/>
  <c r="N417" i="1"/>
  <c r="N416" i="1"/>
  <c r="N414" i="1"/>
  <c r="N412" i="1"/>
  <c r="N410" i="1"/>
  <c r="N409" i="1"/>
  <c r="N399" i="1"/>
  <c r="N396" i="1"/>
  <c r="N395" i="1"/>
  <c r="N394" i="1"/>
  <c r="N393" i="1"/>
  <c r="N392" i="1"/>
  <c r="N391" i="1"/>
  <c r="N390" i="1"/>
  <c r="N389" i="1"/>
  <c r="N388" i="1"/>
  <c r="N387" i="1"/>
  <c r="N386" i="1"/>
  <c r="N385" i="1"/>
  <c r="N384" i="1"/>
  <c r="N383" i="1"/>
  <c r="N382" i="1"/>
  <c r="N381" i="1"/>
  <c r="N380" i="1"/>
  <c r="N379" i="1"/>
  <c r="N378" i="1"/>
  <c r="N377" i="1"/>
  <c r="N376" i="1"/>
  <c r="N375" i="1"/>
  <c r="N374" i="1"/>
  <c r="N373" i="1"/>
  <c r="N371" i="1"/>
  <c r="N370" i="1"/>
  <c r="N369" i="1"/>
  <c r="N368" i="1"/>
  <c r="N367" i="1"/>
  <c r="N366" i="1"/>
  <c r="N364" i="1"/>
  <c r="N363" i="1"/>
  <c r="N361" i="1"/>
  <c r="N358" i="1"/>
  <c r="N357" i="1"/>
  <c r="N355" i="1"/>
  <c r="N351" i="1"/>
  <c r="N350" i="1"/>
  <c r="N349" i="1"/>
  <c r="N348" i="1"/>
  <c r="N346" i="1"/>
  <c r="N344" i="1"/>
  <c r="N343" i="1"/>
  <c r="N342" i="1"/>
  <c r="N341" i="1"/>
  <c r="N340" i="1"/>
  <c r="N339" i="1"/>
  <c r="N338" i="1"/>
  <c r="N337" i="1"/>
  <c r="N336"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299" i="1"/>
  <c r="N298" i="1"/>
  <c r="N297" i="1"/>
  <c r="N295" i="1"/>
  <c r="N294" i="1"/>
  <c r="N293" i="1"/>
  <c r="N292" i="1"/>
  <c r="N291" i="1"/>
  <c r="N290" i="1"/>
  <c r="N289" i="1"/>
  <c r="N287" i="1"/>
  <c r="N286" i="1"/>
  <c r="N285" i="1"/>
  <c r="N284" i="1"/>
  <c r="N283" i="1"/>
  <c r="N282" i="1"/>
  <c r="N281" i="1"/>
  <c r="N280" i="1"/>
  <c r="N279" i="1"/>
  <c r="N278" i="1"/>
  <c r="N277" i="1"/>
  <c r="N276" i="1"/>
  <c r="N275" i="1"/>
  <c r="N274" i="1"/>
  <c r="N273" i="1"/>
  <c r="N272" i="1"/>
  <c r="N271" i="1"/>
  <c r="N270" i="1"/>
  <c r="N268" i="1"/>
  <c r="N267" i="1"/>
  <c r="N265" i="1"/>
  <c r="N264" i="1"/>
  <c r="N263" i="1"/>
  <c r="N262" i="1"/>
  <c r="N261" i="1"/>
  <c r="N260" i="1"/>
  <c r="N259" i="1"/>
  <c r="N258" i="1"/>
  <c r="N257" i="1"/>
  <c r="N256" i="1"/>
  <c r="N255" i="1"/>
  <c r="N254" i="1"/>
  <c r="N253" i="1"/>
  <c r="N252" i="1"/>
  <c r="N251" i="1"/>
  <c r="N249" i="1"/>
  <c r="N248" i="1"/>
  <c r="N247" i="1"/>
  <c r="N246" i="1"/>
  <c r="N245" i="1"/>
  <c r="N244" i="1"/>
  <c r="N243" i="1"/>
  <c r="N242" i="1"/>
  <c r="N241" i="1"/>
  <c r="N240" i="1"/>
  <c r="N238" i="1"/>
  <c r="N236" i="1"/>
  <c r="N235" i="1"/>
  <c r="N234" i="1"/>
  <c r="N233" i="1"/>
  <c r="N232" i="1"/>
  <c r="N231" i="1"/>
  <c r="N229" i="1"/>
  <c r="N228" i="1"/>
  <c r="N227" i="1"/>
  <c r="N226" i="1"/>
  <c r="N225" i="1"/>
  <c r="N224" i="1"/>
  <c r="N223" i="1"/>
  <c r="N222" i="1"/>
  <c r="N221" i="1"/>
  <c r="N220" i="1"/>
  <c r="N219" i="1"/>
  <c r="N218" i="1"/>
  <c r="N217" i="1"/>
  <c r="N216" i="1"/>
  <c r="N215"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2" i="1"/>
  <c r="N171" i="1"/>
  <c r="N170" i="1"/>
  <c r="N169" i="1"/>
  <c r="N168" i="1"/>
  <c r="N167" i="1"/>
  <c r="N166" i="1"/>
  <c r="N165" i="1"/>
  <c r="N164" i="1"/>
  <c r="N163" i="1"/>
  <c r="N162" i="1"/>
  <c r="N160" i="1"/>
  <c r="N159" i="1"/>
  <c r="N158" i="1"/>
  <c r="N156" i="1"/>
  <c r="N155" i="1"/>
  <c r="N154" i="1"/>
  <c r="N153" i="1"/>
  <c r="N150"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7" i="1"/>
  <c r="N6" i="1"/>
  <c r="N5" i="1"/>
  <c r="N4" i="1"/>
  <c r="N3" i="1"/>
  <c r="N2" i="1"/>
  <c r="AN700" i="1"/>
  <c r="AN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2" i="1"/>
  <c r="AN113" i="1"/>
  <c r="BF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5" i="1"/>
  <c r="AN166"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4" i="1"/>
  <c r="AN345" i="1"/>
  <c r="AN346" i="1"/>
  <c r="AN348" i="1"/>
  <c r="AN349" i="1"/>
  <c r="AN350" i="1"/>
  <c r="AN351" i="1"/>
  <c r="AN352" i="1"/>
  <c r="AN353" i="1"/>
  <c r="AN354" i="1"/>
  <c r="AN355" i="1"/>
  <c r="AN357" i="1"/>
  <c r="AN358"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6" i="1"/>
  <c r="AN397" i="1"/>
  <c r="BF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8" i="1"/>
  <c r="AN649" i="1"/>
  <c r="AN650" i="1"/>
  <c r="AN651" i="1"/>
  <c r="AN652" i="1"/>
  <c r="AN653" i="1"/>
  <c r="AN655" i="1"/>
  <c r="AN656" i="1"/>
  <c r="AN657" i="1"/>
  <c r="AN658" i="1"/>
  <c r="AN659" i="1"/>
  <c r="AN660" i="1"/>
  <c r="AN661" i="1"/>
  <c r="AN662" i="1"/>
  <c r="AN663" i="1"/>
  <c r="AN664" i="1"/>
  <c r="AN665" i="1"/>
  <c r="AN666" i="1"/>
  <c r="AN667" i="1"/>
  <c r="AN668" i="1"/>
  <c r="AN669" i="1"/>
  <c r="AN670"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1" i="1"/>
  <c r="AN702" i="1"/>
  <c r="AN703" i="1"/>
  <c r="AN704" i="1"/>
  <c r="AN706" i="1"/>
  <c r="AN707" i="1"/>
  <c r="AN708" i="1"/>
  <c r="BF709" i="1"/>
  <c r="AN710" i="1"/>
  <c r="AP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5" i="1"/>
  <c r="AP166"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8" i="1"/>
  <c r="AP349" i="1"/>
  <c r="AP350" i="1"/>
  <c r="AP351" i="1"/>
  <c r="AP352" i="1"/>
  <c r="AP353" i="1"/>
  <c r="AP354" i="1"/>
  <c r="AP355" i="1"/>
  <c r="AP356" i="1"/>
  <c r="AP357" i="1"/>
  <c r="AP358"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8" i="1"/>
  <c r="AP649" i="1"/>
  <c r="AP650" i="1"/>
  <c r="AP651" i="1"/>
  <c r="AP652" i="1"/>
  <c r="AP653" i="1"/>
  <c r="AP655" i="1"/>
  <c r="AP656" i="1"/>
  <c r="AP657" i="1"/>
  <c r="AP658" i="1"/>
  <c r="AP659" i="1"/>
  <c r="AP660" i="1"/>
  <c r="AP661" i="1"/>
  <c r="AP662" i="1"/>
  <c r="AP663" i="1"/>
  <c r="AP664" i="1"/>
  <c r="AP665" i="1"/>
  <c r="AP666" i="1"/>
  <c r="AP667" i="1"/>
  <c r="AP668" i="1"/>
  <c r="AP669" i="1"/>
  <c r="AP670"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700" i="1"/>
  <c r="AP701" i="1"/>
  <c r="AP702" i="1"/>
  <c r="AP703" i="1"/>
  <c r="AP704" i="1"/>
  <c r="AP706" i="1"/>
  <c r="AP707" i="1"/>
  <c r="AP708" i="1"/>
  <c r="AP709" i="1"/>
  <c r="AP710" i="1"/>
  <c r="BF682" i="1" l="1"/>
  <c r="AM682" i="1"/>
  <c r="BF642" i="1"/>
  <c r="AM642" i="1"/>
  <c r="BF606" i="1"/>
  <c r="AM606" i="1"/>
  <c r="BF570" i="1"/>
  <c r="AM570" i="1"/>
  <c r="BF522" i="1"/>
  <c r="AM522" i="1"/>
  <c r="BF485" i="1"/>
  <c r="AM485" i="1"/>
  <c r="BF449" i="1"/>
  <c r="AM449" i="1"/>
  <c r="BF401" i="1"/>
  <c r="AM401" i="1"/>
  <c r="BF364" i="1"/>
  <c r="AM364" i="1"/>
  <c r="BF336" i="1"/>
  <c r="AM336" i="1"/>
  <c r="BF300" i="1"/>
  <c r="AM300" i="1"/>
  <c r="BF264" i="1"/>
  <c r="AM264" i="1"/>
  <c r="BF227" i="1"/>
  <c r="AM227" i="1"/>
  <c r="BF191" i="1"/>
  <c r="AM191" i="1"/>
  <c r="BF153" i="1"/>
  <c r="AM153" i="1"/>
  <c r="BF117" i="1"/>
  <c r="AM117" i="1"/>
  <c r="BF80" i="1"/>
  <c r="AM80" i="1"/>
  <c r="BF44" i="1"/>
  <c r="AM44" i="1"/>
  <c r="BF8" i="1"/>
  <c r="AM8" i="1"/>
  <c r="BF693" i="1"/>
  <c r="AM693" i="1"/>
  <c r="BF629" i="1"/>
  <c r="AM629" i="1"/>
  <c r="BF569" i="1"/>
  <c r="AM569" i="1"/>
  <c r="BF496" i="1"/>
  <c r="AM496" i="1"/>
  <c r="BF436" i="1"/>
  <c r="AM436" i="1"/>
  <c r="BF387" i="1"/>
  <c r="AM387" i="1"/>
  <c r="BF323" i="1"/>
  <c r="AM323" i="1"/>
  <c r="BF275" i="1"/>
  <c r="AM275" i="1"/>
  <c r="BF226" i="1"/>
  <c r="AM226" i="1"/>
  <c r="BF178" i="1"/>
  <c r="AM178" i="1"/>
  <c r="BF128" i="1"/>
  <c r="AM128" i="1"/>
  <c r="BF67" i="1"/>
  <c r="AM67" i="1"/>
  <c r="BF19" i="1"/>
  <c r="AM19" i="1"/>
  <c r="BF706" i="1"/>
  <c r="AM706" i="1"/>
  <c r="BF640" i="1"/>
  <c r="AM640" i="1"/>
  <c r="BF592" i="1"/>
  <c r="AM592" i="1"/>
  <c r="BF532" i="1"/>
  <c r="AM532" i="1"/>
  <c r="BF471" i="1"/>
  <c r="AM471" i="1"/>
  <c r="BF423" i="1"/>
  <c r="AM423" i="1"/>
  <c r="BF362" i="1"/>
  <c r="AM362" i="1"/>
  <c r="BF298" i="1"/>
  <c r="AM298" i="1"/>
  <c r="BF237" i="1"/>
  <c r="AM237" i="1"/>
  <c r="BF163" i="1"/>
  <c r="AM163" i="1"/>
  <c r="BF54" i="1"/>
  <c r="AM54" i="1"/>
  <c r="BF704" i="1"/>
  <c r="AM704" i="1"/>
  <c r="BF652" i="1"/>
  <c r="AM652" i="1"/>
  <c r="BF603" i="1"/>
  <c r="AM603" i="1"/>
  <c r="BF543" i="1"/>
  <c r="AM543" i="1"/>
  <c r="BF470" i="1"/>
  <c r="AM470" i="1"/>
  <c r="BF346" i="1"/>
  <c r="AM346" i="1"/>
  <c r="BF273" i="1"/>
  <c r="AM273" i="1"/>
  <c r="BF200" i="1"/>
  <c r="AM200" i="1"/>
  <c r="BF65" i="1"/>
  <c r="AM65" i="1"/>
  <c r="BF29" i="1"/>
  <c r="AM29" i="1"/>
  <c r="BF678" i="1"/>
  <c r="AM678" i="1"/>
  <c r="BF626" i="1"/>
  <c r="AM626" i="1"/>
  <c r="BF578" i="1"/>
  <c r="AM578" i="1"/>
  <c r="BF530" i="1"/>
  <c r="AM530" i="1"/>
  <c r="BF493" i="1"/>
  <c r="AM493" i="1"/>
  <c r="BF421" i="1"/>
  <c r="AM421" i="1"/>
  <c r="BF372" i="1"/>
  <c r="AM372" i="1"/>
  <c r="BF320" i="1"/>
  <c r="AM320" i="1"/>
  <c r="BF284" i="1"/>
  <c r="AM284" i="1"/>
  <c r="BF235" i="1"/>
  <c r="AM235" i="1"/>
  <c r="BF199" i="1"/>
  <c r="AM199" i="1"/>
  <c r="BF149" i="1"/>
  <c r="AM149" i="1"/>
  <c r="BF100" i="1"/>
  <c r="AM100" i="1"/>
  <c r="BF76" i="1"/>
  <c r="AM76" i="1"/>
  <c r="BF4" i="1"/>
  <c r="AM4" i="1"/>
  <c r="BF702" i="1"/>
  <c r="AM702" i="1"/>
  <c r="BF677" i="1"/>
  <c r="AM677" i="1"/>
  <c r="BF650" i="1"/>
  <c r="AM650" i="1"/>
  <c r="BF625" i="1"/>
  <c r="AM625" i="1"/>
  <c r="BF601" i="1"/>
  <c r="AM601" i="1"/>
  <c r="BF577" i="1"/>
  <c r="AM577" i="1"/>
  <c r="BF553" i="1"/>
  <c r="AM553" i="1"/>
  <c r="BF529" i="1"/>
  <c r="AM529" i="1"/>
  <c r="BF505" i="1"/>
  <c r="AM505" i="1"/>
  <c r="BF456" i="1"/>
  <c r="AM456" i="1"/>
  <c r="BF420" i="1"/>
  <c r="AM420" i="1"/>
  <c r="BF396" i="1"/>
  <c r="AM396" i="1"/>
  <c r="BF371" i="1"/>
  <c r="AM371" i="1"/>
  <c r="BF344" i="1"/>
  <c r="AM344" i="1"/>
  <c r="BF319" i="1"/>
  <c r="AM319" i="1"/>
  <c r="BF295" i="1"/>
  <c r="AM295" i="1"/>
  <c r="BF271" i="1"/>
  <c r="AM271" i="1"/>
  <c r="BF246" i="1"/>
  <c r="AM246" i="1"/>
  <c r="BF222" i="1"/>
  <c r="AM222" i="1"/>
  <c r="BF198" i="1"/>
  <c r="AM198" i="1"/>
  <c r="BF174" i="1"/>
  <c r="AM174" i="1"/>
  <c r="BF148" i="1"/>
  <c r="AM148" i="1"/>
  <c r="BF124" i="1"/>
  <c r="AM124" i="1"/>
  <c r="BF99" i="1"/>
  <c r="AM99" i="1"/>
  <c r="BF75" i="1"/>
  <c r="AM75" i="1"/>
  <c r="BF27" i="1"/>
  <c r="AM27" i="1"/>
  <c r="BF3" i="1"/>
  <c r="AM3" i="1"/>
  <c r="BF662" i="1"/>
  <c r="AM662" i="1"/>
  <c r="BF600" i="1"/>
  <c r="AM600" i="1"/>
  <c r="BF540" i="1"/>
  <c r="AM540" i="1"/>
  <c r="BF467" i="1"/>
  <c r="AM467" i="1"/>
  <c r="BF394" i="1"/>
  <c r="AM394" i="1"/>
  <c r="BF330" i="1"/>
  <c r="AM330" i="1"/>
  <c r="BF270" i="1"/>
  <c r="AM270" i="1"/>
  <c r="BF185" i="1"/>
  <c r="AM185" i="1"/>
  <c r="BF123" i="1"/>
  <c r="AM123" i="1"/>
  <c r="BF86" i="1"/>
  <c r="AM86" i="1"/>
  <c r="BF26" i="1"/>
  <c r="AM26" i="1"/>
  <c r="BF42" i="1"/>
  <c r="AM42" i="1"/>
  <c r="BF261" i="1"/>
  <c r="AM261" i="1"/>
  <c r="BF638" i="1"/>
  <c r="AM638" i="1"/>
  <c r="BF554" i="1"/>
  <c r="AM554" i="1"/>
  <c r="BF445" i="1"/>
  <c r="AM445" i="1"/>
  <c r="BF332" i="1"/>
  <c r="AM332" i="1"/>
  <c r="BF161" i="1"/>
  <c r="AM161" i="1"/>
  <c r="BF688" i="1"/>
  <c r="AM688" i="1"/>
  <c r="BF588" i="1"/>
  <c r="AM588" i="1"/>
  <c r="BF504" i="1"/>
  <c r="AM504" i="1"/>
  <c r="BF431" i="1"/>
  <c r="AM431" i="1"/>
  <c r="BF342" i="1"/>
  <c r="AM342" i="1"/>
  <c r="BF258" i="1"/>
  <c r="AM258" i="1"/>
  <c r="BF159" i="1"/>
  <c r="AM159" i="1"/>
  <c r="BF50" i="1"/>
  <c r="AM50" i="1"/>
  <c r="BF661" i="1"/>
  <c r="AM661" i="1"/>
  <c r="BF599" i="1"/>
  <c r="AM599" i="1"/>
  <c r="BF527" i="1"/>
  <c r="AM527" i="1"/>
  <c r="BF454" i="1"/>
  <c r="AM454" i="1"/>
  <c r="BF393" i="1"/>
  <c r="AM393" i="1"/>
  <c r="BF317" i="1"/>
  <c r="AM317" i="1"/>
  <c r="BF257" i="1"/>
  <c r="AM257" i="1"/>
  <c r="BF196" i="1"/>
  <c r="AM196" i="1"/>
  <c r="BF122" i="1"/>
  <c r="AM122" i="1"/>
  <c r="BF37" i="1"/>
  <c r="AM37" i="1"/>
  <c r="BF708" i="1"/>
  <c r="AM708" i="1"/>
  <c r="BF656" i="1"/>
  <c r="AM656" i="1"/>
  <c r="BF630" i="1"/>
  <c r="AM630" i="1"/>
  <c r="BF582" i="1"/>
  <c r="AM582" i="1"/>
  <c r="BF546" i="1"/>
  <c r="AM546" i="1"/>
  <c r="BF510" i="1"/>
  <c r="AM510" i="1"/>
  <c r="BF461" i="1"/>
  <c r="AM461" i="1"/>
  <c r="BF425" i="1"/>
  <c r="AM425" i="1"/>
  <c r="BF388" i="1"/>
  <c r="AM388" i="1"/>
  <c r="BF324" i="1"/>
  <c r="AM324" i="1"/>
  <c r="BF288" i="1"/>
  <c r="AM288" i="1"/>
  <c r="BF252" i="1"/>
  <c r="AM252" i="1"/>
  <c r="BF215" i="1"/>
  <c r="AM215" i="1"/>
  <c r="BF179" i="1"/>
  <c r="AM179" i="1"/>
  <c r="BF141" i="1"/>
  <c r="AM141" i="1"/>
  <c r="BF104" i="1"/>
  <c r="AM104" i="1"/>
  <c r="BF92" i="1"/>
  <c r="AM92" i="1"/>
  <c r="BF56" i="1"/>
  <c r="AM56" i="1"/>
  <c r="BF20" i="1"/>
  <c r="AM20" i="1"/>
  <c r="BF667" i="1"/>
  <c r="AM667" i="1"/>
  <c r="BF605" i="1"/>
  <c r="AM605" i="1"/>
  <c r="BF557" i="1"/>
  <c r="AM557" i="1"/>
  <c r="BF509" i="1"/>
  <c r="AM509" i="1"/>
  <c r="BF460" i="1"/>
  <c r="AM460" i="1"/>
  <c r="BF400" i="1"/>
  <c r="AM400" i="1"/>
  <c r="BF335" i="1"/>
  <c r="AM335" i="1"/>
  <c r="BF287" i="1"/>
  <c r="AM287" i="1"/>
  <c r="BF214" i="1"/>
  <c r="AM214" i="1"/>
  <c r="BF165" i="1"/>
  <c r="AM165" i="1"/>
  <c r="BF116" i="1"/>
  <c r="AM116" i="1"/>
  <c r="BF55" i="1"/>
  <c r="AM55" i="1"/>
  <c r="BF31" i="1"/>
  <c r="AM31" i="1"/>
  <c r="BF653" i="1"/>
  <c r="AM653" i="1"/>
  <c r="BF604" i="1"/>
  <c r="AM604" i="1"/>
  <c r="BF544" i="1"/>
  <c r="AM544" i="1"/>
  <c r="BF495" i="1"/>
  <c r="AM495" i="1"/>
  <c r="BF435" i="1"/>
  <c r="AM435" i="1"/>
  <c r="BF374" i="1"/>
  <c r="AM374" i="1"/>
  <c r="BF310" i="1"/>
  <c r="AM310" i="1"/>
  <c r="BF225" i="1"/>
  <c r="AM225" i="1"/>
  <c r="BF151" i="1"/>
  <c r="AM151" i="1"/>
  <c r="BF30" i="1"/>
  <c r="AM30" i="1"/>
  <c r="BF665" i="1"/>
  <c r="AM665" i="1"/>
  <c r="BF615" i="1"/>
  <c r="AM615" i="1"/>
  <c r="BF555" i="1"/>
  <c r="AM555" i="1"/>
  <c r="BF507" i="1"/>
  <c r="AM507" i="1"/>
  <c r="BF446" i="1"/>
  <c r="AM446" i="1"/>
  <c r="BF410" i="1"/>
  <c r="AM410" i="1"/>
  <c r="BF361" i="1"/>
  <c r="AM361" i="1"/>
  <c r="BF297" i="1"/>
  <c r="AM297" i="1"/>
  <c r="BF236" i="1"/>
  <c r="AM236" i="1"/>
  <c r="BF176" i="1"/>
  <c r="AM176" i="1"/>
  <c r="BF126" i="1"/>
  <c r="AM126" i="1"/>
  <c r="BF77" i="1"/>
  <c r="AM77" i="1"/>
  <c r="BF17" i="1"/>
  <c r="AM17" i="1"/>
  <c r="BF664" i="1"/>
  <c r="AM664" i="1"/>
  <c r="BF590" i="1"/>
  <c r="AM590" i="1"/>
  <c r="BF518" i="1"/>
  <c r="AM518" i="1"/>
  <c r="BF469" i="1"/>
  <c r="AM469" i="1"/>
  <c r="BF409" i="1"/>
  <c r="AM409" i="1"/>
  <c r="BF345" i="1"/>
  <c r="AM345" i="1"/>
  <c r="BF308" i="1"/>
  <c r="AM308" i="1"/>
  <c r="BF260" i="1"/>
  <c r="AM260" i="1"/>
  <c r="BF223" i="1"/>
  <c r="AM223" i="1"/>
  <c r="BF175" i="1"/>
  <c r="AM175" i="1"/>
  <c r="BF125" i="1"/>
  <c r="AM125" i="1"/>
  <c r="BF88" i="1"/>
  <c r="AM88" i="1"/>
  <c r="BF64" i="1"/>
  <c r="AM64" i="1"/>
  <c r="BF16" i="1"/>
  <c r="AM16" i="1"/>
  <c r="BF689" i="1"/>
  <c r="AM689" i="1"/>
  <c r="BF663" i="1"/>
  <c r="AM663" i="1"/>
  <c r="BF637" i="1"/>
  <c r="AM637" i="1"/>
  <c r="BF613" i="1"/>
  <c r="AM613" i="1"/>
  <c r="BF589" i="1"/>
  <c r="AM589" i="1"/>
  <c r="BF565" i="1"/>
  <c r="AM565" i="1"/>
  <c r="BF541" i="1"/>
  <c r="AM541" i="1"/>
  <c r="BF517" i="1"/>
  <c r="AM517" i="1"/>
  <c r="BF492" i="1"/>
  <c r="AM492" i="1"/>
  <c r="BF444" i="1"/>
  <c r="AM444" i="1"/>
  <c r="BF432" i="1"/>
  <c r="AM432" i="1"/>
  <c r="BF408" i="1"/>
  <c r="AM408" i="1"/>
  <c r="BF383" i="1"/>
  <c r="AM383" i="1"/>
  <c r="BF358" i="1"/>
  <c r="AM358" i="1"/>
  <c r="BF331" i="1"/>
  <c r="AM331" i="1"/>
  <c r="BF307" i="1"/>
  <c r="AM307" i="1"/>
  <c r="BF283" i="1"/>
  <c r="AM283" i="1"/>
  <c r="BF259" i="1"/>
  <c r="AM259" i="1"/>
  <c r="BF234" i="1"/>
  <c r="AM234" i="1"/>
  <c r="BF210" i="1"/>
  <c r="AM210" i="1"/>
  <c r="BF186" i="1"/>
  <c r="AM186" i="1"/>
  <c r="BF160" i="1"/>
  <c r="AM160" i="1"/>
  <c r="BF136" i="1"/>
  <c r="AM136" i="1"/>
  <c r="BF112" i="1"/>
  <c r="AM112" i="1"/>
  <c r="BF87" i="1"/>
  <c r="AM87" i="1"/>
  <c r="BF39" i="1"/>
  <c r="AM39" i="1"/>
  <c r="BF15" i="1"/>
  <c r="AM15" i="1"/>
  <c r="BF676" i="1"/>
  <c r="AM676" i="1"/>
  <c r="BF624" i="1"/>
  <c r="AM624" i="1"/>
  <c r="BF576" i="1"/>
  <c r="AM576" i="1"/>
  <c r="BF516" i="1"/>
  <c r="AM516" i="1"/>
  <c r="BF479" i="1"/>
  <c r="AM479" i="1"/>
  <c r="BF419" i="1"/>
  <c r="AM419" i="1"/>
  <c r="BF357" i="1"/>
  <c r="AM357" i="1"/>
  <c r="BF294" i="1"/>
  <c r="AM294" i="1"/>
  <c r="BF233" i="1"/>
  <c r="AM233" i="1"/>
  <c r="BF197" i="1"/>
  <c r="AM197" i="1"/>
  <c r="BF135" i="1"/>
  <c r="AM135" i="1"/>
  <c r="BF74" i="1"/>
  <c r="AM74" i="1"/>
  <c r="BF2" i="1"/>
  <c r="AM2" i="1"/>
  <c r="BF675" i="1"/>
  <c r="AM675" i="1"/>
  <c r="BF623" i="1"/>
  <c r="AM623" i="1"/>
  <c r="BF563" i="1"/>
  <c r="AM563" i="1"/>
  <c r="BF515" i="1"/>
  <c r="AM515" i="1"/>
  <c r="BF466" i="1"/>
  <c r="AM466" i="1"/>
  <c r="BF430" i="1"/>
  <c r="AM430" i="1"/>
  <c r="BF381" i="1"/>
  <c r="AM381" i="1"/>
  <c r="BF329" i="1"/>
  <c r="AM329" i="1"/>
  <c r="BF305" i="1"/>
  <c r="AM305" i="1"/>
  <c r="BF244" i="1"/>
  <c r="AM244" i="1"/>
  <c r="BF184" i="1"/>
  <c r="AM184" i="1"/>
  <c r="BF134" i="1"/>
  <c r="AM134" i="1"/>
  <c r="BF85" i="1"/>
  <c r="AM85" i="1"/>
  <c r="BF61" i="1"/>
  <c r="AM61" i="1"/>
  <c r="BF13" i="1"/>
  <c r="AM13" i="1"/>
  <c r="BF698" i="1"/>
  <c r="AM698" i="1"/>
  <c r="BF686" i="1"/>
  <c r="AM686" i="1"/>
  <c r="BF674" i="1"/>
  <c r="AM674" i="1"/>
  <c r="BF660" i="1"/>
  <c r="AM660" i="1"/>
  <c r="BF646" i="1"/>
  <c r="AM646" i="1"/>
  <c r="BF634" i="1"/>
  <c r="AM634" i="1"/>
  <c r="BF622" i="1"/>
  <c r="AM622" i="1"/>
  <c r="BF610" i="1"/>
  <c r="AM610" i="1"/>
  <c r="BF598" i="1"/>
  <c r="AM598" i="1"/>
  <c r="BF586" i="1"/>
  <c r="AM586" i="1"/>
  <c r="BF574" i="1"/>
  <c r="AM574" i="1"/>
  <c r="BF562" i="1"/>
  <c r="AM562" i="1"/>
  <c r="BF550" i="1"/>
  <c r="AM550" i="1"/>
  <c r="BF538" i="1"/>
  <c r="AM538" i="1"/>
  <c r="BF526" i="1"/>
  <c r="AM526" i="1"/>
  <c r="BF514" i="1"/>
  <c r="AM514" i="1"/>
  <c r="BF502" i="1"/>
  <c r="AM502" i="1"/>
  <c r="BF489" i="1"/>
  <c r="AM489" i="1"/>
  <c r="BF477" i="1"/>
  <c r="AM477" i="1"/>
  <c r="BF465" i="1"/>
  <c r="AM465" i="1"/>
  <c r="BF453" i="1"/>
  <c r="AM453" i="1"/>
  <c r="BF441" i="1"/>
  <c r="AM441" i="1"/>
  <c r="BF429" i="1"/>
  <c r="AM429" i="1"/>
  <c r="BF417" i="1"/>
  <c r="AM417" i="1"/>
  <c r="BF405" i="1"/>
  <c r="AM405" i="1"/>
  <c r="BF392" i="1"/>
  <c r="AM392" i="1"/>
  <c r="BF380" i="1"/>
  <c r="AM380" i="1"/>
  <c r="BF368" i="1"/>
  <c r="AM368" i="1"/>
  <c r="BF354" i="1"/>
  <c r="AM354" i="1"/>
  <c r="BF340" i="1"/>
  <c r="AM340" i="1"/>
  <c r="BF328" i="1"/>
  <c r="AM328" i="1"/>
  <c r="BF316" i="1"/>
  <c r="AM316" i="1"/>
  <c r="BF304" i="1"/>
  <c r="AM304" i="1"/>
  <c r="BF292" i="1"/>
  <c r="AM292" i="1"/>
  <c r="BF280" i="1"/>
  <c r="AM280" i="1"/>
  <c r="BF268" i="1"/>
  <c r="AM268" i="1"/>
  <c r="BF256" i="1"/>
  <c r="AM256" i="1"/>
  <c r="BF243" i="1"/>
  <c r="AM243" i="1"/>
  <c r="BF231" i="1"/>
  <c r="AM231" i="1"/>
  <c r="BF219" i="1"/>
  <c r="AM219" i="1"/>
  <c r="BF207" i="1"/>
  <c r="AM207" i="1"/>
  <c r="BF195" i="1"/>
  <c r="AM195" i="1"/>
  <c r="BF183" i="1"/>
  <c r="AM183" i="1"/>
  <c r="BF171" i="1"/>
  <c r="AM171" i="1"/>
  <c r="BF157" i="1"/>
  <c r="AM157" i="1"/>
  <c r="BF145" i="1"/>
  <c r="AM145" i="1"/>
  <c r="BF133" i="1"/>
  <c r="AM133" i="1"/>
  <c r="BF121" i="1"/>
  <c r="AM121" i="1"/>
  <c r="BF108" i="1"/>
  <c r="AM108" i="1"/>
  <c r="BF96" i="1"/>
  <c r="AM96" i="1"/>
  <c r="BF84" i="1"/>
  <c r="AM84" i="1"/>
  <c r="BF72" i="1"/>
  <c r="AM72" i="1"/>
  <c r="BF60" i="1"/>
  <c r="AM60" i="1"/>
  <c r="BF48" i="1"/>
  <c r="AM48" i="1"/>
  <c r="BF36" i="1"/>
  <c r="AM36" i="1"/>
  <c r="BF24" i="1"/>
  <c r="AM24" i="1"/>
  <c r="BF12" i="1"/>
  <c r="AM12" i="1"/>
  <c r="BF668" i="1"/>
  <c r="AM668" i="1"/>
  <c r="BF594" i="1"/>
  <c r="AM594" i="1"/>
  <c r="BF534" i="1"/>
  <c r="AM534" i="1"/>
  <c r="BF473" i="1"/>
  <c r="AM473" i="1"/>
  <c r="BF413" i="1"/>
  <c r="AM413" i="1"/>
  <c r="BF350" i="1"/>
  <c r="AM350" i="1"/>
  <c r="BF276" i="1"/>
  <c r="AM276" i="1"/>
  <c r="BF203" i="1"/>
  <c r="AM203" i="1"/>
  <c r="BF129" i="1"/>
  <c r="AM129" i="1"/>
  <c r="BF32" i="1"/>
  <c r="AM32" i="1"/>
  <c r="BF655" i="1"/>
  <c r="AM655" i="1"/>
  <c r="BF593" i="1"/>
  <c r="AM593" i="1"/>
  <c r="BF545" i="1"/>
  <c r="AM545" i="1"/>
  <c r="BF484" i="1"/>
  <c r="AM484" i="1"/>
  <c r="BF424" i="1"/>
  <c r="AM424" i="1"/>
  <c r="BF375" i="1"/>
  <c r="AM375" i="1"/>
  <c r="BF311" i="1"/>
  <c r="AM311" i="1"/>
  <c r="BF263" i="1"/>
  <c r="AM263" i="1"/>
  <c r="BF202" i="1"/>
  <c r="AM202" i="1"/>
  <c r="BF152" i="1"/>
  <c r="AM152" i="1"/>
  <c r="BF91" i="1"/>
  <c r="AM91" i="1"/>
  <c r="BF43" i="1"/>
  <c r="AM43" i="1"/>
  <c r="BF680" i="1"/>
  <c r="AM680" i="1"/>
  <c r="BF628" i="1"/>
  <c r="AM628" i="1"/>
  <c r="BF568" i="1"/>
  <c r="AM568" i="1"/>
  <c r="BF520" i="1"/>
  <c r="AM520" i="1"/>
  <c r="BF459" i="1"/>
  <c r="AM459" i="1"/>
  <c r="BF411" i="1"/>
  <c r="AM411" i="1"/>
  <c r="BF348" i="1"/>
  <c r="AM348" i="1"/>
  <c r="BF322" i="1"/>
  <c r="AM322" i="1"/>
  <c r="BF262" i="1"/>
  <c r="AM262" i="1"/>
  <c r="BF213" i="1"/>
  <c r="AM213" i="1"/>
  <c r="BF189" i="1"/>
  <c r="AM189" i="1"/>
  <c r="BF139" i="1"/>
  <c r="AM139" i="1"/>
  <c r="BF102" i="1"/>
  <c r="AM102" i="1"/>
  <c r="BF78" i="1"/>
  <c r="AM78" i="1"/>
  <c r="BF18" i="1"/>
  <c r="AM18" i="1"/>
  <c r="BF679" i="1"/>
  <c r="AM679" i="1"/>
  <c r="BF627" i="1"/>
  <c r="AM627" i="1"/>
  <c r="BF567" i="1"/>
  <c r="AM567" i="1"/>
  <c r="BF519" i="1"/>
  <c r="AM519" i="1"/>
  <c r="BF494" i="1"/>
  <c r="AM494" i="1"/>
  <c r="BF434" i="1"/>
  <c r="AM434" i="1"/>
  <c r="BF385" i="1"/>
  <c r="AM385" i="1"/>
  <c r="BF333" i="1"/>
  <c r="AM333" i="1"/>
  <c r="BF285" i="1"/>
  <c r="AM285" i="1"/>
  <c r="BF224" i="1"/>
  <c r="AM224" i="1"/>
  <c r="BF188" i="1"/>
  <c r="AM188" i="1"/>
  <c r="BF138" i="1"/>
  <c r="AM138" i="1"/>
  <c r="BF89" i="1"/>
  <c r="AM89" i="1"/>
  <c r="BF41" i="1"/>
  <c r="AM41" i="1"/>
  <c r="BF703" i="1"/>
  <c r="AM703" i="1"/>
  <c r="BF614" i="1"/>
  <c r="AM614" i="1"/>
  <c r="BF542" i="1"/>
  <c r="AM542" i="1"/>
  <c r="BF457" i="1"/>
  <c r="AM457" i="1"/>
  <c r="BF397" i="1"/>
  <c r="AM397" i="1"/>
  <c r="BF296" i="1"/>
  <c r="AM296" i="1"/>
  <c r="BF211" i="1"/>
  <c r="AM211" i="1"/>
  <c r="BF137" i="1"/>
  <c r="AM137" i="1"/>
  <c r="BF52" i="1"/>
  <c r="AM52" i="1"/>
  <c r="BF468" i="1"/>
  <c r="AM468" i="1"/>
  <c r="BF51" i="1"/>
  <c r="AM51" i="1"/>
  <c r="BF701" i="1"/>
  <c r="AM701" i="1"/>
  <c r="BF612" i="1"/>
  <c r="AM612" i="1"/>
  <c r="BF528" i="1"/>
  <c r="AM528" i="1"/>
  <c r="BF443" i="1"/>
  <c r="AM443" i="1"/>
  <c r="BF370" i="1"/>
  <c r="AM370" i="1"/>
  <c r="BF282" i="1"/>
  <c r="AM282" i="1"/>
  <c r="BF209" i="1"/>
  <c r="AM209" i="1"/>
  <c r="BF110" i="1"/>
  <c r="AM110" i="1"/>
  <c r="BF14" i="1"/>
  <c r="AM14" i="1"/>
  <c r="BF687" i="1"/>
  <c r="AM687" i="1"/>
  <c r="BF611" i="1"/>
  <c r="AM611" i="1"/>
  <c r="BF551" i="1"/>
  <c r="AM551" i="1"/>
  <c r="BF503" i="1"/>
  <c r="AM503" i="1"/>
  <c r="BF442" i="1"/>
  <c r="AM442" i="1"/>
  <c r="BF369" i="1"/>
  <c r="AM369" i="1"/>
  <c r="BF281" i="1"/>
  <c r="AM281" i="1"/>
  <c r="BF220" i="1"/>
  <c r="AM220" i="1"/>
  <c r="BF158" i="1"/>
  <c r="AM158" i="1"/>
  <c r="BF97" i="1"/>
  <c r="AM97" i="1"/>
  <c r="BF49" i="1"/>
  <c r="AM49" i="1"/>
  <c r="BF697" i="1"/>
  <c r="AM697" i="1"/>
  <c r="BF685" i="1"/>
  <c r="AM685" i="1"/>
  <c r="BF673" i="1"/>
  <c r="AM673" i="1"/>
  <c r="BF659" i="1"/>
  <c r="AM659" i="1"/>
  <c r="BF645" i="1"/>
  <c r="AM645" i="1"/>
  <c r="BF633" i="1"/>
  <c r="AM633" i="1"/>
  <c r="BF621" i="1"/>
  <c r="AM621" i="1"/>
  <c r="BF609" i="1"/>
  <c r="AM609" i="1"/>
  <c r="BF597" i="1"/>
  <c r="AM597" i="1"/>
  <c r="BF585" i="1"/>
  <c r="AM585" i="1"/>
  <c r="BF573" i="1"/>
  <c r="AM573" i="1"/>
  <c r="BF561" i="1"/>
  <c r="AM561" i="1"/>
  <c r="BF549" i="1"/>
  <c r="AM549" i="1"/>
  <c r="BF537" i="1"/>
  <c r="AM537" i="1"/>
  <c r="BF525" i="1"/>
  <c r="AM525" i="1"/>
  <c r="BF513" i="1"/>
  <c r="AM513" i="1"/>
  <c r="BF500" i="1"/>
  <c r="AM500" i="1"/>
  <c r="BF488" i="1"/>
  <c r="AM488" i="1"/>
  <c r="BF476" i="1"/>
  <c r="AM476" i="1"/>
  <c r="BF464" i="1"/>
  <c r="AM464" i="1"/>
  <c r="BF452" i="1"/>
  <c r="AM452" i="1"/>
  <c r="BF440" i="1"/>
  <c r="AM440" i="1"/>
  <c r="BF428" i="1"/>
  <c r="AM428" i="1"/>
  <c r="BF416" i="1"/>
  <c r="AM416" i="1"/>
  <c r="BF404" i="1"/>
  <c r="AM404" i="1"/>
  <c r="BF391" i="1"/>
  <c r="AM391" i="1"/>
  <c r="BF379" i="1"/>
  <c r="AM379" i="1"/>
  <c r="BF367" i="1"/>
  <c r="AM367" i="1"/>
  <c r="BF353" i="1"/>
  <c r="AM353" i="1"/>
  <c r="BF339" i="1"/>
  <c r="AM339" i="1"/>
  <c r="BF327" i="1"/>
  <c r="AM327" i="1"/>
  <c r="BF315" i="1"/>
  <c r="AM315" i="1"/>
  <c r="BF303" i="1"/>
  <c r="AM303" i="1"/>
  <c r="BF291" i="1"/>
  <c r="AM291" i="1"/>
  <c r="BF279" i="1"/>
  <c r="AM279" i="1"/>
  <c r="BF267" i="1"/>
  <c r="AM267" i="1"/>
  <c r="BF255" i="1"/>
  <c r="AM255" i="1"/>
  <c r="BF242" i="1"/>
  <c r="AM242" i="1"/>
  <c r="BF230" i="1"/>
  <c r="AM230" i="1"/>
  <c r="BF218" i="1"/>
  <c r="AM218" i="1"/>
  <c r="BF206" i="1"/>
  <c r="AM206" i="1"/>
  <c r="BF194" i="1"/>
  <c r="AM194" i="1"/>
  <c r="BF182" i="1"/>
  <c r="AM182" i="1"/>
  <c r="BF170" i="1"/>
  <c r="AM170" i="1"/>
  <c r="BF156" i="1"/>
  <c r="AM156" i="1"/>
  <c r="BF144" i="1"/>
  <c r="AM144" i="1"/>
  <c r="BF132" i="1"/>
  <c r="AM132" i="1"/>
  <c r="BF120" i="1"/>
  <c r="AM120" i="1"/>
  <c r="BF107" i="1"/>
  <c r="AM107" i="1"/>
  <c r="BF95" i="1"/>
  <c r="AM95" i="1"/>
  <c r="BF83" i="1"/>
  <c r="AM83" i="1"/>
  <c r="BF71" i="1"/>
  <c r="AM71" i="1"/>
  <c r="BF59" i="1"/>
  <c r="AM59" i="1"/>
  <c r="BF47" i="1"/>
  <c r="AM47" i="1"/>
  <c r="BF35" i="1"/>
  <c r="AM35" i="1"/>
  <c r="BF23" i="1"/>
  <c r="AM23" i="1"/>
  <c r="BF11" i="1"/>
  <c r="AM11" i="1"/>
  <c r="BF681" i="1"/>
  <c r="AM681" i="1"/>
  <c r="BF617" i="1"/>
  <c r="AM617" i="1"/>
  <c r="BF533" i="1"/>
  <c r="AM533" i="1"/>
  <c r="BF448" i="1"/>
  <c r="AM448" i="1"/>
  <c r="BF349" i="1"/>
  <c r="AM349" i="1"/>
  <c r="BF238" i="1"/>
  <c r="AM238" i="1"/>
  <c r="BF103" i="1"/>
  <c r="AM103" i="1"/>
  <c r="BF692" i="1"/>
  <c r="AM692" i="1"/>
  <c r="BF580" i="1"/>
  <c r="AM580" i="1"/>
  <c r="BF483" i="1"/>
  <c r="AM483" i="1"/>
  <c r="BF386" i="1"/>
  <c r="AM386" i="1"/>
  <c r="BF274" i="1"/>
  <c r="AM274" i="1"/>
  <c r="BF115" i="1"/>
  <c r="AM115" i="1"/>
  <c r="BF591" i="1"/>
  <c r="AM591" i="1"/>
  <c r="BF458" i="1"/>
  <c r="AM458" i="1"/>
  <c r="BF321" i="1"/>
  <c r="AM321" i="1"/>
  <c r="BF150" i="1"/>
  <c r="AM150" i="1"/>
  <c r="BF651" i="1"/>
  <c r="AM651" i="1"/>
  <c r="BF566" i="1"/>
  <c r="AM566" i="1"/>
  <c r="BF481" i="1"/>
  <c r="AM481" i="1"/>
  <c r="BF384" i="1"/>
  <c r="AM384" i="1"/>
  <c r="BF247" i="1"/>
  <c r="AM247" i="1"/>
  <c r="BF40" i="1"/>
  <c r="AM40" i="1"/>
  <c r="BF649" i="1"/>
  <c r="AM649" i="1"/>
  <c r="BF564" i="1"/>
  <c r="AM564" i="1"/>
  <c r="BF491" i="1"/>
  <c r="AM491" i="1"/>
  <c r="BF407" i="1"/>
  <c r="AM407" i="1"/>
  <c r="BF318" i="1"/>
  <c r="AM318" i="1"/>
  <c r="BF221" i="1"/>
  <c r="AM221" i="1"/>
  <c r="BF147" i="1"/>
  <c r="AM147" i="1"/>
  <c r="BF62" i="1"/>
  <c r="AM62" i="1"/>
  <c r="BF648" i="1"/>
  <c r="AM648" i="1"/>
  <c r="BF587" i="1"/>
  <c r="AM587" i="1"/>
  <c r="BF539" i="1"/>
  <c r="AM539" i="1"/>
  <c r="BF478" i="1"/>
  <c r="AM478" i="1"/>
  <c r="BF406" i="1"/>
  <c r="AM406" i="1"/>
  <c r="BF341" i="1"/>
  <c r="AM341" i="1"/>
  <c r="BF269" i="1"/>
  <c r="AM269" i="1"/>
  <c r="BF208" i="1"/>
  <c r="AM208" i="1"/>
  <c r="BF146" i="1"/>
  <c r="AM146" i="1"/>
  <c r="BF73" i="1"/>
  <c r="AM73" i="1"/>
  <c r="BF700" i="1"/>
  <c r="AM700" i="1"/>
  <c r="BF710" i="1"/>
  <c r="AM710" i="1"/>
  <c r="BF696" i="1"/>
  <c r="AM696" i="1"/>
  <c r="BF684" i="1"/>
  <c r="AM684" i="1"/>
  <c r="BF670" i="1"/>
  <c r="AM670" i="1"/>
  <c r="BF658" i="1"/>
  <c r="AM658" i="1"/>
  <c r="BF644" i="1"/>
  <c r="AM644" i="1"/>
  <c r="BF632" i="1"/>
  <c r="AM632" i="1"/>
  <c r="BF620" i="1"/>
  <c r="AM620" i="1"/>
  <c r="BF608" i="1"/>
  <c r="AM608" i="1"/>
  <c r="BF596" i="1"/>
  <c r="AM596" i="1"/>
  <c r="BF584" i="1"/>
  <c r="AM584" i="1"/>
  <c r="BF572" i="1"/>
  <c r="AM572" i="1"/>
  <c r="BF560" i="1"/>
  <c r="AM560" i="1"/>
  <c r="BF548" i="1"/>
  <c r="AM548" i="1"/>
  <c r="BF536" i="1"/>
  <c r="AM536" i="1"/>
  <c r="BF524" i="1"/>
  <c r="AM524" i="1"/>
  <c r="BF512" i="1"/>
  <c r="AM512" i="1"/>
  <c r="BF499" i="1"/>
  <c r="AM499" i="1"/>
  <c r="BF487" i="1"/>
  <c r="AM487" i="1"/>
  <c r="BF475" i="1"/>
  <c r="AM475" i="1"/>
  <c r="BF463" i="1"/>
  <c r="AM463" i="1"/>
  <c r="BF451" i="1"/>
  <c r="AM451" i="1"/>
  <c r="BF439" i="1"/>
  <c r="AM439" i="1"/>
  <c r="BF427" i="1"/>
  <c r="AM427" i="1"/>
  <c r="BF415" i="1"/>
  <c r="AM415" i="1"/>
  <c r="BF403" i="1"/>
  <c r="AM403" i="1"/>
  <c r="BF390" i="1"/>
  <c r="AM390" i="1"/>
  <c r="BF378" i="1"/>
  <c r="AM378" i="1"/>
  <c r="BF366" i="1"/>
  <c r="AM366" i="1"/>
  <c r="BF352" i="1"/>
  <c r="AM352" i="1"/>
  <c r="BF338" i="1"/>
  <c r="AM338" i="1"/>
  <c r="BF326" i="1"/>
  <c r="AM326" i="1"/>
  <c r="BF314" i="1"/>
  <c r="AM314" i="1"/>
  <c r="BF302" i="1"/>
  <c r="AM302" i="1"/>
  <c r="BF290" i="1"/>
  <c r="AM290" i="1"/>
  <c r="BF278" i="1"/>
  <c r="AM278" i="1"/>
  <c r="BF266" i="1"/>
  <c r="AM266" i="1"/>
  <c r="BF254" i="1"/>
  <c r="AM254" i="1"/>
  <c r="BF241" i="1"/>
  <c r="AM241" i="1"/>
  <c r="BF229" i="1"/>
  <c r="AM229" i="1"/>
  <c r="BF217" i="1"/>
  <c r="AM217" i="1"/>
  <c r="BF205" i="1"/>
  <c r="AM205" i="1"/>
  <c r="BF193" i="1"/>
  <c r="AM193" i="1"/>
  <c r="BF181" i="1"/>
  <c r="AM181" i="1"/>
  <c r="BF169" i="1"/>
  <c r="AM169" i="1"/>
  <c r="BF155" i="1"/>
  <c r="AM155" i="1"/>
  <c r="BF143" i="1"/>
  <c r="AM143" i="1"/>
  <c r="BF131" i="1"/>
  <c r="AM131" i="1"/>
  <c r="BF119" i="1"/>
  <c r="AM119" i="1"/>
  <c r="BF106" i="1"/>
  <c r="AM106" i="1"/>
  <c r="BF94" i="1"/>
  <c r="AM94" i="1"/>
  <c r="BF82" i="1"/>
  <c r="AM82" i="1"/>
  <c r="BF70" i="1"/>
  <c r="AM70" i="1"/>
  <c r="BF58" i="1"/>
  <c r="AM58" i="1"/>
  <c r="BF46" i="1"/>
  <c r="AM46" i="1"/>
  <c r="BF34" i="1"/>
  <c r="AM34" i="1"/>
  <c r="BF22" i="1"/>
  <c r="AM22" i="1"/>
  <c r="BF10" i="1"/>
  <c r="AM10" i="1"/>
  <c r="BF694" i="1"/>
  <c r="AM694" i="1"/>
  <c r="BF618" i="1"/>
  <c r="AM618" i="1"/>
  <c r="BF558" i="1"/>
  <c r="AM558" i="1"/>
  <c r="BF497" i="1"/>
  <c r="AM497" i="1"/>
  <c r="BF437" i="1"/>
  <c r="AM437" i="1"/>
  <c r="BF376" i="1"/>
  <c r="AM376" i="1"/>
  <c r="BF312" i="1"/>
  <c r="AM312" i="1"/>
  <c r="BF239" i="1"/>
  <c r="AM239" i="1"/>
  <c r="BF166" i="1"/>
  <c r="AM166" i="1"/>
  <c r="BF68" i="1"/>
  <c r="AM68" i="1"/>
  <c r="BF707" i="1"/>
  <c r="AM707" i="1"/>
  <c r="BF641" i="1"/>
  <c r="AM641" i="1"/>
  <c r="BF581" i="1"/>
  <c r="AM581" i="1"/>
  <c r="BF521" i="1"/>
  <c r="AM521" i="1"/>
  <c r="BF472" i="1"/>
  <c r="AM472" i="1"/>
  <c r="BF412" i="1"/>
  <c r="AM412" i="1"/>
  <c r="BF363" i="1"/>
  <c r="AM363" i="1"/>
  <c r="BF299" i="1"/>
  <c r="AM299" i="1"/>
  <c r="BF251" i="1"/>
  <c r="AM251" i="1"/>
  <c r="BF190" i="1"/>
  <c r="AM190" i="1"/>
  <c r="BF140" i="1"/>
  <c r="AM140" i="1"/>
  <c r="BF79" i="1"/>
  <c r="AM79" i="1"/>
  <c r="BF7" i="1"/>
  <c r="AM7" i="1"/>
  <c r="BF666" i="1"/>
  <c r="AM666" i="1"/>
  <c r="BF616" i="1"/>
  <c r="AM616" i="1"/>
  <c r="BF556" i="1"/>
  <c r="AM556" i="1"/>
  <c r="BF508" i="1"/>
  <c r="AM508" i="1"/>
  <c r="BF447" i="1"/>
  <c r="AM447" i="1"/>
  <c r="BF399" i="1"/>
  <c r="AM399" i="1"/>
  <c r="BF334" i="1"/>
  <c r="AM334" i="1"/>
  <c r="BF286" i="1"/>
  <c r="AM286" i="1"/>
  <c r="BF249" i="1"/>
  <c r="AM249" i="1"/>
  <c r="BF201" i="1"/>
  <c r="AM201" i="1"/>
  <c r="BF177" i="1"/>
  <c r="AM177" i="1"/>
  <c r="BF127" i="1"/>
  <c r="AM127" i="1"/>
  <c r="BF90" i="1"/>
  <c r="AM90" i="1"/>
  <c r="BF66" i="1"/>
  <c r="AM66" i="1"/>
  <c r="BF6" i="1"/>
  <c r="AM6" i="1"/>
  <c r="BF691" i="1"/>
  <c r="AM691" i="1"/>
  <c r="BF639" i="1"/>
  <c r="AM639" i="1"/>
  <c r="BF579" i="1"/>
  <c r="AM579" i="1"/>
  <c r="BF531" i="1"/>
  <c r="AM531" i="1"/>
  <c r="BF482" i="1"/>
  <c r="AM482" i="1"/>
  <c r="BF422" i="1"/>
  <c r="AM422" i="1"/>
  <c r="BF373" i="1"/>
  <c r="AM373" i="1"/>
  <c r="BF309" i="1"/>
  <c r="AM309" i="1"/>
  <c r="BF248" i="1"/>
  <c r="AM248" i="1"/>
  <c r="BF212" i="1"/>
  <c r="AM212" i="1"/>
  <c r="BF162" i="1"/>
  <c r="AM162" i="1"/>
  <c r="BF101" i="1"/>
  <c r="AM101" i="1"/>
  <c r="BF53" i="1"/>
  <c r="AM53" i="1"/>
  <c r="BF5" i="1"/>
  <c r="AM5" i="1"/>
  <c r="BF690" i="1"/>
  <c r="AM690" i="1"/>
  <c r="BF602" i="1"/>
  <c r="AM602" i="1"/>
  <c r="BF506" i="1"/>
  <c r="AM506" i="1"/>
  <c r="BF433" i="1"/>
  <c r="AM433" i="1"/>
  <c r="BF360" i="1"/>
  <c r="AM360" i="1"/>
  <c r="BF272" i="1"/>
  <c r="AM272" i="1"/>
  <c r="BF187" i="1"/>
  <c r="AM187" i="1"/>
  <c r="BF113" i="1"/>
  <c r="AM113" i="1"/>
  <c r="BF28" i="1"/>
  <c r="AM28" i="1"/>
  <c r="BF480" i="1"/>
  <c r="AM480" i="1"/>
  <c r="BF63" i="1"/>
  <c r="AM63" i="1"/>
  <c r="BF636" i="1"/>
  <c r="AM636" i="1"/>
  <c r="BF552" i="1"/>
  <c r="AM552" i="1"/>
  <c r="BF455" i="1"/>
  <c r="AM455" i="1"/>
  <c r="BF382" i="1"/>
  <c r="AM382" i="1"/>
  <c r="BF306" i="1"/>
  <c r="AM306" i="1"/>
  <c r="BF245" i="1"/>
  <c r="AM245" i="1"/>
  <c r="BF173" i="1"/>
  <c r="AM173" i="1"/>
  <c r="BF98" i="1"/>
  <c r="AM98" i="1"/>
  <c r="BF38" i="1"/>
  <c r="AM38" i="1"/>
  <c r="BF699" i="1"/>
  <c r="AM699" i="1"/>
  <c r="BF635" i="1"/>
  <c r="AM635" i="1"/>
  <c r="BF575" i="1"/>
  <c r="AM575" i="1"/>
  <c r="BF490" i="1"/>
  <c r="AM490" i="1"/>
  <c r="BF418" i="1"/>
  <c r="AM418" i="1"/>
  <c r="BF355" i="1"/>
  <c r="AM355" i="1"/>
  <c r="BF293" i="1"/>
  <c r="AM293" i="1"/>
  <c r="BF232" i="1"/>
  <c r="AM232" i="1"/>
  <c r="BF172" i="1"/>
  <c r="AM172" i="1"/>
  <c r="BF109" i="1"/>
  <c r="AM109" i="1"/>
  <c r="BF25" i="1"/>
  <c r="AM25" i="1"/>
  <c r="BF695" i="1"/>
  <c r="AM695" i="1"/>
  <c r="BF683" i="1"/>
  <c r="AM683" i="1"/>
  <c r="BF669" i="1"/>
  <c r="AM669" i="1"/>
  <c r="BF657" i="1"/>
  <c r="AM657" i="1"/>
  <c r="BF643" i="1"/>
  <c r="AM643" i="1"/>
  <c r="BF631" i="1"/>
  <c r="AM631" i="1"/>
  <c r="BF619" i="1"/>
  <c r="AM619" i="1"/>
  <c r="BF607" i="1"/>
  <c r="AM607" i="1"/>
  <c r="BF595" i="1"/>
  <c r="AM595" i="1"/>
  <c r="BF583" i="1"/>
  <c r="AM583" i="1"/>
  <c r="BF571" i="1"/>
  <c r="AM571" i="1"/>
  <c r="BF559" i="1"/>
  <c r="AM559" i="1"/>
  <c r="BF547" i="1"/>
  <c r="AM547" i="1"/>
  <c r="BF535" i="1"/>
  <c r="AM535" i="1"/>
  <c r="BF523" i="1"/>
  <c r="AM523" i="1"/>
  <c r="BF511" i="1"/>
  <c r="AM511" i="1"/>
  <c r="BF498" i="1"/>
  <c r="AM498" i="1"/>
  <c r="BF486" i="1"/>
  <c r="AM486" i="1"/>
  <c r="BF474" i="1"/>
  <c r="AM474" i="1"/>
  <c r="BF462" i="1"/>
  <c r="AM462" i="1"/>
  <c r="BF450" i="1"/>
  <c r="AM450" i="1"/>
  <c r="BF438" i="1"/>
  <c r="AM438" i="1"/>
  <c r="BF426" i="1"/>
  <c r="AM426" i="1"/>
  <c r="BF414" i="1"/>
  <c r="AM414" i="1"/>
  <c r="BF402" i="1"/>
  <c r="AM402" i="1"/>
  <c r="BF389" i="1"/>
  <c r="AM389" i="1"/>
  <c r="BF377" i="1"/>
  <c r="AM377" i="1"/>
  <c r="BF365" i="1"/>
  <c r="AM365" i="1"/>
  <c r="BF351" i="1"/>
  <c r="AM351" i="1"/>
  <c r="BF337" i="1"/>
  <c r="AM337" i="1"/>
  <c r="BF325" i="1"/>
  <c r="AM325" i="1"/>
  <c r="BF313" i="1"/>
  <c r="AM313" i="1"/>
  <c r="BF301" i="1"/>
  <c r="AM301" i="1"/>
  <c r="BF289" i="1"/>
  <c r="AM289" i="1"/>
  <c r="BF277" i="1"/>
  <c r="AM277" i="1"/>
  <c r="BF265" i="1"/>
  <c r="AM265" i="1"/>
  <c r="BF253" i="1"/>
  <c r="AM253" i="1"/>
  <c r="BF240" i="1"/>
  <c r="AM240" i="1"/>
  <c r="BF228" i="1"/>
  <c r="AM228" i="1"/>
  <c r="BF216" i="1"/>
  <c r="AM216" i="1"/>
  <c r="BF204" i="1"/>
  <c r="AM204" i="1"/>
  <c r="BF192" i="1"/>
  <c r="AM192" i="1"/>
  <c r="BF180" i="1"/>
  <c r="AM180" i="1"/>
  <c r="BF168" i="1"/>
  <c r="AM168" i="1"/>
  <c r="BF154" i="1"/>
  <c r="AM154" i="1"/>
  <c r="BF142" i="1"/>
  <c r="AM142" i="1"/>
  <c r="BF130" i="1"/>
  <c r="AM130" i="1"/>
  <c r="BF118" i="1"/>
  <c r="AM118" i="1"/>
  <c r="BF105" i="1"/>
  <c r="AM105" i="1"/>
  <c r="BF93" i="1"/>
  <c r="AM93" i="1"/>
  <c r="BF81" i="1"/>
  <c r="AM81" i="1"/>
  <c r="BF69" i="1"/>
  <c r="AM69" i="1"/>
  <c r="BF57" i="1"/>
  <c r="AM57" i="1"/>
  <c r="BF45" i="1"/>
  <c r="AM45" i="1"/>
  <c r="BF33" i="1"/>
  <c r="AM33" i="1"/>
  <c r="BF21" i="1"/>
  <c r="AM21" i="1"/>
  <c r="BF9" i="1"/>
  <c r="AM9" i="1"/>
  <c r="AK301" i="1"/>
  <c r="AJ301" i="1"/>
  <c r="AK148" i="1"/>
  <c r="AJ148" i="1"/>
  <c r="AK168" i="1"/>
  <c r="AJ168" i="1"/>
  <c r="AK134" i="1"/>
  <c r="AJ134" i="1"/>
  <c r="AK271" i="1"/>
  <c r="AJ271" i="1"/>
  <c r="AK207" i="1"/>
  <c r="AJ207" i="1"/>
  <c r="AK90" i="1"/>
  <c r="AJ90" i="1"/>
  <c r="AK28" i="1"/>
  <c r="AJ28" i="1"/>
  <c r="AK544" i="1"/>
  <c r="AJ544" i="1"/>
  <c r="AK290" i="1"/>
  <c r="AJ290" i="1"/>
  <c r="AK78" i="1"/>
  <c r="AJ78" i="1"/>
  <c r="AK186" i="1"/>
  <c r="AJ186" i="1"/>
  <c r="AK596" i="1"/>
  <c r="AJ596" i="1"/>
  <c r="AK320" i="1"/>
  <c r="AJ320" i="1"/>
  <c r="AK579" i="1"/>
  <c r="AJ579" i="1"/>
  <c r="AK273" i="1"/>
  <c r="AJ273" i="1"/>
  <c r="AK563" i="1"/>
  <c r="AJ563" i="1"/>
  <c r="AK113" i="1"/>
  <c r="AJ113" i="1"/>
  <c r="AK144" i="1"/>
  <c r="AJ144" i="1"/>
  <c r="AK230" i="1"/>
  <c r="AJ230" i="1"/>
  <c r="AK143" i="1"/>
  <c r="AJ143" i="1"/>
  <c r="AK243" i="1"/>
  <c r="AJ243" i="1"/>
  <c r="AK109" i="1"/>
  <c r="AJ109" i="1"/>
  <c r="AK631" i="1"/>
  <c r="AJ631" i="1"/>
  <c r="AK101" i="1"/>
  <c r="AJ101" i="1"/>
  <c r="AK455" i="1"/>
  <c r="AJ455" i="1"/>
  <c r="AK250" i="1"/>
  <c r="AJ250" i="1"/>
  <c r="AK187" i="1"/>
  <c r="AJ187" i="1"/>
  <c r="AK510" i="1"/>
  <c r="AJ510" i="1"/>
  <c r="AK112" i="1"/>
  <c r="AJ112" i="1"/>
  <c r="AK47" i="1"/>
  <c r="AJ47" i="1"/>
  <c r="AK643" i="1"/>
  <c r="AJ643" i="1"/>
  <c r="AK388" i="1"/>
  <c r="AJ388" i="1"/>
  <c r="AK8" i="1"/>
  <c r="AJ8" i="1"/>
  <c r="AK616" i="1"/>
  <c r="AJ616" i="1"/>
  <c r="AK128" i="1"/>
  <c r="AJ128" i="1"/>
  <c r="AK495" i="1"/>
  <c r="AJ495" i="1"/>
  <c r="AK361" i="1"/>
  <c r="AJ361" i="1"/>
  <c r="AK332" i="1"/>
  <c r="AJ332" i="1"/>
  <c r="AK173" i="1"/>
  <c r="AJ173" i="1"/>
  <c r="AK312" i="1"/>
  <c r="AJ312" i="1"/>
  <c r="AK409" i="1"/>
  <c r="AJ409" i="1"/>
  <c r="AK381" i="1"/>
  <c r="AJ381" i="1"/>
  <c r="AK166" i="1"/>
  <c r="AJ166" i="1"/>
  <c r="AK219" i="1"/>
  <c r="AJ219" i="1"/>
  <c r="AK249" i="1"/>
  <c r="AJ249" i="1"/>
  <c r="AK9" i="1"/>
  <c r="AJ9" i="1"/>
  <c r="AK156" i="1"/>
  <c r="AJ156" i="1"/>
  <c r="AK451" i="1"/>
  <c r="AJ451" i="1"/>
  <c r="AK589" i="1"/>
  <c r="AJ589" i="1"/>
  <c r="AK141" i="1"/>
  <c r="AJ141" i="1"/>
  <c r="AK204" i="1"/>
  <c r="AJ204" i="1"/>
  <c r="AK386" i="1"/>
  <c r="AJ386" i="1"/>
  <c r="AK82" i="1"/>
  <c r="AJ82" i="1"/>
  <c r="AK710" i="1"/>
  <c r="AJ710" i="1"/>
  <c r="AK554" i="1"/>
  <c r="AJ554" i="1"/>
  <c r="AK464" i="1"/>
  <c r="AJ464" i="1"/>
  <c r="AK244" i="1"/>
  <c r="AJ244" i="1"/>
  <c r="AK366" i="1"/>
  <c r="AJ366" i="1"/>
  <c r="AK701" i="1"/>
  <c r="AJ701" i="1"/>
  <c r="AK344" i="1"/>
  <c r="AJ344" i="1"/>
  <c r="AK705" i="1"/>
  <c r="AJ705" i="1"/>
  <c r="AK706" i="1"/>
  <c r="AJ706" i="1"/>
  <c r="AK501" i="1"/>
  <c r="AJ501" i="1"/>
  <c r="AK297" i="1"/>
  <c r="AJ297" i="1"/>
  <c r="AK559" i="1"/>
  <c r="AJ559" i="1"/>
  <c r="AK232" i="1"/>
  <c r="AJ232" i="1"/>
  <c r="AK163" i="1"/>
  <c r="AJ163" i="1"/>
  <c r="AK33" i="1"/>
  <c r="AJ33" i="1"/>
  <c r="AK475" i="1"/>
  <c r="AJ475" i="1"/>
  <c r="AK86" i="1"/>
  <c r="AJ86" i="1"/>
  <c r="AK385" i="1"/>
  <c r="AJ385" i="1"/>
  <c r="AK555" i="1"/>
  <c r="AJ555" i="1"/>
  <c r="AK586" i="1"/>
  <c r="AJ586" i="1"/>
  <c r="AK217" i="1"/>
  <c r="AJ217" i="1"/>
  <c r="AK508" i="1"/>
  <c r="AJ508" i="1"/>
  <c r="AK240" i="1"/>
  <c r="AJ240" i="1"/>
  <c r="AK445" i="1"/>
  <c r="AJ445" i="1"/>
  <c r="AK506" i="1"/>
  <c r="AJ506" i="1"/>
  <c r="AK281" i="1"/>
  <c r="AJ281" i="1"/>
  <c r="AK351" i="1"/>
  <c r="AJ351" i="1"/>
  <c r="AK662" i="1"/>
  <c r="AJ662" i="1"/>
  <c r="AK637" i="1"/>
  <c r="AJ637" i="1"/>
  <c r="AK443" i="1"/>
  <c r="AJ443" i="1"/>
  <c r="AK487" i="1"/>
  <c r="AJ487" i="1"/>
  <c r="AK338" i="1"/>
  <c r="AJ338" i="1"/>
  <c r="AK684" i="1"/>
  <c r="AJ684" i="1"/>
  <c r="AK5" i="1"/>
  <c r="AJ5" i="1"/>
  <c r="AK91" i="1"/>
  <c r="AJ91" i="1"/>
  <c r="AK365" i="1"/>
  <c r="AJ365" i="1"/>
  <c r="AK270" i="1"/>
  <c r="AJ270" i="1"/>
  <c r="AK165" i="1"/>
  <c r="AJ165" i="1"/>
  <c r="AK286" i="1"/>
  <c r="AJ286" i="1"/>
  <c r="AK85" i="1"/>
  <c r="AJ85" i="1"/>
  <c r="AK549" i="1"/>
  <c r="AJ549" i="1"/>
  <c r="AK197" i="1"/>
  <c r="AJ197" i="1"/>
  <c r="AK531" i="1"/>
  <c r="AJ531" i="1"/>
  <c r="AK27" i="1"/>
  <c r="AJ27" i="1"/>
  <c r="AK4" i="1"/>
  <c r="AJ4" i="1"/>
  <c r="AK655" i="1"/>
  <c r="AJ655" i="1"/>
  <c r="AK152" i="1"/>
  <c r="AJ152" i="1"/>
  <c r="AK126" i="1"/>
  <c r="AJ126" i="1"/>
  <c r="AK598" i="1"/>
  <c r="AJ598" i="1"/>
  <c r="AK368" i="1"/>
  <c r="AJ368" i="1"/>
  <c r="AK302" i="1"/>
  <c r="AJ302" i="1"/>
  <c r="AK32" i="1"/>
  <c r="AJ32" i="1"/>
  <c r="AK624" i="1"/>
  <c r="AJ624" i="1"/>
  <c r="AK457" i="1"/>
  <c r="AJ457" i="1"/>
  <c r="AK145" i="1"/>
  <c r="AJ145" i="1"/>
  <c r="AK44" i="1"/>
  <c r="AJ44" i="1"/>
  <c r="AK658" i="1"/>
  <c r="AJ658" i="1"/>
  <c r="AK472" i="1"/>
  <c r="AJ472" i="1"/>
  <c r="AK291" i="1"/>
  <c r="AJ291" i="1"/>
  <c r="AK708" i="1"/>
  <c r="AJ708" i="1"/>
  <c r="AK619" i="1"/>
  <c r="AJ619" i="1"/>
  <c r="AK246" i="1"/>
  <c r="AJ246" i="1"/>
  <c r="AK398" i="1"/>
  <c r="AJ398" i="1"/>
  <c r="AK211" i="1"/>
  <c r="AJ211" i="1"/>
  <c r="AK59" i="1"/>
  <c r="AJ59" i="1"/>
  <c r="AK503" i="1"/>
  <c r="AJ503" i="1"/>
  <c r="AK613" i="1"/>
  <c r="AJ613" i="1"/>
  <c r="AK435" i="1"/>
  <c r="AJ435" i="1"/>
  <c r="AK132" i="1"/>
  <c r="AJ132" i="1"/>
  <c r="AK374" i="1"/>
  <c r="AJ374" i="1"/>
  <c r="AK660" i="1"/>
  <c r="AJ660" i="1"/>
  <c r="AK483" i="1"/>
  <c r="AJ483" i="1"/>
  <c r="AK306" i="1"/>
  <c r="AJ306" i="1"/>
  <c r="AK226" i="1"/>
  <c r="AJ226" i="1"/>
  <c r="AK517" i="1"/>
  <c r="AJ517" i="1"/>
  <c r="AK421" i="1"/>
  <c r="AJ421" i="1"/>
  <c r="AK212" i="1"/>
  <c r="AJ212" i="1"/>
  <c r="AK81" i="1"/>
  <c r="AJ81" i="1"/>
  <c r="AK146" i="1"/>
  <c r="AJ146" i="1"/>
  <c r="AK680" i="1"/>
  <c r="AJ680" i="1"/>
  <c r="AK456" i="1"/>
  <c r="AJ456" i="1"/>
  <c r="AK399" i="1"/>
  <c r="AJ399" i="1"/>
  <c r="AK300" i="1"/>
  <c r="AJ300" i="1"/>
  <c r="AK55" i="1"/>
  <c r="AJ55" i="1"/>
  <c r="AK225" i="1"/>
  <c r="AJ225" i="1"/>
  <c r="AK489" i="1"/>
  <c r="AJ489" i="1"/>
  <c r="AK602" i="1"/>
  <c r="AJ602" i="1"/>
  <c r="AK38" i="1"/>
  <c r="AJ38" i="1"/>
  <c r="AK179" i="1"/>
  <c r="AJ179" i="1"/>
  <c r="AK428" i="1"/>
  <c r="AJ428" i="1"/>
  <c r="AK171" i="1"/>
  <c r="AJ171" i="1"/>
  <c r="AK691" i="1"/>
  <c r="AJ691" i="1"/>
  <c r="AK490" i="1"/>
  <c r="AJ490" i="1"/>
  <c r="AK123" i="1"/>
  <c r="AJ123" i="1"/>
  <c r="AK316" i="1"/>
  <c r="AJ316" i="1"/>
  <c r="AK29" i="1"/>
  <c r="AJ29" i="1"/>
  <c r="AK255" i="1"/>
  <c r="AJ255" i="1"/>
  <c r="AK707" i="1"/>
  <c r="AJ707" i="1"/>
  <c r="AK80" i="1"/>
  <c r="AJ80" i="1"/>
  <c r="AK140" i="1"/>
  <c r="AJ140" i="1"/>
  <c r="AK41" i="1"/>
  <c r="AJ41" i="1"/>
  <c r="AK528" i="1"/>
  <c r="AJ528" i="1"/>
  <c r="AK117" i="1"/>
  <c r="AJ117" i="1"/>
  <c r="AK690" i="1"/>
  <c r="AJ690" i="1"/>
  <c r="AK580" i="1"/>
  <c r="AJ580" i="1"/>
  <c r="AK248" i="1"/>
  <c r="AJ248" i="1"/>
  <c r="AK522" i="1"/>
  <c r="AJ522" i="1"/>
  <c r="AK242" i="1"/>
  <c r="AJ242" i="1"/>
  <c r="AK298" i="1"/>
  <c r="AJ298" i="1"/>
  <c r="AK147" i="1"/>
  <c r="AJ147" i="1"/>
  <c r="AK129" i="1"/>
  <c r="AJ129" i="1"/>
  <c r="AK304" i="1"/>
  <c r="AJ304" i="1"/>
  <c r="AK210" i="1"/>
  <c r="AJ210" i="1"/>
  <c r="AK170" i="1"/>
  <c r="AJ170" i="1"/>
  <c r="AK447" i="1"/>
  <c r="AJ447" i="1"/>
  <c r="AK545" i="1"/>
  <c r="AJ545" i="1"/>
  <c r="AK325" i="1"/>
  <c r="AJ325" i="1"/>
  <c r="AK39" i="1"/>
  <c r="AJ39" i="1"/>
  <c r="AK11" i="1"/>
  <c r="AJ11" i="1"/>
  <c r="AK190" i="1"/>
  <c r="AJ190" i="1"/>
  <c r="AK151" i="1"/>
  <c r="AJ151" i="1"/>
  <c r="AK703" i="1"/>
  <c r="AJ703" i="1"/>
  <c r="AK98" i="1"/>
  <c r="AJ98" i="1"/>
  <c r="AK19" i="1"/>
  <c r="AJ19" i="1"/>
  <c r="AK159" i="1"/>
  <c r="AJ159" i="1"/>
  <c r="AK288" i="1"/>
  <c r="AJ288" i="1"/>
  <c r="AK611" i="1"/>
  <c r="AJ611" i="1"/>
  <c r="AK372" i="1"/>
  <c r="AJ372" i="1"/>
  <c r="AK193" i="1"/>
  <c r="AJ193" i="1"/>
  <c r="AK516" i="1"/>
  <c r="AJ516" i="1"/>
  <c r="AK305" i="1"/>
  <c r="AJ305" i="1"/>
  <c r="AK560" i="1"/>
  <c r="AJ560" i="1"/>
  <c r="AK592" i="1"/>
  <c r="AJ592" i="1"/>
  <c r="AK567" i="1"/>
  <c r="AJ567" i="1"/>
  <c r="AK561" i="1"/>
  <c r="AJ561" i="1"/>
  <c r="AK575" i="1"/>
  <c r="AJ575" i="1"/>
  <c r="AK541" i="1"/>
  <c r="AJ541" i="1"/>
  <c r="AK261" i="1"/>
  <c r="AJ261" i="1"/>
  <c r="AK75" i="1"/>
  <c r="AJ75" i="1"/>
  <c r="AK615" i="1"/>
  <c r="AJ615" i="1"/>
  <c r="AK441" i="1"/>
  <c r="AJ441" i="1"/>
  <c r="AK105" i="1"/>
  <c r="AJ105" i="1"/>
  <c r="AK311" i="1"/>
  <c r="AJ311" i="1"/>
  <c r="AK162" i="1"/>
  <c r="AJ162" i="1"/>
  <c r="AK590" i="1"/>
  <c r="AJ590" i="1"/>
  <c r="AK107" i="1"/>
  <c r="AJ107" i="1"/>
  <c r="AK103" i="1"/>
  <c r="AJ103" i="1"/>
  <c r="AK46" i="1"/>
  <c r="AJ46" i="1"/>
  <c r="AK578" i="1"/>
  <c r="AJ578" i="1"/>
  <c r="AK292" i="1"/>
  <c r="AJ292" i="1"/>
  <c r="AK68" i="1"/>
  <c r="AJ68" i="1"/>
  <c r="AK654" i="1"/>
  <c r="AJ654" i="1"/>
  <c r="AK548" i="1"/>
  <c r="AJ548" i="1"/>
  <c r="AK20" i="1"/>
  <c r="AJ20" i="1"/>
  <c r="AK636" i="1"/>
  <c r="AJ636" i="1"/>
  <c r="AK432" i="1"/>
  <c r="AJ432" i="1"/>
  <c r="AK16" i="1"/>
  <c r="AJ16" i="1"/>
  <c r="AK550" i="1"/>
  <c r="AJ550" i="1"/>
  <c r="AK67" i="1"/>
  <c r="AJ67" i="1"/>
  <c r="AK120" i="1"/>
  <c r="AJ120" i="1"/>
  <c r="AK237" i="1"/>
  <c r="AJ237" i="1"/>
  <c r="AK653" i="1"/>
  <c r="AJ653" i="1"/>
  <c r="AK488" i="1"/>
  <c r="AJ488" i="1"/>
  <c r="AK540" i="1"/>
  <c r="AJ540" i="1"/>
  <c r="AK182" i="1"/>
  <c r="AJ182" i="1"/>
  <c r="AK125" i="1"/>
  <c r="AJ125" i="1"/>
  <c r="AK63" i="1"/>
  <c r="AJ63" i="1"/>
  <c r="AK160" i="1"/>
  <c r="AJ160" i="1"/>
  <c r="AK241" i="1"/>
  <c r="AJ241" i="1"/>
  <c r="AK527" i="1"/>
  <c r="AJ527" i="1"/>
  <c r="AK537" i="1"/>
  <c r="AJ537" i="1"/>
  <c r="AK482" i="1"/>
  <c r="AJ482" i="1"/>
  <c r="AK379" i="1"/>
  <c r="AJ379" i="1"/>
  <c r="AK376" i="1"/>
  <c r="AJ376" i="1"/>
  <c r="AK459" i="1"/>
  <c r="AJ459" i="1"/>
  <c r="AK289" i="1"/>
  <c r="AJ289" i="1"/>
  <c r="AK18" i="1"/>
  <c r="AJ18" i="1"/>
  <c r="AK267" i="1"/>
  <c r="AJ267" i="1"/>
  <c r="AK438" i="1"/>
  <c r="AJ438" i="1"/>
  <c r="AK422" i="1"/>
  <c r="AJ422" i="1"/>
  <c r="AK591" i="1"/>
  <c r="AJ591" i="1"/>
  <c r="AK326" i="1"/>
  <c r="AJ326" i="1"/>
  <c r="AK110" i="1"/>
  <c r="AJ110" i="1"/>
  <c r="AK436" i="1"/>
  <c r="AJ436" i="1"/>
  <c r="AK626" i="1"/>
  <c r="AJ626" i="1"/>
  <c r="AK276" i="1"/>
  <c r="AJ276" i="1"/>
  <c r="AK576" i="1"/>
  <c r="AJ576" i="1"/>
  <c r="AK452" i="1"/>
  <c r="AJ452" i="1"/>
  <c r="AK618" i="1"/>
  <c r="AJ618" i="1"/>
  <c r="AK253" i="1"/>
  <c r="AJ253" i="1"/>
  <c r="AK431" i="1"/>
  <c r="AJ431" i="1"/>
  <c r="AK88" i="1"/>
  <c r="AJ88" i="1"/>
  <c r="AK341" i="1"/>
  <c r="AJ341" i="1"/>
  <c r="AK233" i="1"/>
  <c r="AJ233" i="1"/>
  <c r="AK395" i="1"/>
  <c r="AJ395" i="1"/>
  <c r="AK512" i="1"/>
  <c r="AJ512" i="1"/>
  <c r="AK87" i="1"/>
  <c r="AJ87" i="1"/>
  <c r="AK673" i="1"/>
  <c r="AJ673" i="1"/>
  <c r="AK373" i="1"/>
  <c r="AJ373" i="1"/>
  <c r="AK231" i="1"/>
  <c r="AJ231" i="1"/>
  <c r="AK518" i="1"/>
  <c r="AJ518" i="1"/>
  <c r="AK582" i="1"/>
  <c r="AJ582" i="1"/>
  <c r="AK526" i="1"/>
  <c r="AJ526" i="1"/>
  <c r="AK699" i="1"/>
  <c r="AJ699" i="1"/>
  <c r="AK206" i="1"/>
  <c r="AJ206" i="1"/>
  <c r="AK556" i="1"/>
  <c r="AJ556" i="1"/>
  <c r="AK339" i="1"/>
  <c r="AJ339" i="1"/>
  <c r="AK639" i="1"/>
  <c r="AJ639" i="1"/>
  <c r="AK175" i="1"/>
  <c r="AJ175" i="1"/>
  <c r="AK621" i="1"/>
  <c r="AJ621" i="1"/>
  <c r="AK60" i="1"/>
  <c r="AJ60" i="1"/>
  <c r="AK535" i="1"/>
  <c r="AJ535" i="1"/>
  <c r="AK293" i="1"/>
  <c r="AJ293" i="1"/>
  <c r="AK505" i="1"/>
  <c r="AJ505" i="1"/>
  <c r="AK514" i="1"/>
  <c r="AJ514" i="1"/>
  <c r="AK96" i="1"/>
  <c r="AJ96" i="1"/>
  <c r="AK511" i="1"/>
  <c r="AJ511" i="1"/>
  <c r="AK83" i="1"/>
  <c r="AJ83" i="1"/>
  <c r="AK612" i="1"/>
  <c r="AJ612" i="1"/>
  <c r="AK693" i="1"/>
  <c r="AJ693" i="1"/>
  <c r="AK649" i="1"/>
  <c r="AJ649" i="1"/>
  <c r="AK387" i="1"/>
  <c r="AJ387" i="1"/>
  <c r="AK323" i="1"/>
  <c r="AJ323" i="1"/>
  <c r="AK318" i="1"/>
  <c r="AJ318" i="1"/>
  <c r="AK657" i="1"/>
  <c r="AJ657" i="1"/>
  <c r="AK439" i="1"/>
  <c r="AJ439" i="1"/>
  <c r="AK24" i="1"/>
  <c r="AJ24" i="1"/>
  <c r="AK66" i="1"/>
  <c r="AJ66" i="1"/>
  <c r="AK588" i="1"/>
  <c r="AJ588" i="1"/>
  <c r="AK553" i="1"/>
  <c r="AJ553" i="1"/>
  <c r="AK367" i="1"/>
  <c r="AJ367" i="1"/>
  <c r="AK622" i="1"/>
  <c r="AJ622" i="1"/>
  <c r="AK640" i="1"/>
  <c r="AJ640" i="1"/>
  <c r="AK194" i="1"/>
  <c r="AJ194" i="1"/>
  <c r="AK558" i="1"/>
  <c r="AJ558" i="1"/>
  <c r="AK42" i="1"/>
  <c r="AJ42" i="1"/>
  <c r="AK520" i="1"/>
  <c r="AJ520" i="1"/>
  <c r="AK480" i="1"/>
  <c r="AJ480" i="1"/>
  <c r="AK228" i="1"/>
  <c r="AJ228" i="1"/>
  <c r="AK538" i="1"/>
  <c r="AJ538" i="1"/>
  <c r="AK35" i="1"/>
  <c r="AJ35" i="1"/>
  <c r="AK2" i="1"/>
  <c r="AJ2" i="1"/>
  <c r="AK675" i="1"/>
  <c r="AJ675" i="1"/>
  <c r="AK486" i="1"/>
  <c r="AJ486" i="1"/>
  <c r="AK603" i="1"/>
  <c r="AJ603" i="1"/>
  <c r="AK36" i="1"/>
  <c r="AJ36" i="1"/>
  <c r="AK450" i="1"/>
  <c r="AJ450" i="1"/>
  <c r="AK155" i="1"/>
  <c r="AJ155" i="1"/>
  <c r="AK315" i="1"/>
  <c r="AJ315" i="1"/>
  <c r="AK416" i="1"/>
  <c r="AJ416" i="1"/>
  <c r="AK363" i="1"/>
  <c r="AJ363" i="1"/>
  <c r="AK177" i="1"/>
  <c r="AJ177" i="1"/>
  <c r="AK13" i="1"/>
  <c r="AJ13" i="1"/>
  <c r="AK370" i="1"/>
  <c r="AJ370" i="1"/>
  <c r="AK45" i="1"/>
  <c r="AJ45" i="1"/>
  <c r="AK236" i="1"/>
  <c r="AJ236" i="1"/>
  <c r="AK403" i="1"/>
  <c r="AJ403" i="1"/>
  <c r="AK294" i="1"/>
  <c r="AJ294" i="1"/>
  <c r="AK199" i="1"/>
  <c r="AJ199" i="1"/>
  <c r="AK383" i="1"/>
  <c r="AJ383" i="1"/>
  <c r="AK77" i="1"/>
  <c r="AJ77" i="1"/>
  <c r="AK279" i="1"/>
  <c r="AJ279" i="1"/>
  <c r="AK460" i="1"/>
  <c r="AJ460" i="1"/>
  <c r="AK414" i="1"/>
  <c r="AJ414" i="1"/>
  <c r="AK564" i="1"/>
  <c r="AJ564" i="1"/>
  <c r="AK262" i="1"/>
  <c r="AJ262" i="1"/>
  <c r="AK93" i="1"/>
  <c r="AJ93" i="1"/>
  <c r="AK303" i="1"/>
  <c r="AJ303" i="1"/>
  <c r="AK192" i="1"/>
  <c r="AJ192" i="1"/>
  <c r="AK570" i="1"/>
  <c r="AJ570" i="1"/>
  <c r="AK630" i="1"/>
  <c r="AJ630" i="1"/>
  <c r="AK266" i="1"/>
  <c r="AJ266" i="1"/>
  <c r="AK131" i="1"/>
  <c r="AJ131" i="1"/>
  <c r="AK277" i="1"/>
  <c r="AJ277" i="1"/>
  <c r="AK676" i="1"/>
  <c r="AJ676" i="1"/>
  <c r="AK477" i="1"/>
  <c r="AJ477" i="1"/>
  <c r="AK52" i="1"/>
  <c r="AJ52" i="1"/>
  <c r="AK392" i="1"/>
  <c r="AJ392" i="1"/>
  <c r="AK502" i="1"/>
  <c r="AJ502" i="1"/>
  <c r="AK202" i="1"/>
  <c r="AJ202" i="1"/>
  <c r="AK61" i="1"/>
  <c r="AJ61" i="1"/>
  <c r="AK327" i="1"/>
  <c r="AJ327" i="1"/>
  <c r="AK269" i="1"/>
  <c r="AJ269" i="1"/>
  <c r="AK584" i="1"/>
  <c r="AJ584" i="1"/>
  <c r="AK606" i="1"/>
  <c r="AJ606" i="1"/>
  <c r="AK642" i="1"/>
  <c r="AJ642" i="1"/>
  <c r="AK282" i="1"/>
  <c r="AJ282" i="1"/>
  <c r="AK646" i="1"/>
  <c r="AJ646" i="1"/>
  <c r="AK95" i="1"/>
  <c r="AJ95" i="1"/>
  <c r="AK625" i="1"/>
  <c r="AJ625" i="1"/>
  <c r="AK497" i="1"/>
  <c r="AJ497" i="1"/>
  <c r="AK23" i="1"/>
  <c r="AJ23" i="1"/>
  <c r="AK92" i="1"/>
  <c r="AJ92" i="1"/>
  <c r="AK355" i="1"/>
  <c r="AJ355" i="1"/>
  <c r="AK533" i="1"/>
  <c r="AJ533" i="1"/>
  <c r="AK218" i="1"/>
  <c r="AJ218" i="1"/>
  <c r="AK317" i="1"/>
  <c r="AJ317" i="1"/>
  <c r="AK203" i="1"/>
  <c r="AJ203" i="1"/>
  <c r="AK139" i="1"/>
  <c r="AJ139" i="1"/>
  <c r="AK322" i="1"/>
  <c r="AJ322" i="1"/>
  <c r="AK430" i="1"/>
  <c r="AJ430" i="1"/>
  <c r="AK536" i="1"/>
  <c r="AJ536" i="1"/>
  <c r="AK259" i="1"/>
  <c r="AJ259" i="1"/>
  <c r="AK214" i="1"/>
  <c r="AJ214" i="1"/>
  <c r="AK529" i="1"/>
  <c r="AJ529" i="1"/>
  <c r="AK394" i="1"/>
  <c r="AJ394" i="1"/>
  <c r="AK656" i="1"/>
  <c r="AJ656" i="1"/>
  <c r="AK94" i="1"/>
  <c r="AJ94" i="1"/>
  <c r="AK333" i="1"/>
  <c r="AJ333" i="1"/>
  <c r="AK378" i="1"/>
  <c r="AJ378" i="1"/>
  <c r="AK524" i="1"/>
  <c r="AJ524" i="1"/>
  <c r="AK73" i="1"/>
  <c r="AJ73" i="1"/>
  <c r="AK696" i="1"/>
  <c r="AJ696" i="1"/>
  <c r="AK686" i="1"/>
  <c r="AJ686" i="1"/>
  <c r="AK178" i="1"/>
  <c r="AJ178" i="1"/>
  <c r="AK462" i="1"/>
  <c r="AJ462" i="1"/>
  <c r="AK84" i="1"/>
  <c r="AJ84" i="1"/>
  <c r="AK667" i="1"/>
  <c r="AJ667" i="1"/>
  <c r="AK17" i="1"/>
  <c r="AJ17" i="1"/>
  <c r="AK79" i="1"/>
  <c r="AJ79" i="1"/>
  <c r="AK330" i="1"/>
  <c r="AJ330" i="1"/>
  <c r="AK353" i="1"/>
  <c r="AJ353" i="1"/>
  <c r="AK48" i="1"/>
  <c r="AJ48" i="1"/>
  <c r="AK688" i="1"/>
  <c r="AJ688" i="1"/>
  <c r="AK299" i="1"/>
  <c r="AJ299" i="1"/>
  <c r="AK650" i="1"/>
  <c r="AJ650" i="1"/>
  <c r="AK397" i="1"/>
  <c r="AJ397" i="1"/>
  <c r="AK364" i="1"/>
  <c r="AJ364" i="1"/>
  <c r="AK22" i="1"/>
  <c r="AJ22" i="1"/>
  <c r="AK648" i="1"/>
  <c r="AJ648" i="1"/>
  <c r="AK542" i="1"/>
  <c r="AJ542" i="1"/>
  <c r="AK465" i="1"/>
  <c r="AJ465" i="1"/>
  <c r="AK415" i="1"/>
  <c r="AJ415" i="1"/>
  <c r="AK375" i="1"/>
  <c r="AJ375" i="1"/>
  <c r="AK258" i="1"/>
  <c r="AJ258" i="1"/>
  <c r="AK64" i="1"/>
  <c r="AJ64" i="1"/>
  <c r="AK401" i="1"/>
  <c r="AJ401" i="1"/>
  <c r="AK384" i="1"/>
  <c r="AJ384" i="1"/>
  <c r="AK138" i="1"/>
  <c r="AJ138" i="1"/>
  <c r="AK390" i="1"/>
  <c r="AJ390" i="1"/>
  <c r="AK69" i="1"/>
  <c r="AJ69" i="1"/>
  <c r="AK340" i="1"/>
  <c r="AJ340" i="1"/>
  <c r="AK54" i="1"/>
  <c r="AJ54" i="1"/>
  <c r="AK629" i="1"/>
  <c r="AJ629" i="1"/>
  <c r="AF214" i="1"/>
  <c r="AG133" i="1"/>
  <c r="AI133" i="1" s="1"/>
  <c r="AE214" i="1"/>
  <c r="AE538" i="1"/>
  <c r="AG313" i="1"/>
  <c r="AI313" i="1" s="1"/>
  <c r="AG521" i="1"/>
  <c r="AI521" i="1" s="1"/>
  <c r="AG426" i="1"/>
  <c r="AI426" i="1" s="1"/>
  <c r="AE521" i="1"/>
  <c r="AF538" i="1"/>
  <c r="AF426" i="1"/>
  <c r="AG295" i="1"/>
  <c r="AI295" i="1" s="1"/>
  <c r="AE133" i="1"/>
  <c r="AG251" i="1"/>
  <c r="AI251" i="1" s="1"/>
  <c r="AE295" i="1"/>
  <c r="AF313" i="1"/>
  <c r="AG229" i="1"/>
  <c r="AI229" i="1" s="1"/>
  <c r="AG169" i="1"/>
  <c r="AI169" i="1" s="1"/>
  <c r="AE254" i="1"/>
  <c r="AG254" i="1"/>
  <c r="AI254" i="1" s="1"/>
  <c r="AF229" i="1"/>
  <c r="AF251" i="1"/>
  <c r="AE53" i="1"/>
  <c r="AF492" i="1"/>
  <c r="AG272" i="1"/>
  <c r="AI272" i="1" s="1"/>
  <c r="AG552" i="1"/>
  <c r="AI552" i="1" s="1"/>
  <c r="AF44" i="1"/>
  <c r="AF64" i="1"/>
  <c r="AF138" i="1"/>
  <c r="AE44" i="1"/>
  <c r="AE64" i="1"/>
  <c r="AF620" i="1"/>
  <c r="AE138" i="1"/>
  <c r="AF668" i="1"/>
  <c r="AE668" i="1"/>
  <c r="AG668" i="1"/>
  <c r="AI668" i="1" s="1"/>
  <c r="AE238" i="1"/>
  <c r="AG238" i="1"/>
  <c r="AI238" i="1" s="1"/>
  <c r="AF274" i="1"/>
  <c r="AG274" i="1"/>
  <c r="AI274" i="1" s="1"/>
  <c r="AE274" i="1"/>
  <c r="AF238" i="1"/>
  <c r="AE411" i="1"/>
  <c r="AF411" i="1"/>
  <c r="AG411" i="1"/>
  <c r="AI411" i="1" s="1"/>
  <c r="AF593" i="1"/>
  <c r="AE593" i="1"/>
  <c r="AG593" i="1"/>
  <c r="AI593" i="1" s="1"/>
  <c r="AF200" i="1"/>
  <c r="AG200" i="1"/>
  <c r="AI200" i="1" s="1"/>
  <c r="AE200" i="1"/>
  <c r="AF351" i="1"/>
  <c r="AE351" i="1"/>
  <c r="AF583" i="1"/>
  <c r="AG583" i="1"/>
  <c r="AI583" i="1" s="1"/>
  <c r="AE583" i="1"/>
  <c r="AE223" i="1"/>
  <c r="AF223" i="1"/>
  <c r="AG223" i="1"/>
  <c r="AI223" i="1" s="1"/>
  <c r="AF707" i="1"/>
  <c r="AE707" i="1"/>
  <c r="AG485" i="1"/>
  <c r="AI485" i="1" s="1"/>
  <c r="AF485" i="1"/>
  <c r="AE485" i="1"/>
  <c r="AF575" i="1"/>
  <c r="AE575" i="1"/>
  <c r="AE709" i="1"/>
  <c r="AF709" i="1"/>
  <c r="AG709" i="1"/>
  <c r="AE201" i="1"/>
  <c r="AF201" i="1"/>
  <c r="AG201" i="1"/>
  <c r="AI201" i="1" s="1"/>
  <c r="AE99" i="1"/>
  <c r="AF99" i="1"/>
  <c r="AG99" i="1"/>
  <c r="AI99" i="1" s="1"/>
  <c r="AE608" i="1"/>
  <c r="AE569" i="1"/>
  <c r="AG57" i="1"/>
  <c r="AI57" i="1" s="1"/>
  <c r="AE158" i="1"/>
  <c r="AE141" i="1"/>
  <c r="AE434" i="1"/>
  <c r="AF434" i="1"/>
  <c r="AG434" i="1"/>
  <c r="AI434" i="1" s="1"/>
  <c r="AF40" i="1"/>
  <c r="AG40" i="1"/>
  <c r="AI40" i="1" s="1"/>
  <c r="AE40" i="1"/>
  <c r="AE704" i="1"/>
  <c r="AG704" i="1"/>
  <c r="AI704" i="1" s="1"/>
  <c r="AF704" i="1"/>
  <c r="AE644" i="1"/>
  <c r="AG644" i="1"/>
  <c r="AI644" i="1" s="1"/>
  <c r="AF644" i="1"/>
  <c r="AF30" i="1"/>
  <c r="AG30" i="1"/>
  <c r="AI30" i="1" s="1"/>
  <c r="AE30" i="1"/>
  <c r="AG58" i="1"/>
  <c r="AI58" i="1" s="1"/>
  <c r="AE58" i="1"/>
  <c r="AF58" i="1"/>
  <c r="AG572" i="1"/>
  <c r="AI572" i="1" s="1"/>
  <c r="AE572" i="1"/>
  <c r="AF572" i="1"/>
  <c r="AG634" i="1"/>
  <c r="AI634" i="1" s="1"/>
  <c r="AG608" i="1"/>
  <c r="AI608" i="1" s="1"/>
  <c r="AF234" i="1"/>
  <c r="AG234" i="1"/>
  <c r="AI234" i="1" s="1"/>
  <c r="AE234" i="1"/>
  <c r="AE634" i="1"/>
  <c r="AE599" i="1"/>
  <c r="AG569" i="1"/>
  <c r="AI569" i="1" s="1"/>
  <c r="AG224" i="1"/>
  <c r="AI224" i="1" s="1"/>
  <c r="AE224" i="1"/>
  <c r="AF224" i="1"/>
  <c r="AE429" i="1"/>
  <c r="AF429" i="1"/>
  <c r="AG429" i="1"/>
  <c r="AI429" i="1" s="1"/>
  <c r="AG599" i="1"/>
  <c r="AI599" i="1" s="1"/>
  <c r="AE15" i="1"/>
  <c r="AF57" i="1"/>
  <c r="AG467" i="1"/>
  <c r="AI467" i="1" s="1"/>
  <c r="AF141" i="1"/>
  <c r="AF124" i="1"/>
  <c r="AG124" i="1"/>
  <c r="AI124" i="1" s="1"/>
  <c r="AE124" i="1"/>
  <c r="AF412" i="1"/>
  <c r="AG412" i="1"/>
  <c r="AI412" i="1" s="1"/>
  <c r="AE412" i="1"/>
  <c r="AF682" i="1"/>
  <c r="AG682" i="1"/>
  <c r="AI682" i="1" s="1"/>
  <c r="AE682" i="1"/>
  <c r="AE227" i="1"/>
  <c r="AF227" i="1"/>
  <c r="AG227" i="1"/>
  <c r="AI227" i="1" s="1"/>
  <c r="AE543" i="1"/>
  <c r="AF543" i="1"/>
  <c r="AG543" i="1"/>
  <c r="AI543" i="1" s="1"/>
  <c r="AG15" i="1"/>
  <c r="AI15" i="1" s="1"/>
  <c r="AF647" i="1"/>
  <c r="AE647" i="1"/>
  <c r="AG647" i="1"/>
  <c r="AI647" i="1" s="1"/>
  <c r="AG666" i="1"/>
  <c r="AI666" i="1" s="1"/>
  <c r="AF666" i="1"/>
  <c r="AE334" i="1"/>
  <c r="AG334" i="1"/>
  <c r="AI334" i="1" s="1"/>
  <c r="AE358" i="1"/>
  <c r="AF358" i="1"/>
  <c r="AG358" i="1"/>
  <c r="AI358" i="1" s="1"/>
  <c r="AG449" i="1"/>
  <c r="AI449" i="1" s="1"/>
  <c r="AG97" i="1"/>
  <c r="AI97" i="1" s="1"/>
  <c r="AG6" i="1"/>
  <c r="AI6" i="1" s="1"/>
  <c r="AF6" i="1"/>
  <c r="AE6" i="1"/>
  <c r="AG461" i="1"/>
  <c r="AI461" i="1" s="1"/>
  <c r="AF461" i="1"/>
  <c r="AE461" i="1"/>
  <c r="AF408" i="1"/>
  <c r="AG408" i="1"/>
  <c r="AI408" i="1" s="1"/>
  <c r="AE408" i="1"/>
  <c r="AE396" i="1"/>
  <c r="AG396" i="1"/>
  <c r="AI396" i="1" s="1"/>
  <c r="AE259" i="1"/>
  <c r="AF259" i="1"/>
  <c r="AE449" i="1"/>
  <c r="AF97" i="1"/>
  <c r="AF597" i="1"/>
  <c r="AG597" i="1"/>
  <c r="AI597" i="1" s="1"/>
  <c r="AE597" i="1"/>
  <c r="AF350" i="1"/>
  <c r="AG350" i="1"/>
  <c r="AI350" i="1" s="1"/>
  <c r="AE350" i="1"/>
  <c r="AG222" i="1"/>
  <c r="AI222" i="1" s="1"/>
  <c r="AF222" i="1"/>
  <c r="AE552" i="1"/>
  <c r="AE272" i="1"/>
  <c r="AE260" i="1"/>
  <c r="AF260" i="1"/>
  <c r="AG260" i="1"/>
  <c r="AI260" i="1" s="1"/>
  <c r="AF273" i="1"/>
  <c r="AE273" i="1"/>
  <c r="AF136" i="1"/>
  <c r="AE136" i="1"/>
  <c r="AG136" i="1"/>
  <c r="AI136" i="1" s="1"/>
  <c r="AE70" i="1"/>
  <c r="AG70" i="1"/>
  <c r="AI70" i="1" s="1"/>
  <c r="AF70" i="1"/>
  <c r="AG609" i="1"/>
  <c r="AI609" i="1" s="1"/>
  <c r="AE609" i="1"/>
  <c r="AF609" i="1"/>
  <c r="AG53" i="1"/>
  <c r="AI53" i="1" s="1"/>
  <c r="AG620" i="1"/>
  <c r="AI620" i="1" s="1"/>
  <c r="AE467" i="1"/>
  <c r="AG198" i="1"/>
  <c r="AI198" i="1" s="1"/>
  <c r="AG310" i="1"/>
  <c r="AI310" i="1" s="1"/>
  <c r="AF198" i="1"/>
  <c r="AE288" i="1"/>
  <c r="AF310" i="1"/>
  <c r="AF50" i="1"/>
  <c r="AF288" i="1"/>
  <c r="AG492" i="1"/>
  <c r="AI492" i="1" s="1"/>
  <c r="AE566" i="1"/>
  <c r="AF566" i="1"/>
  <c r="AG566" i="1"/>
  <c r="AI566" i="1" s="1"/>
  <c r="AF496" i="1"/>
  <c r="AG496" i="1"/>
  <c r="AI496" i="1" s="1"/>
  <c r="AE496" i="1"/>
  <c r="AG471" i="1"/>
  <c r="AI471" i="1" s="1"/>
  <c r="AG661" i="1"/>
  <c r="AI661" i="1" s="1"/>
  <c r="AF308" i="1"/>
  <c r="AG308" i="1"/>
  <c r="AI308" i="1" s="1"/>
  <c r="AE308" i="1"/>
  <c r="AF7" i="1"/>
  <c r="AE7" i="1"/>
  <c r="AG7" i="1"/>
  <c r="AI7" i="1" s="1"/>
  <c r="AE62" i="1"/>
  <c r="AG62" i="1"/>
  <c r="AI62" i="1" s="1"/>
  <c r="AF62" i="1"/>
  <c r="AG319" i="1"/>
  <c r="AI319" i="1" s="1"/>
  <c r="AF661" i="1"/>
  <c r="AG127" i="1"/>
  <c r="AI127" i="1" s="1"/>
  <c r="AF342" i="1"/>
  <c r="AG342" i="1"/>
  <c r="AI342" i="1" s="1"/>
  <c r="AE342" i="1"/>
  <c r="AE663" i="1"/>
  <c r="AG663" i="1"/>
  <c r="AI663" i="1" s="1"/>
  <c r="AF663" i="1"/>
  <c r="AF65" i="1"/>
  <c r="AG65" i="1"/>
  <c r="AI65" i="1" s="1"/>
  <c r="AE65" i="1"/>
  <c r="AF664" i="1"/>
  <c r="AG664" i="1"/>
  <c r="AI664" i="1" s="1"/>
  <c r="AE664" i="1"/>
  <c r="AF89" i="1"/>
  <c r="AG89" i="1"/>
  <c r="AI89" i="1" s="1"/>
  <c r="AE89" i="1"/>
  <c r="AE635" i="1"/>
  <c r="AF635" i="1"/>
  <c r="AG635" i="1"/>
  <c r="AI635" i="1" s="1"/>
  <c r="AF369" i="1"/>
  <c r="AE369" i="1"/>
  <c r="AG369" i="1"/>
  <c r="AI369" i="1" s="1"/>
  <c r="AF185" i="1"/>
  <c r="AG185" i="1"/>
  <c r="AI185" i="1" s="1"/>
  <c r="AE185" i="1"/>
  <c r="AF425" i="1"/>
  <c r="AG425" i="1"/>
  <c r="AI425" i="1" s="1"/>
  <c r="AE425" i="1"/>
  <c r="AG454" i="1"/>
  <c r="AI454" i="1" s="1"/>
  <c r="AE454" i="1"/>
  <c r="AF454" i="1"/>
  <c r="AF331" i="1"/>
  <c r="AG331" i="1"/>
  <c r="AI331" i="1" s="1"/>
  <c r="AE331" i="1"/>
  <c r="AE507" i="1"/>
  <c r="AG507" i="1"/>
  <c r="AI507" i="1" s="1"/>
  <c r="AF507" i="1"/>
  <c r="AE186" i="1"/>
  <c r="AF186" i="1"/>
  <c r="AF296" i="1"/>
  <c r="AG296" i="1"/>
  <c r="AI296" i="1" s="1"/>
  <c r="AE296" i="1"/>
  <c r="AF102" i="1"/>
  <c r="AG102" i="1"/>
  <c r="AI102" i="1" s="1"/>
  <c r="AE102" i="1"/>
  <c r="AF169" i="1"/>
  <c r="AG158" i="1"/>
  <c r="AI158" i="1" s="1"/>
  <c r="AE393" i="1"/>
  <c r="AF393" i="1"/>
  <c r="AG393" i="1"/>
  <c r="AI393" i="1" s="1"/>
  <c r="AE417" i="1"/>
  <c r="AF417" i="1"/>
  <c r="AG417" i="1"/>
  <c r="AI417" i="1" s="1"/>
  <c r="AE25" i="1"/>
  <c r="AG25" i="1"/>
  <c r="AI25" i="1" s="1"/>
  <c r="AF25" i="1"/>
  <c r="AF49" i="1"/>
  <c r="AE49" i="1"/>
  <c r="AG49" i="1"/>
  <c r="AI49" i="1" s="1"/>
  <c r="AE437" i="1"/>
  <c r="AF437" i="1"/>
  <c r="AG437" i="1"/>
  <c r="AI437" i="1" s="1"/>
  <c r="AF100" i="1"/>
  <c r="AG100" i="1"/>
  <c r="AI100" i="1" s="1"/>
  <c r="AE100" i="1"/>
  <c r="AE623" i="1"/>
  <c r="AF623" i="1"/>
  <c r="AG623" i="1"/>
  <c r="AI623" i="1" s="1"/>
  <c r="AE142" i="1"/>
  <c r="AG142" i="1"/>
  <c r="AI142" i="1" s="1"/>
  <c r="AF142" i="1"/>
  <c r="AF513" i="1"/>
  <c r="AG513" i="1"/>
  <c r="AI513" i="1" s="1"/>
  <c r="AE513" i="1"/>
  <c r="AE473" i="1"/>
  <c r="AF473" i="1"/>
  <c r="AG473" i="1"/>
  <c r="AI473" i="1" s="1"/>
  <c r="AE346" i="1"/>
  <c r="AF346" i="1"/>
  <c r="AG346" i="1"/>
  <c r="AI346" i="1" s="1"/>
  <c r="AF209" i="1"/>
  <c r="AG209" i="1"/>
  <c r="AI209" i="1" s="1"/>
  <c r="AE209" i="1"/>
  <c r="AF56" i="1"/>
  <c r="AG56" i="1"/>
  <c r="AI56" i="1" s="1"/>
  <c r="AE56" i="1"/>
  <c r="AE127" i="1"/>
  <c r="AG307" i="1"/>
  <c r="AI307" i="1" s="1"/>
  <c r="AE307" i="1"/>
  <c r="AF307" i="1"/>
  <c r="AE581" i="1"/>
  <c r="AF581" i="1"/>
  <c r="AG581" i="1"/>
  <c r="AI581" i="1" s="1"/>
  <c r="AF321" i="1"/>
  <c r="AG321" i="1"/>
  <c r="AI321" i="1" s="1"/>
  <c r="AE321" i="1"/>
  <c r="AG689" i="1"/>
  <c r="AI689" i="1" s="1"/>
  <c r="AG280" i="1"/>
  <c r="AI280" i="1" s="1"/>
  <c r="AG278" i="1"/>
  <c r="AI278" i="1" s="1"/>
  <c r="AE278" i="1"/>
  <c r="AF278" i="1"/>
  <c r="AE183" i="1"/>
  <c r="AF183" i="1"/>
  <c r="AG183" i="1"/>
  <c r="AI183" i="1" s="1"/>
  <c r="AF121" i="1"/>
  <c r="AE121" i="1"/>
  <c r="AG121" i="1"/>
  <c r="AI121" i="1" s="1"/>
  <c r="AG264" i="1"/>
  <c r="AI264" i="1" s="1"/>
  <c r="AF264" i="1"/>
  <c r="AE264" i="1"/>
  <c r="AE471" i="1"/>
  <c r="AE280" i="1"/>
  <c r="AF336" i="1"/>
  <c r="AG336" i="1"/>
  <c r="AI336" i="1" s="1"/>
  <c r="AE336" i="1"/>
  <c r="AF343" i="1"/>
  <c r="AG343" i="1"/>
  <c r="AI343" i="1" s="1"/>
  <c r="AE343" i="1"/>
  <c r="AE319" i="1"/>
  <c r="AF689" i="1"/>
  <c r="AE476" i="1"/>
  <c r="AF476" i="1"/>
  <c r="AG476" i="1"/>
  <c r="AI476" i="1" s="1"/>
  <c r="AG118" i="1"/>
  <c r="AI118" i="1" s="1"/>
  <c r="AF118" i="1"/>
  <c r="AE118" i="1"/>
  <c r="AE484" i="1"/>
  <c r="AF484" i="1"/>
  <c r="AG484" i="1"/>
  <c r="AI484" i="1" s="1"/>
  <c r="AF641" i="1"/>
  <c r="AE641" i="1"/>
  <c r="AG641" i="1"/>
  <c r="AI641" i="1" s="1"/>
  <c r="AE595" i="1"/>
  <c r="AF595" i="1"/>
  <c r="AG595" i="1"/>
  <c r="AI595" i="1" s="1"/>
  <c r="AF349" i="1"/>
  <c r="AG349" i="1"/>
  <c r="AI349" i="1" s="1"/>
  <c r="AE349" i="1"/>
  <c r="AF534" i="1"/>
  <c r="AG534" i="1"/>
  <c r="AI534" i="1" s="1"/>
  <c r="AE534" i="1"/>
  <c r="AG50" i="1"/>
  <c r="AI50" i="1" s="1"/>
  <c r="AF628" i="1"/>
  <c r="AG628" i="1"/>
  <c r="AI628" i="1" s="1"/>
  <c r="AE628" i="1"/>
  <c r="AF614" i="1"/>
  <c r="AE614" i="1"/>
  <c r="AG614" i="1"/>
  <c r="AI614" i="1" s="1"/>
  <c r="AF371" i="1"/>
  <c r="AG371" i="1"/>
  <c r="AI371" i="1" s="1"/>
  <c r="AE371" i="1"/>
  <c r="AG600" i="1"/>
  <c r="AI600" i="1" s="1"/>
  <c r="AE600" i="1"/>
  <c r="AF220" i="1"/>
  <c r="AE220" i="1"/>
  <c r="AG220" i="1"/>
  <c r="AI220" i="1" s="1"/>
  <c r="AF519" i="1"/>
  <c r="AG519" i="1"/>
  <c r="AI519" i="1" s="1"/>
  <c r="AE519" i="1"/>
  <c r="AF494" i="1"/>
  <c r="AE494" i="1"/>
  <c r="AG494" i="1"/>
  <c r="AI494" i="1" s="1"/>
  <c r="AF122" i="1"/>
  <c r="AG122" i="1"/>
  <c r="AI122" i="1" s="1"/>
  <c r="AE122" i="1"/>
  <c r="AG499" i="1"/>
  <c r="AI499" i="1" s="1"/>
  <c r="AE499" i="1"/>
  <c r="AF499" i="1"/>
  <c r="AE601" i="1"/>
  <c r="AG601" i="1"/>
  <c r="AI601" i="1" s="1"/>
  <c r="AF601" i="1"/>
  <c r="AF309" i="1"/>
  <c r="AG309" i="1"/>
  <c r="AI309" i="1" s="1"/>
  <c r="AE309" i="1"/>
  <c r="AE328" i="1"/>
  <c r="AF328" i="1"/>
  <c r="AG328" i="1"/>
  <c r="AI328" i="1" s="1"/>
  <c r="AF468" i="1"/>
  <c r="AG468" i="1"/>
  <c r="AI468" i="1" s="1"/>
  <c r="AE468" i="1"/>
  <c r="AG284" i="1"/>
  <c r="AI284" i="1" s="1"/>
  <c r="AF284" i="1"/>
  <c r="AE284" i="1"/>
  <c r="AF268" i="1"/>
  <c r="AE268" i="1"/>
  <c r="AG268" i="1"/>
  <c r="AI268" i="1" s="1"/>
  <c r="AG652" i="1"/>
  <c r="AI652" i="1" s="1"/>
  <c r="AF34" i="1"/>
  <c r="AG34" i="1"/>
  <c r="AI34" i="1" s="1"/>
  <c r="AE34" i="1"/>
  <c r="AF652" i="1"/>
  <c r="AF195" i="1"/>
  <c r="AG195" i="1"/>
  <c r="AI195" i="1" s="1"/>
  <c r="AE195" i="1"/>
  <c r="AG283" i="1"/>
  <c r="AI283" i="1" s="1"/>
  <c r="AE283" i="1"/>
  <c r="AF283" i="1"/>
  <c r="AF263" i="1"/>
  <c r="AG263" i="1"/>
  <c r="AI263" i="1" s="1"/>
  <c r="AE263" i="1"/>
  <c r="AF181" i="1"/>
  <c r="AG181" i="1"/>
  <c r="AI181" i="1" s="1"/>
  <c r="AE181" i="1"/>
  <c r="AF474" i="1"/>
  <c r="AG474" i="1"/>
  <c r="AI474" i="1" s="1"/>
  <c r="AE474" i="1"/>
  <c r="AE104" i="1"/>
  <c r="AF104" i="1"/>
  <c r="AG104" i="1"/>
  <c r="AI104" i="1" s="1"/>
  <c r="AG573" i="1"/>
  <c r="AI573" i="1" s="1"/>
  <c r="AE573" i="1"/>
  <c r="AF573" i="1"/>
  <c r="AE43" i="1"/>
  <c r="AF43" i="1"/>
  <c r="AG43" i="1"/>
  <c r="AI43" i="1" s="1"/>
  <c r="AE116" i="1"/>
  <c r="AF116" i="1"/>
  <c r="AG116" i="1"/>
  <c r="AI116" i="1" s="1"/>
  <c r="AE607" i="1"/>
  <c r="AG607" i="1"/>
  <c r="AI607" i="1" s="1"/>
  <c r="AF607" i="1"/>
  <c r="AF671" i="1"/>
  <c r="AG671" i="1"/>
  <c r="AI671" i="1" s="1"/>
  <c r="AE671" i="1"/>
  <c r="AF463" i="1"/>
  <c r="AG463" i="1"/>
  <c r="AI463" i="1" s="1"/>
  <c r="AE463" i="1"/>
  <c r="AF547" i="1"/>
  <c r="AG547" i="1"/>
  <c r="AI547" i="1" s="1"/>
  <c r="AE547" i="1"/>
  <c r="AE324" i="1"/>
  <c r="AG324" i="1"/>
  <c r="AI324" i="1" s="1"/>
  <c r="AF324" i="1"/>
  <c r="AE275" i="1"/>
  <c r="AF275" i="1"/>
  <c r="AG275" i="1"/>
  <c r="AI275" i="1" s="1"/>
  <c r="AG525" i="1"/>
  <c r="AI525" i="1" s="1"/>
  <c r="AF525" i="1"/>
  <c r="AE525" i="1"/>
  <c r="AE574" i="1"/>
  <c r="AF574" i="1"/>
  <c r="AG574" i="1"/>
  <c r="AI574" i="1" s="1"/>
  <c r="AG31" i="1"/>
  <c r="AI31" i="1" s="1"/>
  <c r="AF31" i="1"/>
  <c r="AE31" i="1"/>
  <c r="AG466" i="1"/>
  <c r="AI466" i="1" s="1"/>
  <c r="AF466" i="1"/>
  <c r="AE466" i="1"/>
  <c r="AG427" i="1"/>
  <c r="AI427" i="1" s="1"/>
  <c r="AE427" i="1"/>
  <c r="AF427" i="1"/>
  <c r="AF413" i="1"/>
  <c r="AE413" i="1"/>
  <c r="AG413" i="1"/>
  <c r="AI413" i="1" s="1"/>
  <c r="AG164" i="1"/>
  <c r="AI164" i="1" s="1"/>
  <c r="AE164" i="1"/>
  <c r="AF164" i="1"/>
  <c r="AF265" i="1"/>
  <c r="AE265" i="1"/>
  <c r="AG265" i="1"/>
  <c r="AI265" i="1" s="1"/>
  <c r="AF633" i="1"/>
  <c r="AE633" i="1"/>
  <c r="AG633" i="1"/>
  <c r="AI633" i="1" s="1"/>
  <c r="AF377" i="1"/>
  <c r="AG377" i="1"/>
  <c r="AI377" i="1" s="1"/>
  <c r="AE377" i="1"/>
  <c r="AG400" i="1"/>
  <c r="AI400" i="1" s="1"/>
  <c r="AE400" i="1"/>
  <c r="AF400" i="1"/>
  <c r="AE191" i="1"/>
  <c r="AF191" i="1"/>
  <c r="AG191" i="1"/>
  <c r="AI191" i="1" s="1"/>
  <c r="BD678" i="1"/>
  <c r="BE678" i="1" s="1"/>
  <c r="BD594" i="1"/>
  <c r="BE594" i="1" s="1"/>
  <c r="BD534" i="1"/>
  <c r="BE534" i="1" s="1"/>
  <c r="BD474" i="1"/>
  <c r="BE474" i="1" s="1"/>
  <c r="BD402" i="1"/>
  <c r="BE402" i="1" s="1"/>
  <c r="BD341" i="1"/>
  <c r="BE341" i="1" s="1"/>
  <c r="BD293" i="1"/>
  <c r="BE293" i="1" s="1"/>
  <c r="BD220" i="1"/>
  <c r="BE220" i="1" s="1"/>
  <c r="BD159" i="1"/>
  <c r="BE159" i="1" s="1"/>
  <c r="BD86" i="1"/>
  <c r="BE86" i="1" s="1"/>
  <c r="BD26" i="1"/>
  <c r="BE26" i="1" s="1"/>
  <c r="BD653" i="1"/>
  <c r="BE653" i="1" s="1"/>
  <c r="BD593" i="1"/>
  <c r="BE593" i="1" s="1"/>
  <c r="BD533" i="1"/>
  <c r="BE533" i="1" s="1"/>
  <c r="BD473" i="1"/>
  <c r="BE473" i="1" s="1"/>
  <c r="BD437" i="1"/>
  <c r="BE437" i="1" s="1"/>
  <c r="BD389" i="1"/>
  <c r="BE389" i="1" s="1"/>
  <c r="BD365" i="1"/>
  <c r="BE365" i="1" s="1"/>
  <c r="BD316" i="1"/>
  <c r="BE316" i="1" s="1"/>
  <c r="BD256" i="1"/>
  <c r="BE256" i="1" s="1"/>
  <c r="BD195" i="1"/>
  <c r="BE195" i="1" s="1"/>
  <c r="BD134" i="1"/>
  <c r="BE134" i="1" s="1"/>
  <c r="BD73" i="1"/>
  <c r="BE73" i="1" s="1"/>
  <c r="BD13" i="1"/>
  <c r="BE13" i="1" s="1"/>
  <c r="BD701" i="1"/>
  <c r="BE701" i="1" s="1"/>
  <c r="BD628" i="1"/>
  <c r="BE628" i="1" s="1"/>
  <c r="BD556" i="1"/>
  <c r="BE556" i="1" s="1"/>
  <c r="BD496" i="1"/>
  <c r="BE496" i="1" s="1"/>
  <c r="BD412" i="1"/>
  <c r="BE412" i="1" s="1"/>
  <c r="BD339" i="1"/>
  <c r="BE339" i="1" s="1"/>
  <c r="BD267" i="1"/>
  <c r="BE267" i="1" s="1"/>
  <c r="BD194" i="1"/>
  <c r="BE194" i="1" s="1"/>
  <c r="BD133" i="1"/>
  <c r="BE133" i="1" s="1"/>
  <c r="BD72" i="1"/>
  <c r="BE72" i="1" s="1"/>
  <c r="BD12" i="1"/>
  <c r="BE12" i="1" s="1"/>
  <c r="BD687" i="1"/>
  <c r="BE687" i="1" s="1"/>
  <c r="BD675" i="1"/>
  <c r="BE675" i="1" s="1"/>
  <c r="BD651" i="1"/>
  <c r="BE651" i="1" s="1"/>
  <c r="BD627" i="1"/>
  <c r="BE627" i="1" s="1"/>
  <c r="BD603" i="1"/>
  <c r="BE603" i="1" s="1"/>
  <c r="BD579" i="1"/>
  <c r="BE579" i="1" s="1"/>
  <c r="BD555" i="1"/>
  <c r="BE555" i="1" s="1"/>
  <c r="BD543" i="1"/>
  <c r="BE543" i="1" s="1"/>
  <c r="BD519" i="1"/>
  <c r="BE519" i="1" s="1"/>
  <c r="BD495" i="1"/>
  <c r="BE495" i="1" s="1"/>
  <c r="BD483" i="1"/>
  <c r="BE483" i="1" s="1"/>
  <c r="BD459" i="1"/>
  <c r="BE459" i="1" s="1"/>
  <c r="BD435" i="1"/>
  <c r="BE435" i="1" s="1"/>
  <c r="BD411" i="1"/>
  <c r="BE411" i="1" s="1"/>
  <c r="BD387" i="1"/>
  <c r="BE387" i="1" s="1"/>
  <c r="BD375" i="1"/>
  <c r="BE375" i="1" s="1"/>
  <c r="BD351" i="1"/>
  <c r="BE351" i="1" s="1"/>
  <c r="BD326" i="1"/>
  <c r="BE326" i="1" s="1"/>
  <c r="BD302" i="1"/>
  <c r="BE302" i="1" s="1"/>
  <c r="BD278" i="1"/>
  <c r="BE278" i="1" s="1"/>
  <c r="BD266" i="1"/>
  <c r="BE266" i="1" s="1"/>
  <c r="BE241" i="1"/>
  <c r="BD217" i="1"/>
  <c r="BE217" i="1" s="1"/>
  <c r="BD193" i="1"/>
  <c r="BE193" i="1" s="1"/>
  <c r="BD169" i="1"/>
  <c r="BE169" i="1" s="1"/>
  <c r="BD144" i="1"/>
  <c r="BE144" i="1" s="1"/>
  <c r="BD132" i="1"/>
  <c r="BE132" i="1" s="1"/>
  <c r="BD107" i="1"/>
  <c r="BE107" i="1" s="1"/>
  <c r="BD83" i="1"/>
  <c r="BE83" i="1" s="1"/>
  <c r="BD59" i="1"/>
  <c r="BE59" i="1" s="1"/>
  <c r="BD35" i="1"/>
  <c r="BE35" i="1" s="1"/>
  <c r="BD23" i="1"/>
  <c r="BE23" i="1" s="1"/>
  <c r="BD703" i="1"/>
  <c r="BE703" i="1" s="1"/>
  <c r="BD642" i="1"/>
  <c r="BE642" i="1" s="1"/>
  <c r="BD582" i="1"/>
  <c r="BE582" i="1" s="1"/>
  <c r="BD522" i="1"/>
  <c r="BE522" i="1" s="1"/>
  <c r="BD462" i="1"/>
  <c r="BE462" i="1" s="1"/>
  <c r="BD414" i="1"/>
  <c r="BE414" i="1" s="1"/>
  <c r="BD354" i="1"/>
  <c r="BE354" i="1" s="1"/>
  <c r="BD281" i="1"/>
  <c r="BE281" i="1" s="1"/>
  <c r="BD244" i="1"/>
  <c r="BE244" i="1" s="1"/>
  <c r="BD184" i="1"/>
  <c r="BE184" i="1" s="1"/>
  <c r="BD123" i="1"/>
  <c r="BE123" i="1" s="1"/>
  <c r="BD74" i="1"/>
  <c r="BE74" i="1" s="1"/>
  <c r="BD2" i="1"/>
  <c r="BE2" i="1" s="1"/>
  <c r="BD689" i="1"/>
  <c r="BE689" i="1" s="1"/>
  <c r="BD629" i="1"/>
  <c r="BE629" i="1" s="1"/>
  <c r="BD569" i="1"/>
  <c r="BE569" i="1" s="1"/>
  <c r="BD509" i="1"/>
  <c r="BE509" i="1" s="1"/>
  <c r="BD449" i="1"/>
  <c r="BE449" i="1" s="1"/>
  <c r="BE377" i="1"/>
  <c r="BD304" i="1"/>
  <c r="BE304" i="1" s="1"/>
  <c r="BE243" i="1"/>
  <c r="BD183" i="1"/>
  <c r="BE183" i="1" s="1"/>
  <c r="BD122" i="1"/>
  <c r="BE122" i="1" s="1"/>
  <c r="BD61" i="1"/>
  <c r="BE61" i="1" s="1"/>
  <c r="BE700" i="1"/>
  <c r="BD652" i="1"/>
  <c r="BE652" i="1" s="1"/>
  <c r="BD568" i="1"/>
  <c r="BE568" i="1" s="1"/>
  <c r="BE472" i="1"/>
  <c r="BD388" i="1"/>
  <c r="BE388" i="1" s="1"/>
  <c r="BD315" i="1"/>
  <c r="BE315" i="1" s="1"/>
  <c r="BE242" i="1"/>
  <c r="BD157" i="1"/>
  <c r="BE157" i="1" s="1"/>
  <c r="BD60" i="1"/>
  <c r="BE60" i="1" s="1"/>
  <c r="BD699" i="1"/>
  <c r="BE699" i="1" s="1"/>
  <c r="BD663" i="1"/>
  <c r="BE663" i="1" s="1"/>
  <c r="BD639" i="1"/>
  <c r="BE639" i="1" s="1"/>
  <c r="BD615" i="1"/>
  <c r="BE615" i="1" s="1"/>
  <c r="BD591" i="1"/>
  <c r="BE591" i="1" s="1"/>
  <c r="BD567" i="1"/>
  <c r="BE567" i="1" s="1"/>
  <c r="BD531" i="1"/>
  <c r="BE531" i="1" s="1"/>
  <c r="BD507" i="1"/>
  <c r="BE507" i="1" s="1"/>
  <c r="BD471" i="1"/>
  <c r="BE471" i="1" s="1"/>
  <c r="BD447" i="1"/>
  <c r="BE447" i="1" s="1"/>
  <c r="BD423" i="1"/>
  <c r="BE423" i="1" s="1"/>
  <c r="BD399" i="1"/>
  <c r="BE399" i="1" s="1"/>
  <c r="BD363" i="1"/>
  <c r="BE363" i="1" s="1"/>
  <c r="BD338" i="1"/>
  <c r="BE338" i="1" s="1"/>
  <c r="BE314" i="1"/>
  <c r="BD290" i="1"/>
  <c r="BE290" i="1" s="1"/>
  <c r="BD254" i="1"/>
  <c r="BE254" i="1" s="1"/>
  <c r="BD229" i="1"/>
  <c r="BE229" i="1" s="1"/>
  <c r="BD205" i="1"/>
  <c r="BE205" i="1" s="1"/>
  <c r="BD181" i="1"/>
  <c r="BE181" i="1" s="1"/>
  <c r="BD156" i="1"/>
  <c r="BE156" i="1" s="1"/>
  <c r="BD120" i="1"/>
  <c r="BE120" i="1" s="1"/>
  <c r="BD95" i="1"/>
  <c r="BE95" i="1" s="1"/>
  <c r="BD71" i="1"/>
  <c r="BE71" i="1" s="1"/>
  <c r="BD47" i="1"/>
  <c r="BE47" i="1" s="1"/>
  <c r="BD11" i="1"/>
  <c r="BE11" i="1" s="1"/>
  <c r="BD698" i="1"/>
  <c r="BE698" i="1" s="1"/>
  <c r="BD686" i="1"/>
  <c r="BE686" i="1" s="1"/>
  <c r="BD674" i="1"/>
  <c r="BE674" i="1" s="1"/>
  <c r="BD662" i="1"/>
  <c r="BE662" i="1" s="1"/>
  <c r="BD650" i="1"/>
  <c r="BE650" i="1" s="1"/>
  <c r="BD638" i="1"/>
  <c r="BE638" i="1" s="1"/>
  <c r="BD626" i="1"/>
  <c r="BE626" i="1" s="1"/>
  <c r="BD614" i="1"/>
  <c r="BE614" i="1" s="1"/>
  <c r="BD602" i="1"/>
  <c r="BE602" i="1" s="1"/>
  <c r="BD590" i="1"/>
  <c r="BE590" i="1" s="1"/>
  <c r="BD578" i="1"/>
  <c r="BE578" i="1" s="1"/>
  <c r="BD566" i="1"/>
  <c r="BE566" i="1" s="1"/>
  <c r="BD554" i="1"/>
  <c r="BE554" i="1" s="1"/>
  <c r="BD542" i="1"/>
  <c r="BE542" i="1" s="1"/>
  <c r="BD530" i="1"/>
  <c r="BE530" i="1" s="1"/>
  <c r="BD518" i="1"/>
  <c r="BE518" i="1" s="1"/>
  <c r="BD506" i="1"/>
  <c r="BE506" i="1" s="1"/>
  <c r="BD494" i="1"/>
  <c r="BE494" i="1" s="1"/>
  <c r="BD482" i="1"/>
  <c r="BE482" i="1" s="1"/>
  <c r="BD470" i="1"/>
  <c r="BE470" i="1" s="1"/>
  <c r="BD458" i="1"/>
  <c r="BE458" i="1" s="1"/>
  <c r="BD446" i="1"/>
  <c r="BE446" i="1" s="1"/>
  <c r="BD434" i="1"/>
  <c r="BE434" i="1" s="1"/>
  <c r="BD422" i="1"/>
  <c r="BE422" i="1" s="1"/>
  <c r="BD410" i="1"/>
  <c r="BE410" i="1" s="1"/>
  <c r="BD398" i="1"/>
  <c r="BE398" i="1" s="1"/>
  <c r="BD386" i="1"/>
  <c r="BE386" i="1" s="1"/>
  <c r="BD374" i="1"/>
  <c r="BE374" i="1" s="1"/>
  <c r="BD362" i="1"/>
  <c r="BE362" i="1" s="1"/>
  <c r="BD350" i="1"/>
  <c r="BE350" i="1" s="1"/>
  <c r="BD337" i="1"/>
  <c r="BE337" i="1" s="1"/>
  <c r="BD325" i="1"/>
  <c r="BE325" i="1" s="1"/>
  <c r="BD313" i="1"/>
  <c r="BE313" i="1" s="1"/>
  <c r="BD301" i="1"/>
  <c r="BE301" i="1" s="1"/>
  <c r="BD289" i="1"/>
  <c r="BE289" i="1" s="1"/>
  <c r="BD277" i="1"/>
  <c r="BE277" i="1" s="1"/>
  <c r="BD265" i="1"/>
  <c r="BE265" i="1" s="1"/>
  <c r="BD253" i="1"/>
  <c r="BE253" i="1" s="1"/>
  <c r="BE240" i="1"/>
  <c r="BD228" i="1"/>
  <c r="BE228" i="1" s="1"/>
  <c r="BD216" i="1"/>
  <c r="BE216" i="1" s="1"/>
  <c r="BD204" i="1"/>
  <c r="BE204" i="1" s="1"/>
  <c r="BD192" i="1"/>
  <c r="BE192" i="1" s="1"/>
  <c r="BD180" i="1"/>
  <c r="BE180" i="1" s="1"/>
  <c r="BD168" i="1"/>
  <c r="BE168" i="1" s="1"/>
  <c r="BD155" i="1"/>
  <c r="BE155" i="1" s="1"/>
  <c r="BD143" i="1"/>
  <c r="BE143" i="1" s="1"/>
  <c r="BD131" i="1"/>
  <c r="BE131" i="1" s="1"/>
  <c r="BD119" i="1"/>
  <c r="BE119" i="1" s="1"/>
  <c r="BD106" i="1"/>
  <c r="BE106" i="1" s="1"/>
  <c r="BD94" i="1"/>
  <c r="BE94" i="1" s="1"/>
  <c r="BD82" i="1"/>
  <c r="BE82" i="1" s="1"/>
  <c r="BD70" i="1"/>
  <c r="BE70" i="1" s="1"/>
  <c r="BD58" i="1"/>
  <c r="BE58" i="1" s="1"/>
  <c r="BD46" i="1"/>
  <c r="BE46" i="1" s="1"/>
  <c r="BD34" i="1"/>
  <c r="BE34" i="1" s="1"/>
  <c r="BD22" i="1"/>
  <c r="BE22" i="1" s="1"/>
  <c r="BD10" i="1"/>
  <c r="BE10" i="1" s="1"/>
  <c r="BD666" i="1"/>
  <c r="BE666" i="1" s="1"/>
  <c r="BD606" i="1"/>
  <c r="BE606" i="1" s="1"/>
  <c r="BD546" i="1"/>
  <c r="BE546" i="1" s="1"/>
  <c r="BD486" i="1"/>
  <c r="BE486" i="1" s="1"/>
  <c r="BD426" i="1"/>
  <c r="BE426" i="1" s="1"/>
  <c r="BD366" i="1"/>
  <c r="BE366" i="1" s="1"/>
  <c r="BE317" i="1"/>
  <c r="BD257" i="1"/>
  <c r="BE257" i="1" s="1"/>
  <c r="BD196" i="1"/>
  <c r="BE196" i="1" s="1"/>
  <c r="BD147" i="1"/>
  <c r="BE147" i="1" s="1"/>
  <c r="BD110" i="1"/>
  <c r="BE110" i="1" s="1"/>
  <c r="BD62" i="1"/>
  <c r="BE62" i="1" s="1"/>
  <c r="BD14" i="1"/>
  <c r="BE14" i="1" s="1"/>
  <c r="BD664" i="1"/>
  <c r="BE664" i="1" s="1"/>
  <c r="BD604" i="1"/>
  <c r="BE604" i="1" s="1"/>
  <c r="BD532" i="1"/>
  <c r="BE532" i="1" s="1"/>
  <c r="BD448" i="1"/>
  <c r="BE448" i="1" s="1"/>
  <c r="BD364" i="1"/>
  <c r="BE364" i="1" s="1"/>
  <c r="BD291" i="1"/>
  <c r="BE291" i="1" s="1"/>
  <c r="BD206" i="1"/>
  <c r="BE206" i="1" s="1"/>
  <c r="BD121" i="1"/>
  <c r="BE121" i="1" s="1"/>
  <c r="BD48" i="1"/>
  <c r="BE48" i="1" s="1"/>
  <c r="BD673" i="1"/>
  <c r="BE673" i="1" s="1"/>
  <c r="BD625" i="1"/>
  <c r="BE625" i="1" s="1"/>
  <c r="BD577" i="1"/>
  <c r="BE577" i="1" s="1"/>
  <c r="BD529" i="1"/>
  <c r="BE529" i="1" s="1"/>
  <c r="BD493" i="1"/>
  <c r="BE493" i="1" s="1"/>
  <c r="BD445" i="1"/>
  <c r="BE445" i="1" s="1"/>
  <c r="BD397" i="1"/>
  <c r="BE397" i="1" s="1"/>
  <c r="BD349" i="1"/>
  <c r="BE349" i="1" s="1"/>
  <c r="BD300" i="1"/>
  <c r="BE300" i="1" s="1"/>
  <c r="BD252" i="1"/>
  <c r="BE252" i="1" s="1"/>
  <c r="BD203" i="1"/>
  <c r="BE203" i="1" s="1"/>
  <c r="BD154" i="1"/>
  <c r="BE154" i="1" s="1"/>
  <c r="BD105" i="1"/>
  <c r="BE105" i="1" s="1"/>
  <c r="BD69" i="1"/>
  <c r="BE69" i="1" s="1"/>
  <c r="BD21" i="1"/>
  <c r="BE21" i="1" s="1"/>
  <c r="BD684" i="1"/>
  <c r="BE684" i="1" s="1"/>
  <c r="BD636" i="1"/>
  <c r="BE636" i="1" s="1"/>
  <c r="BD588" i="1"/>
  <c r="BE588" i="1" s="1"/>
  <c r="BD528" i="1"/>
  <c r="BE528" i="1" s="1"/>
  <c r="BD480" i="1"/>
  <c r="BE480" i="1" s="1"/>
  <c r="BD444" i="1"/>
  <c r="BE444" i="1" s="1"/>
  <c r="BD408" i="1"/>
  <c r="BE408" i="1" s="1"/>
  <c r="BD372" i="1"/>
  <c r="BE372" i="1" s="1"/>
  <c r="BD335" i="1"/>
  <c r="BE335" i="1" s="1"/>
  <c r="BD275" i="1"/>
  <c r="BE275" i="1" s="1"/>
  <c r="BD214" i="1"/>
  <c r="BE214" i="1" s="1"/>
  <c r="BD165" i="1"/>
  <c r="BE165" i="1" s="1"/>
  <c r="BD117" i="1"/>
  <c r="BE117" i="1" s="1"/>
  <c r="BD56" i="1"/>
  <c r="BE56" i="1" s="1"/>
  <c r="BD20" i="1"/>
  <c r="BE20" i="1" s="1"/>
  <c r="BE708" i="1"/>
  <c r="BD695" i="1"/>
  <c r="BE695" i="1" s="1"/>
  <c r="BD659" i="1"/>
  <c r="BE659" i="1" s="1"/>
  <c r="BD611" i="1"/>
  <c r="BE611" i="1" s="1"/>
  <c r="BD575" i="1"/>
  <c r="BE575" i="1" s="1"/>
  <c r="BD539" i="1"/>
  <c r="BE539" i="1" s="1"/>
  <c r="BD491" i="1"/>
  <c r="BE491" i="1" s="1"/>
  <c r="BD443" i="1"/>
  <c r="BE443" i="1" s="1"/>
  <c r="BD419" i="1"/>
  <c r="BE419" i="1" s="1"/>
  <c r="BD359" i="1"/>
  <c r="BE359" i="1" s="1"/>
  <c r="BD310" i="1"/>
  <c r="BE310" i="1" s="1"/>
  <c r="BD262" i="1"/>
  <c r="BE262" i="1" s="1"/>
  <c r="BD213" i="1"/>
  <c r="BE213" i="1" s="1"/>
  <c r="BD164" i="1"/>
  <c r="BE164" i="1" s="1"/>
  <c r="BD116" i="1"/>
  <c r="BE116" i="1" s="1"/>
  <c r="BD67" i="1"/>
  <c r="BE67" i="1" s="1"/>
  <c r="BD19" i="1"/>
  <c r="BE19" i="1" s="1"/>
  <c r="BD670" i="1"/>
  <c r="BE670" i="1" s="1"/>
  <c r="BD658" i="1"/>
  <c r="BE658" i="1" s="1"/>
  <c r="BD646" i="1"/>
  <c r="BE646" i="1" s="1"/>
  <c r="BD634" i="1"/>
  <c r="BE634" i="1" s="1"/>
  <c r="BD622" i="1"/>
  <c r="BE622" i="1" s="1"/>
  <c r="BD610" i="1"/>
  <c r="BE610" i="1" s="1"/>
  <c r="BD598" i="1"/>
  <c r="BE598" i="1" s="1"/>
  <c r="BD586" i="1"/>
  <c r="BE586" i="1" s="1"/>
  <c r="BD574" i="1"/>
  <c r="BE574" i="1" s="1"/>
  <c r="BD562" i="1"/>
  <c r="BE562" i="1" s="1"/>
  <c r="BD550" i="1"/>
  <c r="BE550" i="1" s="1"/>
  <c r="BD538" i="1"/>
  <c r="BE538" i="1" s="1"/>
  <c r="BD526" i="1"/>
  <c r="BE526" i="1" s="1"/>
  <c r="BD514" i="1"/>
  <c r="BE514" i="1" s="1"/>
  <c r="BD502" i="1"/>
  <c r="BE502" i="1" s="1"/>
  <c r="BD490" i="1"/>
  <c r="BE490" i="1" s="1"/>
  <c r="BD478" i="1"/>
  <c r="BE478" i="1" s="1"/>
  <c r="BD466" i="1"/>
  <c r="BE466" i="1" s="1"/>
  <c r="BD454" i="1"/>
  <c r="BE454" i="1" s="1"/>
  <c r="BD442" i="1"/>
  <c r="BE442" i="1" s="1"/>
  <c r="BD430" i="1"/>
  <c r="BE430" i="1" s="1"/>
  <c r="BD418" i="1"/>
  <c r="BE418" i="1" s="1"/>
  <c r="BD406" i="1"/>
  <c r="BE406" i="1" s="1"/>
  <c r="BD394" i="1"/>
  <c r="BE394" i="1" s="1"/>
  <c r="BD382" i="1"/>
  <c r="BE382" i="1" s="1"/>
  <c r="BD370" i="1"/>
  <c r="BE370" i="1" s="1"/>
  <c r="BE358" i="1"/>
  <c r="BD346" i="1"/>
  <c r="BE346" i="1" s="1"/>
  <c r="BD333" i="1"/>
  <c r="BE333" i="1" s="1"/>
  <c r="BD321" i="1"/>
  <c r="BE321" i="1" s="1"/>
  <c r="BD309" i="1"/>
  <c r="BE309" i="1" s="1"/>
  <c r="BD297" i="1"/>
  <c r="BE297" i="1" s="1"/>
  <c r="BD285" i="1"/>
  <c r="BE285" i="1" s="1"/>
  <c r="BD273" i="1"/>
  <c r="BE273" i="1" s="1"/>
  <c r="BD261" i="1"/>
  <c r="BE261" i="1" s="1"/>
  <c r="BD248" i="1"/>
  <c r="BE248" i="1" s="1"/>
  <c r="BD236" i="1"/>
  <c r="BE236" i="1" s="1"/>
  <c r="BD224" i="1"/>
  <c r="BE224" i="1" s="1"/>
  <c r="BD212" i="1"/>
  <c r="BE212" i="1" s="1"/>
  <c r="BD200" i="1"/>
  <c r="BE200" i="1" s="1"/>
  <c r="BD188" i="1"/>
  <c r="BE188" i="1" s="1"/>
  <c r="BD176" i="1"/>
  <c r="BE176" i="1" s="1"/>
  <c r="BD163" i="1"/>
  <c r="BE163" i="1" s="1"/>
  <c r="BD151" i="1"/>
  <c r="BE151" i="1" s="1"/>
  <c r="BD139" i="1"/>
  <c r="BE139" i="1" s="1"/>
  <c r="BD127" i="1"/>
  <c r="BE127" i="1" s="1"/>
  <c r="BD115" i="1"/>
  <c r="BE115" i="1" s="1"/>
  <c r="BD102" i="1"/>
  <c r="BE102" i="1" s="1"/>
  <c r="BD90" i="1"/>
  <c r="BE90" i="1" s="1"/>
  <c r="BD78" i="1"/>
  <c r="BE78" i="1" s="1"/>
  <c r="BD66" i="1"/>
  <c r="BE66" i="1" s="1"/>
  <c r="BD54" i="1"/>
  <c r="BE54" i="1" s="1"/>
  <c r="BD42" i="1"/>
  <c r="BE42" i="1" s="1"/>
  <c r="BD30" i="1"/>
  <c r="BE30" i="1" s="1"/>
  <c r="BD18" i="1"/>
  <c r="BE18" i="1" s="1"/>
  <c r="BD6" i="1"/>
  <c r="BE6" i="1" s="1"/>
  <c r="BD654" i="1"/>
  <c r="BE654" i="1" s="1"/>
  <c r="BD618" i="1"/>
  <c r="BE618" i="1" s="1"/>
  <c r="BD558" i="1"/>
  <c r="BE558" i="1" s="1"/>
  <c r="BD498" i="1"/>
  <c r="BE498" i="1" s="1"/>
  <c r="BD438" i="1"/>
  <c r="BE438" i="1" s="1"/>
  <c r="BD378" i="1"/>
  <c r="BE378" i="1" s="1"/>
  <c r="BD305" i="1"/>
  <c r="BE305" i="1" s="1"/>
  <c r="BD232" i="1"/>
  <c r="BE232" i="1" s="1"/>
  <c r="BD172" i="1"/>
  <c r="BE172" i="1" s="1"/>
  <c r="BD98" i="1"/>
  <c r="BE98" i="1" s="1"/>
  <c r="BD38" i="1"/>
  <c r="BE38" i="1" s="1"/>
  <c r="BD702" i="1"/>
  <c r="BE702" i="1" s="1"/>
  <c r="BD641" i="1"/>
  <c r="BE641" i="1" s="1"/>
  <c r="BD581" i="1"/>
  <c r="BE581" i="1" s="1"/>
  <c r="BD521" i="1"/>
  <c r="BE521" i="1" s="1"/>
  <c r="BD461" i="1"/>
  <c r="BE461" i="1" s="1"/>
  <c r="BD425" i="1"/>
  <c r="BE425" i="1" s="1"/>
  <c r="BD353" i="1"/>
  <c r="BE353" i="1" s="1"/>
  <c r="BD292" i="1"/>
  <c r="BE292" i="1" s="1"/>
  <c r="BD219" i="1"/>
  <c r="BE219" i="1" s="1"/>
  <c r="BD158" i="1"/>
  <c r="BE158" i="1" s="1"/>
  <c r="BD97" i="1"/>
  <c r="BE97" i="1" s="1"/>
  <c r="BD49" i="1"/>
  <c r="BE49" i="1" s="1"/>
  <c r="BD688" i="1"/>
  <c r="BE688" i="1" s="1"/>
  <c r="BD616" i="1"/>
  <c r="BE616" i="1" s="1"/>
  <c r="BD544" i="1"/>
  <c r="BE544" i="1" s="1"/>
  <c r="BD508" i="1"/>
  <c r="BE508" i="1" s="1"/>
  <c r="BD460" i="1"/>
  <c r="BE460" i="1" s="1"/>
  <c r="BD424" i="1"/>
  <c r="BE424" i="1" s="1"/>
  <c r="BD352" i="1"/>
  <c r="BE352" i="1" s="1"/>
  <c r="BD279" i="1"/>
  <c r="BE279" i="1" s="1"/>
  <c r="BD218" i="1"/>
  <c r="BE218" i="1" s="1"/>
  <c r="BD145" i="1"/>
  <c r="BE145" i="1" s="1"/>
  <c r="BD84" i="1"/>
  <c r="BE84" i="1" s="1"/>
  <c r="BD697" i="1"/>
  <c r="BE697" i="1" s="1"/>
  <c r="BD649" i="1"/>
  <c r="BE649" i="1" s="1"/>
  <c r="BD601" i="1"/>
  <c r="BE601" i="1" s="1"/>
  <c r="BD565" i="1"/>
  <c r="BE565" i="1" s="1"/>
  <c r="BD517" i="1"/>
  <c r="BE517" i="1" s="1"/>
  <c r="BD469" i="1"/>
  <c r="BE469" i="1" s="1"/>
  <c r="BD421" i="1"/>
  <c r="BE421" i="1" s="1"/>
  <c r="BD361" i="1"/>
  <c r="BE361" i="1" s="1"/>
  <c r="BD312" i="1"/>
  <c r="BE312" i="1" s="1"/>
  <c r="BD264" i="1"/>
  <c r="BE264" i="1" s="1"/>
  <c r="BD227" i="1"/>
  <c r="BE227" i="1" s="1"/>
  <c r="BD179" i="1"/>
  <c r="BE179" i="1" s="1"/>
  <c r="BD118" i="1"/>
  <c r="BE118" i="1" s="1"/>
  <c r="BD57" i="1"/>
  <c r="BE57" i="1" s="1"/>
  <c r="BD9" i="1"/>
  <c r="BE9" i="1" s="1"/>
  <c r="BD696" i="1"/>
  <c r="BE696" i="1" s="1"/>
  <c r="BD648" i="1"/>
  <c r="BE648" i="1" s="1"/>
  <c r="BD600" i="1"/>
  <c r="BE600" i="1" s="1"/>
  <c r="BD552" i="1"/>
  <c r="BE552" i="1" s="1"/>
  <c r="BD492" i="1"/>
  <c r="BE492" i="1" s="1"/>
  <c r="BD432" i="1"/>
  <c r="BE432" i="1" s="1"/>
  <c r="BD384" i="1"/>
  <c r="BE384" i="1" s="1"/>
  <c r="BD311" i="1"/>
  <c r="BE311" i="1" s="1"/>
  <c r="BD263" i="1"/>
  <c r="BE263" i="1" s="1"/>
  <c r="BD226" i="1"/>
  <c r="BE226" i="1" s="1"/>
  <c r="BD178" i="1"/>
  <c r="BE178" i="1" s="1"/>
  <c r="BD129" i="1"/>
  <c r="BE129" i="1" s="1"/>
  <c r="BD80" i="1"/>
  <c r="BE80" i="1" s="1"/>
  <c r="BD32" i="1"/>
  <c r="BE32" i="1" s="1"/>
  <c r="BD683" i="1"/>
  <c r="BE683" i="1" s="1"/>
  <c r="BD647" i="1"/>
  <c r="BE647" i="1" s="1"/>
  <c r="BD587" i="1"/>
  <c r="BE587" i="1" s="1"/>
  <c r="BD527" i="1"/>
  <c r="BE527" i="1" s="1"/>
  <c r="BD479" i="1"/>
  <c r="BE479" i="1" s="1"/>
  <c r="BD431" i="1"/>
  <c r="BE431" i="1" s="1"/>
  <c r="BD383" i="1"/>
  <c r="BE383" i="1" s="1"/>
  <c r="BD334" i="1"/>
  <c r="BE334" i="1" s="1"/>
  <c r="BE286" i="1"/>
  <c r="BD237" i="1"/>
  <c r="BE237" i="1" s="1"/>
  <c r="BD189" i="1"/>
  <c r="BE189" i="1" s="1"/>
  <c r="BD140" i="1"/>
  <c r="BE140" i="1" s="1"/>
  <c r="BD91" i="1"/>
  <c r="BE91" i="1" s="1"/>
  <c r="BD31" i="1"/>
  <c r="BE31" i="1" s="1"/>
  <c r="BD706" i="1"/>
  <c r="BE706" i="1" s="1"/>
  <c r="BE693" i="1"/>
  <c r="BD681" i="1"/>
  <c r="BE681" i="1" s="1"/>
  <c r="BD669" i="1"/>
  <c r="BE669" i="1" s="1"/>
  <c r="BD657" i="1"/>
  <c r="BE657" i="1" s="1"/>
  <c r="BD645" i="1"/>
  <c r="BE645" i="1" s="1"/>
  <c r="BD633" i="1"/>
  <c r="BE633" i="1" s="1"/>
  <c r="BD621" i="1"/>
  <c r="BE621" i="1" s="1"/>
  <c r="BD609" i="1"/>
  <c r="BE609" i="1" s="1"/>
  <c r="BD597" i="1"/>
  <c r="BE597" i="1" s="1"/>
  <c r="BD585" i="1"/>
  <c r="BE585" i="1" s="1"/>
  <c r="BD573" i="1"/>
  <c r="BE573" i="1" s="1"/>
  <c r="BD561" i="1"/>
  <c r="BE561" i="1" s="1"/>
  <c r="BD549" i="1"/>
  <c r="BE549" i="1" s="1"/>
  <c r="BD537" i="1"/>
  <c r="BE537" i="1" s="1"/>
  <c r="BD525" i="1"/>
  <c r="BE525" i="1" s="1"/>
  <c r="BD513" i="1"/>
  <c r="BE513" i="1" s="1"/>
  <c r="BD501" i="1"/>
  <c r="BE501" i="1" s="1"/>
  <c r="BD489" i="1"/>
  <c r="BE489" i="1" s="1"/>
  <c r="BD477" i="1"/>
  <c r="BE477" i="1" s="1"/>
  <c r="BD465" i="1"/>
  <c r="BE465" i="1" s="1"/>
  <c r="BD453" i="1"/>
  <c r="BE453" i="1" s="1"/>
  <c r="BD441" i="1"/>
  <c r="BE441" i="1" s="1"/>
  <c r="BD429" i="1"/>
  <c r="BE429" i="1" s="1"/>
  <c r="BD417" i="1"/>
  <c r="BE417" i="1" s="1"/>
  <c r="BD405" i="1"/>
  <c r="BE405" i="1" s="1"/>
  <c r="BD393" i="1"/>
  <c r="BE393" i="1" s="1"/>
  <c r="BD381" i="1"/>
  <c r="BE381" i="1" s="1"/>
  <c r="BD369" i="1"/>
  <c r="BE369" i="1" s="1"/>
  <c r="BD357" i="1"/>
  <c r="BE357" i="1" s="1"/>
  <c r="BD345" i="1"/>
  <c r="BE345" i="1" s="1"/>
  <c r="BD332" i="1"/>
  <c r="BE332" i="1" s="1"/>
  <c r="BD320" i="1"/>
  <c r="BE320" i="1" s="1"/>
  <c r="BD308" i="1"/>
  <c r="BE308" i="1" s="1"/>
  <c r="BD296" i="1"/>
  <c r="BE296" i="1" s="1"/>
  <c r="BD284" i="1"/>
  <c r="BE284" i="1" s="1"/>
  <c r="BD272" i="1"/>
  <c r="BE272" i="1" s="1"/>
  <c r="BD260" i="1"/>
  <c r="BE260" i="1" s="1"/>
  <c r="BD247" i="1"/>
  <c r="BE247" i="1" s="1"/>
  <c r="BD235" i="1"/>
  <c r="BE235" i="1" s="1"/>
  <c r="BD223" i="1"/>
  <c r="BE223" i="1" s="1"/>
  <c r="BD211" i="1"/>
  <c r="BE211" i="1" s="1"/>
  <c r="BD199" i="1"/>
  <c r="BE199" i="1" s="1"/>
  <c r="BD187" i="1"/>
  <c r="BE187" i="1" s="1"/>
  <c r="BD175" i="1"/>
  <c r="BE175" i="1" s="1"/>
  <c r="BD162" i="1"/>
  <c r="BE162" i="1" s="1"/>
  <c r="BD150" i="1"/>
  <c r="BE150" i="1" s="1"/>
  <c r="BD138" i="1"/>
  <c r="BE138" i="1" s="1"/>
  <c r="BD126" i="1"/>
  <c r="BE126" i="1" s="1"/>
  <c r="BD114" i="1"/>
  <c r="BE114" i="1" s="1"/>
  <c r="BD101" i="1"/>
  <c r="BE101" i="1" s="1"/>
  <c r="BD89" i="1"/>
  <c r="BE89" i="1" s="1"/>
  <c r="BD77" i="1"/>
  <c r="BE77" i="1" s="1"/>
  <c r="BD65" i="1"/>
  <c r="BE65" i="1" s="1"/>
  <c r="BD53" i="1"/>
  <c r="BE53" i="1" s="1"/>
  <c r="BD41" i="1"/>
  <c r="BE41" i="1" s="1"/>
  <c r="BD29" i="1"/>
  <c r="BE29" i="1" s="1"/>
  <c r="BD17" i="1"/>
  <c r="BE17" i="1" s="1"/>
  <c r="BD5" i="1"/>
  <c r="BE5" i="1" s="1"/>
  <c r="BD690" i="1"/>
  <c r="BE690" i="1" s="1"/>
  <c r="BD630" i="1"/>
  <c r="BE630" i="1" s="1"/>
  <c r="BD570" i="1"/>
  <c r="BE570" i="1" s="1"/>
  <c r="BD510" i="1"/>
  <c r="BE510" i="1" s="1"/>
  <c r="BD450" i="1"/>
  <c r="BE450" i="1" s="1"/>
  <c r="BD390" i="1"/>
  <c r="BE390" i="1" s="1"/>
  <c r="BD329" i="1"/>
  <c r="BE329" i="1" s="1"/>
  <c r="BD269" i="1"/>
  <c r="BE269" i="1" s="1"/>
  <c r="BD208" i="1"/>
  <c r="BE208" i="1" s="1"/>
  <c r="BD135" i="1"/>
  <c r="BE135" i="1" s="1"/>
  <c r="BD50" i="1"/>
  <c r="BE50" i="1" s="1"/>
  <c r="BD677" i="1"/>
  <c r="BE677" i="1" s="1"/>
  <c r="BD617" i="1"/>
  <c r="BE617" i="1" s="1"/>
  <c r="BD545" i="1"/>
  <c r="BE545" i="1" s="1"/>
  <c r="BD497" i="1"/>
  <c r="BE497" i="1" s="1"/>
  <c r="BD413" i="1"/>
  <c r="BE413" i="1" s="1"/>
  <c r="BD340" i="1"/>
  <c r="BE340" i="1" s="1"/>
  <c r="BD268" i="1"/>
  <c r="BE268" i="1" s="1"/>
  <c r="BD207" i="1"/>
  <c r="BE207" i="1" s="1"/>
  <c r="BD146" i="1"/>
  <c r="BE146" i="1" s="1"/>
  <c r="BD85" i="1"/>
  <c r="BE85" i="1" s="1"/>
  <c r="BD25" i="1"/>
  <c r="BE25" i="1" s="1"/>
  <c r="BD640" i="1"/>
  <c r="BE640" i="1" s="1"/>
  <c r="BD580" i="1"/>
  <c r="BE580" i="1" s="1"/>
  <c r="BD484" i="1"/>
  <c r="BE484" i="1" s="1"/>
  <c r="BD400" i="1"/>
  <c r="BE400" i="1" s="1"/>
  <c r="BD327" i="1"/>
  <c r="BE327" i="1" s="1"/>
  <c r="BD255" i="1"/>
  <c r="BE255" i="1" s="1"/>
  <c r="BD182" i="1"/>
  <c r="BE182" i="1" s="1"/>
  <c r="BD108" i="1"/>
  <c r="BE108" i="1" s="1"/>
  <c r="BD24" i="1"/>
  <c r="BE24" i="1" s="1"/>
  <c r="BD710" i="1"/>
  <c r="BE710" i="1" s="1"/>
  <c r="BD661" i="1"/>
  <c r="BE661" i="1" s="1"/>
  <c r="BD613" i="1"/>
  <c r="BE613" i="1" s="1"/>
  <c r="BD541" i="1"/>
  <c r="BE541" i="1" s="1"/>
  <c r="BD481" i="1"/>
  <c r="BE481" i="1" s="1"/>
  <c r="BD433" i="1"/>
  <c r="BE433" i="1" s="1"/>
  <c r="BD385" i="1"/>
  <c r="BE385" i="1" s="1"/>
  <c r="BD336" i="1"/>
  <c r="BE336" i="1" s="1"/>
  <c r="BD288" i="1"/>
  <c r="BE288" i="1" s="1"/>
  <c r="BD239" i="1"/>
  <c r="BE239" i="1" s="1"/>
  <c r="BD191" i="1"/>
  <c r="BE191" i="1" s="1"/>
  <c r="BD142" i="1"/>
  <c r="BE142" i="1" s="1"/>
  <c r="BD93" i="1"/>
  <c r="BE93" i="1" s="1"/>
  <c r="BD33" i="1"/>
  <c r="BE33" i="1" s="1"/>
  <c r="BD709" i="1"/>
  <c r="BE709" i="1" s="1"/>
  <c r="BD660" i="1"/>
  <c r="BE660" i="1" s="1"/>
  <c r="BD612" i="1"/>
  <c r="BE612" i="1" s="1"/>
  <c r="BD564" i="1"/>
  <c r="BE564" i="1" s="1"/>
  <c r="BD516" i="1"/>
  <c r="BE516" i="1" s="1"/>
  <c r="BD456" i="1"/>
  <c r="BE456" i="1" s="1"/>
  <c r="BD396" i="1"/>
  <c r="BE396" i="1" s="1"/>
  <c r="BD348" i="1"/>
  <c r="BE348" i="1" s="1"/>
  <c r="BD299" i="1"/>
  <c r="BE299" i="1" s="1"/>
  <c r="BD251" i="1"/>
  <c r="BE251" i="1" s="1"/>
  <c r="BD202" i="1"/>
  <c r="BE202" i="1" s="1"/>
  <c r="BD153" i="1"/>
  <c r="BE153" i="1" s="1"/>
  <c r="BD92" i="1"/>
  <c r="BE92" i="1" s="1"/>
  <c r="BD8" i="1"/>
  <c r="BE8" i="1" s="1"/>
  <c r="BD623" i="1"/>
  <c r="BE623" i="1" s="1"/>
  <c r="BD563" i="1"/>
  <c r="BE563" i="1" s="1"/>
  <c r="BD515" i="1"/>
  <c r="BE515" i="1" s="1"/>
  <c r="BD467" i="1"/>
  <c r="BE467" i="1" s="1"/>
  <c r="BD395" i="1"/>
  <c r="BE395" i="1" s="1"/>
  <c r="BD347" i="1"/>
  <c r="BE347" i="1" s="1"/>
  <c r="BD298" i="1"/>
  <c r="BE298" i="1" s="1"/>
  <c r="BD249" i="1"/>
  <c r="BE249" i="1" s="1"/>
  <c r="BD201" i="1"/>
  <c r="BE201" i="1" s="1"/>
  <c r="BD152" i="1"/>
  <c r="BE152" i="1" s="1"/>
  <c r="BD103" i="1"/>
  <c r="BE103" i="1" s="1"/>
  <c r="BD55" i="1"/>
  <c r="BE55" i="1" s="1"/>
  <c r="BD7" i="1"/>
  <c r="BE7" i="1" s="1"/>
  <c r="BD707" i="1"/>
  <c r="BE707" i="1" s="1"/>
  <c r="BD694" i="1"/>
  <c r="BE694" i="1" s="1"/>
  <c r="BD682" i="1"/>
  <c r="BE682" i="1" s="1"/>
  <c r="BD705" i="1"/>
  <c r="BE705" i="1" s="1"/>
  <c r="BD692" i="1"/>
  <c r="BE692" i="1" s="1"/>
  <c r="BD680" i="1"/>
  <c r="BE680" i="1" s="1"/>
  <c r="BD668" i="1"/>
  <c r="BE668" i="1" s="1"/>
  <c r="BD656" i="1"/>
  <c r="BE656" i="1" s="1"/>
  <c r="BD644" i="1"/>
  <c r="BE644" i="1" s="1"/>
  <c r="BD632" i="1"/>
  <c r="BE632" i="1" s="1"/>
  <c r="BD620" i="1"/>
  <c r="BE620" i="1" s="1"/>
  <c r="BD608" i="1"/>
  <c r="BE608" i="1" s="1"/>
  <c r="BD596" i="1"/>
  <c r="BE596" i="1" s="1"/>
  <c r="BD584" i="1"/>
  <c r="BE584" i="1" s="1"/>
  <c r="BD572" i="1"/>
  <c r="BE572" i="1" s="1"/>
  <c r="BD560" i="1"/>
  <c r="BE560" i="1" s="1"/>
  <c r="BD548" i="1"/>
  <c r="BE548" i="1" s="1"/>
  <c r="BD536" i="1"/>
  <c r="BE536" i="1" s="1"/>
  <c r="BD524" i="1"/>
  <c r="BE524" i="1" s="1"/>
  <c r="BD512" i="1"/>
  <c r="BE512" i="1" s="1"/>
  <c r="BD500" i="1"/>
  <c r="BE500" i="1" s="1"/>
  <c r="BD488" i="1"/>
  <c r="BE488" i="1" s="1"/>
  <c r="BD476" i="1"/>
  <c r="BE476" i="1" s="1"/>
  <c r="BD464" i="1"/>
  <c r="BE464" i="1" s="1"/>
  <c r="BD452" i="1"/>
  <c r="BE452" i="1" s="1"/>
  <c r="BD440" i="1"/>
  <c r="BE440" i="1" s="1"/>
  <c r="BD428" i="1"/>
  <c r="BE428" i="1" s="1"/>
  <c r="BD416" i="1"/>
  <c r="BE416" i="1" s="1"/>
  <c r="BD404" i="1"/>
  <c r="BE404" i="1" s="1"/>
  <c r="BD392" i="1"/>
  <c r="BE392" i="1" s="1"/>
  <c r="BD380" i="1"/>
  <c r="BE380" i="1" s="1"/>
  <c r="BD368" i="1"/>
  <c r="BE368" i="1" s="1"/>
  <c r="BD356" i="1"/>
  <c r="BE356" i="1" s="1"/>
  <c r="BD344" i="1"/>
  <c r="BE344" i="1" s="1"/>
  <c r="BD331" i="1"/>
  <c r="BE331" i="1" s="1"/>
  <c r="BD319" i="1"/>
  <c r="BE319" i="1" s="1"/>
  <c r="BD307" i="1"/>
  <c r="BE307" i="1" s="1"/>
  <c r="BD295" i="1"/>
  <c r="BE295" i="1" s="1"/>
  <c r="BD283" i="1"/>
  <c r="BE283" i="1" s="1"/>
  <c r="BD271" i="1"/>
  <c r="BE271" i="1" s="1"/>
  <c r="BD259" i="1"/>
  <c r="BE259" i="1" s="1"/>
  <c r="BD246" i="1"/>
  <c r="BE246" i="1" s="1"/>
  <c r="BD234" i="1"/>
  <c r="BE234" i="1" s="1"/>
  <c r="BD222" i="1"/>
  <c r="BE222" i="1" s="1"/>
  <c r="BD210" i="1"/>
  <c r="BE210" i="1" s="1"/>
  <c r="BD198" i="1"/>
  <c r="BE198" i="1" s="1"/>
  <c r="BD186" i="1"/>
  <c r="BE186" i="1" s="1"/>
  <c r="BD174" i="1"/>
  <c r="BE174" i="1" s="1"/>
  <c r="BD161" i="1"/>
  <c r="BE161" i="1" s="1"/>
  <c r="BD149" i="1"/>
  <c r="BE149" i="1" s="1"/>
  <c r="BD137" i="1"/>
  <c r="BE137" i="1" s="1"/>
  <c r="BD125" i="1"/>
  <c r="BE125" i="1" s="1"/>
  <c r="BD113" i="1"/>
  <c r="BE113" i="1" s="1"/>
  <c r="BD100" i="1"/>
  <c r="BE100" i="1" s="1"/>
  <c r="BD88" i="1"/>
  <c r="BE88" i="1" s="1"/>
  <c r="BD76" i="1"/>
  <c r="BE76" i="1" s="1"/>
  <c r="BD64" i="1"/>
  <c r="BE64" i="1" s="1"/>
  <c r="BD52" i="1"/>
  <c r="BE52" i="1" s="1"/>
  <c r="BD40" i="1"/>
  <c r="BE40" i="1" s="1"/>
  <c r="BD28" i="1"/>
  <c r="BE28" i="1" s="1"/>
  <c r="BD16" i="1"/>
  <c r="BE16" i="1" s="1"/>
  <c r="BD4" i="1"/>
  <c r="BE4" i="1" s="1"/>
  <c r="BD665" i="1"/>
  <c r="BE665" i="1" s="1"/>
  <c r="BD605" i="1"/>
  <c r="BE605" i="1" s="1"/>
  <c r="BD557" i="1"/>
  <c r="BE557" i="1" s="1"/>
  <c r="BD485" i="1"/>
  <c r="BE485" i="1" s="1"/>
  <c r="BD401" i="1"/>
  <c r="BE401" i="1" s="1"/>
  <c r="BD328" i="1"/>
  <c r="BE328" i="1" s="1"/>
  <c r="BD280" i="1"/>
  <c r="BE280" i="1" s="1"/>
  <c r="BD231" i="1"/>
  <c r="BE231" i="1" s="1"/>
  <c r="BD171" i="1"/>
  <c r="BE171" i="1" s="1"/>
  <c r="BD109" i="1"/>
  <c r="BE109" i="1" s="1"/>
  <c r="BD37" i="1"/>
  <c r="BE37" i="1" s="1"/>
  <c r="BD676" i="1"/>
  <c r="BE676" i="1" s="1"/>
  <c r="BD592" i="1"/>
  <c r="BE592" i="1" s="1"/>
  <c r="BD520" i="1"/>
  <c r="BE520" i="1" s="1"/>
  <c r="BD436" i="1"/>
  <c r="BE436" i="1" s="1"/>
  <c r="BD376" i="1"/>
  <c r="BE376" i="1" s="1"/>
  <c r="BD303" i="1"/>
  <c r="BE303" i="1" s="1"/>
  <c r="BD230" i="1"/>
  <c r="BE230" i="1" s="1"/>
  <c r="BD170" i="1"/>
  <c r="BE170" i="1" s="1"/>
  <c r="BD96" i="1"/>
  <c r="BE96" i="1" s="1"/>
  <c r="BD36" i="1"/>
  <c r="BE36" i="1" s="1"/>
  <c r="BD685" i="1"/>
  <c r="BE685" i="1" s="1"/>
  <c r="BD637" i="1"/>
  <c r="BE637" i="1" s="1"/>
  <c r="BD589" i="1"/>
  <c r="BE589" i="1" s="1"/>
  <c r="BD553" i="1"/>
  <c r="BE553" i="1" s="1"/>
  <c r="BD505" i="1"/>
  <c r="BE505" i="1" s="1"/>
  <c r="BD457" i="1"/>
  <c r="BE457" i="1" s="1"/>
  <c r="BD409" i="1"/>
  <c r="BE409" i="1" s="1"/>
  <c r="BD373" i="1"/>
  <c r="BE373" i="1" s="1"/>
  <c r="BD324" i="1"/>
  <c r="BE324" i="1" s="1"/>
  <c r="BD276" i="1"/>
  <c r="BE276" i="1" s="1"/>
  <c r="BD215" i="1"/>
  <c r="BE215" i="1" s="1"/>
  <c r="BD166" i="1"/>
  <c r="BE166" i="1" s="1"/>
  <c r="BD130" i="1"/>
  <c r="BE130" i="1" s="1"/>
  <c r="BD81" i="1"/>
  <c r="BE81" i="1" s="1"/>
  <c r="BD45" i="1"/>
  <c r="BE45" i="1" s="1"/>
  <c r="BD672" i="1"/>
  <c r="BE672" i="1" s="1"/>
  <c r="BD624" i="1"/>
  <c r="BE624" i="1" s="1"/>
  <c r="BD576" i="1"/>
  <c r="BE576" i="1" s="1"/>
  <c r="BD540" i="1"/>
  <c r="BE540" i="1" s="1"/>
  <c r="BD504" i="1"/>
  <c r="BE504" i="1" s="1"/>
  <c r="BD468" i="1"/>
  <c r="BE468" i="1" s="1"/>
  <c r="BD420" i="1"/>
  <c r="BE420" i="1" s="1"/>
  <c r="BD360" i="1"/>
  <c r="BE360" i="1" s="1"/>
  <c r="BD323" i="1"/>
  <c r="BE323" i="1" s="1"/>
  <c r="BD287" i="1"/>
  <c r="BE287" i="1" s="1"/>
  <c r="BD238" i="1"/>
  <c r="BE238" i="1" s="1"/>
  <c r="BD190" i="1"/>
  <c r="BE190" i="1" s="1"/>
  <c r="BD141" i="1"/>
  <c r="BE141" i="1" s="1"/>
  <c r="BD104" i="1"/>
  <c r="BE104" i="1" s="1"/>
  <c r="BD68" i="1"/>
  <c r="BE68" i="1" s="1"/>
  <c r="BD44" i="1"/>
  <c r="BE44" i="1" s="1"/>
  <c r="BD671" i="1"/>
  <c r="BE671" i="1" s="1"/>
  <c r="BD635" i="1"/>
  <c r="BE635" i="1" s="1"/>
  <c r="BD599" i="1"/>
  <c r="BE599" i="1" s="1"/>
  <c r="BD551" i="1"/>
  <c r="BE551" i="1" s="1"/>
  <c r="BD503" i="1"/>
  <c r="BE503" i="1" s="1"/>
  <c r="BD455" i="1"/>
  <c r="BE455" i="1" s="1"/>
  <c r="BD407" i="1"/>
  <c r="BE407" i="1" s="1"/>
  <c r="BD371" i="1"/>
  <c r="BE371" i="1" s="1"/>
  <c r="BD322" i="1"/>
  <c r="BE322" i="1" s="1"/>
  <c r="BD274" i="1"/>
  <c r="BE274" i="1" s="1"/>
  <c r="BD225" i="1"/>
  <c r="BE225" i="1" s="1"/>
  <c r="BD177" i="1"/>
  <c r="BE177" i="1" s="1"/>
  <c r="BD128" i="1"/>
  <c r="BE128" i="1" s="1"/>
  <c r="BD79" i="1"/>
  <c r="BE79" i="1" s="1"/>
  <c r="BD43" i="1"/>
  <c r="BE43" i="1" s="1"/>
  <c r="BD704" i="1"/>
  <c r="BE704" i="1" s="1"/>
  <c r="BD691" i="1"/>
  <c r="BE691" i="1" s="1"/>
  <c r="BD679" i="1"/>
  <c r="BE679" i="1" s="1"/>
  <c r="BD667" i="1"/>
  <c r="BE667" i="1" s="1"/>
  <c r="BD655" i="1"/>
  <c r="BE655" i="1" s="1"/>
  <c r="BD643" i="1"/>
  <c r="BE643" i="1" s="1"/>
  <c r="BD631" i="1"/>
  <c r="BE631" i="1" s="1"/>
  <c r="BD619" i="1"/>
  <c r="BE619" i="1" s="1"/>
  <c r="BD607" i="1"/>
  <c r="BE607" i="1" s="1"/>
  <c r="BD595" i="1"/>
  <c r="BE595" i="1" s="1"/>
  <c r="BD583" i="1"/>
  <c r="BE583" i="1" s="1"/>
  <c r="BD571" i="1"/>
  <c r="BE571" i="1" s="1"/>
  <c r="BD559" i="1"/>
  <c r="BE559" i="1" s="1"/>
  <c r="BD547" i="1"/>
  <c r="BE547" i="1" s="1"/>
  <c r="BD535" i="1"/>
  <c r="BE535" i="1" s="1"/>
  <c r="BD523" i="1"/>
  <c r="BE523" i="1" s="1"/>
  <c r="BD511" i="1"/>
  <c r="BE511" i="1" s="1"/>
  <c r="BD499" i="1"/>
  <c r="BE499" i="1" s="1"/>
  <c r="BD487" i="1"/>
  <c r="BE487" i="1" s="1"/>
  <c r="BD475" i="1"/>
  <c r="BE475" i="1" s="1"/>
  <c r="BD463" i="1"/>
  <c r="BE463" i="1" s="1"/>
  <c r="BD451" i="1"/>
  <c r="BE451" i="1" s="1"/>
  <c r="BD439" i="1"/>
  <c r="BE439" i="1" s="1"/>
  <c r="BD427" i="1"/>
  <c r="BE427" i="1" s="1"/>
  <c r="BD415" i="1"/>
  <c r="BE415" i="1" s="1"/>
  <c r="BD403" i="1"/>
  <c r="BE403" i="1" s="1"/>
  <c r="BD391" i="1"/>
  <c r="BE391" i="1" s="1"/>
  <c r="BD379" i="1"/>
  <c r="BE379" i="1" s="1"/>
  <c r="BD367" i="1"/>
  <c r="BE367" i="1" s="1"/>
  <c r="BD355" i="1"/>
  <c r="BE355" i="1" s="1"/>
  <c r="BD342" i="1"/>
  <c r="BE342" i="1" s="1"/>
  <c r="BD330" i="1"/>
  <c r="BE330" i="1" s="1"/>
  <c r="BD318" i="1"/>
  <c r="BE318" i="1" s="1"/>
  <c r="BD306" i="1"/>
  <c r="BE306" i="1" s="1"/>
  <c r="BD294" i="1"/>
  <c r="BE294" i="1" s="1"/>
  <c r="BD282" i="1"/>
  <c r="BE282" i="1" s="1"/>
  <c r="BD270" i="1"/>
  <c r="BE270" i="1" s="1"/>
  <c r="BD258" i="1"/>
  <c r="BE258" i="1" s="1"/>
  <c r="BD245" i="1"/>
  <c r="BE245" i="1" s="1"/>
  <c r="BD233" i="1"/>
  <c r="BE233" i="1" s="1"/>
  <c r="BD221" i="1"/>
  <c r="BE221" i="1" s="1"/>
  <c r="BD209" i="1"/>
  <c r="BE209" i="1" s="1"/>
  <c r="BD197" i="1"/>
  <c r="BE197" i="1" s="1"/>
  <c r="BD185" i="1"/>
  <c r="BE185" i="1" s="1"/>
  <c r="BD173" i="1"/>
  <c r="BE173" i="1" s="1"/>
  <c r="BD160" i="1"/>
  <c r="BE160" i="1" s="1"/>
  <c r="BD148" i="1"/>
  <c r="BE148" i="1" s="1"/>
  <c r="BD136" i="1"/>
  <c r="BE136" i="1" s="1"/>
  <c r="BD124" i="1"/>
  <c r="BE124" i="1" s="1"/>
  <c r="BD112" i="1"/>
  <c r="BE112" i="1" s="1"/>
  <c r="BD99" i="1"/>
  <c r="BE99" i="1" s="1"/>
  <c r="BD87" i="1"/>
  <c r="BE87" i="1" s="1"/>
  <c r="BD75" i="1"/>
  <c r="BE75" i="1" s="1"/>
  <c r="BD63" i="1"/>
  <c r="BE63" i="1" s="1"/>
  <c r="BD51" i="1"/>
  <c r="BE51" i="1" s="1"/>
  <c r="BD39" i="1"/>
  <c r="BE39" i="1" s="1"/>
  <c r="BD27" i="1"/>
  <c r="BE27" i="1" s="1"/>
  <c r="BD15" i="1"/>
  <c r="BE15" i="1" s="1"/>
  <c r="BD3" i="1"/>
  <c r="BE3"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BP2" i="1"/>
  <c r="BP3" i="1"/>
  <c r="BP4" i="1"/>
  <c r="BP5" i="1"/>
  <c r="BP6" i="1"/>
  <c r="BP7" i="1"/>
  <c r="BP8" i="1"/>
  <c r="BP9" i="1"/>
  <c r="BP10" i="1"/>
  <c r="BP11" i="1"/>
  <c r="BP12" i="1"/>
  <c r="BP13" i="1"/>
  <c r="BP14" i="1"/>
  <c r="BP15" i="1"/>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P45" i="1"/>
  <c r="BP46" i="1"/>
  <c r="BP47" i="1"/>
  <c r="BP48" i="1"/>
  <c r="BP49" i="1"/>
  <c r="BP50" i="1"/>
  <c r="BP51" i="1"/>
  <c r="BP52" i="1"/>
  <c r="BP53" i="1"/>
  <c r="BP54" i="1"/>
  <c r="BP55" i="1"/>
  <c r="BP56" i="1"/>
  <c r="BP57" i="1"/>
  <c r="BP58" i="1"/>
  <c r="BP59" i="1"/>
  <c r="BP60" i="1"/>
  <c r="BP61" i="1"/>
  <c r="BP62" i="1"/>
  <c r="BP63" i="1"/>
  <c r="BP64" i="1"/>
  <c r="BP65" i="1"/>
  <c r="BP66" i="1"/>
  <c r="BP67" i="1"/>
  <c r="BP68" i="1"/>
  <c r="BP69" i="1"/>
  <c r="BP70" i="1"/>
  <c r="BP71" i="1"/>
  <c r="BP72" i="1"/>
  <c r="BP73" i="1"/>
  <c r="BP74" i="1"/>
  <c r="BP75" i="1"/>
  <c r="BP76" i="1"/>
  <c r="BP77" i="1"/>
  <c r="BP78" i="1"/>
  <c r="BP79" i="1"/>
  <c r="BP80" i="1"/>
  <c r="BP81" i="1"/>
  <c r="BP82" i="1"/>
  <c r="BP83" i="1"/>
  <c r="BP84" i="1"/>
  <c r="BP85" i="1"/>
  <c r="BP86" i="1"/>
  <c r="BP87" i="1"/>
  <c r="BP88" i="1"/>
  <c r="BP89" i="1"/>
  <c r="BP90" i="1"/>
  <c r="BP91" i="1"/>
  <c r="BP92" i="1"/>
  <c r="BP93" i="1"/>
  <c r="BP94" i="1"/>
  <c r="BP95" i="1"/>
  <c r="BP96" i="1"/>
  <c r="BP97" i="1"/>
  <c r="BP98" i="1"/>
  <c r="BP99" i="1"/>
  <c r="BP100" i="1"/>
  <c r="BP101" i="1"/>
  <c r="BP102" i="1"/>
  <c r="BP103" i="1"/>
  <c r="BP104" i="1"/>
  <c r="BP105" i="1"/>
  <c r="BP106" i="1"/>
  <c r="BP107" i="1"/>
  <c r="BP108" i="1"/>
  <c r="BP109" i="1"/>
  <c r="BP110" i="1"/>
  <c r="BP111" i="1"/>
  <c r="BP112" i="1"/>
  <c r="BP113" i="1"/>
  <c r="BP114" i="1"/>
  <c r="BP115" i="1"/>
  <c r="BP116" i="1"/>
  <c r="BP117" i="1"/>
  <c r="BP118" i="1"/>
  <c r="BP119" i="1"/>
  <c r="BP120" i="1"/>
  <c r="BP121" i="1"/>
  <c r="BP122" i="1"/>
  <c r="BP123" i="1"/>
  <c r="BP124" i="1"/>
  <c r="BP125" i="1"/>
  <c r="BP126" i="1"/>
  <c r="BP127" i="1"/>
  <c r="BP128" i="1"/>
  <c r="BP129" i="1"/>
  <c r="BP130" i="1"/>
  <c r="BP131" i="1"/>
  <c r="BP132" i="1"/>
  <c r="BP133" i="1"/>
  <c r="BP134" i="1"/>
  <c r="BP135" i="1"/>
  <c r="BP136" i="1"/>
  <c r="BP137" i="1"/>
  <c r="BP138" i="1"/>
  <c r="BP139" i="1"/>
  <c r="BP140" i="1"/>
  <c r="BP141" i="1"/>
  <c r="BP142" i="1"/>
  <c r="BP143" i="1"/>
  <c r="BP144" i="1"/>
  <c r="BP145" i="1"/>
  <c r="BP146" i="1"/>
  <c r="BP147" i="1"/>
  <c r="BP148" i="1"/>
  <c r="BP149" i="1"/>
  <c r="BP150" i="1"/>
  <c r="BP151" i="1"/>
  <c r="BP152" i="1"/>
  <c r="BP153" i="1"/>
  <c r="BP154" i="1"/>
  <c r="BP155" i="1"/>
  <c r="BP156" i="1"/>
  <c r="BP157" i="1"/>
  <c r="BP158" i="1"/>
  <c r="BP159" i="1"/>
  <c r="BP160" i="1"/>
  <c r="BP161" i="1"/>
  <c r="BP162" i="1"/>
  <c r="BP163" i="1"/>
  <c r="BP164" i="1"/>
  <c r="BP165" i="1"/>
  <c r="BP166" i="1"/>
  <c r="BP167" i="1"/>
  <c r="BP168" i="1"/>
  <c r="BP169" i="1"/>
  <c r="BP170" i="1"/>
  <c r="BP171" i="1"/>
  <c r="BP172" i="1"/>
  <c r="BP173" i="1"/>
  <c r="BP174" i="1"/>
  <c r="BP175" i="1"/>
  <c r="BP176" i="1"/>
  <c r="BP177" i="1"/>
  <c r="BP178" i="1"/>
  <c r="BP179" i="1"/>
  <c r="BP180" i="1"/>
  <c r="BP181" i="1"/>
  <c r="BP182" i="1"/>
  <c r="BP183" i="1"/>
  <c r="BP184" i="1"/>
  <c r="BP185" i="1"/>
  <c r="BP186" i="1"/>
  <c r="BP187" i="1"/>
  <c r="BP188" i="1"/>
  <c r="BP189" i="1"/>
  <c r="BP190" i="1"/>
  <c r="BP191" i="1"/>
  <c r="BP192" i="1"/>
  <c r="BP193" i="1"/>
  <c r="BP194" i="1"/>
  <c r="BP195" i="1"/>
  <c r="BP196" i="1"/>
  <c r="BP197" i="1"/>
  <c r="BP198" i="1"/>
  <c r="BP199" i="1"/>
  <c r="BP200" i="1"/>
  <c r="BP201" i="1"/>
  <c r="BP202" i="1"/>
  <c r="BP203" i="1"/>
  <c r="BP204" i="1"/>
  <c r="BP205" i="1"/>
  <c r="BP206" i="1"/>
  <c r="BP207" i="1"/>
  <c r="BP208" i="1"/>
  <c r="BP209" i="1"/>
  <c r="BP210" i="1"/>
  <c r="BP211" i="1"/>
  <c r="BP212" i="1"/>
  <c r="BP213" i="1"/>
  <c r="BP214" i="1"/>
  <c r="BP215" i="1"/>
  <c r="BP216" i="1"/>
  <c r="BP217" i="1"/>
  <c r="BP218" i="1"/>
  <c r="BP219" i="1"/>
  <c r="BP220" i="1"/>
  <c r="BP221" i="1"/>
  <c r="BP222" i="1"/>
  <c r="BP223" i="1"/>
  <c r="BP224" i="1"/>
  <c r="BP225" i="1"/>
  <c r="BP226" i="1"/>
  <c r="BP227" i="1"/>
  <c r="BP228" i="1"/>
  <c r="BP229" i="1"/>
  <c r="BP230" i="1"/>
  <c r="BP231" i="1"/>
  <c r="BP232" i="1"/>
  <c r="BP233" i="1"/>
  <c r="BP234" i="1"/>
  <c r="BP235" i="1"/>
  <c r="BP236" i="1"/>
  <c r="BP237" i="1"/>
  <c r="BP238" i="1"/>
  <c r="BP239" i="1"/>
  <c r="BP240" i="1"/>
  <c r="BP241" i="1"/>
  <c r="BP242" i="1"/>
  <c r="BP243" i="1"/>
  <c r="BP244" i="1"/>
  <c r="BP245" i="1"/>
  <c r="BP246" i="1"/>
  <c r="BP247" i="1"/>
  <c r="BP248" i="1"/>
  <c r="BP249" i="1"/>
  <c r="BP250" i="1"/>
  <c r="BP251" i="1"/>
  <c r="BP252" i="1"/>
  <c r="BP253" i="1"/>
  <c r="BP254" i="1"/>
  <c r="BP255" i="1"/>
  <c r="BP256" i="1"/>
  <c r="BP257" i="1"/>
  <c r="BP258" i="1"/>
  <c r="BP259" i="1"/>
  <c r="BP260" i="1"/>
  <c r="BP261" i="1"/>
  <c r="BP262" i="1"/>
  <c r="BP263" i="1"/>
  <c r="BP264" i="1"/>
  <c r="BP265" i="1"/>
  <c r="BP266" i="1"/>
  <c r="BP267" i="1"/>
  <c r="BP268" i="1"/>
  <c r="BP269" i="1"/>
  <c r="BP270" i="1"/>
  <c r="BP271" i="1"/>
  <c r="BP272" i="1"/>
  <c r="BP273" i="1"/>
  <c r="BP274" i="1"/>
  <c r="BP275" i="1"/>
  <c r="BP276" i="1"/>
  <c r="BP277" i="1"/>
  <c r="BP278" i="1"/>
  <c r="BP279" i="1"/>
  <c r="BP280" i="1"/>
  <c r="BP281" i="1"/>
  <c r="BP282" i="1"/>
  <c r="BP283" i="1"/>
  <c r="BP284" i="1"/>
  <c r="BP285" i="1"/>
  <c r="BP286" i="1"/>
  <c r="BP287" i="1"/>
  <c r="BP288" i="1"/>
  <c r="BP289" i="1"/>
  <c r="BP290" i="1"/>
  <c r="BP291" i="1"/>
  <c r="BP292" i="1"/>
  <c r="BP293" i="1"/>
  <c r="BP294" i="1"/>
  <c r="BP295" i="1"/>
  <c r="BP296" i="1"/>
  <c r="BP297" i="1"/>
  <c r="BP298" i="1"/>
  <c r="BP299" i="1"/>
  <c r="BP300" i="1"/>
  <c r="BP301" i="1"/>
  <c r="BP302" i="1"/>
  <c r="BP303" i="1"/>
  <c r="BP304" i="1"/>
  <c r="BP305" i="1"/>
  <c r="BP306" i="1"/>
  <c r="BP307" i="1"/>
  <c r="BP308" i="1"/>
  <c r="BP309" i="1"/>
  <c r="BP310" i="1"/>
  <c r="BP311" i="1"/>
  <c r="BP312" i="1"/>
  <c r="BP313" i="1"/>
  <c r="BP314" i="1"/>
  <c r="BP315" i="1"/>
  <c r="BP316" i="1"/>
  <c r="BP317" i="1"/>
  <c r="BP318" i="1"/>
  <c r="BP319" i="1"/>
  <c r="BP320" i="1"/>
  <c r="BP321" i="1"/>
  <c r="BP322" i="1"/>
  <c r="BP323" i="1"/>
  <c r="BP324" i="1"/>
  <c r="BP325" i="1"/>
  <c r="BP326" i="1"/>
  <c r="BP327" i="1"/>
  <c r="BP328" i="1"/>
  <c r="BP329" i="1"/>
  <c r="BP330" i="1"/>
  <c r="BP331" i="1"/>
  <c r="BP332" i="1"/>
  <c r="BP333" i="1"/>
  <c r="BP334" i="1"/>
  <c r="BP335" i="1"/>
  <c r="BP336" i="1"/>
  <c r="BP337" i="1"/>
  <c r="BP338" i="1"/>
  <c r="BP339" i="1"/>
  <c r="BP340" i="1"/>
  <c r="BP341" i="1"/>
  <c r="BP342" i="1"/>
  <c r="BP343" i="1"/>
  <c r="BP344" i="1"/>
  <c r="BP345" i="1"/>
  <c r="BP346" i="1"/>
  <c r="BP347" i="1"/>
  <c r="BP348" i="1"/>
  <c r="BP349" i="1"/>
  <c r="BP350" i="1"/>
  <c r="BP351" i="1"/>
  <c r="BP352" i="1"/>
  <c r="BP353" i="1"/>
  <c r="BP354" i="1"/>
  <c r="BP355" i="1"/>
  <c r="BP356" i="1"/>
  <c r="BP357" i="1"/>
  <c r="BP358" i="1"/>
  <c r="BP359" i="1"/>
  <c r="BP360" i="1"/>
  <c r="BP361" i="1"/>
  <c r="BP362" i="1"/>
  <c r="BP363" i="1"/>
  <c r="BP364" i="1"/>
  <c r="BP365" i="1"/>
  <c r="BP366" i="1"/>
  <c r="BP367" i="1"/>
  <c r="BP368" i="1"/>
  <c r="BP369" i="1"/>
  <c r="BP370" i="1"/>
  <c r="BP371" i="1"/>
  <c r="BP372" i="1"/>
  <c r="BP373" i="1"/>
  <c r="BP374" i="1"/>
  <c r="BP375" i="1"/>
  <c r="BP376" i="1"/>
  <c r="BP377" i="1"/>
  <c r="BP378" i="1"/>
  <c r="BP379" i="1"/>
  <c r="BP380" i="1"/>
  <c r="BP381" i="1"/>
  <c r="BP382" i="1"/>
  <c r="BP383" i="1"/>
  <c r="BP384" i="1"/>
  <c r="BP385" i="1"/>
  <c r="BP386" i="1"/>
  <c r="BP387" i="1"/>
  <c r="BP388" i="1"/>
  <c r="BP389" i="1"/>
  <c r="BP390" i="1"/>
  <c r="BP391" i="1"/>
  <c r="BP392" i="1"/>
  <c r="BP393" i="1"/>
  <c r="BP394" i="1"/>
  <c r="BP395" i="1"/>
  <c r="BP396" i="1"/>
  <c r="BP397" i="1"/>
  <c r="BP398" i="1"/>
  <c r="BP399" i="1"/>
  <c r="BP400" i="1"/>
  <c r="BP401" i="1"/>
  <c r="BP402" i="1"/>
  <c r="BP403" i="1"/>
  <c r="BP404" i="1"/>
  <c r="BP405" i="1"/>
  <c r="BP406" i="1"/>
  <c r="BP407" i="1"/>
  <c r="BP408" i="1"/>
  <c r="BP409" i="1"/>
  <c r="BP410" i="1"/>
  <c r="BP411" i="1"/>
  <c r="BP412" i="1"/>
  <c r="BP413" i="1"/>
  <c r="BP414" i="1"/>
  <c r="BP415" i="1"/>
  <c r="BP416" i="1"/>
  <c r="BP417" i="1"/>
  <c r="BP418" i="1"/>
  <c r="BP419" i="1"/>
  <c r="BP420" i="1"/>
  <c r="BP421" i="1"/>
  <c r="BP422" i="1"/>
  <c r="BP423" i="1"/>
  <c r="BP424" i="1"/>
  <c r="BP425" i="1"/>
  <c r="BP426" i="1"/>
  <c r="BP427" i="1"/>
  <c r="BP428" i="1"/>
  <c r="BP429" i="1"/>
  <c r="BP430" i="1"/>
  <c r="BP431" i="1"/>
  <c r="BP432" i="1"/>
  <c r="BP433" i="1"/>
  <c r="BP434" i="1"/>
  <c r="BP435" i="1"/>
  <c r="BP436" i="1"/>
  <c r="BP437" i="1"/>
  <c r="BP438" i="1"/>
  <c r="BP439" i="1"/>
  <c r="BP440" i="1"/>
  <c r="BP441" i="1"/>
  <c r="BP442" i="1"/>
  <c r="BP443" i="1"/>
  <c r="BP444" i="1"/>
  <c r="BP445" i="1"/>
  <c r="BP446" i="1"/>
  <c r="BP447" i="1"/>
  <c r="BP448" i="1"/>
  <c r="BP449" i="1"/>
  <c r="BP450" i="1"/>
  <c r="BP451" i="1"/>
  <c r="BP452" i="1"/>
  <c r="BP453" i="1"/>
  <c r="BP454" i="1"/>
  <c r="BP455" i="1"/>
  <c r="BP456" i="1"/>
  <c r="BP457" i="1"/>
  <c r="BP458" i="1"/>
  <c r="BP459" i="1"/>
  <c r="BP460" i="1"/>
  <c r="BP461" i="1"/>
  <c r="BP462" i="1"/>
  <c r="BP463" i="1"/>
  <c r="BP464" i="1"/>
  <c r="BP465" i="1"/>
  <c r="BP466" i="1"/>
  <c r="BP467" i="1"/>
  <c r="BP468" i="1"/>
  <c r="BP469" i="1"/>
  <c r="BP470" i="1"/>
  <c r="BP471" i="1"/>
  <c r="BP472" i="1"/>
  <c r="BP473" i="1"/>
  <c r="BP474" i="1"/>
  <c r="BP475" i="1"/>
  <c r="BP476" i="1"/>
  <c r="BP477" i="1"/>
  <c r="BP478" i="1"/>
  <c r="BP479" i="1"/>
  <c r="BP480" i="1"/>
  <c r="BP481" i="1"/>
  <c r="BP482" i="1"/>
  <c r="BP483" i="1"/>
  <c r="BP484" i="1"/>
  <c r="BP485" i="1"/>
  <c r="BP486" i="1"/>
  <c r="BP487" i="1"/>
  <c r="BP488" i="1"/>
  <c r="BP489" i="1"/>
  <c r="BP490" i="1"/>
  <c r="BP491" i="1"/>
  <c r="BP492" i="1"/>
  <c r="BP493" i="1"/>
  <c r="BP494" i="1"/>
  <c r="BP495" i="1"/>
  <c r="BP496" i="1"/>
  <c r="BP497" i="1"/>
  <c r="BP498" i="1"/>
  <c r="BP499" i="1"/>
  <c r="BP500" i="1"/>
  <c r="BP501" i="1"/>
  <c r="BP502" i="1"/>
  <c r="BP503" i="1"/>
  <c r="BP504" i="1"/>
  <c r="BP505" i="1"/>
  <c r="BP506" i="1"/>
  <c r="BP507" i="1"/>
  <c r="BP508" i="1"/>
  <c r="BP509" i="1"/>
  <c r="BP510" i="1"/>
  <c r="BP511" i="1"/>
  <c r="BP512" i="1"/>
  <c r="BP513" i="1"/>
  <c r="BP514" i="1"/>
  <c r="BP515" i="1"/>
  <c r="BP516" i="1"/>
  <c r="BP517" i="1"/>
  <c r="BP518" i="1"/>
  <c r="BP519" i="1"/>
  <c r="BP520" i="1"/>
  <c r="BP521" i="1"/>
  <c r="BP522" i="1"/>
  <c r="BP523" i="1"/>
  <c r="BP524" i="1"/>
  <c r="BP525" i="1"/>
  <c r="BP526" i="1"/>
  <c r="BP527" i="1"/>
  <c r="BP528" i="1"/>
  <c r="BP529" i="1"/>
  <c r="BP530" i="1"/>
  <c r="BP531" i="1"/>
  <c r="BP532" i="1"/>
  <c r="BP533" i="1"/>
  <c r="BP534" i="1"/>
  <c r="BP535" i="1"/>
  <c r="BP536" i="1"/>
  <c r="BP537" i="1"/>
  <c r="BP538" i="1"/>
  <c r="BP539" i="1"/>
  <c r="BP540" i="1"/>
  <c r="BP541" i="1"/>
  <c r="BP542" i="1"/>
  <c r="BP543" i="1"/>
  <c r="BP544" i="1"/>
  <c r="BP545" i="1"/>
  <c r="BP546" i="1"/>
  <c r="BP547" i="1"/>
  <c r="BP548" i="1"/>
  <c r="BP549" i="1"/>
  <c r="BP550" i="1"/>
  <c r="BP551" i="1"/>
  <c r="BP552" i="1"/>
  <c r="BP553" i="1"/>
  <c r="BP554" i="1"/>
  <c r="BP555" i="1"/>
  <c r="BP556" i="1"/>
  <c r="BP557" i="1"/>
  <c r="BP558" i="1"/>
  <c r="BP559" i="1"/>
  <c r="BP560" i="1"/>
  <c r="BP561" i="1"/>
  <c r="BP562" i="1"/>
  <c r="BP563" i="1"/>
  <c r="BP564" i="1"/>
  <c r="BP565" i="1"/>
  <c r="BP566" i="1"/>
  <c r="BP567" i="1"/>
  <c r="BP568" i="1"/>
  <c r="BP569" i="1"/>
  <c r="BP570" i="1"/>
  <c r="BP571" i="1"/>
  <c r="BP572" i="1"/>
  <c r="BP573" i="1"/>
  <c r="BP574" i="1"/>
  <c r="BP575" i="1"/>
  <c r="BP576" i="1"/>
  <c r="BP577" i="1"/>
  <c r="BP578" i="1"/>
  <c r="BP579" i="1"/>
  <c r="BP580" i="1"/>
  <c r="BP581" i="1"/>
  <c r="BP582" i="1"/>
  <c r="BP583" i="1"/>
  <c r="BP584" i="1"/>
  <c r="BP585" i="1"/>
  <c r="BP586" i="1"/>
  <c r="BP587" i="1"/>
  <c r="BP588" i="1"/>
  <c r="BP589" i="1"/>
  <c r="BP590" i="1"/>
  <c r="BP591" i="1"/>
  <c r="BP592" i="1"/>
  <c r="BP593" i="1"/>
  <c r="BP594" i="1"/>
  <c r="BP595" i="1"/>
  <c r="BP596" i="1"/>
  <c r="BP597" i="1"/>
  <c r="BP598" i="1"/>
  <c r="BP599" i="1"/>
  <c r="BP600" i="1"/>
  <c r="BP601" i="1"/>
  <c r="BP602" i="1"/>
  <c r="BP603" i="1"/>
  <c r="BP604" i="1"/>
  <c r="BP605" i="1"/>
  <c r="BP606" i="1"/>
  <c r="BP607" i="1"/>
  <c r="BP608" i="1"/>
  <c r="BP609" i="1"/>
  <c r="BP610" i="1"/>
  <c r="BP611" i="1"/>
  <c r="BP612" i="1"/>
  <c r="BP613" i="1"/>
  <c r="BP614" i="1"/>
  <c r="BP615" i="1"/>
  <c r="BP616" i="1"/>
  <c r="BP617" i="1"/>
  <c r="BP618" i="1"/>
  <c r="BP619" i="1"/>
  <c r="BP620" i="1"/>
  <c r="BP621" i="1"/>
  <c r="BP622" i="1"/>
  <c r="BP623" i="1"/>
  <c r="BP624" i="1"/>
  <c r="BP625" i="1"/>
  <c r="BP626" i="1"/>
  <c r="BP627" i="1"/>
  <c r="BP628" i="1"/>
  <c r="BP629" i="1"/>
  <c r="BP630" i="1"/>
  <c r="BP631" i="1"/>
  <c r="BP632" i="1"/>
  <c r="BP633" i="1"/>
  <c r="BP634" i="1"/>
  <c r="BP635" i="1"/>
  <c r="BP636" i="1"/>
  <c r="BP637" i="1"/>
  <c r="BP638" i="1"/>
  <c r="BP639" i="1"/>
  <c r="BP640" i="1"/>
  <c r="BP641" i="1"/>
  <c r="BP642" i="1"/>
  <c r="BP643" i="1"/>
  <c r="BP644" i="1"/>
  <c r="BP645" i="1"/>
  <c r="BP646" i="1"/>
  <c r="BP647" i="1"/>
  <c r="BP648" i="1"/>
  <c r="BP649" i="1"/>
  <c r="BP650" i="1"/>
  <c r="BP651" i="1"/>
  <c r="BP652" i="1"/>
  <c r="BP653" i="1"/>
  <c r="BP654" i="1"/>
  <c r="BP655" i="1"/>
  <c r="BP656" i="1"/>
  <c r="BP657" i="1"/>
  <c r="BP658" i="1"/>
  <c r="BP659" i="1"/>
  <c r="BP660" i="1"/>
  <c r="BP661" i="1"/>
  <c r="BP662" i="1"/>
  <c r="BP663" i="1"/>
  <c r="BP664" i="1"/>
  <c r="BP665" i="1"/>
  <c r="BP666" i="1"/>
  <c r="BP667" i="1"/>
  <c r="BP668" i="1"/>
  <c r="BP669" i="1"/>
  <c r="BP670" i="1"/>
  <c r="BP671" i="1"/>
  <c r="BP672" i="1"/>
  <c r="BP673" i="1"/>
  <c r="BP674" i="1"/>
  <c r="BP675" i="1"/>
  <c r="BP676" i="1"/>
  <c r="BP677" i="1"/>
  <c r="BP678" i="1"/>
  <c r="BP679" i="1"/>
  <c r="BP680" i="1"/>
  <c r="BP681" i="1"/>
  <c r="BP682" i="1"/>
  <c r="BP683" i="1"/>
  <c r="BP684" i="1"/>
  <c r="BP685" i="1"/>
  <c r="BP686" i="1"/>
  <c r="BP687" i="1"/>
  <c r="BP688" i="1"/>
  <c r="BP689" i="1"/>
  <c r="BP690" i="1"/>
  <c r="BP691" i="1"/>
  <c r="BP692" i="1"/>
  <c r="BP693" i="1"/>
  <c r="BP694" i="1"/>
  <c r="BP695" i="1"/>
  <c r="BP696" i="1"/>
  <c r="BP697" i="1"/>
  <c r="BP698" i="1"/>
  <c r="BP699" i="1"/>
  <c r="BP700" i="1"/>
  <c r="BP701" i="1"/>
  <c r="BP702" i="1"/>
  <c r="BP703" i="1"/>
  <c r="BP704" i="1"/>
  <c r="BP705" i="1"/>
  <c r="BP706" i="1"/>
  <c r="BP707" i="1"/>
  <c r="BP708" i="1"/>
  <c r="BP709" i="1"/>
  <c r="BP710" i="1"/>
  <c r="BL2" i="1"/>
  <c r="BL3" i="1"/>
  <c r="BL4" i="1"/>
  <c r="BL5" i="1"/>
  <c r="BL6" i="1"/>
  <c r="BL7" i="1"/>
  <c r="BL8" i="1"/>
  <c r="BL9" i="1"/>
  <c r="BL10" i="1"/>
  <c r="BL11" i="1"/>
  <c r="BL12" i="1"/>
  <c r="BL13" i="1"/>
  <c r="BL14" i="1"/>
  <c r="BL15" i="1"/>
  <c r="BL16" i="1"/>
  <c r="BL17" i="1"/>
  <c r="BL18" i="1"/>
  <c r="BL19" i="1"/>
  <c r="BL20" i="1"/>
  <c r="BL21" i="1"/>
  <c r="BL22" i="1"/>
  <c r="BL23" i="1"/>
  <c r="BL24" i="1"/>
  <c r="BL25" i="1"/>
  <c r="BL26" i="1"/>
  <c r="BL27" i="1"/>
  <c r="BL28" i="1"/>
  <c r="BL29" i="1"/>
  <c r="BL30" i="1"/>
  <c r="BL31" i="1"/>
  <c r="BL32" i="1"/>
  <c r="BL33" i="1"/>
  <c r="BL34" i="1"/>
  <c r="BL35" i="1"/>
  <c r="BL36" i="1"/>
  <c r="BL37" i="1"/>
  <c r="BL38" i="1"/>
  <c r="BL39" i="1"/>
  <c r="BL40" i="1"/>
  <c r="BL41" i="1"/>
  <c r="BL42" i="1"/>
  <c r="BL43" i="1"/>
  <c r="BL44" i="1"/>
  <c r="BL45" i="1"/>
  <c r="BL46" i="1"/>
  <c r="BL47" i="1"/>
  <c r="BL48" i="1"/>
  <c r="BL49" i="1"/>
  <c r="BL50" i="1"/>
  <c r="BL51" i="1"/>
  <c r="BL52" i="1"/>
  <c r="BL53" i="1"/>
  <c r="BL54" i="1"/>
  <c r="BL55" i="1"/>
  <c r="BL56" i="1"/>
  <c r="BL57" i="1"/>
  <c r="BL58" i="1"/>
  <c r="BL59" i="1"/>
  <c r="BL60" i="1"/>
  <c r="BL61" i="1"/>
  <c r="BL62" i="1"/>
  <c r="BL63" i="1"/>
  <c r="BL64" i="1"/>
  <c r="BL65" i="1"/>
  <c r="BL66" i="1"/>
  <c r="BL67" i="1"/>
  <c r="BL68" i="1"/>
  <c r="BL69" i="1"/>
  <c r="BL70" i="1"/>
  <c r="BL71" i="1"/>
  <c r="BL72" i="1"/>
  <c r="BL73" i="1"/>
  <c r="BL74" i="1"/>
  <c r="BL75" i="1"/>
  <c r="BL76" i="1"/>
  <c r="BL77" i="1"/>
  <c r="BL78" i="1"/>
  <c r="BL79" i="1"/>
  <c r="BL80" i="1"/>
  <c r="BL81" i="1"/>
  <c r="BL82" i="1"/>
  <c r="BL83" i="1"/>
  <c r="BL84" i="1"/>
  <c r="BL85" i="1"/>
  <c r="BL86" i="1"/>
  <c r="BL87" i="1"/>
  <c r="BL88" i="1"/>
  <c r="BL89" i="1"/>
  <c r="BL90" i="1"/>
  <c r="BL91" i="1"/>
  <c r="BL92" i="1"/>
  <c r="BL93" i="1"/>
  <c r="BL94" i="1"/>
  <c r="BL95" i="1"/>
  <c r="BL96" i="1"/>
  <c r="BL97" i="1"/>
  <c r="BL98" i="1"/>
  <c r="BL99" i="1"/>
  <c r="BL100" i="1"/>
  <c r="BL101" i="1"/>
  <c r="BL102" i="1"/>
  <c r="BL103" i="1"/>
  <c r="BL104" i="1"/>
  <c r="BL105" i="1"/>
  <c r="BL106" i="1"/>
  <c r="BL107" i="1"/>
  <c r="BL108" i="1"/>
  <c r="BL109" i="1"/>
  <c r="BL110" i="1"/>
  <c r="BL111" i="1"/>
  <c r="BL112" i="1"/>
  <c r="BL113" i="1"/>
  <c r="BL114" i="1"/>
  <c r="BL115" i="1"/>
  <c r="BL116" i="1"/>
  <c r="BL117" i="1"/>
  <c r="BL118" i="1"/>
  <c r="BL119" i="1"/>
  <c r="BL120" i="1"/>
  <c r="BL121" i="1"/>
  <c r="BL122" i="1"/>
  <c r="BL123" i="1"/>
  <c r="BL124" i="1"/>
  <c r="BL125" i="1"/>
  <c r="BL126" i="1"/>
  <c r="BL127" i="1"/>
  <c r="BL128" i="1"/>
  <c r="BL129" i="1"/>
  <c r="BL130" i="1"/>
  <c r="BL131" i="1"/>
  <c r="BL132" i="1"/>
  <c r="BL133" i="1"/>
  <c r="BL134" i="1"/>
  <c r="BL135" i="1"/>
  <c r="BL136" i="1"/>
  <c r="BL137" i="1"/>
  <c r="BL138" i="1"/>
  <c r="BL139" i="1"/>
  <c r="BL140" i="1"/>
  <c r="BL141" i="1"/>
  <c r="BL142" i="1"/>
  <c r="BL143" i="1"/>
  <c r="BL144" i="1"/>
  <c r="BL145" i="1"/>
  <c r="BL146" i="1"/>
  <c r="BL147" i="1"/>
  <c r="BL148" i="1"/>
  <c r="BL149" i="1"/>
  <c r="BL150" i="1"/>
  <c r="BL151" i="1"/>
  <c r="BL152" i="1"/>
  <c r="BL153" i="1"/>
  <c r="BL154" i="1"/>
  <c r="BL155" i="1"/>
  <c r="BL156" i="1"/>
  <c r="BL157" i="1"/>
  <c r="BL158" i="1"/>
  <c r="BL159" i="1"/>
  <c r="BL160" i="1"/>
  <c r="BL161" i="1"/>
  <c r="BL162" i="1"/>
  <c r="BL163" i="1"/>
  <c r="BL164" i="1"/>
  <c r="BL165" i="1"/>
  <c r="BL166" i="1"/>
  <c r="BL167" i="1"/>
  <c r="BL168" i="1"/>
  <c r="BL169" i="1"/>
  <c r="BL170" i="1"/>
  <c r="BL171" i="1"/>
  <c r="BL172" i="1"/>
  <c r="BL173" i="1"/>
  <c r="BL174" i="1"/>
  <c r="BL175" i="1"/>
  <c r="BL176" i="1"/>
  <c r="BL177" i="1"/>
  <c r="BL178" i="1"/>
  <c r="BL179" i="1"/>
  <c r="BL180" i="1"/>
  <c r="BL181" i="1"/>
  <c r="BL182" i="1"/>
  <c r="BL183" i="1"/>
  <c r="BL184" i="1"/>
  <c r="BL185" i="1"/>
  <c r="BL186" i="1"/>
  <c r="BL187" i="1"/>
  <c r="BL188" i="1"/>
  <c r="BL189" i="1"/>
  <c r="BL190" i="1"/>
  <c r="BL191" i="1"/>
  <c r="BL192" i="1"/>
  <c r="BL193" i="1"/>
  <c r="BL194" i="1"/>
  <c r="BL195" i="1"/>
  <c r="BL196" i="1"/>
  <c r="BL197" i="1"/>
  <c r="BL198" i="1"/>
  <c r="BL199" i="1"/>
  <c r="BL200" i="1"/>
  <c r="BL201" i="1"/>
  <c r="BL202" i="1"/>
  <c r="BL203" i="1"/>
  <c r="BL204" i="1"/>
  <c r="BL205" i="1"/>
  <c r="BL206" i="1"/>
  <c r="BL207" i="1"/>
  <c r="BL208" i="1"/>
  <c r="BL209" i="1"/>
  <c r="BL210" i="1"/>
  <c r="BL211" i="1"/>
  <c r="BL212" i="1"/>
  <c r="BL213" i="1"/>
  <c r="BL214" i="1"/>
  <c r="BL215" i="1"/>
  <c r="BL216" i="1"/>
  <c r="BL217" i="1"/>
  <c r="BL218" i="1"/>
  <c r="BL219" i="1"/>
  <c r="BL220" i="1"/>
  <c r="BL221" i="1"/>
  <c r="BL222" i="1"/>
  <c r="BL223" i="1"/>
  <c r="BL224" i="1"/>
  <c r="BL225" i="1"/>
  <c r="BL226" i="1"/>
  <c r="BL227" i="1"/>
  <c r="BL228" i="1"/>
  <c r="BL229" i="1"/>
  <c r="BL230" i="1"/>
  <c r="BL231" i="1"/>
  <c r="BL232" i="1"/>
  <c r="BL233" i="1"/>
  <c r="BL234" i="1"/>
  <c r="BL235" i="1"/>
  <c r="BL236" i="1"/>
  <c r="BL237" i="1"/>
  <c r="BL238" i="1"/>
  <c r="BL239" i="1"/>
  <c r="BL240" i="1"/>
  <c r="BL241" i="1"/>
  <c r="BL242" i="1"/>
  <c r="BL243" i="1"/>
  <c r="BL244" i="1"/>
  <c r="BL245" i="1"/>
  <c r="BL246" i="1"/>
  <c r="BL247" i="1"/>
  <c r="BL248" i="1"/>
  <c r="BL249" i="1"/>
  <c r="BL250" i="1"/>
  <c r="BL251" i="1"/>
  <c r="BL252" i="1"/>
  <c r="BL253" i="1"/>
  <c r="BL254" i="1"/>
  <c r="BL255" i="1"/>
  <c r="BL256" i="1"/>
  <c r="BL257" i="1"/>
  <c r="BL258" i="1"/>
  <c r="BL259" i="1"/>
  <c r="BL260" i="1"/>
  <c r="BL261" i="1"/>
  <c r="BL262" i="1"/>
  <c r="BL263" i="1"/>
  <c r="BL264" i="1"/>
  <c r="BL265" i="1"/>
  <c r="BL266" i="1"/>
  <c r="BL267" i="1"/>
  <c r="BL268" i="1"/>
  <c r="BL269" i="1"/>
  <c r="BL270" i="1"/>
  <c r="BL271" i="1"/>
  <c r="BL272" i="1"/>
  <c r="BL273" i="1"/>
  <c r="BL274" i="1"/>
  <c r="BL275" i="1"/>
  <c r="BL276" i="1"/>
  <c r="BL277" i="1"/>
  <c r="BL278" i="1"/>
  <c r="BL279" i="1"/>
  <c r="BL280" i="1"/>
  <c r="BL281" i="1"/>
  <c r="BL282" i="1"/>
  <c r="BL283" i="1"/>
  <c r="BL284" i="1"/>
  <c r="BL285" i="1"/>
  <c r="BL286" i="1"/>
  <c r="BL287" i="1"/>
  <c r="BL288" i="1"/>
  <c r="BL289" i="1"/>
  <c r="BL290" i="1"/>
  <c r="BL291" i="1"/>
  <c r="BL292" i="1"/>
  <c r="BL293" i="1"/>
  <c r="BL294" i="1"/>
  <c r="BL295" i="1"/>
  <c r="BL296" i="1"/>
  <c r="BL297" i="1"/>
  <c r="BL298" i="1"/>
  <c r="BL299" i="1"/>
  <c r="BL300" i="1"/>
  <c r="BL301" i="1"/>
  <c r="BL302" i="1"/>
  <c r="BL303" i="1"/>
  <c r="BL304" i="1"/>
  <c r="BL305" i="1"/>
  <c r="BL306" i="1"/>
  <c r="BL307" i="1"/>
  <c r="BL308" i="1"/>
  <c r="BL309" i="1"/>
  <c r="BL310" i="1"/>
  <c r="BL311" i="1"/>
  <c r="BL312" i="1"/>
  <c r="BL313" i="1"/>
  <c r="BL314" i="1"/>
  <c r="BL315" i="1"/>
  <c r="BL316" i="1"/>
  <c r="BL317" i="1"/>
  <c r="BL318" i="1"/>
  <c r="BL319" i="1"/>
  <c r="BL320" i="1"/>
  <c r="BL321" i="1"/>
  <c r="BL322" i="1"/>
  <c r="BL323" i="1"/>
  <c r="BL324" i="1"/>
  <c r="BL325" i="1"/>
  <c r="BL326" i="1"/>
  <c r="BL327" i="1"/>
  <c r="BL328" i="1"/>
  <c r="BL329" i="1"/>
  <c r="BL330" i="1"/>
  <c r="BL331" i="1"/>
  <c r="BL332" i="1"/>
  <c r="BL333" i="1"/>
  <c r="BL334" i="1"/>
  <c r="BL335" i="1"/>
  <c r="BL336" i="1"/>
  <c r="BL337" i="1"/>
  <c r="BL338" i="1"/>
  <c r="BL339" i="1"/>
  <c r="BL340" i="1"/>
  <c r="BL341" i="1"/>
  <c r="BL342" i="1"/>
  <c r="BL343" i="1"/>
  <c r="BL344" i="1"/>
  <c r="BL345" i="1"/>
  <c r="BL346" i="1"/>
  <c r="BL347" i="1"/>
  <c r="BL348" i="1"/>
  <c r="BL349" i="1"/>
  <c r="BL350" i="1"/>
  <c r="BL351" i="1"/>
  <c r="BL352" i="1"/>
  <c r="BL353" i="1"/>
  <c r="BL354" i="1"/>
  <c r="BL355" i="1"/>
  <c r="BL356" i="1"/>
  <c r="BL357" i="1"/>
  <c r="BL358" i="1"/>
  <c r="BL359" i="1"/>
  <c r="BL360" i="1"/>
  <c r="BL361" i="1"/>
  <c r="BL363" i="1"/>
  <c r="BL364" i="1"/>
  <c r="BL365" i="1"/>
  <c r="BL366" i="1"/>
  <c r="BL367" i="1"/>
  <c r="BL368" i="1"/>
  <c r="BL369" i="1"/>
  <c r="BL370" i="1"/>
  <c r="BL371" i="1"/>
  <c r="BL372" i="1"/>
  <c r="BL373" i="1"/>
  <c r="BL374" i="1"/>
  <c r="BL375" i="1"/>
  <c r="BL376" i="1"/>
  <c r="BL377" i="1"/>
  <c r="BL378" i="1"/>
  <c r="BL379" i="1"/>
  <c r="BL380" i="1"/>
  <c r="BL381" i="1"/>
  <c r="BL382" i="1"/>
  <c r="BL383" i="1"/>
  <c r="BL384" i="1"/>
  <c r="BL385" i="1"/>
  <c r="BL386" i="1"/>
  <c r="BL387" i="1"/>
  <c r="BL388" i="1"/>
  <c r="BL389" i="1"/>
  <c r="BL390" i="1"/>
  <c r="BL391" i="1"/>
  <c r="BL392" i="1"/>
  <c r="BL393" i="1"/>
  <c r="BL394" i="1"/>
  <c r="BL395" i="1"/>
  <c r="BL396" i="1"/>
  <c r="BL397" i="1"/>
  <c r="BL399" i="1"/>
  <c r="BL400" i="1"/>
  <c r="BL401" i="1"/>
  <c r="BL402" i="1"/>
  <c r="BL403" i="1"/>
  <c r="BL404" i="1"/>
  <c r="BL405" i="1"/>
  <c r="BL406" i="1"/>
  <c r="BL407" i="1"/>
  <c r="BL408" i="1"/>
  <c r="BL409" i="1"/>
  <c r="BL410" i="1"/>
  <c r="BL412" i="1"/>
  <c r="BL413" i="1"/>
  <c r="BL414" i="1"/>
  <c r="BL415" i="1"/>
  <c r="BL416" i="1"/>
  <c r="BL417" i="1"/>
  <c r="BL418" i="1"/>
  <c r="BL419" i="1"/>
  <c r="BL420" i="1"/>
  <c r="BL421" i="1"/>
  <c r="BL422" i="1"/>
  <c r="BL423" i="1"/>
  <c r="BL424" i="1"/>
  <c r="BL425" i="1"/>
  <c r="BL426" i="1"/>
  <c r="BL427" i="1"/>
  <c r="BL428" i="1"/>
  <c r="BL429" i="1"/>
  <c r="BL430" i="1"/>
  <c r="BL431" i="1"/>
  <c r="BL432" i="1"/>
  <c r="BL433" i="1"/>
  <c r="BL434" i="1"/>
  <c r="BL435" i="1"/>
  <c r="BL436" i="1"/>
  <c r="BL437" i="1"/>
  <c r="BL438" i="1"/>
  <c r="BL439" i="1"/>
  <c r="BL440" i="1"/>
  <c r="BL441" i="1"/>
  <c r="BL442" i="1"/>
  <c r="BL443" i="1"/>
  <c r="BL444" i="1"/>
  <c r="BL445" i="1"/>
  <c r="BL446" i="1"/>
  <c r="BL447" i="1"/>
  <c r="BL448" i="1"/>
  <c r="BL449" i="1"/>
  <c r="BL450" i="1"/>
  <c r="BL451" i="1"/>
  <c r="BL452" i="1"/>
  <c r="BL453" i="1"/>
  <c r="BL454" i="1"/>
  <c r="BL455" i="1"/>
  <c r="BL456" i="1"/>
  <c r="BL457" i="1"/>
  <c r="BL458" i="1"/>
  <c r="BL459" i="1"/>
  <c r="BL460" i="1"/>
  <c r="BL461" i="1"/>
  <c r="BL462" i="1"/>
  <c r="BL463" i="1"/>
  <c r="BL464" i="1"/>
  <c r="BL465" i="1"/>
  <c r="BL466" i="1"/>
  <c r="BL467" i="1"/>
  <c r="BL468" i="1"/>
  <c r="BL469" i="1"/>
  <c r="BL470" i="1"/>
  <c r="BL471" i="1"/>
  <c r="BL472" i="1"/>
  <c r="BL473" i="1"/>
  <c r="BL474" i="1"/>
  <c r="BL475" i="1"/>
  <c r="BL476" i="1"/>
  <c r="BL477" i="1"/>
  <c r="BL478" i="1"/>
  <c r="BL479" i="1"/>
  <c r="BL480" i="1"/>
  <c r="BL481" i="1"/>
  <c r="BL482" i="1"/>
  <c r="BL483" i="1"/>
  <c r="BL484" i="1"/>
  <c r="BL485" i="1"/>
  <c r="BL486" i="1"/>
  <c r="BL487" i="1"/>
  <c r="BL488" i="1"/>
  <c r="BL489" i="1"/>
  <c r="BL490" i="1"/>
  <c r="BL491" i="1"/>
  <c r="BL492" i="1"/>
  <c r="BL493" i="1"/>
  <c r="BL494" i="1"/>
  <c r="BL495" i="1"/>
  <c r="BL496" i="1"/>
  <c r="BL497" i="1"/>
  <c r="BL498" i="1"/>
  <c r="BL499" i="1"/>
  <c r="BL500" i="1"/>
  <c r="BL501" i="1"/>
  <c r="BL502" i="1"/>
  <c r="BL503" i="1"/>
  <c r="BL504" i="1"/>
  <c r="BL505" i="1"/>
  <c r="BL506" i="1"/>
  <c r="BL507" i="1"/>
  <c r="BL508" i="1"/>
  <c r="BL509" i="1"/>
  <c r="BL510" i="1"/>
  <c r="BL511" i="1"/>
  <c r="BL512" i="1"/>
  <c r="BL513" i="1"/>
  <c r="BL514" i="1"/>
  <c r="BL515" i="1"/>
  <c r="BL516" i="1"/>
  <c r="BL517" i="1"/>
  <c r="BL518" i="1"/>
  <c r="BL519" i="1"/>
  <c r="BL520" i="1"/>
  <c r="BL521" i="1"/>
  <c r="BL522" i="1"/>
  <c r="BL523" i="1"/>
  <c r="BL524" i="1"/>
  <c r="BL525" i="1"/>
  <c r="BL526" i="1"/>
  <c r="BL527" i="1"/>
  <c r="BL528" i="1"/>
  <c r="BL529" i="1"/>
  <c r="BL530" i="1"/>
  <c r="BL531" i="1"/>
  <c r="BL532" i="1"/>
  <c r="BL533" i="1"/>
  <c r="BL534" i="1"/>
  <c r="BL535" i="1"/>
  <c r="BL536" i="1"/>
  <c r="BL537" i="1"/>
  <c r="BL538" i="1"/>
  <c r="BL539" i="1"/>
  <c r="BL540" i="1"/>
  <c r="BL541" i="1"/>
  <c r="BL542" i="1"/>
  <c r="BL543" i="1"/>
  <c r="BL544" i="1"/>
  <c r="BL545" i="1"/>
  <c r="BL546" i="1"/>
  <c r="BL547" i="1"/>
  <c r="BL548" i="1"/>
  <c r="BL549" i="1"/>
  <c r="BL550" i="1"/>
  <c r="BL551" i="1"/>
  <c r="BL552" i="1"/>
  <c r="BL553" i="1"/>
  <c r="BL554" i="1"/>
  <c r="BL555" i="1"/>
  <c r="BL556" i="1"/>
  <c r="BL557" i="1"/>
  <c r="BL558" i="1"/>
  <c r="BL559" i="1"/>
  <c r="BL560" i="1"/>
  <c r="BL561" i="1"/>
  <c r="BL562" i="1"/>
  <c r="BL563" i="1"/>
  <c r="BL564" i="1"/>
  <c r="BL565" i="1"/>
  <c r="BL566" i="1"/>
  <c r="BL567" i="1"/>
  <c r="BL568" i="1"/>
  <c r="BL569" i="1"/>
  <c r="BL570" i="1"/>
  <c r="BL571" i="1"/>
  <c r="BL572" i="1"/>
  <c r="BL573" i="1"/>
  <c r="BL574" i="1"/>
  <c r="BL575" i="1"/>
  <c r="BL576" i="1"/>
  <c r="BL577" i="1"/>
  <c r="BL578" i="1"/>
  <c r="BL579" i="1"/>
  <c r="BL580" i="1"/>
  <c r="BL581" i="1"/>
  <c r="BL582" i="1"/>
  <c r="BL583" i="1"/>
  <c r="BL584" i="1"/>
  <c r="BL585" i="1"/>
  <c r="BL586" i="1"/>
  <c r="BL587" i="1"/>
  <c r="BL588" i="1"/>
  <c r="BL589" i="1"/>
  <c r="BL590" i="1"/>
  <c r="BL591" i="1"/>
  <c r="BL592" i="1"/>
  <c r="BL593" i="1"/>
  <c r="BL594" i="1"/>
  <c r="BL595" i="1"/>
  <c r="BL596" i="1"/>
  <c r="BL597" i="1"/>
  <c r="BL598" i="1"/>
  <c r="BL599" i="1"/>
  <c r="BL600" i="1"/>
  <c r="BL601" i="1"/>
  <c r="BL602" i="1"/>
  <c r="BL603" i="1"/>
  <c r="BL604" i="1"/>
  <c r="BL605" i="1"/>
  <c r="BL606" i="1"/>
  <c r="BL607" i="1"/>
  <c r="BL608" i="1"/>
  <c r="BL609" i="1"/>
  <c r="BL610" i="1"/>
  <c r="BL611" i="1"/>
  <c r="BL612" i="1"/>
  <c r="BL613" i="1"/>
  <c r="BL614" i="1"/>
  <c r="BL615" i="1"/>
  <c r="BL616" i="1"/>
  <c r="BL617" i="1"/>
  <c r="BL618" i="1"/>
  <c r="BL619" i="1"/>
  <c r="BL620" i="1"/>
  <c r="BL621" i="1"/>
  <c r="BL622" i="1"/>
  <c r="BL623" i="1"/>
  <c r="BL624" i="1"/>
  <c r="BL625" i="1"/>
  <c r="BL626" i="1"/>
  <c r="BL627" i="1"/>
  <c r="BL628" i="1"/>
  <c r="BL629" i="1"/>
  <c r="BL630" i="1"/>
  <c r="BL631" i="1"/>
  <c r="BL632" i="1"/>
  <c r="BL633" i="1"/>
  <c r="BL634" i="1"/>
  <c r="BL635" i="1"/>
  <c r="BL636" i="1"/>
  <c r="BL637" i="1"/>
  <c r="BL638" i="1"/>
  <c r="BL639" i="1"/>
  <c r="BL640" i="1"/>
  <c r="BL641" i="1"/>
  <c r="BL642" i="1"/>
  <c r="BL643" i="1"/>
  <c r="BL644" i="1"/>
  <c r="BL645" i="1"/>
  <c r="BL646" i="1"/>
  <c r="BL647" i="1"/>
  <c r="BL648" i="1"/>
  <c r="BL649" i="1"/>
  <c r="BL650" i="1"/>
  <c r="BL651" i="1"/>
  <c r="BL652" i="1"/>
  <c r="BL653" i="1"/>
  <c r="BL654" i="1"/>
  <c r="BL655" i="1"/>
  <c r="BL656" i="1"/>
  <c r="BL657" i="1"/>
  <c r="BL658" i="1"/>
  <c r="BL659" i="1"/>
  <c r="BL660" i="1"/>
  <c r="BL661" i="1"/>
  <c r="BL662" i="1"/>
  <c r="BL663" i="1"/>
  <c r="BL664" i="1"/>
  <c r="BL665" i="1"/>
  <c r="BL666" i="1"/>
  <c r="BL667" i="1"/>
  <c r="BL668" i="1"/>
  <c r="BL669" i="1"/>
  <c r="BL670" i="1"/>
  <c r="BL671" i="1"/>
  <c r="BL672" i="1"/>
  <c r="BL673" i="1"/>
  <c r="BL674" i="1"/>
  <c r="BL675" i="1"/>
  <c r="BL676" i="1"/>
  <c r="BL677" i="1"/>
  <c r="BL678" i="1"/>
  <c r="BL679" i="1"/>
  <c r="BL680" i="1"/>
  <c r="BL681" i="1"/>
  <c r="BL682" i="1"/>
  <c r="BL683" i="1"/>
  <c r="BL684" i="1"/>
  <c r="BL685" i="1"/>
  <c r="BL686" i="1"/>
  <c r="BL687" i="1"/>
  <c r="BL688" i="1"/>
  <c r="BL689" i="1"/>
  <c r="BL690" i="1"/>
  <c r="BL691" i="1"/>
  <c r="BL692" i="1"/>
  <c r="BL693" i="1"/>
  <c r="BL694" i="1"/>
  <c r="BL695" i="1"/>
  <c r="BL696" i="1"/>
  <c r="BL697" i="1"/>
  <c r="BL698" i="1"/>
  <c r="BL699" i="1"/>
  <c r="BL700" i="1"/>
  <c r="BL701" i="1"/>
  <c r="BL702" i="1"/>
  <c r="BL703" i="1"/>
  <c r="BL704" i="1"/>
  <c r="BL705" i="1"/>
  <c r="BL706" i="1"/>
  <c r="BL707" i="1"/>
  <c r="BL708" i="1"/>
  <c r="BL709" i="1"/>
  <c r="BL710" i="1"/>
  <c r="BJ2" i="1"/>
  <c r="BJ3" i="1"/>
  <c r="BJ4" i="1"/>
  <c r="BJ5" i="1"/>
  <c r="BJ6" i="1"/>
  <c r="BJ7" i="1"/>
  <c r="BJ8" i="1"/>
  <c r="BJ9" i="1"/>
  <c r="BJ10" i="1"/>
  <c r="BJ11" i="1"/>
  <c r="BJ12" i="1"/>
  <c r="BJ13" i="1"/>
  <c r="BJ14" i="1"/>
  <c r="BJ15" i="1"/>
  <c r="BJ16" i="1"/>
  <c r="BJ17" i="1"/>
  <c r="BJ18" i="1"/>
  <c r="BJ19" i="1"/>
  <c r="BJ20" i="1"/>
  <c r="BJ21" i="1"/>
  <c r="BJ22" i="1"/>
  <c r="BJ23" i="1"/>
  <c r="BJ24" i="1"/>
  <c r="BJ25" i="1"/>
  <c r="BJ26" i="1"/>
  <c r="BJ27" i="1"/>
  <c r="BJ28" i="1"/>
  <c r="BJ29" i="1"/>
  <c r="BJ30" i="1"/>
  <c r="BJ31" i="1"/>
  <c r="BJ32" i="1"/>
  <c r="BJ33" i="1"/>
  <c r="BJ34" i="1"/>
  <c r="BJ35" i="1"/>
  <c r="BJ36" i="1"/>
  <c r="BJ37" i="1"/>
  <c r="BJ38" i="1"/>
  <c r="BJ39" i="1"/>
  <c r="BJ40" i="1"/>
  <c r="BJ41" i="1"/>
  <c r="BJ42" i="1"/>
  <c r="BJ43" i="1"/>
  <c r="BJ44" i="1"/>
  <c r="BJ45" i="1"/>
  <c r="BJ46" i="1"/>
  <c r="BJ47" i="1"/>
  <c r="BJ48" i="1"/>
  <c r="BJ49" i="1"/>
  <c r="BJ50" i="1"/>
  <c r="BJ51" i="1"/>
  <c r="BJ52" i="1"/>
  <c r="BJ53" i="1"/>
  <c r="BJ54" i="1"/>
  <c r="BJ55" i="1"/>
  <c r="BJ56" i="1"/>
  <c r="BJ57" i="1"/>
  <c r="BJ58" i="1"/>
  <c r="BJ59" i="1"/>
  <c r="BJ60" i="1"/>
  <c r="BJ61" i="1"/>
  <c r="BJ62" i="1"/>
  <c r="BJ63" i="1"/>
  <c r="BJ64" i="1"/>
  <c r="BJ65" i="1"/>
  <c r="BJ66" i="1"/>
  <c r="BJ67" i="1"/>
  <c r="BJ68" i="1"/>
  <c r="BJ69" i="1"/>
  <c r="BJ70" i="1"/>
  <c r="BJ71" i="1"/>
  <c r="BJ72" i="1"/>
  <c r="BJ73" i="1"/>
  <c r="BJ74" i="1"/>
  <c r="BJ75" i="1"/>
  <c r="BJ76" i="1"/>
  <c r="BJ77" i="1"/>
  <c r="BJ78" i="1"/>
  <c r="BJ79" i="1"/>
  <c r="BJ80" i="1"/>
  <c r="BJ81" i="1"/>
  <c r="BJ82" i="1"/>
  <c r="BJ83" i="1"/>
  <c r="BJ84" i="1"/>
  <c r="BJ85" i="1"/>
  <c r="BJ86" i="1"/>
  <c r="BJ87" i="1"/>
  <c r="BJ88" i="1"/>
  <c r="BJ89" i="1"/>
  <c r="BJ90" i="1"/>
  <c r="BJ91" i="1"/>
  <c r="BJ92" i="1"/>
  <c r="BJ93" i="1"/>
  <c r="BJ94" i="1"/>
  <c r="BJ95" i="1"/>
  <c r="BJ96" i="1"/>
  <c r="BJ97" i="1"/>
  <c r="BJ98" i="1"/>
  <c r="BJ99" i="1"/>
  <c r="BJ100" i="1"/>
  <c r="BJ101" i="1"/>
  <c r="BJ102" i="1"/>
  <c r="BJ103" i="1"/>
  <c r="BJ104" i="1"/>
  <c r="BJ105" i="1"/>
  <c r="BJ106" i="1"/>
  <c r="BJ107" i="1"/>
  <c r="BJ108" i="1"/>
  <c r="BJ109" i="1"/>
  <c r="BJ110" i="1"/>
  <c r="BJ111" i="1"/>
  <c r="BJ112" i="1"/>
  <c r="BJ113" i="1"/>
  <c r="BJ114" i="1"/>
  <c r="BJ115" i="1"/>
  <c r="BJ116" i="1"/>
  <c r="BJ117" i="1"/>
  <c r="BJ118" i="1"/>
  <c r="BJ119" i="1"/>
  <c r="BJ120" i="1"/>
  <c r="BJ121" i="1"/>
  <c r="BJ122" i="1"/>
  <c r="BJ123" i="1"/>
  <c r="BJ124" i="1"/>
  <c r="BJ125" i="1"/>
  <c r="BJ126" i="1"/>
  <c r="BJ127" i="1"/>
  <c r="BJ128" i="1"/>
  <c r="BJ129" i="1"/>
  <c r="BJ130" i="1"/>
  <c r="BJ131" i="1"/>
  <c r="BJ132" i="1"/>
  <c r="BJ133" i="1"/>
  <c r="BJ134" i="1"/>
  <c r="BJ135" i="1"/>
  <c r="BJ136" i="1"/>
  <c r="BJ137" i="1"/>
  <c r="BJ138" i="1"/>
  <c r="BJ139" i="1"/>
  <c r="BJ140" i="1"/>
  <c r="BJ141" i="1"/>
  <c r="BJ142" i="1"/>
  <c r="BJ143" i="1"/>
  <c r="BJ144" i="1"/>
  <c r="BJ145" i="1"/>
  <c r="BJ146" i="1"/>
  <c r="BJ147" i="1"/>
  <c r="BJ148" i="1"/>
  <c r="BJ150" i="1"/>
  <c r="BJ151" i="1"/>
  <c r="BJ152" i="1"/>
  <c r="BJ153" i="1"/>
  <c r="BJ154" i="1"/>
  <c r="BJ155" i="1"/>
  <c r="BJ156" i="1"/>
  <c r="BJ157" i="1"/>
  <c r="BJ158" i="1"/>
  <c r="BJ159" i="1"/>
  <c r="BJ160" i="1"/>
  <c r="BJ161" i="1"/>
  <c r="BJ162" i="1"/>
  <c r="BJ163" i="1"/>
  <c r="BJ164" i="1"/>
  <c r="BJ165" i="1"/>
  <c r="BJ166" i="1"/>
  <c r="BJ167" i="1"/>
  <c r="BJ168" i="1"/>
  <c r="BJ169" i="1"/>
  <c r="BJ170" i="1"/>
  <c r="BJ171" i="1"/>
  <c r="BJ172" i="1"/>
  <c r="BJ173" i="1"/>
  <c r="BJ174" i="1"/>
  <c r="BJ175" i="1"/>
  <c r="BJ176" i="1"/>
  <c r="BJ177" i="1"/>
  <c r="BJ178" i="1"/>
  <c r="BJ179" i="1"/>
  <c r="BJ180" i="1"/>
  <c r="BJ181" i="1"/>
  <c r="BJ182" i="1"/>
  <c r="BJ183" i="1"/>
  <c r="BJ184" i="1"/>
  <c r="BJ185" i="1"/>
  <c r="BJ186" i="1"/>
  <c r="BJ187" i="1"/>
  <c r="BJ188" i="1"/>
  <c r="BJ189" i="1"/>
  <c r="BJ190" i="1"/>
  <c r="BJ191" i="1"/>
  <c r="BJ192" i="1"/>
  <c r="BJ193" i="1"/>
  <c r="BJ194" i="1"/>
  <c r="BJ195" i="1"/>
  <c r="BJ196" i="1"/>
  <c r="BJ197" i="1"/>
  <c r="BJ198" i="1"/>
  <c r="BJ199" i="1"/>
  <c r="BJ200" i="1"/>
  <c r="BJ201" i="1"/>
  <c r="BJ202" i="1"/>
  <c r="BJ203" i="1"/>
  <c r="BJ204" i="1"/>
  <c r="BJ205" i="1"/>
  <c r="BJ206" i="1"/>
  <c r="BJ207" i="1"/>
  <c r="BJ208" i="1"/>
  <c r="BJ209" i="1"/>
  <c r="BJ210" i="1"/>
  <c r="BJ211" i="1"/>
  <c r="BJ212" i="1"/>
  <c r="BJ213" i="1"/>
  <c r="BJ214" i="1"/>
  <c r="BJ215" i="1"/>
  <c r="BJ216" i="1"/>
  <c r="BJ217" i="1"/>
  <c r="BJ218" i="1"/>
  <c r="BJ219" i="1"/>
  <c r="BJ220" i="1"/>
  <c r="BJ221" i="1"/>
  <c r="BJ222" i="1"/>
  <c r="BJ223" i="1"/>
  <c r="BJ224" i="1"/>
  <c r="BJ225" i="1"/>
  <c r="BJ226" i="1"/>
  <c r="BJ227" i="1"/>
  <c r="BJ228" i="1"/>
  <c r="BJ229" i="1"/>
  <c r="BJ230" i="1"/>
  <c r="BJ231" i="1"/>
  <c r="BJ232" i="1"/>
  <c r="BJ233" i="1"/>
  <c r="BJ234" i="1"/>
  <c r="BJ235" i="1"/>
  <c r="BJ236" i="1"/>
  <c r="BJ237" i="1"/>
  <c r="BJ238" i="1"/>
  <c r="BJ239" i="1"/>
  <c r="BJ240" i="1"/>
  <c r="BJ241" i="1"/>
  <c r="BJ242" i="1"/>
  <c r="BJ243" i="1"/>
  <c r="BJ244" i="1"/>
  <c r="BJ245" i="1"/>
  <c r="BJ246" i="1"/>
  <c r="BJ247" i="1"/>
  <c r="BJ248" i="1"/>
  <c r="BJ249" i="1"/>
  <c r="BJ250" i="1"/>
  <c r="BJ252" i="1"/>
  <c r="BJ253" i="1"/>
  <c r="BJ254" i="1"/>
  <c r="BJ255" i="1"/>
  <c r="BJ256" i="1"/>
  <c r="BJ257" i="1"/>
  <c r="BJ258" i="1"/>
  <c r="BJ259" i="1"/>
  <c r="BJ260" i="1"/>
  <c r="BJ261" i="1"/>
  <c r="BJ262" i="1"/>
  <c r="BJ263" i="1"/>
  <c r="BJ264" i="1"/>
  <c r="BJ265" i="1"/>
  <c r="BJ266" i="1"/>
  <c r="BJ267" i="1"/>
  <c r="BJ268" i="1"/>
  <c r="BJ269" i="1"/>
  <c r="BJ270" i="1"/>
  <c r="BJ271" i="1"/>
  <c r="BJ272" i="1"/>
  <c r="BJ273" i="1"/>
  <c r="BJ274" i="1"/>
  <c r="BJ275" i="1"/>
  <c r="BJ276" i="1"/>
  <c r="BJ277" i="1"/>
  <c r="BJ278" i="1"/>
  <c r="BJ279" i="1"/>
  <c r="BJ280" i="1"/>
  <c r="BJ281" i="1"/>
  <c r="BJ282" i="1"/>
  <c r="BJ283" i="1"/>
  <c r="BJ284" i="1"/>
  <c r="BJ285" i="1"/>
  <c r="BJ286" i="1"/>
  <c r="BJ287" i="1"/>
  <c r="BJ288" i="1"/>
  <c r="BJ289" i="1"/>
  <c r="BJ290" i="1"/>
  <c r="BJ291" i="1"/>
  <c r="BJ292" i="1"/>
  <c r="BJ293" i="1"/>
  <c r="BJ294" i="1"/>
  <c r="BJ295" i="1"/>
  <c r="BJ296" i="1"/>
  <c r="BJ297" i="1"/>
  <c r="BJ298" i="1"/>
  <c r="BJ299" i="1"/>
  <c r="BJ300" i="1"/>
  <c r="BJ301" i="1"/>
  <c r="BJ302" i="1"/>
  <c r="BJ303" i="1"/>
  <c r="BJ304" i="1"/>
  <c r="BJ305" i="1"/>
  <c r="BJ306" i="1"/>
  <c r="BJ307" i="1"/>
  <c r="BJ308" i="1"/>
  <c r="BJ309" i="1"/>
  <c r="BJ310" i="1"/>
  <c r="BJ311" i="1"/>
  <c r="BJ312" i="1"/>
  <c r="BJ313" i="1"/>
  <c r="BJ314" i="1"/>
  <c r="BJ315" i="1"/>
  <c r="BJ316" i="1"/>
  <c r="BJ317" i="1"/>
  <c r="BJ318" i="1"/>
  <c r="BJ319" i="1"/>
  <c r="BJ320" i="1"/>
  <c r="BJ321" i="1"/>
  <c r="BJ322" i="1"/>
  <c r="BJ323" i="1"/>
  <c r="BJ324" i="1"/>
  <c r="BJ325" i="1"/>
  <c r="BJ326" i="1"/>
  <c r="BJ327" i="1"/>
  <c r="BJ328" i="1"/>
  <c r="BJ329" i="1"/>
  <c r="BJ330" i="1"/>
  <c r="BJ331" i="1"/>
  <c r="BJ332" i="1"/>
  <c r="BJ333" i="1"/>
  <c r="BJ334" i="1"/>
  <c r="BJ335" i="1"/>
  <c r="BJ336" i="1"/>
  <c r="BJ337" i="1"/>
  <c r="BJ338" i="1"/>
  <c r="BJ339" i="1"/>
  <c r="BJ340" i="1"/>
  <c r="BJ341" i="1"/>
  <c r="BJ342" i="1"/>
  <c r="BJ343" i="1"/>
  <c r="BJ344" i="1"/>
  <c r="BJ345" i="1"/>
  <c r="BJ346" i="1"/>
  <c r="BJ347" i="1"/>
  <c r="BJ348" i="1"/>
  <c r="BJ349" i="1"/>
  <c r="BJ350" i="1"/>
  <c r="BJ351" i="1"/>
  <c r="BJ352" i="1"/>
  <c r="BJ353" i="1"/>
  <c r="BJ354" i="1"/>
  <c r="BJ355" i="1"/>
  <c r="BJ356" i="1"/>
  <c r="BJ357" i="1"/>
  <c r="BJ358" i="1"/>
  <c r="BJ359" i="1"/>
  <c r="BJ360" i="1"/>
  <c r="BJ361" i="1"/>
  <c r="BJ363" i="1"/>
  <c r="BJ364" i="1"/>
  <c r="BJ365" i="1"/>
  <c r="BJ366" i="1"/>
  <c r="BJ367" i="1"/>
  <c r="BJ368" i="1"/>
  <c r="BJ369" i="1"/>
  <c r="BJ370" i="1"/>
  <c r="BJ371" i="1"/>
  <c r="BJ372" i="1"/>
  <c r="BJ373" i="1"/>
  <c r="BJ374" i="1"/>
  <c r="BJ375" i="1"/>
  <c r="BJ376" i="1"/>
  <c r="BJ377" i="1"/>
  <c r="BJ378" i="1"/>
  <c r="BJ379" i="1"/>
  <c r="BJ380" i="1"/>
  <c r="BJ381" i="1"/>
  <c r="BJ382" i="1"/>
  <c r="BJ383" i="1"/>
  <c r="BJ384" i="1"/>
  <c r="BJ385" i="1"/>
  <c r="BJ386" i="1"/>
  <c r="BJ387" i="1"/>
  <c r="BJ388" i="1"/>
  <c r="BJ389" i="1"/>
  <c r="BJ390" i="1"/>
  <c r="BJ391" i="1"/>
  <c r="BJ392" i="1"/>
  <c r="BJ393" i="1"/>
  <c r="BJ394" i="1"/>
  <c r="BJ395" i="1"/>
  <c r="BJ396" i="1"/>
  <c r="BJ397" i="1"/>
  <c r="BJ399" i="1"/>
  <c r="BJ400" i="1"/>
  <c r="BJ401" i="1"/>
  <c r="BJ402" i="1"/>
  <c r="BJ403" i="1"/>
  <c r="BJ404" i="1"/>
  <c r="BJ405" i="1"/>
  <c r="BJ406" i="1"/>
  <c r="BJ407" i="1"/>
  <c r="BJ408" i="1"/>
  <c r="BJ409" i="1"/>
  <c r="BJ410" i="1"/>
  <c r="BJ412" i="1"/>
  <c r="BJ413" i="1"/>
  <c r="BJ414" i="1"/>
  <c r="BJ415" i="1"/>
  <c r="BJ416" i="1"/>
  <c r="BJ417" i="1"/>
  <c r="BJ418" i="1"/>
  <c r="BJ419" i="1"/>
  <c r="BJ420" i="1"/>
  <c r="BJ421" i="1"/>
  <c r="BJ422" i="1"/>
  <c r="BJ424" i="1"/>
  <c r="BJ425" i="1"/>
  <c r="BJ426" i="1"/>
  <c r="BJ427" i="1"/>
  <c r="BJ428" i="1"/>
  <c r="BJ429" i="1"/>
  <c r="BJ430" i="1"/>
  <c r="BJ431" i="1"/>
  <c r="BJ432" i="1"/>
  <c r="BJ433" i="1"/>
  <c r="BJ434" i="1"/>
  <c r="BJ435" i="1"/>
  <c r="BJ436" i="1"/>
  <c r="BJ437" i="1"/>
  <c r="BJ438" i="1"/>
  <c r="BJ439" i="1"/>
  <c r="BJ441" i="1"/>
  <c r="BJ442" i="1"/>
  <c r="BJ443" i="1"/>
  <c r="BJ444" i="1"/>
  <c r="BJ445" i="1"/>
  <c r="BJ446" i="1"/>
  <c r="BJ447" i="1"/>
  <c r="BJ448" i="1"/>
  <c r="BJ449" i="1"/>
  <c r="BJ450" i="1"/>
  <c r="BJ451" i="1"/>
  <c r="BJ452" i="1"/>
  <c r="BJ453" i="1"/>
  <c r="BJ454" i="1"/>
  <c r="BJ455" i="1"/>
  <c r="BJ456" i="1"/>
  <c r="BJ457" i="1"/>
  <c r="BJ458" i="1"/>
  <c r="BJ459" i="1"/>
  <c r="BJ460" i="1"/>
  <c r="BJ461" i="1"/>
  <c r="BJ462" i="1"/>
  <c r="BJ463" i="1"/>
  <c r="BJ464" i="1"/>
  <c r="BJ465" i="1"/>
  <c r="BJ466" i="1"/>
  <c r="BJ467" i="1"/>
  <c r="BJ468" i="1"/>
  <c r="BJ469" i="1"/>
  <c r="BJ470" i="1"/>
  <c r="BJ471" i="1"/>
  <c r="BJ472" i="1"/>
  <c r="BJ473" i="1"/>
  <c r="BJ474" i="1"/>
  <c r="BJ475" i="1"/>
  <c r="BJ476" i="1"/>
  <c r="BJ477" i="1"/>
  <c r="BJ478" i="1"/>
  <c r="BJ479" i="1"/>
  <c r="BJ480" i="1"/>
  <c r="BJ481" i="1"/>
  <c r="BJ482" i="1"/>
  <c r="BJ483" i="1"/>
  <c r="BJ484" i="1"/>
  <c r="BJ485" i="1"/>
  <c r="BJ486" i="1"/>
  <c r="BJ487" i="1"/>
  <c r="BJ488" i="1"/>
  <c r="BJ489" i="1"/>
  <c r="BJ490" i="1"/>
  <c r="BJ491" i="1"/>
  <c r="BJ492" i="1"/>
  <c r="BJ493" i="1"/>
  <c r="BJ494" i="1"/>
  <c r="BJ495" i="1"/>
  <c r="BJ496" i="1"/>
  <c r="BJ497" i="1"/>
  <c r="BJ498" i="1"/>
  <c r="BJ499" i="1"/>
  <c r="BJ500" i="1"/>
  <c r="BJ501" i="1"/>
  <c r="BJ502" i="1"/>
  <c r="BJ503" i="1"/>
  <c r="BJ504" i="1"/>
  <c r="BJ505" i="1"/>
  <c r="BJ506" i="1"/>
  <c r="BJ507" i="1"/>
  <c r="BJ508" i="1"/>
  <c r="BJ509" i="1"/>
  <c r="BJ510" i="1"/>
  <c r="BJ511" i="1"/>
  <c r="BJ512" i="1"/>
  <c r="BJ513" i="1"/>
  <c r="BJ514" i="1"/>
  <c r="BJ515" i="1"/>
  <c r="BJ516" i="1"/>
  <c r="BJ517" i="1"/>
  <c r="BJ518" i="1"/>
  <c r="BJ519" i="1"/>
  <c r="BJ520" i="1"/>
  <c r="BJ521" i="1"/>
  <c r="BJ522" i="1"/>
  <c r="BJ523" i="1"/>
  <c r="BJ524" i="1"/>
  <c r="BJ525" i="1"/>
  <c r="BJ526" i="1"/>
  <c r="BJ527" i="1"/>
  <c r="BJ528" i="1"/>
  <c r="BJ529" i="1"/>
  <c r="BJ530" i="1"/>
  <c r="BJ531" i="1"/>
  <c r="BJ532" i="1"/>
  <c r="BJ533" i="1"/>
  <c r="BJ534" i="1"/>
  <c r="BJ535" i="1"/>
  <c r="BJ536" i="1"/>
  <c r="BJ537" i="1"/>
  <c r="BJ538" i="1"/>
  <c r="BJ539" i="1"/>
  <c r="BJ540" i="1"/>
  <c r="BJ541" i="1"/>
  <c r="BJ542" i="1"/>
  <c r="BJ543" i="1"/>
  <c r="BJ544" i="1"/>
  <c r="BJ545" i="1"/>
  <c r="BJ546" i="1"/>
  <c r="BJ547" i="1"/>
  <c r="BJ548" i="1"/>
  <c r="BJ549" i="1"/>
  <c r="BJ550" i="1"/>
  <c r="BJ551" i="1"/>
  <c r="BJ552" i="1"/>
  <c r="BJ553" i="1"/>
  <c r="BJ554" i="1"/>
  <c r="BJ555" i="1"/>
  <c r="BJ556" i="1"/>
  <c r="BJ557" i="1"/>
  <c r="BJ558" i="1"/>
  <c r="BJ559" i="1"/>
  <c r="BJ560" i="1"/>
  <c r="BJ561" i="1"/>
  <c r="BJ562" i="1"/>
  <c r="BJ563" i="1"/>
  <c r="BJ564" i="1"/>
  <c r="BJ565" i="1"/>
  <c r="BJ566" i="1"/>
  <c r="BJ567" i="1"/>
  <c r="BJ568" i="1"/>
  <c r="BJ569" i="1"/>
  <c r="BJ570" i="1"/>
  <c r="BJ571" i="1"/>
  <c r="BJ572" i="1"/>
  <c r="BJ573" i="1"/>
  <c r="BJ574" i="1"/>
  <c r="BJ575" i="1"/>
  <c r="BJ576" i="1"/>
  <c r="BJ577" i="1"/>
  <c r="BJ578" i="1"/>
  <c r="BJ579" i="1"/>
  <c r="BJ580" i="1"/>
  <c r="BJ581" i="1"/>
  <c r="BJ582" i="1"/>
  <c r="BJ583" i="1"/>
  <c r="BJ584" i="1"/>
  <c r="BJ585" i="1"/>
  <c r="BJ586" i="1"/>
  <c r="BJ587" i="1"/>
  <c r="BJ588" i="1"/>
  <c r="BJ589" i="1"/>
  <c r="BJ590" i="1"/>
  <c r="BJ591" i="1"/>
  <c r="BJ592" i="1"/>
  <c r="BJ593" i="1"/>
  <c r="BJ594" i="1"/>
  <c r="BJ595" i="1"/>
  <c r="BJ596" i="1"/>
  <c r="BJ597" i="1"/>
  <c r="BJ598" i="1"/>
  <c r="BJ599" i="1"/>
  <c r="BJ600" i="1"/>
  <c r="BJ601" i="1"/>
  <c r="BJ602" i="1"/>
  <c r="BJ603" i="1"/>
  <c r="BJ604" i="1"/>
  <c r="BJ605" i="1"/>
  <c r="BJ606" i="1"/>
  <c r="BJ607" i="1"/>
  <c r="BJ608" i="1"/>
  <c r="BJ609" i="1"/>
  <c r="BJ610" i="1"/>
  <c r="BJ611" i="1"/>
  <c r="BJ612" i="1"/>
  <c r="BJ613" i="1"/>
  <c r="BJ614" i="1"/>
  <c r="BJ615" i="1"/>
  <c r="BJ616" i="1"/>
  <c r="BJ617" i="1"/>
  <c r="BJ618" i="1"/>
  <c r="BJ619" i="1"/>
  <c r="BJ620" i="1"/>
  <c r="BJ621" i="1"/>
  <c r="BJ622" i="1"/>
  <c r="BJ623" i="1"/>
  <c r="BJ624" i="1"/>
  <c r="BJ625" i="1"/>
  <c r="BJ626" i="1"/>
  <c r="BJ627" i="1"/>
  <c r="BJ628" i="1"/>
  <c r="BJ629" i="1"/>
  <c r="BJ630" i="1"/>
  <c r="BJ631" i="1"/>
  <c r="BJ632" i="1"/>
  <c r="BJ633" i="1"/>
  <c r="BJ634" i="1"/>
  <c r="BJ635" i="1"/>
  <c r="BJ636" i="1"/>
  <c r="BJ637" i="1"/>
  <c r="BJ639" i="1"/>
  <c r="BJ640" i="1"/>
  <c r="BJ641" i="1"/>
  <c r="BJ642" i="1"/>
  <c r="BJ643" i="1"/>
  <c r="BJ644" i="1"/>
  <c r="BJ645" i="1"/>
  <c r="BJ646" i="1"/>
  <c r="BJ647" i="1"/>
  <c r="BJ648" i="1"/>
  <c r="BJ649" i="1"/>
  <c r="BJ650" i="1"/>
  <c r="BJ651" i="1"/>
  <c r="BJ652" i="1"/>
  <c r="BJ653" i="1"/>
  <c r="BJ654" i="1"/>
  <c r="BJ655" i="1"/>
  <c r="BJ657" i="1"/>
  <c r="BJ658" i="1"/>
  <c r="BJ659" i="1"/>
  <c r="BJ660" i="1"/>
  <c r="BJ661" i="1"/>
  <c r="BJ662" i="1"/>
  <c r="BJ663" i="1"/>
  <c r="BJ664" i="1"/>
  <c r="BJ665" i="1"/>
  <c r="BJ666" i="1"/>
  <c r="BJ667" i="1"/>
  <c r="BJ668" i="1"/>
  <c r="BJ669" i="1"/>
  <c r="BJ670" i="1"/>
  <c r="BJ671" i="1"/>
  <c r="BJ672" i="1"/>
  <c r="BJ673" i="1"/>
  <c r="BJ674" i="1"/>
  <c r="BJ675" i="1"/>
  <c r="BJ676" i="1"/>
  <c r="BJ677" i="1"/>
  <c r="BJ678" i="1"/>
  <c r="BJ679" i="1"/>
  <c r="BJ680" i="1"/>
  <c r="BJ681" i="1"/>
  <c r="BJ682" i="1"/>
  <c r="BJ683" i="1"/>
  <c r="BJ684" i="1"/>
  <c r="BJ685" i="1"/>
  <c r="BJ686" i="1"/>
  <c r="BJ687" i="1"/>
  <c r="BJ688" i="1"/>
  <c r="BJ689" i="1"/>
  <c r="BJ690" i="1"/>
  <c r="BJ691" i="1"/>
  <c r="BJ692" i="1"/>
  <c r="BJ693" i="1"/>
  <c r="BJ694" i="1"/>
  <c r="BJ695" i="1"/>
  <c r="BJ696" i="1"/>
  <c r="BJ697" i="1"/>
  <c r="BJ698" i="1"/>
  <c r="BJ699" i="1"/>
  <c r="BJ700" i="1"/>
  <c r="BJ701" i="1"/>
  <c r="BJ702" i="1"/>
  <c r="BJ703" i="1"/>
  <c r="BJ704" i="1"/>
  <c r="BJ705" i="1"/>
  <c r="BJ706" i="1"/>
  <c r="BJ707" i="1"/>
  <c r="BJ708" i="1"/>
  <c r="BJ709" i="1"/>
  <c r="BJ710" i="1"/>
  <c r="E320" i="1"/>
  <c r="AK191" i="1" l="1"/>
  <c r="AJ191" i="1"/>
  <c r="AK265" i="1"/>
  <c r="AJ265" i="1"/>
  <c r="AK275" i="1"/>
  <c r="AJ275" i="1"/>
  <c r="AK122" i="1"/>
  <c r="AJ122" i="1"/>
  <c r="AK600" i="1"/>
  <c r="AJ600" i="1"/>
  <c r="AK534" i="1"/>
  <c r="AJ534" i="1"/>
  <c r="AK183" i="1"/>
  <c r="AJ183" i="1"/>
  <c r="AK346" i="1"/>
  <c r="AJ346" i="1"/>
  <c r="AK623" i="1"/>
  <c r="AJ623" i="1"/>
  <c r="AK102" i="1"/>
  <c r="AJ102" i="1"/>
  <c r="AK566" i="1"/>
  <c r="AJ566" i="1"/>
  <c r="AK620" i="1"/>
  <c r="AJ620" i="1"/>
  <c r="AK597" i="1"/>
  <c r="AJ597" i="1"/>
  <c r="AK234" i="1"/>
  <c r="AJ234" i="1"/>
  <c r="AK411" i="1"/>
  <c r="AJ411" i="1"/>
  <c r="AK671" i="1"/>
  <c r="AJ671" i="1"/>
  <c r="AK263" i="1"/>
  <c r="AJ263" i="1"/>
  <c r="AK652" i="1"/>
  <c r="AJ652" i="1"/>
  <c r="AK25" i="1"/>
  <c r="AJ25" i="1"/>
  <c r="AK635" i="1"/>
  <c r="AJ635" i="1"/>
  <c r="AK7" i="1"/>
  <c r="AJ7" i="1"/>
  <c r="AK53" i="1"/>
  <c r="AJ53" i="1"/>
  <c r="AK260" i="1"/>
  <c r="AJ260" i="1"/>
  <c r="AK461" i="1"/>
  <c r="AJ461" i="1"/>
  <c r="AK666" i="1"/>
  <c r="AJ666" i="1"/>
  <c r="AK682" i="1"/>
  <c r="AJ682" i="1"/>
  <c r="AK599" i="1"/>
  <c r="AJ599" i="1"/>
  <c r="AK254" i="1"/>
  <c r="AJ254" i="1"/>
  <c r="AK426" i="1"/>
  <c r="AJ426" i="1"/>
  <c r="AK466" i="1"/>
  <c r="AJ466" i="1"/>
  <c r="AK573" i="1"/>
  <c r="AJ573" i="1"/>
  <c r="AK268" i="1"/>
  <c r="AJ268" i="1"/>
  <c r="AK494" i="1"/>
  <c r="AJ494" i="1"/>
  <c r="AK371" i="1"/>
  <c r="AJ371" i="1"/>
  <c r="AK336" i="1"/>
  <c r="AJ336" i="1"/>
  <c r="AK663" i="1"/>
  <c r="AJ663" i="1"/>
  <c r="AK647" i="1"/>
  <c r="AJ647" i="1"/>
  <c r="AK429" i="1"/>
  <c r="AJ429" i="1"/>
  <c r="AK608" i="1"/>
  <c r="AJ608" i="1"/>
  <c r="AK644" i="1"/>
  <c r="AJ644" i="1"/>
  <c r="AK583" i="1"/>
  <c r="AJ583" i="1"/>
  <c r="AK521" i="1"/>
  <c r="AJ521" i="1"/>
  <c r="AK104" i="1"/>
  <c r="AJ104" i="1"/>
  <c r="AK309" i="1"/>
  <c r="AJ309" i="1"/>
  <c r="AK349" i="1"/>
  <c r="AJ349" i="1"/>
  <c r="AK473" i="1"/>
  <c r="AJ473" i="1"/>
  <c r="AK417" i="1"/>
  <c r="AJ417" i="1"/>
  <c r="AK296" i="1"/>
  <c r="AJ296" i="1"/>
  <c r="AK454" i="1"/>
  <c r="AJ454" i="1"/>
  <c r="AK492" i="1"/>
  <c r="AJ492" i="1"/>
  <c r="AK634" i="1"/>
  <c r="AJ634" i="1"/>
  <c r="AK57" i="1"/>
  <c r="AJ57" i="1"/>
  <c r="AK169" i="1"/>
  <c r="AJ169" i="1"/>
  <c r="AK313" i="1"/>
  <c r="AJ313" i="1"/>
  <c r="AK324" i="1"/>
  <c r="AJ324" i="1"/>
  <c r="AK607" i="1"/>
  <c r="AJ607" i="1"/>
  <c r="AK614" i="1"/>
  <c r="AJ614" i="1"/>
  <c r="AK118" i="1"/>
  <c r="AJ118" i="1"/>
  <c r="AK307" i="1"/>
  <c r="AJ307" i="1"/>
  <c r="AK100" i="1"/>
  <c r="AJ100" i="1"/>
  <c r="AK609" i="1"/>
  <c r="AJ609" i="1"/>
  <c r="AK6" i="1"/>
  <c r="AJ6" i="1"/>
  <c r="AK412" i="1"/>
  <c r="AJ412" i="1"/>
  <c r="AK229" i="1"/>
  <c r="AJ229" i="1"/>
  <c r="AK400" i="1"/>
  <c r="AJ400" i="1"/>
  <c r="AK164" i="1"/>
  <c r="AJ164" i="1"/>
  <c r="AK31" i="1"/>
  <c r="AJ31" i="1"/>
  <c r="AK283" i="1"/>
  <c r="AJ283" i="1"/>
  <c r="AK595" i="1"/>
  <c r="AJ595" i="1"/>
  <c r="AK476" i="1"/>
  <c r="AJ476" i="1"/>
  <c r="AK278" i="1"/>
  <c r="AJ278" i="1"/>
  <c r="AK425" i="1"/>
  <c r="AJ425" i="1"/>
  <c r="AK89" i="1"/>
  <c r="AJ89" i="1"/>
  <c r="AK342" i="1"/>
  <c r="AJ342" i="1"/>
  <c r="AK308" i="1"/>
  <c r="AJ308" i="1"/>
  <c r="AK97" i="1"/>
  <c r="AJ97" i="1"/>
  <c r="AK15" i="1"/>
  <c r="AJ15" i="1"/>
  <c r="AK704" i="1"/>
  <c r="AJ704" i="1"/>
  <c r="AK274" i="1"/>
  <c r="AJ274" i="1"/>
  <c r="AK413" i="1"/>
  <c r="AJ413" i="1"/>
  <c r="AK574" i="1"/>
  <c r="AJ574" i="1"/>
  <c r="AK116" i="1"/>
  <c r="AJ116" i="1"/>
  <c r="AK601" i="1"/>
  <c r="AJ601" i="1"/>
  <c r="AK519" i="1"/>
  <c r="AJ519" i="1"/>
  <c r="AK280" i="1"/>
  <c r="AJ280" i="1"/>
  <c r="AK437" i="1"/>
  <c r="AJ437" i="1"/>
  <c r="AK393" i="1"/>
  <c r="AJ393" i="1"/>
  <c r="AK70" i="1"/>
  <c r="AJ70" i="1"/>
  <c r="AK396" i="1"/>
  <c r="AJ396" i="1"/>
  <c r="AK449" i="1"/>
  <c r="AJ449" i="1"/>
  <c r="AK543" i="1"/>
  <c r="AJ543" i="1"/>
  <c r="AK572" i="1"/>
  <c r="AJ572" i="1"/>
  <c r="AK99" i="1"/>
  <c r="AJ99" i="1"/>
  <c r="AK133" i="1"/>
  <c r="AJ133" i="1"/>
  <c r="AK377" i="1"/>
  <c r="AJ377" i="1"/>
  <c r="AK547" i="1"/>
  <c r="AJ547" i="1"/>
  <c r="AK474" i="1"/>
  <c r="AJ474" i="1"/>
  <c r="AK195" i="1"/>
  <c r="AJ195" i="1"/>
  <c r="AK284" i="1"/>
  <c r="AJ284" i="1"/>
  <c r="AK689" i="1"/>
  <c r="AJ689" i="1"/>
  <c r="AK56" i="1"/>
  <c r="AJ56" i="1"/>
  <c r="AK513" i="1"/>
  <c r="AJ513" i="1"/>
  <c r="AK127" i="1"/>
  <c r="AJ127" i="1"/>
  <c r="AK661" i="1"/>
  <c r="AJ661" i="1"/>
  <c r="AK222" i="1"/>
  <c r="AJ222" i="1"/>
  <c r="AK358" i="1"/>
  <c r="AJ358" i="1"/>
  <c r="AK124" i="1"/>
  <c r="AJ124" i="1"/>
  <c r="AK224" i="1"/>
  <c r="AJ224" i="1"/>
  <c r="AK485" i="1"/>
  <c r="AJ485" i="1"/>
  <c r="AK200" i="1"/>
  <c r="AJ200" i="1"/>
  <c r="AK238" i="1"/>
  <c r="AJ238" i="1"/>
  <c r="AK552" i="1"/>
  <c r="AJ552" i="1"/>
  <c r="AK251" i="1"/>
  <c r="AJ251" i="1"/>
  <c r="AK220" i="1"/>
  <c r="AJ220" i="1"/>
  <c r="AK628" i="1"/>
  <c r="AJ628" i="1"/>
  <c r="AK641" i="1"/>
  <c r="AJ641" i="1"/>
  <c r="AK264" i="1"/>
  <c r="AJ264" i="1"/>
  <c r="AK507" i="1"/>
  <c r="AJ507" i="1"/>
  <c r="AK185" i="1"/>
  <c r="AJ185" i="1"/>
  <c r="AK664" i="1"/>
  <c r="AJ664" i="1"/>
  <c r="AK471" i="1"/>
  <c r="AJ471" i="1"/>
  <c r="AK136" i="1"/>
  <c r="AJ136" i="1"/>
  <c r="AK569" i="1"/>
  <c r="AJ569" i="1"/>
  <c r="AK40" i="1"/>
  <c r="AJ40" i="1"/>
  <c r="AK272" i="1"/>
  <c r="AJ272" i="1"/>
  <c r="AK633" i="1"/>
  <c r="AJ633" i="1"/>
  <c r="AK43" i="1"/>
  <c r="AJ43" i="1"/>
  <c r="AK468" i="1"/>
  <c r="AJ468" i="1"/>
  <c r="AK121" i="1"/>
  <c r="AJ121" i="1"/>
  <c r="AK321" i="1"/>
  <c r="AJ321" i="1"/>
  <c r="AK49" i="1"/>
  <c r="AJ49" i="1"/>
  <c r="AK158" i="1"/>
  <c r="AJ158" i="1"/>
  <c r="AK319" i="1"/>
  <c r="AJ319" i="1"/>
  <c r="AK310" i="1"/>
  <c r="AJ310" i="1"/>
  <c r="AK350" i="1"/>
  <c r="AJ350" i="1"/>
  <c r="AK408" i="1"/>
  <c r="AJ408" i="1"/>
  <c r="AK227" i="1"/>
  <c r="AJ227" i="1"/>
  <c r="AK58" i="1"/>
  <c r="AJ58" i="1"/>
  <c r="AK201" i="1"/>
  <c r="AJ201" i="1"/>
  <c r="AK593" i="1"/>
  <c r="AJ593" i="1"/>
  <c r="AK668" i="1"/>
  <c r="AJ668" i="1"/>
  <c r="AK295" i="1"/>
  <c r="AJ295" i="1"/>
  <c r="AK463" i="1"/>
  <c r="AJ463" i="1"/>
  <c r="AK181" i="1"/>
  <c r="AJ181" i="1"/>
  <c r="AK499" i="1"/>
  <c r="AJ499" i="1"/>
  <c r="AK50" i="1"/>
  <c r="AJ50" i="1"/>
  <c r="AK209" i="1"/>
  <c r="AJ209" i="1"/>
  <c r="AK142" i="1"/>
  <c r="AJ142" i="1"/>
  <c r="AK369" i="1"/>
  <c r="AJ369" i="1"/>
  <c r="AK496" i="1"/>
  <c r="AJ496" i="1"/>
  <c r="AK198" i="1"/>
  <c r="AJ198" i="1"/>
  <c r="AK334" i="1"/>
  <c r="AJ334" i="1"/>
  <c r="AK467" i="1"/>
  <c r="AJ467" i="1"/>
  <c r="AK434" i="1"/>
  <c r="AJ434" i="1"/>
  <c r="AK223" i="1"/>
  <c r="AJ223" i="1"/>
  <c r="AK427" i="1"/>
  <c r="AJ427" i="1"/>
  <c r="AK525" i="1"/>
  <c r="AJ525" i="1"/>
  <c r="AK34" i="1"/>
  <c r="AJ34" i="1"/>
  <c r="AK328" i="1"/>
  <c r="AJ328" i="1"/>
  <c r="AK484" i="1"/>
  <c r="AJ484" i="1"/>
  <c r="AK343" i="1"/>
  <c r="AJ343" i="1"/>
  <c r="AK581" i="1"/>
  <c r="AJ581" i="1"/>
  <c r="AK331" i="1"/>
  <c r="AJ331" i="1"/>
  <c r="AK65" i="1"/>
  <c r="AJ65" i="1"/>
  <c r="AK62" i="1"/>
  <c r="AJ62" i="1"/>
  <c r="AK30" i="1"/>
  <c r="AJ30" i="1"/>
  <c r="R614" i="1"/>
  <c r="R229" i="1"/>
  <c r="R300" i="1"/>
  <c r="R362" i="1"/>
  <c r="R686" i="1"/>
  <c r="R265" i="1"/>
  <c r="R433" i="1"/>
  <c r="R372" i="1"/>
  <c r="R696" i="1"/>
  <c r="R684" i="1"/>
  <c r="R420" i="1"/>
  <c r="R239" i="1"/>
  <c r="R659" i="1"/>
  <c r="R346" i="1"/>
  <c r="R250" i="1"/>
  <c r="R214" i="1"/>
  <c r="R157" i="1"/>
  <c r="R408" i="1"/>
  <c r="R360" i="1"/>
  <c r="R237" i="1"/>
  <c r="R621" i="1"/>
  <c r="R404" i="1"/>
  <c r="R296" i="1"/>
  <c r="R675" i="1"/>
  <c r="R651" i="1"/>
  <c r="R398" i="1"/>
  <c r="R223" i="1"/>
  <c r="R115" i="1"/>
  <c r="R691" i="1"/>
  <c r="R438" i="1"/>
  <c r="R426" i="1"/>
  <c r="R401" i="1"/>
  <c r="R365" i="1"/>
  <c r="R353" i="1"/>
  <c r="R269" i="1"/>
  <c r="R173" i="1"/>
  <c r="R161" i="1"/>
  <c r="R423" i="1"/>
  <c r="R673" i="1"/>
  <c r="R454" i="1"/>
  <c r="R418" i="1"/>
  <c r="R692" i="1"/>
  <c r="R596" i="1"/>
  <c r="R151" i="1"/>
  <c r="R679" i="1"/>
  <c r="R415" i="1"/>
  <c r="R677" i="1"/>
  <c r="R665" i="1"/>
  <c r="R413" i="1"/>
  <c r="R400" i="1"/>
  <c r="R352" i="1"/>
  <c r="R682" i="1"/>
  <c r="R478" i="1"/>
  <c r="R442" i="1"/>
  <c r="R345" i="1"/>
  <c r="R571" i="1"/>
  <c r="R402" i="1"/>
  <c r="R354" i="1"/>
  <c r="R676" i="1"/>
  <c r="R664" i="1"/>
  <c r="R424" i="1"/>
  <c r="R39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Sarah Bolinger</author>
  </authors>
  <commentList>
    <comment ref="AB1" authorId="0" shapeId="0" xr:uid="{A4BEA5FB-C9C5-4135-AFBB-7BEA9E5CF81F}">
      <text>
        <r>
          <rPr>
            <b/>
            <sz val="9"/>
            <color indexed="81"/>
            <rFont val="Tahoma"/>
            <family val="2"/>
          </rPr>
          <t>Sarah Bolinger:</t>
        </r>
        <r>
          <rPr>
            <sz val="9"/>
            <color indexed="81"/>
            <rFont val="Tahoma"/>
            <family val="2"/>
          </rPr>
          <t xml:space="preserve">
anything that could be U-H is U-H</t>
        </r>
      </text>
    </comment>
    <comment ref="AC1" authorId="0" shapeId="0" xr:uid="{2C263847-2B0D-4D12-BADE-92E4AD0AD13B}">
      <text>
        <r>
          <rPr>
            <b/>
            <sz val="9"/>
            <color indexed="81"/>
            <rFont val="Tahoma"/>
            <family val="2"/>
          </rPr>
          <t>Sarah Bolinger:</t>
        </r>
        <r>
          <rPr>
            <sz val="9"/>
            <color indexed="81"/>
            <rFont val="Tahoma"/>
            <family val="2"/>
          </rPr>
          <t xml:space="preserve">
a few U-H changed to U bc I don't think anyone ever thought they hatched</t>
        </r>
      </text>
    </comment>
    <comment ref="AD1" authorId="0" shapeId="0" xr:uid="{0F5DBB21-FE82-436E-8741-B4E6066CFC76}">
      <text>
        <r>
          <rPr>
            <b/>
            <sz val="9"/>
            <color indexed="81"/>
            <rFont val="Tahoma"/>
            <family val="2"/>
          </rPr>
          <t>Sarah Bolinger:</t>
        </r>
        <r>
          <rPr>
            <sz val="9"/>
            <color indexed="81"/>
            <rFont val="Tahoma"/>
            <family val="2"/>
          </rPr>
          <t xml:space="preserve">
This column reflects the fates in the final data for each year</t>
        </r>
      </text>
    </comment>
    <comment ref="AE1" authorId="0" shapeId="0" xr:uid="{BF3B594B-AFB4-4F09-B540-04DFBAB69311}">
      <text>
        <r>
          <rPr>
            <b/>
            <sz val="9"/>
            <color indexed="81"/>
            <rFont val="Tahoma"/>
            <family val="2"/>
          </rPr>
          <t>Sarah Bolinger:</t>
        </r>
        <r>
          <rPr>
            <sz val="9"/>
            <color indexed="81"/>
            <rFont val="Tahoma"/>
            <family val="2"/>
          </rPr>
          <t xml:space="preserve">
combine fieldfate4 and fieldfate5</t>
        </r>
      </text>
    </comment>
    <comment ref="AF1" authorId="0" shapeId="0" xr:uid="{376CAB93-61A9-4F41-95E4-63805232CA0D}">
      <text>
        <r>
          <rPr>
            <b/>
            <sz val="9"/>
            <color indexed="81"/>
            <rFont val="Tahoma"/>
            <family val="2"/>
          </rPr>
          <t>Sarah Bolinger:</t>
        </r>
        <r>
          <rPr>
            <sz val="9"/>
            <color indexed="81"/>
            <rFont val="Tahoma"/>
            <family val="2"/>
          </rPr>
          <t xml:space="preserve">
fieldfate6 with no U-H</t>
        </r>
      </text>
    </comment>
    <comment ref="AG1" authorId="0" shapeId="0" xr:uid="{EBB86099-280F-4C4A-B5E3-04AFFC9DBF96}">
      <text>
        <r>
          <rPr>
            <b/>
            <sz val="9"/>
            <color indexed="81"/>
            <rFont val="Tahoma"/>
            <family val="2"/>
          </rPr>
          <t>Sarah Bolinger:</t>
        </r>
        <r>
          <rPr>
            <sz val="9"/>
            <color indexed="81"/>
            <rFont val="Tahoma"/>
            <family val="2"/>
          </rPr>
          <t xml:space="preserve">
some combination of ff2 and ff7?</t>
        </r>
      </text>
    </comment>
    <comment ref="AH1" authorId="0" shapeId="0" xr:uid="{2A729266-0A5C-41A7-A9D5-FA85B688B904}">
      <text>
        <r>
          <rPr>
            <b/>
            <sz val="9"/>
            <color indexed="81"/>
            <rFont val="Tahoma"/>
            <charset val="1"/>
          </rPr>
          <t>Sarah Bolinger:</t>
        </r>
        <r>
          <rPr>
            <sz val="9"/>
            <color indexed="81"/>
            <rFont val="Tahoma"/>
            <charset val="1"/>
          </rPr>
          <t xml:space="preserve">
field fate 2 with adjustments</t>
        </r>
      </text>
    </comment>
    <comment ref="AM1" authorId="0" shapeId="0" xr:uid="{49E060FB-68C5-4C52-8CB6-C77942A50104}">
      <text>
        <r>
          <rPr>
            <b/>
            <sz val="9"/>
            <color indexed="81"/>
            <rFont val="Tahoma"/>
            <family val="2"/>
          </rPr>
          <t>Sarah Bolinger:</t>
        </r>
        <r>
          <rPr>
            <sz val="9"/>
            <color indexed="81"/>
            <rFont val="Tahoma"/>
            <family val="2"/>
          </rPr>
          <t xml:space="preserve">
so you can filter out fate NA and still filter camera fate separately</t>
        </r>
      </text>
    </comment>
    <comment ref="AT1" authorId="0" shapeId="0" xr:uid="{917BBAFC-E3F2-4EA5-8940-7EEAD09F948D}">
      <text>
        <r>
          <rPr>
            <b/>
            <sz val="9"/>
            <color indexed="81"/>
            <rFont val="Tahoma"/>
            <family val="2"/>
          </rPr>
          <t>Sarah Bolinger:</t>
        </r>
        <r>
          <rPr>
            <sz val="9"/>
            <color indexed="81"/>
            <rFont val="Tahoma"/>
            <family val="2"/>
          </rPr>
          <t xml:space="preserve">
based on est HD instead of actual HD</t>
        </r>
      </text>
    </comment>
    <comment ref="AW1" authorId="0" shapeId="0" xr:uid="{9CBB2BC1-D2A1-4961-9BC8-EBEF68722D47}">
      <text>
        <r>
          <rPr>
            <b/>
            <sz val="9"/>
            <color indexed="81"/>
            <rFont val="Tahoma"/>
            <family val="2"/>
          </rPr>
          <t>Sarah Bolinger:</t>
        </r>
        <r>
          <rPr>
            <sz val="9"/>
            <color indexed="81"/>
            <rFont val="Tahoma"/>
            <family val="2"/>
          </rPr>
          <t xml:space="preserve">
for hatched nests, will technically be 0</t>
        </r>
      </text>
    </comment>
    <comment ref="AZ1" authorId="0" shapeId="0" xr:uid="{EEC556D7-9F18-4174-A9EA-03D7FBEC5539}">
      <text>
        <r>
          <rPr>
            <b/>
            <sz val="9"/>
            <color indexed="81"/>
            <rFont val="Tahoma"/>
            <family val="2"/>
          </rPr>
          <t>Sarah Bolinger:</t>
        </r>
        <r>
          <rPr>
            <sz val="9"/>
            <color indexed="81"/>
            <rFont val="Tahoma"/>
            <family val="2"/>
          </rPr>
          <t xml:space="preserve">
often different from j, so gives different final_int value</t>
        </r>
      </text>
    </comment>
    <comment ref="AN114" authorId="0" shapeId="0" xr:uid="{1AC265F0-2D4A-4337-B456-DCC63E2F81A8}">
      <text>
        <r>
          <rPr>
            <b/>
            <sz val="9"/>
            <color indexed="81"/>
            <rFont val="Tahoma"/>
            <family val="2"/>
          </rPr>
          <t>Sarah Bolinger:</t>
        </r>
        <r>
          <rPr>
            <sz val="9"/>
            <color indexed="81"/>
            <rFont val="Tahoma"/>
            <family val="2"/>
          </rPr>
          <t xml:space="preserve">
why was this marked "A"?</t>
        </r>
      </text>
    </comment>
    <comment ref="A149" authorId="0" shapeId="0" xr:uid="{2B96B852-9A46-4EC1-8875-762415882AD4}">
      <text>
        <r>
          <rPr>
            <b/>
            <sz val="9"/>
            <color indexed="81"/>
            <rFont val="Tahoma"/>
            <family val="2"/>
          </rPr>
          <t>Sarah Bolinger:</t>
        </r>
        <r>
          <rPr>
            <sz val="9"/>
            <color indexed="81"/>
            <rFont val="Tahoma"/>
            <family val="2"/>
          </rPr>
          <t xml:space="preserve">
are there more photos of this nest somewhere? Cam 11?</t>
        </r>
      </text>
    </comment>
    <comment ref="S149" authorId="0" shapeId="0" xr:uid="{32FC164B-C330-4E9F-BC37-B0FF1C03A773}">
      <text>
        <r>
          <rPr>
            <b/>
            <sz val="9"/>
            <color indexed="81"/>
            <rFont val="Tahoma"/>
            <family val="2"/>
          </rPr>
          <t>Sarah Bolinger:</t>
        </r>
        <r>
          <rPr>
            <sz val="9"/>
            <color indexed="81"/>
            <rFont val="Tahoma"/>
            <family val="2"/>
          </rPr>
          <t xml:space="preserve">
changed from Y on 06 aug
</t>
        </r>
      </text>
    </comment>
    <comment ref="AA149" authorId="0" shapeId="0" xr:uid="{D9534B44-B496-4CC4-82BD-F5BB5D31C57B}">
      <text>
        <r>
          <rPr>
            <b/>
            <sz val="9"/>
            <color indexed="81"/>
            <rFont val="Tahoma"/>
            <charset val="1"/>
          </rPr>
          <t>Sarah Bolinger:</t>
        </r>
        <r>
          <rPr>
            <sz val="9"/>
            <color indexed="81"/>
            <rFont val="Tahoma"/>
            <charset val="1"/>
          </rPr>
          <t xml:space="preserve">
notes seem in line with other nests marked hatch</t>
        </r>
      </text>
    </comment>
    <comment ref="AX149" authorId="0" shapeId="0" xr:uid="{123ABAE7-5AAA-41A0-A6C0-02CD80584DEF}">
      <text>
        <r>
          <rPr>
            <b/>
            <sz val="9"/>
            <color indexed="81"/>
            <rFont val="Tahoma"/>
            <family val="2"/>
          </rPr>
          <t>Sarah Bolinger:</t>
        </r>
        <r>
          <rPr>
            <sz val="9"/>
            <color indexed="81"/>
            <rFont val="Tahoma"/>
            <family val="2"/>
          </rPr>
          <t xml:space="preserve">
should I change to first obs *after* expected hatch?
</t>
        </r>
      </text>
    </comment>
    <comment ref="S152" authorId="0" shapeId="0" xr:uid="{9AD52D7B-4D99-4130-9E9A-4B97F42C9524}">
      <text>
        <r>
          <rPr>
            <b/>
            <sz val="9"/>
            <color indexed="81"/>
            <rFont val="Tahoma"/>
            <family val="2"/>
          </rPr>
          <t>Sarah Bolinger:</t>
        </r>
        <r>
          <rPr>
            <sz val="9"/>
            <color indexed="81"/>
            <rFont val="Tahoma"/>
            <family val="2"/>
          </rPr>
          <t xml:space="preserve">
changed from Y on 07 aug</t>
        </r>
      </text>
    </comment>
    <comment ref="AB157" authorId="0" shapeId="0" xr:uid="{79F70EFE-F51C-4E2F-9A24-0FC86524BDC3}">
      <text>
        <r>
          <rPr>
            <b/>
            <sz val="9"/>
            <color indexed="81"/>
            <rFont val="Tahoma"/>
            <charset val="1"/>
          </rPr>
          <t>Sarah Bolinger:</t>
        </r>
        <r>
          <rPr>
            <sz val="9"/>
            <color indexed="81"/>
            <rFont val="Tahoma"/>
            <charset val="1"/>
          </rPr>
          <t xml:space="preserve">
this justistifcation is just as good as any of the others for storm-related failure clsasification in the field
</t>
        </r>
      </text>
    </comment>
    <comment ref="S164" authorId="0" shapeId="0" xr:uid="{614A2E10-BB30-4D3D-9DA1-998E00752718}">
      <text>
        <r>
          <rPr>
            <b/>
            <sz val="9"/>
            <color indexed="81"/>
            <rFont val="Tahoma"/>
            <family val="2"/>
          </rPr>
          <t>Sarah Bolinger:</t>
        </r>
        <r>
          <rPr>
            <sz val="9"/>
            <color indexed="81"/>
            <rFont val="Tahoma"/>
            <family val="2"/>
          </rPr>
          <t xml:space="preserve">
nest probably failed, but don't have pics for confirmation</t>
        </r>
      </text>
    </comment>
    <comment ref="S165" authorId="0" shapeId="0" xr:uid="{B7C71EC4-74BA-41B9-ACFC-49770C749D18}">
      <text>
        <r>
          <rPr>
            <b/>
            <sz val="9"/>
            <color indexed="81"/>
            <rFont val="Tahoma"/>
            <family val="2"/>
          </rPr>
          <t>Sarah Bolinger:</t>
        </r>
        <r>
          <rPr>
            <sz val="9"/>
            <color indexed="81"/>
            <rFont val="Tahoma"/>
            <family val="2"/>
          </rPr>
          <t xml:space="preserve">
changed from Y on 07 aug</t>
        </r>
      </text>
    </comment>
    <comment ref="AB172" authorId="0" shapeId="0" xr:uid="{6286F371-B613-405E-99C1-73E0B6E7DE74}">
      <text>
        <r>
          <rPr>
            <b/>
            <sz val="9"/>
            <color indexed="81"/>
            <rFont val="Tahoma"/>
            <family val="2"/>
          </rPr>
          <t>Sarah Bolinger:</t>
        </r>
        <r>
          <rPr>
            <sz val="9"/>
            <color indexed="81"/>
            <rFont val="Tahoma"/>
            <family val="2"/>
          </rPr>
          <t xml:space="preserve">
240 and 242 should be "F" because of estimated hatch date</t>
        </r>
      </text>
    </comment>
    <comment ref="S185" authorId="0" shapeId="0" xr:uid="{BB5D9B56-4399-45DE-B535-4013626933C8}">
      <text>
        <r>
          <rPr>
            <b/>
            <sz val="9"/>
            <color indexed="81"/>
            <rFont val="Tahoma"/>
            <family val="2"/>
          </rPr>
          <t>Sarah Bolinger:</t>
        </r>
        <r>
          <rPr>
            <sz val="9"/>
            <color indexed="81"/>
            <rFont val="Tahoma"/>
            <family val="2"/>
          </rPr>
          <t xml:space="preserve">
don't actually know if hatched - never found pics</t>
        </r>
      </text>
    </comment>
    <comment ref="S187" authorId="0" shapeId="0" xr:uid="{8BA178F1-9FBC-4C0E-9F0E-FFD954F78E27}">
      <text>
        <r>
          <rPr>
            <b/>
            <sz val="9"/>
            <color indexed="81"/>
            <rFont val="Tahoma"/>
            <family val="2"/>
          </rPr>
          <t>Sarah Bolinger:</t>
        </r>
        <r>
          <rPr>
            <sz val="9"/>
            <color indexed="81"/>
            <rFont val="Tahoma"/>
            <family val="2"/>
          </rPr>
          <t xml:space="preserve">
changed from Y on 06 aug</t>
        </r>
      </text>
    </comment>
    <comment ref="S188" authorId="0" shapeId="0" xr:uid="{7BB42FDE-FA53-40A3-B6E1-B8A1A05D4F88}">
      <text>
        <r>
          <rPr>
            <b/>
            <sz val="9"/>
            <color indexed="81"/>
            <rFont val="Tahoma"/>
            <family val="2"/>
          </rPr>
          <t>Sarah Bolinger:</t>
        </r>
        <r>
          <rPr>
            <sz val="9"/>
            <color indexed="81"/>
            <rFont val="Tahoma"/>
            <family val="2"/>
          </rPr>
          <t xml:space="preserve">
barely visible in photos
probably also depredated</t>
        </r>
      </text>
    </comment>
    <comment ref="AF245" authorId="0" shapeId="0" xr:uid="{34C750E1-CC71-4497-A44B-47B0E4CB79C3}">
      <text>
        <r>
          <rPr>
            <b/>
            <sz val="9"/>
            <color indexed="81"/>
            <rFont val="Tahoma"/>
            <family val="2"/>
          </rPr>
          <t>Sarah Bolinger:</t>
        </r>
        <r>
          <rPr>
            <sz val="9"/>
            <color indexed="81"/>
            <rFont val="Tahoma"/>
            <family val="2"/>
          </rPr>
          <t xml:space="preserve">
couldn't really know it failed bc of est hatch date</t>
        </r>
      </text>
    </comment>
    <comment ref="S264" authorId="0" shapeId="0" xr:uid="{12666606-23B9-43DD-AC81-833E056AA22E}">
      <text>
        <r>
          <rPr>
            <b/>
            <sz val="9"/>
            <color indexed="81"/>
            <rFont val="Tahoma"/>
            <family val="2"/>
          </rPr>
          <t>Sarah Bolinger:</t>
        </r>
        <r>
          <rPr>
            <sz val="9"/>
            <color indexed="81"/>
            <rFont val="Tahoma"/>
            <family val="2"/>
          </rPr>
          <t xml:space="preserve">
probably not a nest, maybe an egg washed out from a nest or already abandoned</t>
        </r>
      </text>
    </comment>
    <comment ref="AW314" authorId="0" shapeId="0" xr:uid="{99969845-74AE-415B-9D72-9BDA927452DD}">
      <text>
        <r>
          <rPr>
            <b/>
            <sz val="9"/>
            <color indexed="81"/>
            <rFont val="Tahoma"/>
            <family val="2"/>
          </rPr>
          <t>Sarah Bolinger:</t>
        </r>
        <r>
          <rPr>
            <sz val="9"/>
            <color indexed="81"/>
            <rFont val="Tahoma"/>
            <family val="2"/>
          </rPr>
          <t xml:space="preserve">
40 was last obs before it might have hatched (so BON doesn't imply eggs after that)</t>
        </r>
      </text>
    </comment>
    <comment ref="AX317" authorId="0" shapeId="0" xr:uid="{B9E249E5-0B53-4E6A-A95C-38821079F959}">
      <text>
        <r>
          <rPr>
            <b/>
            <sz val="9"/>
            <color indexed="81"/>
            <rFont val="Tahoma"/>
            <family val="2"/>
          </rPr>
          <t>Sarah Bolinger:</t>
        </r>
        <r>
          <rPr>
            <sz val="9"/>
            <color indexed="81"/>
            <rFont val="Tahoma"/>
            <family val="2"/>
          </rPr>
          <t xml:space="preserve">
this was wrong</t>
        </r>
      </text>
    </comment>
    <comment ref="S336" authorId="0" shapeId="0" xr:uid="{70EFC3CA-2FB7-4D13-AD9A-4BFC74841DA2}">
      <text>
        <r>
          <rPr>
            <b/>
            <sz val="9"/>
            <color indexed="81"/>
            <rFont val="Tahoma"/>
            <family val="2"/>
          </rPr>
          <t>Sarah Bolinger:</t>
        </r>
        <r>
          <rPr>
            <sz val="9"/>
            <color indexed="81"/>
            <rFont val="Tahoma"/>
            <family val="2"/>
          </rPr>
          <t xml:space="preserve">
question mark under 'camera' in original data.
changed from Y on 06 aug</t>
        </r>
      </text>
    </comment>
    <comment ref="S343" authorId="0" shapeId="0" xr:uid="{E67F8B6C-A38D-47FB-9432-4B53B111EEE2}">
      <text>
        <r>
          <rPr>
            <b/>
            <sz val="9"/>
            <color indexed="81"/>
            <rFont val="Tahoma"/>
            <family val="2"/>
          </rPr>
          <t>Sarah Bolinger:</t>
        </r>
        <r>
          <rPr>
            <sz val="9"/>
            <color indexed="81"/>
            <rFont val="Tahoma"/>
            <family val="2"/>
          </rPr>
          <t xml:space="preserve">
probably abandoned before we started monitoring</t>
        </r>
      </text>
    </comment>
    <comment ref="BL362" authorId="0" shapeId="0" xr:uid="{58ECB161-8B70-4677-888D-8ED77176C3B3}">
      <text>
        <r>
          <rPr>
            <b/>
            <sz val="9"/>
            <color indexed="81"/>
            <rFont val="Tahoma"/>
            <family val="2"/>
          </rPr>
          <t>Sarah Bolinger:</t>
        </r>
        <r>
          <rPr>
            <sz val="9"/>
            <color indexed="81"/>
            <rFont val="Tahoma"/>
            <family val="2"/>
          </rPr>
          <t xml:space="preserve">
see notes</t>
        </r>
      </text>
    </comment>
    <comment ref="AD406" authorId="0" shapeId="0" xr:uid="{A5E26267-AB3E-417F-8EEC-1FEA0896D28F}">
      <text>
        <r>
          <rPr>
            <b/>
            <sz val="9"/>
            <color indexed="81"/>
            <rFont val="Tahoma"/>
            <family val="2"/>
          </rPr>
          <t>Sarah Bolinger:</t>
        </r>
        <r>
          <rPr>
            <sz val="9"/>
            <color indexed="81"/>
            <rFont val="Tahoma"/>
            <family val="2"/>
          </rPr>
          <t xml:space="preserve">
nothing marked for fate
</t>
        </r>
      </text>
    </comment>
    <comment ref="AG406" authorId="0" shapeId="0" xr:uid="{EEA8FC04-D9FC-450D-9CCA-03405733F330}">
      <text>
        <r>
          <rPr>
            <b/>
            <sz val="9"/>
            <color indexed="81"/>
            <rFont val="Tahoma"/>
            <family val="2"/>
          </rPr>
          <t>Sarah Bolinger:</t>
        </r>
        <r>
          <rPr>
            <sz val="9"/>
            <color indexed="81"/>
            <rFont val="Tahoma"/>
            <family val="2"/>
          </rPr>
          <t xml:space="preserve">
based on date
</t>
        </r>
      </text>
    </comment>
    <comment ref="AV408" authorId="0" shapeId="0" xr:uid="{2597360A-14CF-4E79-912A-35D66DEDE5E2}">
      <text>
        <r>
          <rPr>
            <b/>
            <sz val="9"/>
            <color indexed="81"/>
            <rFont val="Tahoma"/>
            <family val="2"/>
          </rPr>
          <t>Sarah Bolinger:</t>
        </r>
        <r>
          <rPr>
            <sz val="9"/>
            <color indexed="81"/>
            <rFont val="Tahoma"/>
            <family val="2"/>
          </rPr>
          <t xml:space="preserve">
84-81</t>
        </r>
      </text>
    </comment>
    <comment ref="AI410" authorId="0" shapeId="0" xr:uid="{726FAEDE-0D49-4CA9-8A36-67B0401BCFE8}">
      <text>
        <r>
          <rPr>
            <b/>
            <sz val="9"/>
            <color indexed="81"/>
            <rFont val="Tahoma"/>
            <family val="2"/>
          </rPr>
          <t>Sarah Bolinger:</t>
        </r>
        <r>
          <rPr>
            <sz val="9"/>
            <color indexed="81"/>
            <rFont val="Tahoma"/>
            <family val="2"/>
          </rPr>
          <t xml:space="preserve">
changed to F
</t>
        </r>
      </text>
    </comment>
    <comment ref="A411" authorId="0" shapeId="0" xr:uid="{6AE731A0-3B32-4CEC-8278-AB2C8F8275B0}">
      <text>
        <r>
          <rPr>
            <b/>
            <sz val="9"/>
            <color indexed="81"/>
            <rFont val="Tahoma"/>
            <family val="2"/>
          </rPr>
          <t>Sarah Bolinger:</t>
        </r>
        <r>
          <rPr>
            <sz val="9"/>
            <color indexed="81"/>
            <rFont val="Tahoma"/>
            <family val="2"/>
          </rPr>
          <t xml:space="preserve">
what was the field fate recorded in my notes for these nests?</t>
        </r>
      </text>
    </comment>
    <comment ref="S416" authorId="0" shapeId="0" xr:uid="{0CA16174-8C8A-4A9F-879E-BF8C207CC3C1}">
      <text>
        <r>
          <rPr>
            <b/>
            <sz val="9"/>
            <color indexed="81"/>
            <rFont val="Tahoma"/>
            <family val="2"/>
          </rPr>
          <t>Sarah Bolinger:</t>
        </r>
        <r>
          <rPr>
            <sz val="9"/>
            <color indexed="81"/>
            <rFont val="Tahoma"/>
            <family val="2"/>
          </rPr>
          <t xml:space="preserve">
probably abandoned before monitoring began</t>
        </r>
      </text>
    </comment>
    <comment ref="S501" authorId="0" shapeId="0" xr:uid="{37C63A33-A270-4348-B47B-893B4742CCBA}">
      <text>
        <r>
          <rPr>
            <b/>
            <sz val="9"/>
            <color indexed="81"/>
            <rFont val="Tahoma"/>
            <family val="2"/>
          </rPr>
          <t>Sarah Bolinger:</t>
        </r>
        <r>
          <rPr>
            <sz val="9"/>
            <color indexed="81"/>
            <rFont val="Tahoma"/>
            <family val="2"/>
          </rPr>
          <t xml:space="preserve">
did not find pictures</t>
        </r>
      </text>
    </comment>
    <comment ref="AN501" authorId="0" shapeId="0" xr:uid="{8DB3A9E3-0240-4779-A2C4-01BFBF098E0F}">
      <text>
        <r>
          <rPr>
            <b/>
            <sz val="9"/>
            <color indexed="81"/>
            <rFont val="Tahoma"/>
            <family val="2"/>
          </rPr>
          <t>Sarah Bolinger:</t>
        </r>
        <r>
          <rPr>
            <sz val="9"/>
            <color indexed="81"/>
            <rFont val="Tahoma"/>
            <family val="2"/>
          </rPr>
          <t xml:space="preserve">
did not find pictures</t>
        </r>
      </text>
    </comment>
    <comment ref="A614" authorId="0" shapeId="0" xr:uid="{7093CD83-556C-4D91-9624-CB171C92C7EC}">
      <text>
        <r>
          <rPr>
            <b/>
            <sz val="9"/>
            <color indexed="81"/>
            <rFont val="Tahoma"/>
            <family val="2"/>
          </rPr>
          <t>Sarah Bolinger:</t>
        </r>
        <r>
          <rPr>
            <sz val="9"/>
            <color indexed="81"/>
            <rFont val="Tahoma"/>
            <family val="2"/>
          </rPr>
          <t xml:space="preserve">
did 301 and 309 have cameras before hatch??</t>
        </r>
      </text>
    </comment>
    <comment ref="AA638" authorId="0" shapeId="0" xr:uid="{CBD804D5-19DD-4FC3-A113-E7ADB146E82C}">
      <text>
        <r>
          <rPr>
            <b/>
            <sz val="9"/>
            <color indexed="81"/>
            <rFont val="Tahoma"/>
            <charset val="1"/>
          </rPr>
          <t>Sarah Bolinger:</t>
        </r>
        <r>
          <rPr>
            <sz val="9"/>
            <color indexed="81"/>
            <rFont val="Tahoma"/>
            <charset val="1"/>
          </rPr>
          <t xml:space="preserve">
notes seem in line with other nests marked hatch</t>
        </r>
      </text>
    </comment>
    <comment ref="U645" authorId="0" shapeId="0" xr:uid="{187D2994-6FAA-46C6-AFDC-1C65497B841C}">
      <text>
        <r>
          <rPr>
            <b/>
            <sz val="9"/>
            <color indexed="81"/>
            <rFont val="Tahoma"/>
            <family val="2"/>
          </rPr>
          <t>Sarah Bolinger:</t>
        </r>
        <r>
          <rPr>
            <sz val="9"/>
            <color indexed="81"/>
            <rFont val="Tahoma"/>
            <family val="2"/>
          </rPr>
          <t xml:space="preserve">
mystery May nest - coyote</t>
        </r>
      </text>
    </comment>
    <comment ref="Z645" authorId="0" shapeId="0" xr:uid="{F5A81EE9-3AF2-4E0D-93FC-8F6CD1F4FFC5}">
      <text>
        <r>
          <rPr>
            <b/>
            <sz val="9"/>
            <color indexed="81"/>
            <rFont val="Tahoma"/>
            <family val="2"/>
          </rPr>
          <t>Sarah Bolinger:</t>
        </r>
        <r>
          <rPr>
            <sz val="9"/>
            <color indexed="81"/>
            <rFont val="Tahoma"/>
            <family val="2"/>
          </rPr>
          <t xml:space="preserve">
changed from U back to F on 07 aug
</t>
        </r>
      </text>
    </comment>
    <comment ref="S647" authorId="0" shapeId="0" xr:uid="{A14B7EA8-80C0-4E73-AFB2-6BBB69D52B2F}">
      <text>
        <r>
          <rPr>
            <b/>
            <sz val="9"/>
            <color indexed="81"/>
            <rFont val="Tahoma"/>
            <family val="2"/>
          </rPr>
          <t>Sarah Bolinger:</t>
        </r>
        <r>
          <rPr>
            <sz val="9"/>
            <color indexed="81"/>
            <rFont val="Tahoma"/>
            <family val="2"/>
          </rPr>
          <t xml:space="preserve">
never found pictures; don't know fate</t>
        </r>
      </text>
    </comment>
    <comment ref="U648" authorId="0" shapeId="0" xr:uid="{C7692FEA-5756-4AEB-9205-490CDC98C70D}">
      <text>
        <r>
          <rPr>
            <b/>
            <sz val="9"/>
            <color indexed="81"/>
            <rFont val="Tahoma"/>
            <family val="2"/>
          </rPr>
          <t>Sarah Bolinger:</t>
        </r>
        <r>
          <rPr>
            <sz val="9"/>
            <color indexed="81"/>
            <rFont val="Tahoma"/>
            <family val="2"/>
          </rPr>
          <t xml:space="preserve">
cam is triggered, but nothing in photos</t>
        </r>
      </text>
    </comment>
    <comment ref="U651" authorId="0" shapeId="0" xr:uid="{7170FF4E-4FF0-45A0-A16E-2E4948E09FB0}">
      <text>
        <r>
          <rPr>
            <b/>
            <sz val="9"/>
            <color indexed="81"/>
            <rFont val="Tahoma"/>
            <family val="2"/>
          </rPr>
          <t>Sarah Bolinger:</t>
        </r>
        <r>
          <rPr>
            <sz val="9"/>
            <color indexed="81"/>
            <rFont val="Tahoma"/>
            <family val="2"/>
          </rPr>
          <t xml:space="preserve">
camera shows depredation after hatch</t>
        </r>
      </text>
    </comment>
    <comment ref="AN654" authorId="0" shapeId="0" xr:uid="{B1303D3C-7FB7-4CA2-9E3C-C2B4F93C7E7D}">
      <text>
        <r>
          <rPr>
            <b/>
            <sz val="9"/>
            <color indexed="81"/>
            <rFont val="Tahoma"/>
            <charset val="1"/>
          </rPr>
          <t>Sarah Bolinger:</t>
        </r>
        <r>
          <rPr>
            <sz val="9"/>
            <color indexed="81"/>
            <rFont val="Tahoma"/>
            <charset val="1"/>
          </rPr>
          <t xml:space="preserve">
very hard to tell from pictures</t>
        </r>
      </text>
    </comment>
    <comment ref="AY656" authorId="0" shapeId="0" xr:uid="{A5C74287-BD49-4D96-8A20-3F2BD8BFC977}">
      <text>
        <r>
          <rPr>
            <b/>
            <sz val="9"/>
            <color indexed="81"/>
            <rFont val="Tahoma"/>
            <family val="2"/>
          </rPr>
          <t>Sarah Bolinger:</t>
        </r>
        <r>
          <rPr>
            <sz val="9"/>
            <color indexed="81"/>
            <rFont val="Tahoma"/>
            <family val="2"/>
          </rPr>
          <t xml:space="preserve">
check
</t>
        </r>
      </text>
    </comment>
    <comment ref="S671" authorId="0" shapeId="0" xr:uid="{BD6CB2BC-66F5-4C5A-A296-B7FBF5F8EF2B}">
      <text>
        <r>
          <rPr>
            <b/>
            <sz val="9"/>
            <color indexed="81"/>
            <rFont val="Tahoma"/>
            <family val="2"/>
          </rPr>
          <t>Sarah Bolinger:</t>
        </r>
        <r>
          <rPr>
            <sz val="9"/>
            <color indexed="81"/>
            <rFont val="Tahoma"/>
            <family val="2"/>
          </rPr>
          <t xml:space="preserve">
never found pics; don't know fate
</t>
        </r>
      </text>
    </comment>
    <comment ref="S672" authorId="0" shapeId="0" xr:uid="{8CFBDBC3-C76B-46CD-9657-8D87BBF37DD8}">
      <text>
        <r>
          <rPr>
            <b/>
            <sz val="9"/>
            <color indexed="81"/>
            <rFont val="Tahoma"/>
            <family val="2"/>
          </rPr>
          <t>Sarah Bolinger:</t>
        </r>
        <r>
          <rPr>
            <sz val="9"/>
            <color indexed="81"/>
            <rFont val="Tahoma"/>
            <family val="2"/>
          </rPr>
          <t xml:space="preserve">
never found pics; don't know fate</t>
        </r>
      </text>
    </comment>
    <comment ref="Z674" authorId="0" shapeId="0" xr:uid="{81B0E928-A299-410F-98A0-4A8C0C527D2B}">
      <text>
        <r>
          <rPr>
            <b/>
            <sz val="9"/>
            <color indexed="81"/>
            <rFont val="Tahoma"/>
            <family val="2"/>
          </rPr>
          <t>Sarah Bolinger:</t>
        </r>
        <r>
          <rPr>
            <sz val="9"/>
            <color indexed="81"/>
            <rFont val="Tahoma"/>
            <family val="2"/>
          </rPr>
          <t xml:space="preserve">
changed field fate from U-A back to A on 07 aug</t>
        </r>
      </text>
    </comment>
    <comment ref="AY674" authorId="0" shapeId="0" xr:uid="{AA0CB950-6BB6-4770-A5B3-C2FE7D575F50}">
      <text>
        <r>
          <rPr>
            <b/>
            <sz val="9"/>
            <color indexed="81"/>
            <rFont val="Tahoma"/>
            <family val="2"/>
          </rPr>
          <t>Sarah Bolinger:</t>
        </r>
        <r>
          <rPr>
            <sz val="9"/>
            <color indexed="81"/>
            <rFont val="Tahoma"/>
            <family val="2"/>
          </rPr>
          <t xml:space="preserve">
final date could be either 69 and 65. on 65, already down to 1E and it had sand stuck to it. But 65 is still before estimate hatch</t>
        </r>
      </text>
    </comment>
    <comment ref="AD676" authorId="0" shapeId="0" xr:uid="{E0F0F6C6-D126-48B6-9393-00D746AEDCCA}">
      <text>
        <r>
          <rPr>
            <b/>
            <sz val="9"/>
            <color indexed="81"/>
            <rFont val="Tahoma"/>
            <family val="2"/>
          </rPr>
          <t>Sarah Bolinger:</t>
        </r>
        <r>
          <rPr>
            <sz val="9"/>
            <color indexed="81"/>
            <rFont val="Tahoma"/>
            <family val="2"/>
          </rPr>
          <t xml:space="preserve">
not listed
</t>
        </r>
      </text>
    </comment>
    <comment ref="AD692" authorId="0" shapeId="0" xr:uid="{5F257B5C-F41F-4976-86E8-8D2C500B0404}">
      <text>
        <r>
          <rPr>
            <b/>
            <sz val="9"/>
            <color indexed="81"/>
            <rFont val="Tahoma"/>
            <family val="2"/>
          </rPr>
          <t>Sarah Bolinger:</t>
        </r>
        <r>
          <rPr>
            <sz val="9"/>
            <color indexed="81"/>
            <rFont val="Tahoma"/>
            <family val="2"/>
          </rPr>
          <t xml:space="preserve">
not listed
</t>
        </r>
      </text>
    </comment>
    <comment ref="AV692" authorId="0" shapeId="0" xr:uid="{2BD64F75-B04B-4696-AB7E-42230464AA68}">
      <text>
        <r>
          <rPr>
            <b/>
            <sz val="9"/>
            <color indexed="81"/>
            <rFont val="Tahoma"/>
            <family val="2"/>
          </rPr>
          <t>Sarah Bolinger:</t>
        </r>
        <r>
          <rPr>
            <sz val="9"/>
            <color indexed="81"/>
            <rFont val="Tahoma"/>
            <family val="2"/>
          </rPr>
          <t xml:space="preserve">
corrected 07 aug
</t>
        </r>
      </text>
    </comment>
    <comment ref="S699" authorId="0" shapeId="0" xr:uid="{21813B75-085D-40B0-980F-97CA07F2D062}">
      <text>
        <r>
          <rPr>
            <b/>
            <sz val="9"/>
            <color indexed="81"/>
            <rFont val="Tahoma"/>
            <family val="2"/>
          </rPr>
          <t>Sarah Bolinger:</t>
        </r>
        <r>
          <rPr>
            <sz val="9"/>
            <color indexed="81"/>
            <rFont val="Tahoma"/>
            <family val="2"/>
          </rPr>
          <t xml:space="preserve">
never found pics</t>
        </r>
      </text>
    </comment>
    <comment ref="AD702" authorId="0" shapeId="0" xr:uid="{9C0EF453-33EB-424C-8CA4-6F1D1530E00A}">
      <text>
        <r>
          <rPr>
            <b/>
            <sz val="9"/>
            <color indexed="81"/>
            <rFont val="Tahoma"/>
            <family val="2"/>
          </rPr>
          <t>Sarah Bolinger:</t>
        </r>
        <r>
          <rPr>
            <sz val="9"/>
            <color indexed="81"/>
            <rFont val="Tahoma"/>
            <family val="2"/>
          </rPr>
          <t xml:space="preserve">
no nests after this listed</t>
        </r>
      </text>
    </comment>
    <comment ref="AI702" authorId="0" shapeId="0" xr:uid="{3609C11F-DD9A-4A86-BBBE-2BEE09201588}">
      <text>
        <r>
          <rPr>
            <b/>
            <sz val="9"/>
            <color indexed="81"/>
            <rFont val="Tahoma"/>
            <family val="2"/>
          </rPr>
          <t>Sarah Bolinger:</t>
        </r>
        <r>
          <rPr>
            <sz val="9"/>
            <color indexed="81"/>
            <rFont val="Tahoma"/>
            <family val="2"/>
          </rPr>
          <t xml:space="preserve">
no field evidence of fate</t>
        </r>
      </text>
    </comment>
    <comment ref="S704" authorId="0" shapeId="0" xr:uid="{CB1E682B-03BC-4CA2-83A2-F62A65669594}">
      <text>
        <r>
          <rPr>
            <b/>
            <sz val="9"/>
            <color indexed="81"/>
            <rFont val="Tahoma"/>
            <family val="2"/>
          </rPr>
          <t>Sarah Bolinger:</t>
        </r>
        <r>
          <rPr>
            <sz val="9"/>
            <color indexed="81"/>
            <rFont val="Tahoma"/>
            <family val="2"/>
          </rPr>
          <t xml:space="preserve">
changed from Y? on 07 aug - do have photos
</t>
        </r>
      </text>
    </comment>
    <comment ref="S705" authorId="0" shapeId="0" xr:uid="{23C9B7EB-E42E-441B-B04F-DA5E094F9B24}">
      <text>
        <r>
          <rPr>
            <b/>
            <sz val="9"/>
            <color indexed="81"/>
            <rFont val="Tahoma"/>
            <family val="2"/>
          </rPr>
          <t>Sarah Bolinger:</t>
        </r>
        <r>
          <rPr>
            <sz val="9"/>
            <color indexed="81"/>
            <rFont val="Tahoma"/>
            <family val="2"/>
          </rPr>
          <t xml:space="preserve">
never found pics; don't know fate
changed from Y on 07 aug</t>
        </r>
      </text>
    </comment>
    <comment ref="S707" authorId="0" shapeId="0" xr:uid="{CB897549-5180-48D5-9D67-6CAB21550423}">
      <text>
        <r>
          <rPr>
            <b/>
            <sz val="9"/>
            <color indexed="81"/>
            <rFont val="Tahoma"/>
            <family val="2"/>
          </rPr>
          <t>Sarah Bolinger:</t>
        </r>
        <r>
          <rPr>
            <sz val="9"/>
            <color indexed="81"/>
            <rFont val="Tahoma"/>
            <family val="2"/>
          </rPr>
          <t xml:space="preserve">
never found pics; don't know fate
</t>
        </r>
      </text>
    </comment>
    <comment ref="AN709" authorId="0" shapeId="0" xr:uid="{0A00F212-565B-4530-A1B3-3259A6D3C0CD}">
      <text>
        <r>
          <rPr>
            <b/>
            <sz val="9"/>
            <color indexed="81"/>
            <rFont val="Tahoma"/>
            <family val="2"/>
          </rPr>
          <t>Sarah Bolinger:</t>
        </r>
        <r>
          <rPr>
            <sz val="9"/>
            <color indexed="81"/>
            <rFont val="Tahoma"/>
            <family val="2"/>
          </rPr>
          <t xml:space="preserve">
changed 8/25
</t>
        </r>
      </text>
    </comment>
  </commentList>
</comments>
</file>

<file path=xl/sharedStrings.xml><?xml version="1.0" encoding="utf-8"?>
<sst xmlns="http://schemas.openxmlformats.org/spreadsheetml/2006/main" count="13759" uniqueCount="1736">
  <si>
    <t>nest</t>
  </si>
  <si>
    <t>site</t>
  </si>
  <si>
    <t>species</t>
  </si>
  <si>
    <t>camera</t>
  </si>
  <si>
    <t>field_fate</t>
  </si>
  <si>
    <t>HD</t>
  </si>
  <si>
    <t>i</t>
  </si>
  <si>
    <t>j</t>
  </si>
  <si>
    <t>j.cam</t>
  </si>
  <si>
    <t>k</t>
  </si>
  <si>
    <t>k.cam</t>
  </si>
  <si>
    <t>year</t>
  </si>
  <si>
    <t>lat</t>
  </si>
  <si>
    <t>lon</t>
  </si>
  <si>
    <t>cov_1m</t>
  </si>
  <si>
    <t>cov_5m</t>
  </si>
  <si>
    <t>prot</t>
  </si>
  <si>
    <t>penultimate</t>
  </si>
  <si>
    <t>final</t>
  </si>
  <si>
    <t>obs_dates</t>
  </si>
  <si>
    <t>obs_ints</t>
  </si>
  <si>
    <t>obs_history</t>
  </si>
  <si>
    <t>ROCK</t>
  </si>
  <si>
    <t>WIPL</t>
  </si>
  <si>
    <t>NA</t>
  </si>
  <si>
    <t>S</t>
  </si>
  <si>
    <t>none</t>
  </si>
  <si>
    <t>3E</t>
  </si>
  <si>
    <t>fail</t>
  </si>
  <si>
    <t>3E|fail</t>
  </si>
  <si>
    <t>ROJH</t>
  </si>
  <si>
    <t>D</t>
  </si>
  <si>
    <t>1E|3E|fail</t>
  </si>
  <si>
    <t>2E</t>
  </si>
  <si>
    <t>2E|fail</t>
  </si>
  <si>
    <t>RUTW</t>
  </si>
  <si>
    <t>A</t>
  </si>
  <si>
    <t>H</t>
  </si>
  <si>
    <t>2C, 1E</t>
  </si>
  <si>
    <t>2E|3E|3E|3E|3E|3E|3E|2C, 1E</t>
  </si>
  <si>
    <t>SNPL</t>
  </si>
  <si>
    <t>3E, 1E pipped</t>
  </si>
  <si>
    <t>2C, 1E hatch day</t>
  </si>
  <si>
    <t>3E|3E|3E|3E|3E|BON|BON|3E|3E, 1E pipped|2C, 1E hatch day</t>
  </si>
  <si>
    <t>hatch day</t>
  </si>
  <si>
    <t>0E</t>
  </si>
  <si>
    <t>2E|3E|3E|3E|nest behavior|3E|3E|hatch day|0E</t>
  </si>
  <si>
    <t>LETE</t>
  </si>
  <si>
    <t>F</t>
  </si>
  <si>
    <t>empty</t>
  </si>
  <si>
    <t>2E|2E|empty</t>
  </si>
  <si>
    <t>cracked</t>
  </si>
  <si>
    <t>1E|BON|2E|BON|BON|cracked|fail</t>
  </si>
  <si>
    <t>2C</t>
  </si>
  <si>
    <t>2E|2E|2E|2E|2C</t>
  </si>
  <si>
    <t>?</t>
  </si>
  <si>
    <t>cheeping</t>
  </si>
  <si>
    <t>2E|not locate|not locate|?|cheeping</t>
  </si>
  <si>
    <t>1E</t>
  </si>
  <si>
    <t>1E|fail</t>
  </si>
  <si>
    <t>CONI</t>
  </si>
  <si>
    <t>1E|2E|2E|fail</t>
  </si>
  <si>
    <t>not check</t>
  </si>
  <si>
    <t>1E|not check|fail</t>
  </si>
  <si>
    <t>2E|2E|fail</t>
  </si>
  <si>
    <t>Ca</t>
  </si>
  <si>
    <t>BON</t>
  </si>
  <si>
    <t>2E|BON|BON|3E|BON|0E</t>
  </si>
  <si>
    <t>2E|BON|BON|BON|2E|2E|0E</t>
  </si>
  <si>
    <t>1E|BON|BON|BON|3E|BON|3E|fail</t>
  </si>
  <si>
    <t>1E|BON|BON|BON|2E|0E</t>
  </si>
  <si>
    <t>2E|BON|BON|BON|2E|0E</t>
  </si>
  <si>
    <t>2E|BON|BON|BON|3E|0E</t>
  </si>
  <si>
    <t>2E|BON|BON|BON|fail</t>
  </si>
  <si>
    <t>1E|3E|BON|BON|fail</t>
  </si>
  <si>
    <t>Y</t>
  </si>
  <si>
    <t>1E|2E|3E|BON|fail</t>
  </si>
  <si>
    <t>1E|BON|BON|BON|fail</t>
  </si>
  <si>
    <t>2E|BON|BON|BON|3E|BON|3E|hatch day</t>
  </si>
  <si>
    <t>hatching</t>
  </si>
  <si>
    <t>1E|1E|2E|BON|3E|BON|3E|BON|3E|hatching</t>
  </si>
  <si>
    <t>3E|not see|3E|BON|BON|3E|0E</t>
  </si>
  <si>
    <t>1E|BON|3E|fail</t>
  </si>
  <si>
    <t>2E|BON|3E|fail</t>
  </si>
  <si>
    <t>1E|BON|2E|fail</t>
  </si>
  <si>
    <t>1E|1E|fail</t>
  </si>
  <si>
    <t>3E|1E</t>
  </si>
  <si>
    <t>2E|0E</t>
  </si>
  <si>
    <t>N</t>
  </si>
  <si>
    <t>2E|3E|3E|0E</t>
  </si>
  <si>
    <t>U</t>
  </si>
  <si>
    <t>Hu</t>
  </si>
  <si>
    <t>no stick</t>
  </si>
  <si>
    <t>1E|2E|3E|3E|2E|no stick</t>
  </si>
  <si>
    <t>U-F</t>
  </si>
  <si>
    <t>2E|2E|2E|2E|1E|1E|no stick</t>
  </si>
  <si>
    <t>2E|3E|fail</t>
  </si>
  <si>
    <t>3E|3E|fail</t>
  </si>
  <si>
    <t>U-D</t>
  </si>
  <si>
    <t>2E|2E</t>
  </si>
  <si>
    <t>not f</t>
  </si>
  <si>
    <t>3E|3E|not f</t>
  </si>
  <si>
    <t>3E|3E|1E</t>
  </si>
  <si>
    <t>2E|3E|3E|3E|2C</t>
  </si>
  <si>
    <t>U-H</t>
  </si>
  <si>
    <t>2E|2E|2E|2E|0E</t>
  </si>
  <si>
    <t>3E|3E|3E|0E</t>
  </si>
  <si>
    <t>3E|3E|2C, 1E</t>
  </si>
  <si>
    <t>BROE</t>
  </si>
  <si>
    <t>2C, 1-2 d</t>
  </si>
  <si>
    <t>2E|2E|2E|2E|2C, 1-2 d</t>
  </si>
  <si>
    <t>BROW</t>
  </si>
  <si>
    <t>unk</t>
  </si>
  <si>
    <t>1E|3E|3E|unk|fail</t>
  </si>
  <si>
    <t>2E|2E|BON|1E|fail</t>
  </si>
  <si>
    <t>3E|3E|3E|3E|3E|BON|3E|3E|fail</t>
  </si>
  <si>
    <t>3E|BON|3E|BON|3E|0E</t>
  </si>
  <si>
    <t>1E|0E</t>
  </si>
  <si>
    <t>3E|3E|empty</t>
  </si>
  <si>
    <t>2E|2E|not check|0E</t>
  </si>
  <si>
    <t>1E|2E|not check|0E</t>
  </si>
  <si>
    <t>2E|BON|BON|fail</t>
  </si>
  <si>
    <t>RUTE</t>
  </si>
  <si>
    <t>starr</t>
  </si>
  <si>
    <t>2E|starr|1E</t>
  </si>
  <si>
    <t>1C,3d</t>
  </si>
  <si>
    <t>starr|1C,3d</t>
  </si>
  <si>
    <t>1C</t>
  </si>
  <si>
    <t>1E|2E|2E|not check|1C</t>
  </si>
  <si>
    <t>2E|1E|1E|1E|starr|cracked</t>
  </si>
  <si>
    <t>1E|2E|fail</t>
  </si>
  <si>
    <t>3E|3E|3E|3E|fail</t>
  </si>
  <si>
    <t>2E|2E|0E</t>
  </si>
  <si>
    <t>1E|1E|0E</t>
  </si>
  <si>
    <t>abandon</t>
  </si>
  <si>
    <t>1E|1E|1E|abandon</t>
  </si>
  <si>
    <t>2E|2E|2E|2E|empty</t>
  </si>
  <si>
    <t>F-A</t>
  </si>
  <si>
    <t>2E|2E|2E|1E|1E</t>
  </si>
  <si>
    <t>1C, 1E</t>
  </si>
  <si>
    <t>3E|3E|2E|1C, 1E</t>
  </si>
  <si>
    <t>3E|3E|2C</t>
  </si>
  <si>
    <t>D-A</t>
  </si>
  <si>
    <t>3E|3E|3E|3E|?|?|1E|fail</t>
  </si>
  <si>
    <t>RAIN</t>
  </si>
  <si>
    <t>2C, 1-2d</t>
  </si>
  <si>
    <t>2E|2E|2E|2C, 1-2d</t>
  </si>
  <si>
    <t>poops</t>
  </si>
  <si>
    <t>2E|2E|2E|2E|poops</t>
  </si>
  <si>
    <t>W</t>
  </si>
  <si>
    <t>1E|2E|2E|2E|2E|fail</t>
  </si>
  <si>
    <t>1C, 1E hatch</t>
  </si>
  <si>
    <t>2E|1C, 1E hatch</t>
  </si>
  <si>
    <t>2E|2E|2E|2E|2E|1E|abandon</t>
  </si>
  <si>
    <t>2E|2E|2E|2E|fail</t>
  </si>
  <si>
    <t>1C, 2E</t>
  </si>
  <si>
    <t>3E|3E|1C, 2E</t>
  </si>
  <si>
    <t>HBRB</t>
  </si>
  <si>
    <t>2E|not check|fail</t>
  </si>
  <si>
    <t>HBTO</t>
  </si>
  <si>
    <t>1E|3E|3E|3E|not check|fail</t>
  </si>
  <si>
    <t>3E|3E|3E|3E|1E|1E</t>
  </si>
  <si>
    <t>2E|BON|not check|fail</t>
  </si>
  <si>
    <t>1E|2E|2E|2E|2E|0E</t>
  </si>
  <si>
    <t>3E|3E|3E|3E|2C</t>
  </si>
  <si>
    <t>1E, 1C</t>
  </si>
  <si>
    <t>3E|3E|3E|3E|1E, 1C</t>
  </si>
  <si>
    <t>3E|2E|2E|fail</t>
  </si>
  <si>
    <t>3E|3E|3E|3E|3E|hatch|not check|empty</t>
  </si>
  <si>
    <t>3E|2E|2E|1C, 1E</t>
  </si>
  <si>
    <t>3E|3E|0E</t>
  </si>
  <si>
    <t>3E|not check|3E|2E|empty</t>
  </si>
  <si>
    <t>Y?</t>
  </si>
  <si>
    <t>3C</t>
  </si>
  <si>
    <t>2E|3E|3E|3E|3E|3C</t>
  </si>
  <si>
    <t>2E|2E|2E|2E|2E|BON|empty</t>
  </si>
  <si>
    <t>hatch?</t>
  </si>
  <si>
    <t>2E|2E|hatch?|0E</t>
  </si>
  <si>
    <t>hatch</t>
  </si>
  <si>
    <t>3E|3E|3E|3E|hatch</t>
  </si>
  <si>
    <t>3E|3E|3E|3E|2C, 1E</t>
  </si>
  <si>
    <t>2C, 4d</t>
  </si>
  <si>
    <t>2E|2E|2C, 4d</t>
  </si>
  <si>
    <t>3E|0E</t>
  </si>
  <si>
    <t>chick behavior</t>
  </si>
  <si>
    <t>2E|3E|3E|3E|3E|hatch?|chick behavior</t>
  </si>
  <si>
    <t>1E|?|0E</t>
  </si>
  <si>
    <t>3E|3E|3E|not f</t>
  </si>
  <si>
    <t>1E|3E|3E|3E|fail</t>
  </si>
  <si>
    <t>2E|not f</t>
  </si>
  <si>
    <t>3E|not f</t>
  </si>
  <si>
    <t>2E|not f|starr|1C</t>
  </si>
  <si>
    <t>1E|1E|1E|1E|1E|empty</t>
  </si>
  <si>
    <t>2E|3E|3E|3E|3E|empty</t>
  </si>
  <si>
    <t>2E|2E|2E|3E|fail</t>
  </si>
  <si>
    <t>1E|2E|2E|not f</t>
  </si>
  <si>
    <t>2E|1E|1E|abandon</t>
  </si>
  <si>
    <t>2E|2E|2E|abandon</t>
  </si>
  <si>
    <t>2E|2E|2E|2C, 1-2 d</t>
  </si>
  <si>
    <t>2C 1-2d</t>
  </si>
  <si>
    <t>3E|3E|3E|2C 1-2d</t>
  </si>
  <si>
    <t>2E|2E|2E|1C</t>
  </si>
  <si>
    <t>2E|3E|3E|3E|3E|2C, 1-2d</t>
  </si>
  <si>
    <t>3E|3E|3E|1C, 2E</t>
  </si>
  <si>
    <t>2E|1C, 1E</t>
  </si>
  <si>
    <t>1E|abandon</t>
  </si>
  <si>
    <t>1E|BON|cracked</t>
  </si>
  <si>
    <t>1E|BON|2E|BON|1E</t>
  </si>
  <si>
    <t>no activity</t>
  </si>
  <si>
    <t>3E|no activity</t>
  </si>
  <si>
    <t>1E|BON|fail</t>
  </si>
  <si>
    <t>not obs</t>
  </si>
  <si>
    <t>2E|not obs|fail</t>
  </si>
  <si>
    <t>1E|cracked</t>
  </si>
  <si>
    <t>1C 5-6d</t>
  </si>
  <si>
    <t>2E|not f|hatch?|1C 5-6d</t>
  </si>
  <si>
    <t>1E|3E|0E</t>
  </si>
  <si>
    <t>3E|3E|3E|2E|1C, 1E</t>
  </si>
  <si>
    <t>2E|BON|empty</t>
  </si>
  <si>
    <t>2E|BON|2E|2E|BON|not check|0E</t>
  </si>
  <si>
    <t>2E|BON|fail</t>
  </si>
  <si>
    <t>2E|2E|2E|1C, 1E</t>
  </si>
  <si>
    <t>2E|BON|BON|2C</t>
  </si>
  <si>
    <t>1E|1E</t>
  </si>
  <si>
    <t>3E|3E|3E</t>
  </si>
  <si>
    <t>3E|3E|starr|1C, 2E</t>
  </si>
  <si>
    <t>2E|2E|2C</t>
  </si>
  <si>
    <t>2E|2E|1E|0E</t>
  </si>
  <si>
    <t>2E|2E|2E|?|0E</t>
  </si>
  <si>
    <t>3E|starr|2C, 1E</t>
  </si>
  <si>
    <t>1E|2E|2E|2E|2E|2E|0E</t>
  </si>
  <si>
    <t>2E|1E|?|not f</t>
  </si>
  <si>
    <t>2E|2E|2E|BON|1C</t>
  </si>
  <si>
    <t>1E|1E|?|0E</t>
  </si>
  <si>
    <t>1E|1E|1E|0E</t>
  </si>
  <si>
    <t>2E|hatch?|0E</t>
  </si>
  <si>
    <t>2E|2E|2E</t>
  </si>
  <si>
    <t>2E|2E|2E|BON|fail</t>
  </si>
  <si>
    <t>2E|2E|hatch?|2C</t>
  </si>
  <si>
    <t>2E|not check|2E|1C</t>
  </si>
  <si>
    <t>2E|2E|2E|BON|2E|2E|2E</t>
  </si>
  <si>
    <t>1E|not f</t>
  </si>
  <si>
    <t>1E|1C</t>
  </si>
  <si>
    <t>2E|abandon</t>
  </si>
  <si>
    <t>2E|BON|1E, 1C</t>
  </si>
  <si>
    <t>RLCC</t>
  </si>
  <si>
    <t>2E|2E|2E|2E|2E|1C, 1E</t>
  </si>
  <si>
    <t>2E|2E|hatch?</t>
  </si>
  <si>
    <t>2E|2E|2E|2E|2E|2C</t>
  </si>
  <si>
    <t>3E|3E|3E|2E|fail</t>
  </si>
  <si>
    <t>3E|3E|3E|hatch day</t>
  </si>
  <si>
    <t>2E|2E|2E|fail</t>
  </si>
  <si>
    <t>2E|2E|2E|2E|1C, 1E</t>
  </si>
  <si>
    <t>1C, 1E starring, 1E pipped with dead chick inside, egg was outside nest scrape</t>
  </si>
  <si>
    <t>3E|3E|3E|3E|1C, 1E starring, 1E pipped with dead chick inside, egg was outside nest scrape</t>
  </si>
  <si>
    <t>2E|2E|2E|hatch</t>
  </si>
  <si>
    <t>3E|3E|3E|hatch</t>
  </si>
  <si>
    <t>3E|3E|BON|BON|3E|hatch day</t>
  </si>
  <si>
    <t>2E|BON|2E|BON|1C, 1E hatch</t>
  </si>
  <si>
    <t>2E|BON|2E|fail</t>
  </si>
  <si>
    <t>3E|3E|3E|?|0E</t>
  </si>
  <si>
    <t>2E|1E|0E</t>
  </si>
  <si>
    <t>3E|3E|3E|3E|3C</t>
  </si>
  <si>
    <t>1E|BON|2E|2E|2E|2E|2E|2E|hatch day</t>
  </si>
  <si>
    <t>1E|BON|2E|2E|2E|2E|2E|2E|2E|0E</t>
  </si>
  <si>
    <t>2E|BON|2E|2E|2E|2E|2E|2E|hatch day</t>
  </si>
  <si>
    <t>2E|BON|2E|2E|2E|2E|2E|hatch day</t>
  </si>
  <si>
    <t>Hatch</t>
  </si>
  <si>
    <t>2E|BON|2E|2E|2E|2E|2E|2E|Hatch</t>
  </si>
  <si>
    <t>3E|BON|3E|3E|3E|3E|3E|3E|2C, 1E</t>
  </si>
  <si>
    <t>2E|BON|1E|1E|1E|1E|1E|empty</t>
  </si>
  <si>
    <t>1E|BON|0E</t>
  </si>
  <si>
    <t>1E|2E|0E</t>
  </si>
  <si>
    <t>2E|BON|0E</t>
  </si>
  <si>
    <t>3E|3E|3E|BON|BON|BON|1E</t>
  </si>
  <si>
    <t>2E|2E|2E|1E|BON|0E</t>
  </si>
  <si>
    <t>2E|BON|1E|BON|BON|BON|0E</t>
  </si>
  <si>
    <t>2E|BON|2E|BON|2E|BON|2E</t>
  </si>
  <si>
    <t>2E|BON|BON|0E</t>
  </si>
  <si>
    <t>1E, 2C</t>
  </si>
  <si>
    <t>3E|1E, 2C</t>
  </si>
  <si>
    <t>2E|BON|BON|BON|2E|2E|2E|1E</t>
  </si>
  <si>
    <t>2E|BON|2E|not check|2E</t>
  </si>
  <si>
    <t>2E|BON|2E|not check|2E|0E</t>
  </si>
  <si>
    <t>2E|BON|2E|not check|2E|not f</t>
  </si>
  <si>
    <t>KILL</t>
  </si>
  <si>
    <t>1E|1E|1E|1C</t>
  </si>
  <si>
    <t>2E|BON|BON|2E|0E</t>
  </si>
  <si>
    <t>2E, 1C</t>
  </si>
  <si>
    <t>3E|2E, 1C</t>
  </si>
  <si>
    <t>3E|3E|3E|3E|3E|0E</t>
  </si>
  <si>
    <t>barbed wire</t>
  </si>
  <si>
    <t>1E|1E|abandon</t>
  </si>
  <si>
    <t>signs</t>
  </si>
  <si>
    <t>2E|2E|2E|2E|2E|2E|2C</t>
  </si>
  <si>
    <t>2E|2E|2E|2E|2E|2E|hatch?|0E</t>
  </si>
  <si>
    <t>1E|BON|2E|0E</t>
  </si>
  <si>
    <t>3E|3E|3E|3E|3E|3E|3E|0E</t>
  </si>
  <si>
    <t>1E|BON|BON|hatch</t>
  </si>
  <si>
    <t>1E|BON|BON|1C</t>
  </si>
  <si>
    <t>1C, ~3d</t>
  </si>
  <si>
    <t>2E|1C, ~3d</t>
  </si>
  <si>
    <t>2E|2E|2E|0E</t>
  </si>
  <si>
    <t>1E|1E|1E|1E|1E|1E|0E</t>
  </si>
  <si>
    <t>2E|2E|2E|2E|2E|0E</t>
  </si>
  <si>
    <t>3E|3E|3E|3E|1E|0E</t>
  </si>
  <si>
    <t>2E|2E|1E|1E</t>
  </si>
  <si>
    <t>2E|2E|2E|2E|1C</t>
  </si>
  <si>
    <t>2E|1E</t>
  </si>
  <si>
    <t>1E|2E|2E|2E|2E|BON|2E|2E|abandon</t>
  </si>
  <si>
    <t>1E 2C</t>
  </si>
  <si>
    <t>3E|3E|3E|3E|3E|1E 2C</t>
  </si>
  <si>
    <t>2E|2E|2E|1E, 1C</t>
  </si>
  <si>
    <t>hatchin</t>
  </si>
  <si>
    <t>2E|2E|2E|hatchin</t>
  </si>
  <si>
    <t>1E|2E|2E|2E|1E</t>
  </si>
  <si>
    <t>2E|2E|BON|abandon</t>
  </si>
  <si>
    <t>2E|hatch|BON|2C, 1-2d</t>
  </si>
  <si>
    <t>2E|2E|2E|2C</t>
  </si>
  <si>
    <t>2E|2E|2E|1E|1E|0E</t>
  </si>
  <si>
    <t>2E|2E|2E|2E|?|?|0E</t>
  </si>
  <si>
    <t>1E|2E|BON|BON</t>
  </si>
  <si>
    <t>2E|1E|1E|0E</t>
  </si>
  <si>
    <t>2E|2E|BON|2E|BON|1C</t>
  </si>
  <si>
    <t>2E|1E|BON|1E|BON|0E</t>
  </si>
  <si>
    <t>2E|2E|BON|2E|BON|2E|1C</t>
  </si>
  <si>
    <t>1E|1E|BON|0E</t>
  </si>
  <si>
    <t>2E|2E|2E|2E|2E|2E|0E</t>
  </si>
  <si>
    <t>1E|1E|1E|1E|1E|0E</t>
  </si>
  <si>
    <t>1E|2E|1E</t>
  </si>
  <si>
    <t>1E|2E|2E|2E|2E|2E|2E|1E</t>
  </si>
  <si>
    <t>1E|BON|2E|BON|2E|2E|2E|2C, 1-2 d</t>
  </si>
  <si>
    <t>2E|2E|Hatch|0E</t>
  </si>
  <si>
    <t>2E|BON|1E|1E|1E|1E|1E|1E</t>
  </si>
  <si>
    <t>2E|2E|2E|2E|2E|2E|2E|1C</t>
  </si>
  <si>
    <t>1E|D|D|0E</t>
  </si>
  <si>
    <t>3E|3E|3E|3E|3E|3E|3E|3E</t>
  </si>
  <si>
    <t>Fail</t>
  </si>
  <si>
    <t>1E|BON|2E|2E|2E|1E|Fail</t>
  </si>
  <si>
    <t>2E|2E|2E|2E|2E|2E|2E|0E</t>
  </si>
  <si>
    <t>2E|2E|2E|2E|hatch?|1C</t>
  </si>
  <si>
    <t>2E|2E|2E|1E</t>
  </si>
  <si>
    <t>1E|1E|1E|1E|1C</t>
  </si>
  <si>
    <t>1E|1E|1E|1E|0E</t>
  </si>
  <si>
    <t>2E|2E|2E|2E|1E</t>
  </si>
  <si>
    <t>2E|2E|1C</t>
  </si>
  <si>
    <t>1E|1E|1E|BON|1C</t>
  </si>
  <si>
    <t>3E|3E|3E|BON|0E</t>
  </si>
  <si>
    <t>1E|1E|1E|D|0E</t>
  </si>
  <si>
    <t>2E|2E|1E</t>
  </si>
  <si>
    <t>2E|2E|BON|2C</t>
  </si>
  <si>
    <t>2E|2E|BON|1E</t>
  </si>
  <si>
    <t>2E|2E|BON|BON|BON|BON|0E</t>
  </si>
  <si>
    <t>2E|3E|3E|3E|3E|3E|3E|0E</t>
  </si>
  <si>
    <t>fenced</t>
  </si>
  <si>
    <t>1E|2E|2E|2E|D</t>
  </si>
  <si>
    <t>3E|not locate|3E|3E|3E|2C?, 1E|0E|2C</t>
  </si>
  <si>
    <t>2E|2E|D</t>
  </si>
  <si>
    <t>1E|2E|W</t>
  </si>
  <si>
    <t>3E|3E|D</t>
  </si>
  <si>
    <t>3E|D</t>
  </si>
  <si>
    <t>1E|D</t>
  </si>
  <si>
    <t>2E|D</t>
  </si>
  <si>
    <t>1E|2E|2E|2E|1C, 1E</t>
  </si>
  <si>
    <t>3E|3E|U</t>
  </si>
  <si>
    <t>coyote</t>
  </si>
  <si>
    <t>2E|2E|coyote</t>
  </si>
  <si>
    <t>1E|2E|2E|2E|2E|2C</t>
  </si>
  <si>
    <t>3E|3E|3E|3E|0E</t>
  </si>
  <si>
    <t>2E|coyote</t>
  </si>
  <si>
    <t>1E|coyote</t>
  </si>
  <si>
    <t>1E, 1C (1d)</t>
  </si>
  <si>
    <t>2E|2E|2E|1E, 1C (1d)</t>
  </si>
  <si>
    <t>2E|1E, 1C</t>
  </si>
  <si>
    <t>2E|F</t>
  </si>
  <si>
    <t>1E|Hu</t>
  </si>
  <si>
    <t>3E|3E|3E|1E, 1C</t>
  </si>
  <si>
    <t>3E|BON|3E|1C, 1E</t>
  </si>
  <si>
    <t>DNL</t>
  </si>
  <si>
    <t>2E|DNL</t>
  </si>
  <si>
    <t>3E|3E|3E|3E|hatch day|1C, 1E</t>
  </si>
  <si>
    <t>2E|2E|2E|2E|1E, 1C</t>
  </si>
  <si>
    <t>1E|2E|2E|BON|2E|0E</t>
  </si>
  <si>
    <t>1E|2E|coyote</t>
  </si>
  <si>
    <t>3E|BON|3E|0E</t>
  </si>
  <si>
    <t>1E|W</t>
  </si>
  <si>
    <t>starr|0E</t>
  </si>
  <si>
    <t>3E|3E|Hu</t>
  </si>
  <si>
    <t>2E|2E|2E|2E|coyote</t>
  </si>
  <si>
    <t>2C, 1 d</t>
  </si>
  <si>
    <t>2E|2E|2E|2C, 1 d</t>
  </si>
  <si>
    <t>2E|2E|U</t>
  </si>
  <si>
    <t>2E|2E|1C, 1E</t>
  </si>
  <si>
    <t>2E|2E|BON|2E|0E</t>
  </si>
  <si>
    <t>2E|2E|F</t>
  </si>
  <si>
    <t>2E|2E|0E|coyote</t>
  </si>
  <si>
    <t>2E|2E|2E|not f|1C</t>
  </si>
  <si>
    <t>2E|2E|hatching</t>
  </si>
  <si>
    <t>2E|2E|2E|2E|2E|1C</t>
  </si>
  <si>
    <t>BLSK</t>
  </si>
  <si>
    <t>4E</t>
  </si>
  <si>
    <t>2E,2C</t>
  </si>
  <si>
    <t>3E|4E|4E|4E|4E|2E,2C</t>
  </si>
  <si>
    <t>pipp</t>
  </si>
  <si>
    <t>3E|3E|3E|3E|pipp</t>
  </si>
  <si>
    <t>1E|3E|1E|fail</t>
  </si>
  <si>
    <t>3E|3E|3E|3E|3E|1C, 2E</t>
  </si>
  <si>
    <t>2E|BON|BON|2E|BON|0E</t>
  </si>
  <si>
    <t>1E|1E|coyote</t>
  </si>
  <si>
    <t>2E|BON|DNL|1C</t>
  </si>
  <si>
    <t>1E|2E|2E|2E|0E</t>
  </si>
  <si>
    <t>wet chick</t>
  </si>
  <si>
    <t>1E|wet chick</t>
  </si>
  <si>
    <t>2E|starr</t>
  </si>
  <si>
    <t>1E|2E|2E|0E</t>
  </si>
  <si>
    <t>3E|F</t>
  </si>
  <si>
    <t>2E|W</t>
  </si>
  <si>
    <t>1E|F</t>
  </si>
  <si>
    <t>2E|2C</t>
  </si>
  <si>
    <t>1E|2E|2E|2E|abandon|0E</t>
  </si>
  <si>
    <t>2E|2E|1E, 1C</t>
  </si>
  <si>
    <t>1E|?|0E|0E</t>
  </si>
  <si>
    <t>1E|?|Hu</t>
  </si>
  <si>
    <t>2C, 0E</t>
  </si>
  <si>
    <t>3E|3E|3E|2C, 0E</t>
  </si>
  <si>
    <t>2E|hatch?|2C</t>
  </si>
  <si>
    <t>2E|BON|2E|2E|hatch?|2C, 1-2d</t>
  </si>
  <si>
    <t>3E|3E|3E|3E|3E|3E|0E</t>
  </si>
  <si>
    <t>not locate</t>
  </si>
  <si>
    <t>2E|not locate|0E</t>
  </si>
  <si>
    <t>2C (1-4 d</t>
  </si>
  <si>
    <t>2E|2E|2E|2E|2C (1-4 d</t>
  </si>
  <si>
    <t>2E|1E|1E</t>
  </si>
  <si>
    <t>2E|2E|2E|2E</t>
  </si>
  <si>
    <t>1E|1E|1C</t>
  </si>
  <si>
    <t>1E,1C</t>
  </si>
  <si>
    <t>2E|1E,1C</t>
  </si>
  <si>
    <t>3E|2E|2E|2E|0E</t>
  </si>
  <si>
    <t>1C, 1E 1 day</t>
  </si>
  <si>
    <t>2E|1C, 1E 1 day</t>
  </si>
  <si>
    <t>2E|?</t>
  </si>
  <si>
    <t>2E|?|0E</t>
  </si>
  <si>
    <t>1E, 1C?</t>
  </si>
  <si>
    <t>2E|1E, 1C?</t>
  </si>
  <si>
    <t>2E|2E|?|0E</t>
  </si>
  <si>
    <t>1E|2E|2E|2E|2C</t>
  </si>
  <si>
    <t>fence</t>
  </si>
  <si>
    <t>2E|1C, 1E|1E|fail|2E|fail|2E|fail|1E|fail|2E|fail|2E|fail|1E|1E|BON|1E|empty|1E|BON|fail|1E|BON|fail|2E|BON|2E|fail|2E|fail</t>
  </si>
  <si>
    <t>Y*</t>
  </si>
  <si>
    <t>penult should be BON</t>
  </si>
  <si>
    <t>was nest checked on 11-jul? any photos?</t>
  </si>
  <si>
    <t>hatch obs should have been deleted</t>
  </si>
  <si>
    <t>only 1 obs - found at hatch</t>
  </si>
  <si>
    <t>penult should have been remo ved</t>
  </si>
  <si>
    <t>j_adj</t>
  </si>
  <si>
    <t>k_adj</t>
  </si>
  <si>
    <t>final_obs_date</t>
  </si>
  <si>
    <t>final_obs_int</t>
  </si>
  <si>
    <t>estHD</t>
  </si>
  <si>
    <t>HD_equal</t>
  </si>
  <si>
    <t>nest_age2</t>
  </si>
  <si>
    <t>HD_diff</t>
  </si>
  <si>
    <t>sym</t>
  </si>
  <si>
    <t>penult should have been deleted</t>
  </si>
  <si>
    <t>found on hatch day</t>
  </si>
  <si>
    <t>wrong final obs date</t>
  </si>
  <si>
    <t>changed interval to exclude obs where not found</t>
  </si>
  <si>
    <t>changed final obs date to 54; other nests were observed on day 52</t>
  </si>
  <si>
    <t>wrong final obs date - changed</t>
  </si>
  <si>
    <t>other nests observed that day-penult should be BON</t>
  </si>
  <si>
    <t>other nests checked that day-penult should be BON</t>
  </si>
  <si>
    <t>other nests checked on those days-penult should be BON</t>
  </si>
  <si>
    <t>final_fate2</t>
  </si>
  <si>
    <t>nest_age1</t>
  </si>
  <si>
    <t>final_fate1</t>
  </si>
  <si>
    <t>cam_fate1</t>
  </si>
  <si>
    <t>cam_fate2</t>
  </si>
  <si>
    <t>cam_fate_feb</t>
  </si>
  <si>
    <t>final_obs_int_feb</t>
  </si>
  <si>
    <t>nest_age_feb</t>
  </si>
  <si>
    <t>init_calc</t>
  </si>
  <si>
    <t>init_date</t>
  </si>
  <si>
    <t>age_diff</t>
  </si>
  <si>
    <t>final_obs_int2</t>
  </si>
  <si>
    <t>changed fate back to NA</t>
  </si>
  <si>
    <t>changed field fate back to A</t>
  </si>
  <si>
    <t>n_obs</t>
  </si>
  <si>
    <t>n_days</t>
  </si>
  <si>
    <t>never found photos</t>
  </si>
  <si>
    <t>missing</t>
  </si>
  <si>
    <t>field_notes</t>
  </si>
  <si>
    <t>24 Apr- 1 egg, 9d, 2 eggs 5d. 28-Apr: nest washed out, 1 egg looked like new nest, but floating showed &gt;1 day old (probably washed out of nest) no stick or cup</t>
  </si>
  <si>
    <t>evidence of coyote and GC in the area, but cannot define predator</t>
  </si>
  <si>
    <t>22 Apr, 1 egg, 9d, 2 eggs at 5d. 30 Apr, nest empty, stick gone. Clear signs of storm surge with photo. </t>
  </si>
  <si>
    <t>24 Apr- 2 eggs, 5d. 28-Apr: nest washed out, 1 egg in wrack, no stick or nest cup</t>
  </si>
  <si>
    <t>29 Apr- nest abandoned with 2 eggs abandoned due to cattle disturbance</t>
  </si>
  <si>
    <t>24 May- KBB 2 chicks in nest, 1 egg starring. Banded the 2 chicks at nest, adults present.</t>
  </si>
  <si>
    <t>KBB nest hatched May 18- female brooding chicks at nest scrape. Both adults observed at nest on hatch day.</t>
  </si>
  <si>
    <t>24 May- KBB nest empty but adult behavior and 2C observed at 1-4 days of age. One chick was banded at the shoreline. Pretty confident this was a successful nest.</t>
  </si>
  <si>
    <t>no eggs or adult behavior near nest scrape. Cattle tracks and ghost crabs present.</t>
  </si>
  <si>
    <t>wondering about an avian predator? No adults giving signs of a hatch. No adult at nest on May 17.</t>
  </si>
  <si>
    <t> adults present, "nesty". could not find nest in veg</t>
  </si>
  <si>
    <t>empty scrape, coyote and GC evidence around</t>
  </si>
  <si>
    <t>13 May- area overwashed from recent storms 9-10 May, all known and marked nests lost</t>
  </si>
  <si>
    <t>GC hole nearby, but unsure of predator type. the pair is scraping and preparing for a renest.</t>
  </si>
  <si>
    <t>strong south winds and storms</t>
  </si>
  <si>
    <t>trampled overnight by herd of cattle observed in fenced area on 13 May</t>
  </si>
  <si>
    <t>trampled by cattle</t>
  </si>
  <si>
    <t>cattle disturbance on May 13; 5/23: stick knocked over</t>
  </si>
  <si>
    <t>5/23: SB found stick, nest has 3 trampled eggs</t>
  </si>
  <si>
    <t>9-May loose egg spotted outside of nest scrape. Cattle tracks all around the area and no LETE activity here</t>
  </si>
  <si>
    <t>cattle disturbance likely the cause of failure. Cattle tracks all around the nest scrape.</t>
  </si>
  <si>
    <t>nest placement was below wrack line. 8 May- constant south winds brought surge with storms approaching late May 9th into May 10th.</t>
  </si>
  <si>
    <t>when was camera placed?/picked up?</t>
  </si>
  <si>
    <t>28 May- KBB adult above me. No nest stick or eggs. Possibly chick but heavy Memorial day traffic did a lot of damage to this area.</t>
  </si>
  <si>
    <t>28 May- likely failed from Memorial Day traffic</t>
  </si>
  <si>
    <t>empty scrape, unknown cause no evidence confirming cause of failure</t>
  </si>
  <si>
    <t>cattle tracks all through the nest area</t>
  </si>
  <si>
    <t>coyote tracks at the nest, pictures from 13May</t>
  </si>
  <si>
    <t>ghost crab hole at nest- pictures from 13 May</t>
  </si>
  <si>
    <t>coyote tracks nearby but could have failed beforehand</t>
  </si>
  <si>
    <t>9 May- scrape empty. No tracks around. Photo. </t>
  </si>
  <si>
    <t>5/24 2 chicks HOW OLD</t>
  </si>
  <si>
    <t>agitated adults divebombing me; maybe hatched</t>
  </si>
  <si>
    <t>unhatched egg shell ofund nearby</t>
  </si>
  <si>
    <t>one chick banded on 5/25. Family observed about 100-150m from nest</t>
  </si>
  <si>
    <t>appeared the nest had survived the surge from recent storms between visits, and photos on 12 May show fresh coyote tracks through the nest. </t>
  </si>
  <si>
    <t>17 May nest empty and E5 banded female and her mate observed selecting a new nest site in a new location. Unknown predator- no tracks observed.</t>
  </si>
  <si>
    <t>likely storm surge but nest was unable to be checked due to flooding. Could have been depredated between visits.</t>
  </si>
  <si>
    <t>storms between visits brought storm surge, overwashing the entire beach. This nest was mid-beach in the impact area</t>
  </si>
  <si>
    <t>storm surge from recent weather events 9-10 May</t>
  </si>
  <si>
    <t>28 May- KBB has photos of nest crushed by vehicle/ATV. egg shells</t>
  </si>
  <si>
    <t>17 May- KBB added symbolic fencing but had to pull it due to the adult hovering and not returning to the nest. Nest is on the edge of the dirt road through the cattle field. empty nest scrape on May 24. unknown cause. </t>
  </si>
  <si>
    <t>3 June- SB had loud screaming/diving but no chicks found</t>
  </si>
  <si>
    <t>1E found, half buried; nest area underwater</t>
  </si>
  <si>
    <t>nest area underwater; no eggs found - may have been predated first?</t>
  </si>
  <si>
    <t>run over. nest was along edge of cattle road during Memorial Day weekend.</t>
  </si>
  <si>
    <t>check if cam was deployed on 3 jun</t>
  </si>
  <si>
    <t>trampled by cattle- June 2</t>
  </si>
  <si>
    <t>12 June- egg was starring on June 6th, must have been abandoned and found by ants while hatching.</t>
  </si>
  <si>
    <t>KBB has photos of chick</t>
  </si>
  <si>
    <t>6/17 - not checked due to cows in area that wanted to follow me/may have trampled nest</t>
  </si>
  <si>
    <t>11 June- area overwashed from June 5th surge likely the cause of failure.</t>
  </si>
  <si>
    <t>high tides/storm surge from 6/17 morning storms</t>
  </si>
  <si>
    <t>27 june- predator tracks nearby but not leading to the nest. the scrape looks washed like it was hit hard with heavy rainfall. failed unk cause</t>
  </si>
  <si>
    <t>6/17- camera placed; 6/21- empty scrape, no signs of hatch/fail</t>
  </si>
  <si>
    <t>12 June nest is just outside the eastern end of fencing along the dirt road used by ATVs. 16 June, nest found empty. Predator?</t>
  </si>
  <si>
    <t>6/21- found buried egg shell with hole punctured in it and dried up egg contents (picture)</t>
  </si>
  <si>
    <t>why Ca? changed to A</t>
  </si>
  <si>
    <t>why H? no chicks seen in field?</t>
  </si>
  <si>
    <t>22 June- ghost crab holes nearby. Maybe took an egg? 27 june- chick banded at nest by KBB</t>
  </si>
  <si>
    <t>22 June- KBB photo of ghost crab hole and vehicle tracks at nest</t>
  </si>
  <si>
    <t>5 July nest was down to one egg, no adult behavior indicating chicks nearby, thinking maybe picked off by a ghost crab? lots of holes around the area. depredated by crab, final egg abandoned</t>
  </si>
  <si>
    <t>22 June- run over by vehicle</t>
  </si>
  <si>
    <t>failed; likely omit for nest model given long gap between nest checks.</t>
  </si>
  <si>
    <t>10 July- baby chick poops in scrape indicating hatch. 2 small downy chicks observed from shoreline being fed just south of nest stick. Possibly from this nest. But it definitely hatched.</t>
  </si>
  <si>
    <t>28 June attempted a box trap on nest, not a good method for this species.</t>
  </si>
  <si>
    <t>8 Jul - attempted hand net and bow net capture. bird escaped bow net and method was not reattempted. SB has more detailed notes; 18 Jul one had started hatching, was being eaten by ants. removed that egg and bird came back to incubate</t>
  </si>
  <si>
    <t>TS Barry storm surge- beach scoured and all nests and chicks lost.</t>
  </si>
  <si>
    <t>Barry storm impacts</t>
  </si>
  <si>
    <t>not tracked well enough for model?</t>
  </si>
  <si>
    <t>7/25/19 - Female captured at nest and banded.</t>
  </si>
  <si>
    <t>TS Barry storm surge- all nests and chicks lost</t>
  </si>
  <si>
    <t>25 April - heavy storm with strong south winds likely the cause of nest failure. No adults or eggs present. Could not find nest stick and area had been overwashed from surge.</t>
  </si>
  <si>
    <t>photo evidence confirms a GC hole at nest scrape</t>
  </si>
  <si>
    <t>evidence of coyote and GC at nest</t>
  </si>
  <si>
    <t>24 May- piece of egg shell in nest with 1E. Angry adults around. Hatch?</t>
  </si>
  <si>
    <t>nest has been around since 5/3, still eggs on 5/24, maybe hatched maybe not; update HATCHED per camera :)</t>
  </si>
  <si>
    <t>how old were chicks?</t>
  </si>
  <si>
    <t>vehicle/ATV tracks through the nest</t>
  </si>
  <si>
    <t>SB placed camera 5/20</t>
  </si>
  <si>
    <t>6 June- area flooded, not able to access this stretch. 3-4 day old chick seen on camera 6/6</t>
  </si>
  <si>
    <t>5/29 - angry adults in area; also lots of disturbance - maybe run over?</t>
  </si>
  <si>
    <t>6 June 1C 1d old, 1E, the egg is not viable</t>
  </si>
  <si>
    <t>24 May- ghost crab hole and tracks at nest, as well as cattle tracks through the nest- KBB. unknown cause of failure.</t>
  </si>
  <si>
    <t>no sign of chicks or adults in area; unclear from camera footage, maybe take another look</t>
  </si>
  <si>
    <t>DATES AREN'T RIGHT IN FOLDER (29 may-21 jun). 6 June- check cam on nest for fate confirmation</t>
  </si>
  <si>
    <t>12 June- check game camera for fate confimation; birds present early morning on 6/8, not present during middle of day or evening; night of 6/8 game camera knocked over by cattle; placed too far away to tell hatch or no</t>
  </si>
  <si>
    <t>adults divebombing, angry; no sign of chicks</t>
  </si>
  <si>
    <t>28 May- eggs floating vertical almost to surface. 12 June- SB and KBB approached an empty nest scrape. no chicks observed but angry adults present, and downy feathers in nest scrape confirming chicks in the scrape.</t>
  </si>
  <si>
    <t>28 May- nest run over by vehicle, stick crushed as well.</t>
  </si>
  <si>
    <t>3 June- off the nest scrape but still nearby. some pinning of the primaries has begun but still small with an egg tooth. photos by KBB</t>
  </si>
  <si>
    <t>6/2 chick behavior; 9 May- SB deployed camera on nest. 2 June- KBB and SB observed adults throwing poop, hovering, aggressive indicating chicks. Check camera for more evidence. </t>
  </si>
  <si>
    <t>9 May- SB deployed camera on nest. 15 May SB could not find; looks like something was digging in area around stick</t>
  </si>
  <si>
    <t>5/29 - adults very agitated in area, fake brooding, circling; no starring yet 5/31- nest was lost to an afternoon storm that brought a surge which overwashed the nest. adults were observed selecting a new nest site and scraping. KBB</t>
  </si>
  <si>
    <t>5/29 tire tracks all through area, pieces of egg shell</t>
  </si>
  <si>
    <t>5/29 tire tracks through area but nest still there. 6/2 run over by vehicle. clear evidence with crushed bits of wooden nest stick, gooey egg yolk, and tire track through the nest</t>
  </si>
  <si>
    <t>5/29 tire tracks through area (nest near 247). vehicle possibly on camera (from nest 241)</t>
  </si>
  <si>
    <t>no starring yet but heard chicks inside 5/29, SB check for photo for chick age?</t>
  </si>
  <si>
    <t>7 June- KBB had chick behavior, lots of diving and angry adults pooping in the area. Hatch likely before the storm hit on June 5.</t>
  </si>
  <si>
    <t>camera placed 5/15</t>
  </si>
  <si>
    <t>camera placed 5/15 which other nests on cam? Should be 256, 257, 211</t>
  </si>
  <si>
    <t>3 June- 1E cold and wet </t>
  </si>
  <si>
    <t>3 June- 2E cold and wet</t>
  </si>
  <si>
    <t>3 June- 1E cold and wet</t>
  </si>
  <si>
    <t>12 June- SB and KBB discovered nest empty but signs of hatch. Just east we found the adults with 2 young chicks and banded them. Nest hatched earlier than expected.</t>
  </si>
  <si>
    <t>28 May- vehicle tracks everywhere in area. Could not locate stick.</t>
  </si>
  <si>
    <t>6 June- chick in scrape 1d, 2E</t>
  </si>
  <si>
    <t>3 June- poop in nest scrape, chick behavior by adults, very aggressive</t>
  </si>
  <si>
    <t>3 June- egg cold and wet in scrape</t>
  </si>
  <si>
    <t>not sure what caused cracked egg - was the bird still incubating the cracked egg??</t>
  </si>
  <si>
    <t>* 6/3 - near dumped flatscreen TV, probably abandoned; looked like nest scrape but no bird seen on nest either time I passed; stick was knocked over so hard to tell where original nest scrape was or if this was an egg knocked out of scrape. human-caused abandonment/nest failure.</t>
  </si>
  <si>
    <t>nest observed on 26 May with no activity at nest. 28 May- KBB- nest was run over by vehicle</t>
  </si>
  <si>
    <t>28 May- KBB observed human tracks leading up to nest. Must have occurred on May 27 (Memorial Day) because the nest was active on May 26 while stewarding. Someone may have entered the colony and approached nest stick.</t>
  </si>
  <si>
    <t>28 May- nest was either trampled by vehicle holiday traffic or cattle</t>
  </si>
  <si>
    <t>6/3 SB could not find stick or scrape, tire tracks criss-crossing area</t>
  </si>
  <si>
    <t>run over by vehicle</t>
  </si>
  <si>
    <t>one light and one dark egg. 3 June- pale egg did not hatch. chick looks older, 5-6d</t>
  </si>
  <si>
    <t>6/16 - 1 chick, 1 egg</t>
  </si>
  <si>
    <t>6/4 camera footage of coyote</t>
  </si>
  <si>
    <t>11 Jun - could not find nest or stick</t>
  </si>
  <si>
    <t>11 Jun - stick half buried by storm surge</t>
  </si>
  <si>
    <t>4 June- SB- could not find nest stick on wrack line; probably washed out</t>
  </si>
  <si>
    <t>6/4 camera footage of coyote, stick dug up, evidence of digging around nest</t>
  </si>
  <si>
    <t>6/4 stick dug up, digging nearby; right near depredated nests</t>
  </si>
  <si>
    <t>10 June- check camera set on nest for fate confirmation</t>
  </si>
  <si>
    <t>10 June- check camera set on nest for fate confirmation; fate from camera unclear</t>
  </si>
  <si>
    <t>7/3 - 1 chick, 1 egg; camera placed 6/17</t>
  </si>
  <si>
    <t>camera placed 6/21; chick ~5 days old found within 2ft of nest-WHAT DAY???</t>
  </si>
  <si>
    <t>hatch day?</t>
  </si>
  <si>
    <t>6/17 - probably abandoned, may have been abandoned when marked. egg floated very high, no sounds from within, no bird ever seen on nest. not sure when abandoned</t>
  </si>
  <si>
    <t>28 June- nest was checked in morning by SB and had 3 eggs. Nest run over by vehicle a few hours later. Not sure how to treat this for the nest model? last check and failure occurred hours apart from each other- KBB</t>
  </si>
  <si>
    <t>coyote tracks somewhat close by; nest in the middle of a line of ant nests? see photo</t>
  </si>
  <si>
    <t>1 July- one chick hatched and dry by the evening and SB banded it. KB went to nest early 2 July and saw the second chick emerge from egg. Likely completed hatch on July 2</t>
  </si>
  <si>
    <t>6/30 - 2 chicks; camera placed 6/20</t>
  </si>
  <si>
    <t>camera placed 6/21</t>
  </si>
  <si>
    <t>camera placed 6/21;</t>
  </si>
  <si>
    <t>camera placed 6/21; camera died 6/27, appears to have overheated (prolonged temps registered between 120 and 131 degrees F); nest had not hatched (egg visible in last photo)</t>
  </si>
  <si>
    <t>chicks banded at nest on June 27th by KBB</t>
  </si>
  <si>
    <t>left camera placed high during storm - check for fate</t>
  </si>
  <si>
    <t>check field observations for fate?? site was marked as HBTO - briefly moved to RUTW but I think the nest 334 on RUTW is actually 324, mislabeled stick</t>
  </si>
  <si>
    <t>7/2 egg shell found with what looks like a bite out of it (SB has pic)</t>
  </si>
  <si>
    <t>not floated?? TS Barry</t>
  </si>
  <si>
    <t>TS Barry</t>
  </si>
  <si>
    <t>4 Jul - cattle disturbance, probably trampled, no egg shell found</t>
  </si>
  <si>
    <t>4 Jul - tire tracks over nest, smashed egg shells found</t>
  </si>
  <si>
    <t>9 Jul - hatched egg shell found a few inches from where nest was, male making clicking noises, female may have moved farther East but did not have time to look thoroughly</t>
  </si>
  <si>
    <t>4 Jul - installed symbolic fencing (3 posts); 8 Jul - caught female with bow net and banded, tagged with VHF tag; bird did not return to nest for half an hour (or more?) after tagging; bird relocated at far end of site</t>
  </si>
  <si>
    <t>8 Jul - attempted bow net, bird ran out too quickly and was not caught. SB has more detailed notes; 9 Jul - eggs covered in ants, one smells bad, but bird still incubating 18 July-nest had an egg shell with sand inside. Not sure what happened to this nest, but the eggs were weird before TS Barry.</t>
  </si>
  <si>
    <t>30 Jul - 2E being eaten by ants; eggs did not look abandoned on previous visit, and bird was seen on nest</t>
  </si>
  <si>
    <t>16 Jul cattle tracks all through area, looks like they stampeded through there :( could not find stick</t>
  </si>
  <si>
    <t>17 Jul - placed camera; knocked over by cattle and disturbance in area</t>
  </si>
  <si>
    <t>8 Jul - placed camera</t>
  </si>
  <si>
    <t>8 Jul - placed camera; * egg floated high and slanted, but had stuff stuck to it. probably actually rotten/abandoned</t>
  </si>
  <si>
    <t>8 Jul - placed camera; 11 Jul found with hatched chick being eaten by ants :(</t>
  </si>
  <si>
    <t>17 Jul - placed camera</t>
  </si>
  <si>
    <t>7/25/19 - Nest discovered with 2 eggs, 14d and 3d. 3d egg likely non-viable. 31 Jul - 1E, cold, condensation, and stuck to sand. looked around for evidence of other egg hatching</t>
  </si>
  <si>
    <t>8/3 - 1 chick, 1 egg; camera; mom and babies caught and mom given nanotag</t>
  </si>
  <si>
    <t>31 May- adults throwing poop, no chicks seen in the immediate area. Seems to have hatched.</t>
  </si>
  <si>
    <t>11 June- camera was on nest and observed the chicks in scrape, and a fiddler crab with large claw being fended off by adults</t>
  </si>
  <si>
    <t>likely abandoned from the June 5 storm.</t>
  </si>
  <si>
    <t>1 June- eggs hatched, 2C visible on camera. Early morning on June 2, a GHOW depredated the nest. Chicks were lost. KBB</t>
  </si>
  <si>
    <t>6 June- eggs and rock washed out in this area from June 5 storm</t>
  </si>
  <si>
    <t>11 June- poop in scrape</t>
  </si>
  <si>
    <t>nest has a game camera on video mode. check camera for hatch day confirmation. 18 June- 3 chicks hiding and being fed under the camera and shading in the cinder block. later footage shows mosquito control truck spraying chemicals and turning around in the immediate area. </t>
  </si>
  <si>
    <t>15 June- bushnell cam on nest. Camera footage shows bird on nest through June 23 thus far. Camera footage shows chick hatching at 9:24am on July 2nd. GHOW ate the chick and remaining egg around 4:45am on July 4th</t>
  </si>
  <si>
    <t>15 June- exodus cam on nest. 17 June- camera shows nest submerged from storm from 4am-10:30am. Curious if this will impact hatch. 24 June- nest was submerged again from heavy rainfall and eggs were washed away. Photos confirm nest fate.</t>
  </si>
  <si>
    <t>23 June- exodus camera deployed on nest 2 July- grackle at nest 5 July camera removed</t>
  </si>
  <si>
    <t>field obs for 7/3?? camera placed 6/21; check cam for fate</t>
  </si>
  <si>
    <t>no sign of predator.no adults present. Severe storms on 4/29. popsicle stick still present.</t>
  </si>
  <si>
    <t>4/30 female captured at nest (box trap) 13:40 and banded. 5/4 nest was run over by vehicle, nest stick crunched, no adults present.</t>
  </si>
  <si>
    <t>all eggs floated almost vertical on the bottom (9 day egg). All eggs hatched and chicks banded</t>
  </si>
  <si>
    <t>certain the female is unbanded but not sure if P9 is the male</t>
  </si>
  <si>
    <t>5/27 - 2 chicks</t>
  </si>
  <si>
    <t>Chicks hatched ~27 May. Egg shell fragments and poop in cup.</t>
  </si>
  <si>
    <t>Chick in neset cup</t>
  </si>
  <si>
    <t>25 May- hatch day, 1 chick and 2nd egg hatching in progress.</t>
  </si>
  <si>
    <t>egg shell nearby indicating hatch. no chicks found</t>
  </si>
  <si>
    <t>Two chicks in cup 27 May, 3rd chick in cup 28 May</t>
  </si>
  <si>
    <t>chick behavior, parents squawking. adults seen in veg brooding chick. Signs point to hatch.</t>
  </si>
  <si>
    <t>no sign of predation. ants in darkened circle believed to be the old nest cup. popsicle stick fell over. possible fail due to vehicle, but no fresh tracks present but nest is located close to road.</t>
  </si>
  <si>
    <t>no sign of predation, possibly vehicle, several tire tracks directly through where nest was, stick was crushed and burried along with nest area. No evidence of eggshells or nest</t>
  </si>
  <si>
    <t>Area was void of stick or nest cup, no sign of eggs or shells. Cattle tracks through area, but they looked old</t>
  </si>
  <si>
    <t>No sign of nest cup or eggs, stick was found washed out 1-2 feet away</t>
  </si>
  <si>
    <t>Replaced stick that was missing on 15 May. Cattle trampled through cup area</t>
  </si>
  <si>
    <t>Cattle trampled through cup area</t>
  </si>
  <si>
    <t>Nest cup and stick undisturbed. Cattle tracks in area destroyed possible tracks</t>
  </si>
  <si>
    <t>No sign of eggs or cup, stick place in proximate location of cup. Storm on 14 May possibly washed out nest</t>
  </si>
  <si>
    <t>evidence of cow tracks going through. couldn't find the nest stick</t>
  </si>
  <si>
    <t>No way to tell where nest cup was, sand around area smooth</t>
  </si>
  <si>
    <t>Egg residue in cup forming hard bottom after it dried. egg shells 2 feet away at ghost crab hole</t>
  </si>
  <si>
    <t>egg in cup failed, second egg likely hatched between 25 and 27 May</t>
  </si>
  <si>
    <t>Nest cup had cattle tracks nearby but no sign of damage to the cup or visible prints. No egg shells or residue left behind. Stick undisturbed</t>
  </si>
  <si>
    <t>Bird flushed from nest, one egg had small hole in side perhaps from avian predator</t>
  </si>
  <si>
    <t>coyote track lead directly up to nest</t>
  </si>
  <si>
    <t>eggshell in cup, no prints noticable next to nest cup, possibly avian predator</t>
  </si>
  <si>
    <t>nest cup dug at</t>
  </si>
  <si>
    <t>Nests destroyed by coyotes. Eggshells found nearby broken almost in half</t>
  </si>
  <si>
    <t>1 egg floated at 23. didn't float the other two bc there was fractures. adults present broken winging. two chicks banded at hatch, one chick hatched post banding.</t>
  </si>
  <si>
    <t>1 egg hatch, egg shell near nest but no chick, second egg failed and cold in cup</t>
  </si>
  <si>
    <t>1 egg floated at 20-21 days</t>
  </si>
  <si>
    <t>6/1 - could not find nest or stick. one pair in area at a different nest (303). watched from afar and no other birds came to the area</t>
  </si>
  <si>
    <t>6/1 - looked for egg shell or other signs of fate, tire tracks nearby might be old?</t>
  </si>
  <si>
    <t>6/1 - could not find nest or stick, placed camera in area just in case. some birds in area diving at me</t>
  </si>
  <si>
    <t>Nest marked as WIPL but was actually KILL</t>
  </si>
  <si>
    <t>seen in person? Yes 5/28 - 2 chicks</t>
  </si>
  <si>
    <t>first chick hatched on 27 MAy, banded in cup, other two chicks hatched theat evening or early the next morning and were all gone on the 28th</t>
  </si>
  <si>
    <t>Egg shell near nest indicating hatch</t>
  </si>
  <si>
    <t>25 May- camera on nest</t>
  </si>
  <si>
    <t>2 Chicks near cup on 13 Jun, Camera revealed hatch to be 12 June</t>
  </si>
  <si>
    <t>Appears to have hatched, poop in cup</t>
  </si>
  <si>
    <t>why is field fate H? CAmera on nest</t>
  </si>
  <si>
    <t>Poop in cup, evidence of hatch, parents exhibiting chick behavior</t>
  </si>
  <si>
    <t>Camera on nest. did not float to avoid contact with eggs due to bad coyote predation in area</t>
  </si>
  <si>
    <t>Ran over by Blue F150, parents still at nest site when found</t>
  </si>
  <si>
    <t>No chicks found, but parents exhibiting chick behavior and eggshells nearby</t>
  </si>
  <si>
    <t>6/15 - 1 chick? Seen in field? Yes No stick or sign of birds as of 13 June</t>
  </si>
  <si>
    <t>6/13 - 1 chick how old?</t>
  </si>
  <si>
    <t>6/2 - 1 chick</t>
  </si>
  <si>
    <t>5/27 - 1 chick, 1 egg</t>
  </si>
  <si>
    <t>why marked U-H? evidence?</t>
  </si>
  <si>
    <t>Stick and egg gone, possible egg shell in nest cup.</t>
  </si>
  <si>
    <t>why marked H???</t>
  </si>
  <si>
    <t>why H? what happened to my notes? Birds leave morning of 6/19? Unclear why, but J was there night of 6/18 and no sign of chicks on cam either</t>
  </si>
  <si>
    <t>why H? field evidence?</t>
  </si>
  <si>
    <t>No sign of predation at nest, possible hatch.</t>
  </si>
  <si>
    <t>One egg floated high out the water at an angle and was very light, likely dead. Abandoned, presumed due to vehicle and human</t>
  </si>
  <si>
    <t>6/25 - 1 chick how old</t>
  </si>
  <si>
    <t>Nest ran over by vehicle, crushed and dried eggs found</t>
  </si>
  <si>
    <t>One egg left near nest, cattle prints where cup should be</t>
  </si>
  <si>
    <t>Abandoned, possibly over 4th weej=kend. 1 egg cracked, chicks pretty much fully developed in eggs</t>
  </si>
  <si>
    <t>Two chicks banded in cup, third chick could be heard in egg</t>
  </si>
  <si>
    <t>2 chicks hatched and banded in cup, 1 egg failed. egg was gone on the 17th</t>
  </si>
  <si>
    <t>1 Chick in nest, still wet, second egg unhatched 25 Jun. Both chicks hatched, banded on 7 July 2020. Band# 115289174 and 115289175. Chicks fledged 13 July</t>
  </si>
  <si>
    <t>Failed unkonwn</t>
  </si>
  <si>
    <t>Ants eating crushed dried egg</t>
  </si>
  <si>
    <t>Camera, stick and eggs all gonewhen checked. fate unkown</t>
  </si>
  <si>
    <t>four wheeler tracks over nes cup and stick</t>
  </si>
  <si>
    <t>Washed away in storm surge on 22 Jun</t>
  </si>
  <si>
    <t>Possible bad egg. Washed away in storm surge on 22 Jun</t>
  </si>
  <si>
    <t>Egg staring on Jun 30, succeful hatch of both chicks as of 2 July, 3July only one chick left. Chick still alive as of 5 July</t>
  </si>
  <si>
    <t>1 egg abandoned in cup, cold and covered in sand 5 July</t>
  </si>
  <si>
    <t>5/29 - 1 chick, 1 egg</t>
  </si>
  <si>
    <t>any other observations in between? 6/11 - 1E getting eaten by ants. probably abandoned? and then attacked by ants? depredated and then attacked?</t>
  </si>
  <si>
    <t>6/9 - 1 chick how old?; needs stick</t>
  </si>
  <si>
    <t>6/10 - 2 chicks - seen in field? Y; needs stick</t>
  </si>
  <si>
    <t>6/19 - 2 chicks how old? 1-2 days</t>
  </si>
  <si>
    <t>6/27- 1 chick - seen in field? Y-6/24 ~4 days old</t>
  </si>
  <si>
    <t>. on 6/24 does she have 1 or 2E??? 6/19 was marked 0E but I adjusted cam on 6/24 and yo ucan still see the white egg after. Nothing in notes/photos. 1 egg is a cracked shell with no contents but still sitting next to other egg - what happened to this nest, what/when was final fate?? i guess she was just incubating the dud egg?</t>
  </si>
  <si>
    <t>6/19 - 1 chick, 1 egg</t>
  </si>
  <si>
    <t>was this one floated? 6/23 - stick trampled, eggs still there. 6/19 - possibly abandoned, bird not present and did not return while I was watching; camera stops abruptly but still had battery - unknown fate</t>
  </si>
  <si>
    <t>6/15 - 2E cracked, getting eaten by ants (SB has pics) check cam for fate</t>
  </si>
  <si>
    <t>9 Jul - nest trampled, stick broken</t>
  </si>
  <si>
    <t>3 Jul - both eggs crushed</t>
  </si>
  <si>
    <t>in Gaia, says 15-jul changed card, 1 bad egg 1 chick</t>
  </si>
  <si>
    <t>HOW sure am I that it's 360? On 2-jul says it's prob abandoned bc i accidentally caught a female on it WHEN WAS IT FOUND field photo from 9 Jul shows 1 egg; photo from 15 Jul shows cattle disturbance? Was I in cameron to pick up the camera? Doesn't look like I was there 25 jul</t>
  </si>
  <si>
    <t>7 Jul - 2E, tip over; 15 Jul - 2C, 4-5 days</t>
  </si>
  <si>
    <t>14 or 15 Jul - probably abandoned - left cam</t>
  </si>
  <si>
    <t>do I have a photo of 366? - yes, multiple; 45+&gt;45</t>
  </si>
  <si>
    <t>chick seen? how old was the chick on 7/7?</t>
  </si>
  <si>
    <t>No chicks near cup, highly upset parents, wings up on ground</t>
  </si>
  <si>
    <t>Chick in cup, assumed second chick nearby. ARound 2 daysold</t>
  </si>
  <si>
    <t>Stick broken, nest gone, cattle tracks through area where cup was</t>
  </si>
  <si>
    <t>Cracked egg next to nest area being eaten by ants. Stick crushed</t>
  </si>
  <si>
    <t>No sign of failure. assumed hatched</t>
  </si>
  <si>
    <t>egg shell near nest indicates hatch</t>
  </si>
  <si>
    <t>No signof predation or abandonment</t>
  </si>
  <si>
    <t>Both chicks found dead in cup 7 hours after first check while putting out cameras</t>
  </si>
  <si>
    <t>Single egg left, ants in cup, egg covered in sand, possibly caused by cattle?</t>
  </si>
  <si>
    <t>Single egg left in cup, poop in cup indicating hatch of second egg</t>
  </si>
  <si>
    <t>Nest cup crushed with andts where eggs were. Vehicle tracks directly over nest cup</t>
  </si>
  <si>
    <t>2 chicks in field photo 7/16 Eggs sechuduled to hatch 1-2 days before check. nest cup and surrounding area devestated by cattle track to the point of being almost unrecognizable.</t>
  </si>
  <si>
    <t>Did not float due to heavy coyote predation in area. Cam placed on nest - fate probably U?</t>
  </si>
  <si>
    <t>Single egg sitting in cup for 2 weeks, followed to hatch date in case, but likely failed due to abandonment on over fourth of July weekend. Egg half buried in sand on 20 July</t>
  </si>
  <si>
    <t>1 chick in cup one crushed egg in cup with fully developed chick. no cattle tracks on nest, perhaps crushed by catttle mouth while grazing</t>
  </si>
  <si>
    <t>No signs of predation, abandonment or other failure. Possible poop in cup</t>
  </si>
  <si>
    <t>Chicks near nest (how old?), Parents performingtail tuck andbroken wing</t>
  </si>
  <si>
    <t>Peepeing and pecking from inside of eggs. BON July 25th</t>
  </si>
  <si>
    <t>Eggshell near cup</t>
  </si>
  <si>
    <t>7/20 - eggs or not? No bird on nest in rain, egg # down from 2 to 1 on nest to last check</t>
  </si>
  <si>
    <t>Coyote prints and scrapes at nest cup. Either hatched and were eaten or were eaten before hatch</t>
  </si>
  <si>
    <t>why H? chicks seen?</t>
  </si>
  <si>
    <t>Angry parents nearby, poop in cup.</t>
  </si>
  <si>
    <t>Cattle track through nest</t>
  </si>
  <si>
    <t>First egg to disappear must have failed or been depredated, chick in nest cup 6 days later from second egg (WAS CHICK 6 DAYS OLD?)</t>
  </si>
  <si>
    <t>Second egg predated 14 Jul? possible abandonment after predation</t>
  </si>
  <si>
    <t>Cattle tracks turned up the ground where nest cup was to the point that stick, cup, and eggs weren't able to be found</t>
  </si>
  <si>
    <t>Did not float due to heavy coyote predation in area</t>
  </si>
  <si>
    <t>Cattle prints destroyed nest and surrounding area</t>
  </si>
  <si>
    <t>Coyote prints at nest cup</t>
  </si>
  <si>
    <t>Cattle tracks through nest</t>
  </si>
  <si>
    <t>Chick hatched in cup</t>
  </si>
  <si>
    <t>1 Egg recently depredated in nest cup. second egg may still be good. removed bad broken egg. Nest abandoned</t>
  </si>
  <si>
    <t>Shell near nest WAS A CHICK FOUND?</t>
  </si>
  <si>
    <t>Ghost crab hole directly in nest cup</t>
  </si>
  <si>
    <t>cup and stick washed away after rain</t>
  </si>
  <si>
    <t>Nest built in middle of high tide line. Nest likely washed out during regular tide, not stormsurge or rain as neither were significant  in the days between checks, and tide line was only ~2 feet further up beach than at previous check</t>
  </si>
  <si>
    <t>Highly upset parents near nest WAS A CHICK FOUND</t>
  </si>
  <si>
    <t>chick in cup with second egg in process of hatch</t>
  </si>
  <si>
    <t>Chick wet in cup</t>
  </si>
  <si>
    <t>Chick in cup</t>
  </si>
  <si>
    <t>Cattle tracks through nest cup</t>
  </si>
  <si>
    <t>No chicks or sign of egg shells in cup. several other pairs of terns with chicks and eggs nearby so not clear if upset parents are for nest</t>
  </si>
  <si>
    <t>Shell near cup, second egg was abandoned</t>
  </si>
  <si>
    <t>Two chicks in cup, one still wet</t>
  </si>
  <si>
    <t>Poop in cup, 1egg left in cup, possibly still good?</t>
  </si>
  <si>
    <t>No sign of eggs, chicks or parents anywhere in area after multiple checks on Jul 31st</t>
  </si>
  <si>
    <t>Washed away in high tide during storm event</t>
  </si>
  <si>
    <t>No eggs in cup, no obvious sign of reason</t>
  </si>
  <si>
    <t>,Chick nearby, probably from nest</t>
  </si>
  <si>
    <t>Poop in cup</t>
  </si>
  <si>
    <t>Nest washed out during storm surge from hurricane Hannah</t>
  </si>
  <si>
    <t>chick seen in field? Bird incubating a few feet away from nest cup on 25th</t>
  </si>
  <si>
    <t>Nest made below high tide wrack line. Nest washed out during storm surge from hurricane Hannah</t>
  </si>
  <si>
    <t>eggs still in cup cold. no parental activity</t>
  </si>
  <si>
    <t>May 19: no starring seen, didn't handle eggs. no parents in the area. May 26: no eggs in nest, parents are acting very territorial. likely hatched June 6: father in area acting territorial</t>
  </si>
  <si>
    <t>May 16: 1 egg left in nest, parents were acting territorial. May 19: no eggs left in nest, parents territorial but no chicks located. 5/22: two chicks seen in area running around</t>
  </si>
  <si>
    <t>washed out from rain; possibly buried by a couple inches of sand accumulation</t>
  </si>
  <si>
    <t>very nearly run over by vehicles</t>
  </si>
  <si>
    <t>20 May: nest washed away</t>
  </si>
  <si>
    <t>storm surge</t>
  </si>
  <si>
    <t>the nest was scheduled to hatch, but no chicks seen. could have washed away, as there was no scrape left and the whole area was saturated</t>
  </si>
  <si>
    <t>coyote tracks seen, but likely washed out</t>
  </si>
  <si>
    <t>19 May: no eggs seen but could have hatched</t>
  </si>
  <si>
    <t>6/21: 1-4 days old (9.7g, 7.6g). 6/30: 2 chicks, banded and weighed; est hatch may be off?</t>
  </si>
  <si>
    <t>coyote tracks in area, but could have hatched</t>
  </si>
  <si>
    <t>nest stick was knocked out, but coyote tracks were in the area</t>
  </si>
  <si>
    <t>nest stick was knocked out, probably by coyote</t>
  </si>
  <si>
    <t>scat found in nest cup!</t>
  </si>
  <si>
    <t>unknown reason for failure, no evidence seen</t>
  </si>
  <si>
    <t>washout from heavy rain events</t>
  </si>
  <si>
    <t>possibly hatched, but there were also coyote tracks in the area</t>
  </si>
  <si>
    <t>6/14: nest run over</t>
  </si>
  <si>
    <t>lots of coyote tracks/activity in the area where the cup was. Was old enough to hatch, but I think coyotes got the chicks due to the track behavior</t>
  </si>
  <si>
    <t>6/21: 1 chick, 1d old, 1 egg left in area but displaced from scrape</t>
  </si>
  <si>
    <t>unknown cause of failure :(</t>
  </si>
  <si>
    <t>DNL = did not locate. unknown nest fate because was unable to relocate nest</t>
  </si>
  <si>
    <t>parental behavior 7/3 during stewardship and on 7/6. Possibly a 2nd chick hatched a day or 2 prior?</t>
  </si>
  <si>
    <t>could have hatched but no confirmed chick sighting</t>
  </si>
  <si>
    <t>could have hatched, no evidence of disturbance</t>
  </si>
  <si>
    <t>6/26: no eggs, but very likely could have hatched, saw no evidence of failure</t>
  </si>
  <si>
    <t>coyote tracks on 7/12</t>
  </si>
  <si>
    <t>3 May: parents weren't in area upon searching, debris was washed up and no eggs were found by popsicle stick</t>
  </si>
  <si>
    <t>no popsicle stick located; no eggs seen in area</t>
  </si>
  <si>
    <t>popsicle stick was washed out of the sand; no eggs seen in general area</t>
  </si>
  <si>
    <t>6/3: hatch date, but no eggs or chicks seen. no evidence of being run over or predators.</t>
  </si>
  <si>
    <t>6/3: nest run over</t>
  </si>
  <si>
    <t>U, but possibliy hatched, no evidence of predation or other disturbance</t>
  </si>
  <si>
    <t>possibly depredated by coyote, but uncertain</t>
  </si>
  <si>
    <t>6/10: nest run over</t>
  </si>
  <si>
    <t>6/21: 7-8 days old (19.9g, 16.7g). 7/5: no chicks seen but adult was doing chick click. 7/8 adults were around but not territorial</t>
  </si>
  <si>
    <t>possibly hatched, uncertain</t>
  </si>
  <si>
    <t>6/18: nest stick gone, but no evidence of tracks in area</t>
  </si>
  <si>
    <t>likely hatched, as it was past the hatch date and had no evidence of depredation/other disturbance</t>
  </si>
  <si>
    <t>could have hatched, but uncertain</t>
  </si>
  <si>
    <t>coyote tracks were in the area but could have hatched</t>
  </si>
  <si>
    <t>no tracks seen, uncertain failure</t>
  </si>
  <si>
    <t>field photos 7/12 show coyote tracks; could have hatched, but uncertain; changed fate to D based on field photos</t>
  </si>
  <si>
    <t>6/3: no tern parents around. human footprints and ?dog? prints. so it seems it failed due to human disturbance, either stepped on by dog or human</t>
  </si>
  <si>
    <t>unknown cause of failure, no tracks seen</t>
  </si>
  <si>
    <t>7/21: nest stick knocked out, most likely run over</t>
  </si>
  <si>
    <t>7/13: chick about 1 day old :), 7/8: one egg vertical at bottom, one egg floating just under surface</t>
  </si>
  <si>
    <t>changing to F based on est hatch date</t>
  </si>
  <si>
    <t>cam Y, 7/17: 2E, both floating above with tops out of the surface</t>
  </si>
  <si>
    <t>any field notes for this one? Possible hatch evidence?</t>
  </si>
  <si>
    <t>7/18: 2E both about vertical on the bottom. 2023 changing to F based on hatch date</t>
  </si>
  <si>
    <t>Only one chick in nest. No sign of second egg or chick.</t>
  </si>
  <si>
    <t>Two chicks had hatched on the 9th, third and fourth eggs hatched some time between the 9th and 12th.</t>
  </si>
  <si>
    <t>All 3 chicks alive and hiding in grass just north of nest cup on Aug 30th</t>
  </si>
  <si>
    <t>8/19- nest went from 3E to 1E between visits 8/23-nest empty with 2 large ghost crab burrows</t>
  </si>
  <si>
    <t>likely hatched, but cannot confirm</t>
  </si>
  <si>
    <t>6/26: parents still in area, no chicks seen but suspected</t>
  </si>
  <si>
    <t>7/6: found just outside fencing along the front</t>
  </si>
  <si>
    <t>2 chicks - how old?</t>
  </si>
  <si>
    <t>when was there a storm that might have washed out nest?  Looks like there was one 18-may and 29-may, so fate doesn't make sense</t>
  </si>
  <si>
    <t>5/26: 0E but likely hatched; male is wing booming and very territorial. 6/1: parents are still around but no chicks locate</t>
  </si>
  <si>
    <t>washout from rain: vehicle tracks still visible</t>
  </si>
  <si>
    <t>26 May: how old were chicks??? June 3: no chicks in area. June 6: no chicks or parents, failed fledge</t>
  </si>
  <si>
    <t>6/14 - no eggs, no sign of chicks or adults. fate was empty but orange means failed?</t>
  </si>
  <si>
    <t>fate was marked as 5/26; changed to 6/3 based on field photos</t>
  </si>
  <si>
    <t>6/3: run over</t>
  </si>
  <si>
    <t>any notes on predator? COYOTE TRACKS NEAR NEST CUP</t>
  </si>
  <si>
    <t>chicks-how old??</t>
  </si>
  <si>
    <t>found an egg with top neatly cut off: hatched. there was a plastic bag over the area where the chicks/eggs would have been</t>
  </si>
  <si>
    <t>6/21: 5-6 days old (23.5g, 7.6g). 6/30. no chicks seen</t>
  </si>
  <si>
    <t>6/7: eggshells found in area</t>
  </si>
  <si>
    <t>6/26: no eggs, but parents are being very territorial, so it is suspected to have successfully hatched</t>
  </si>
  <si>
    <t>6/7: run over</t>
  </si>
  <si>
    <t>6/10 adults yelling. check field notes for fate/nest history</t>
  </si>
  <si>
    <t>field notes from 6/18? Was the camera already on 933 and repositioned? Time is within 2 minutes, must be same nest or right nearby</t>
  </si>
  <si>
    <t>est hatch of 6/30 makes no sense! Notes from 18 jun say 1E incubated. bird incubating from "1/27" to "2/7"; 6/26. very high vegetation and was unable to locate nest. did not see adults in the area. 2023 changing fate to F bc of hatch date</t>
  </si>
  <si>
    <t>I have no pics of 935 from 6/23 at all… nopics of chicks? If there were chicks i would have pics? 7/26: saw 2 fledges at nest site. estimated 80,60 from field photo - not far off</t>
  </si>
  <si>
    <t>notes on 18 jun say 1 chick probably 937; also hatched egg shell near nest HOW OLD</t>
  </si>
  <si>
    <t>6/14- empty but adults screaming/diving. check cam</t>
  </si>
  <si>
    <t>6/21: no eggs, but parents acting extremely territorial</t>
  </si>
  <si>
    <t>should be 3 eggs? chicks found, nest not tracked? there is a camera on the nest I believe - yes, see field photo from 10 Jun</t>
  </si>
  <si>
    <t>coyote tracks nearby on 18 jun; changed field fate to D</t>
  </si>
  <si>
    <t>cam H</t>
  </si>
  <si>
    <t>fate was empty; notes say no fate clues</t>
  </si>
  <si>
    <t>6/21: 1-4 days old (12.9g, 7.6g). 6/30: 2 chicks banded and weighed. 7/5: no chicks seen but parents were in the area</t>
  </si>
  <si>
    <t>is this the photo from 6/14 in google? Was i in the field on 21 jun?</t>
  </si>
  <si>
    <t>is wrack ground cover or not? See field photos</t>
  </si>
  <si>
    <t>no signs 6/30 - may have been run over later, changed to U. run over, vehicle tracks going through nesting area</t>
  </si>
  <si>
    <t>6/26: chicks weighed 14.8g, 11.6g, 1-4 days old. 7/9 adults in area peenting but not super territorial. maybe just have older chick</t>
  </si>
  <si>
    <t>6/23-adults scream, no chicks or egg shell seen</t>
  </si>
  <si>
    <t>1C, 1E, abandoned? egg has shell stuck to it, but chick in picture 4 min later</t>
  </si>
  <si>
    <t>first listed in gaiaf on 6/30 but mraked in spreadsheet on 6/23ate was empty</t>
  </si>
  <si>
    <t>Any field obs on or after 7/5?? I was not there? paw prints  on 7/13 in field photos; may have happened after last obs. possible hatch or wash out, don't know expected hatch date. [COORDINATES INCORRECT WHEN DOING QA/QC]</t>
  </si>
  <si>
    <t>no signs of fail or hatch on 6/30. changed veg from 10 to 5 based on field photo possible hatch or wash out, don't know expected hatch date. [COORDINATES INCORRECT WHEN DOING QA/QC]</t>
  </si>
  <si>
    <t>changed fate from U to H based on 13 Jul obs</t>
  </si>
  <si>
    <t>info and dates for 960-963 are from GPS - double check the date/time; verified some with field photos</t>
  </si>
  <si>
    <t>check field notes for fate/nest history</t>
  </si>
  <si>
    <t>other field notes? 7/5: female was in area acting territorial, but couldn't find anything and there were vehicle tracks everywhere. nest assumed run over</t>
  </si>
  <si>
    <t>didn’t look like that much  veg in field photo; changing to F based on est hatch date</t>
  </si>
  <si>
    <t>est hatch date was changed to 7/16 by "splitting the difference" but doesn't make sense and doesn't matter anyway</t>
  </si>
  <si>
    <t>COORDS INCORRECT7/23- 0E, no nest cup, no tracks or eggshell</t>
  </si>
  <si>
    <t>cam z; nest could be 1E bc late in season</t>
  </si>
  <si>
    <t>notes from 7/28: 0E, coyote tracks, changed SD card.. field photo from 7/23? Chicks in photo from 7/28?</t>
  </si>
  <si>
    <t>N?</t>
  </si>
  <si>
    <t>J?</t>
  </si>
  <si>
    <t>HF_MC</t>
  </si>
  <si>
    <t>MC</t>
  </si>
  <si>
    <t>HF</t>
  </si>
  <si>
    <t>HF_C</t>
  </si>
  <si>
    <t>field_fate2</t>
  </si>
  <si>
    <t>camera_notes</t>
  </si>
  <si>
    <t>very hard to tell what happened - could have been run over before depredation</t>
  </si>
  <si>
    <t>mystery May nest - coyote</t>
  </si>
  <si>
    <t>camera is triggered, but nothing in photos</t>
  </si>
  <si>
    <t>camera shows depredation after hatch</t>
  </si>
  <si>
    <t>lots of human/dog/vehicle/cattle disturbance</t>
  </si>
  <si>
    <t>too far to tell what happened; saw photos once but not sure where they are</t>
  </si>
  <si>
    <t>new_notes</t>
  </si>
  <si>
    <t>3-4 day old chick on camera on 6 Jun</t>
  </si>
  <si>
    <t>cam knocked over, but beforehand adult behavior is right for hatch, and chick-like object visible 25 May night</t>
  </si>
  <si>
    <t>birds abandoned after prolonged cattle disturbance; cam was left up for a long time after</t>
  </si>
  <si>
    <t>birds left area &gt;1 day before cattle arrived and knocked over camera; unclear exactly why they left</t>
  </si>
  <si>
    <t>camera knocked over</t>
  </si>
  <si>
    <t>same camera as 241. coyote depredation</t>
  </si>
  <si>
    <t xml:space="preserve">evidence of camera on nest? coyote on night of 20 May - </t>
  </si>
  <si>
    <t>may barely be visible behind 257 et al.</t>
  </si>
  <si>
    <t>chick ~3 days old in photo 20 jun</t>
  </si>
  <si>
    <t>2-3 day old chick in video from 5 jul</t>
  </si>
  <si>
    <t>overheated</t>
  </si>
  <si>
    <t>pulled for july 4th</t>
  </si>
  <si>
    <t>knocked over</t>
  </si>
  <si>
    <t>failed to take pics</t>
  </si>
  <si>
    <t>knocked over; maybe never a nest (abandoned egg)</t>
  </si>
  <si>
    <t>I don't see evidence of hatch in photos, but Jonathon did</t>
  </si>
  <si>
    <t>camera fell over</t>
  </si>
  <si>
    <t>Jonathon thought photos showed hatch; I don't see it</t>
  </si>
  <si>
    <t>camera stolen</t>
  </si>
  <si>
    <t>camera set high, but bird moves around more, male visits more - hatch probably</t>
  </si>
  <si>
    <t>chicks eaten by caracara after hatch</t>
  </si>
  <si>
    <t>SD card filled before fate</t>
  </si>
  <si>
    <t>no eggs visible after IMAG0388; unclear what happened but was well before est HD</t>
  </si>
  <si>
    <t>coyote-no sign of hatch first</t>
  </si>
  <si>
    <t>6/13: 2-3d chick (MFDC2319); hatch date seems early given float</t>
  </si>
  <si>
    <t>bird appears to be feeding chicks on 28+29 jun. hatch was not noticed in photos at first</t>
  </si>
  <si>
    <t>coyote fifth night of camera (cam A). WIPL chicks in photos</t>
  </si>
  <si>
    <t>8 Jul - tiny baby being fed</t>
  </si>
  <si>
    <t>batteries died</t>
  </si>
  <si>
    <t>cam doesn't detect anything until my return on 23 Jul</t>
  </si>
  <si>
    <t>cam A - photos missing; not sure why marked depredated</t>
  </si>
  <si>
    <t>disturbance night of 30 Jul; birds leave?</t>
  </si>
  <si>
    <t>2-3 day old chick IMAG1060 (27 jun)</t>
  </si>
  <si>
    <t>marked_U</t>
  </si>
  <si>
    <t>no way of saying what cam fate is w/o pics</t>
  </si>
  <si>
    <t>probably abandoned before discovery - exclude</t>
  </si>
  <si>
    <t>don't know whether failed or not</t>
  </si>
  <si>
    <t>missing photos</t>
  </si>
  <si>
    <t>in camera with 257 et al. and know it hatched</t>
  </si>
  <si>
    <t>notes say there's a camera</t>
  </si>
  <si>
    <t>missing camera data; don't actually know if hatched</t>
  </si>
  <si>
    <t>not sure where photos are but Jonathon put cam fate as A</t>
  </si>
  <si>
    <t>Y.</t>
  </si>
  <si>
    <t>question mark under "camera" in original data sheet</t>
  </si>
  <si>
    <t>camera evidence of hatch??</t>
  </si>
  <si>
    <t xml:space="preserve"> One bad egg on 26 Jun</t>
  </si>
  <si>
    <t>evidence of chicks? In 23 Jun photo, female holding egg shell. Then moving around a lot over next 3 days; appears to be brooding in one pic. But still 2E on 25 jun???? Is date on camera off??</t>
  </si>
  <si>
    <t>is assumed hatch enough??</t>
  </si>
  <si>
    <t>penult should have been deleted; changed cam fate back to 'NA'</t>
  </si>
  <si>
    <t>penult should have been remo ved; was marked hatched in original data</t>
  </si>
  <si>
    <t>field_fate3</t>
  </si>
  <si>
    <t>9 May- SB deployed camera on nest. 15 May cattle disturbance, 0E. 24 May- egg shell fragment in cup, but otherwise empty KBB</t>
  </si>
  <si>
    <t>likely_failed</t>
  </si>
  <si>
    <t>??? Field notes for fate?? Why U?&gt;</t>
  </si>
  <si>
    <t>6/1 - 0E, check cam no other notes? Why U?</t>
  </si>
  <si>
    <t>where are my field notes for this nest? Why U? adults divebombing on 7/1, but that's way after nest ended</t>
  </si>
  <si>
    <t>why field fate marked U?? was nest checked on 3 july? removed asterisk from est HD changed est HD to 7/3 bc one egg might be bad*float was weird: one egg flat on bottom, one floating high with the tip above the water; camera pulled for July 4th by Jonathon - what was nest status?</t>
  </si>
  <si>
    <t>this can't be the correct nest: camera not triggered after 19 Jun when bird was incubating; still had battery when picked up on 22 Jun</t>
  </si>
  <si>
    <t>what was field fate???tagged female (118) tracked to nest location. very close to where she nested last year.</t>
  </si>
  <si>
    <t>fate videos (snake depredation) had been misidentified as 324</t>
  </si>
  <si>
    <t>Y-but</t>
  </si>
  <si>
    <t>last obs is "2E rotten"</t>
  </si>
  <si>
    <t>1E on final obs - could other egg have hatched?</t>
  </si>
  <si>
    <t>last obs was excluded, but it's not after est hatch date</t>
  </si>
  <si>
    <t>last obs was excluded</t>
  </si>
  <si>
    <t>final obs is "3E, hatch"</t>
  </si>
  <si>
    <t>final obs is "2E, failed" and it says cold, no parental activity</t>
  </si>
  <si>
    <t>final obs shoul d be 2C</t>
  </si>
  <si>
    <t>obs for 3 july?</t>
  </si>
  <si>
    <t xml:space="preserve"> </t>
  </si>
  <si>
    <t>CH</t>
  </si>
  <si>
    <t>camera evidence of hatch?? Pics end abruptly around 1 am on 10 jul. was camera left there during storm?</t>
  </si>
  <si>
    <t>batteries died?</t>
  </si>
  <si>
    <t>pred</t>
  </si>
  <si>
    <t>C</t>
  </si>
  <si>
    <t>could the other egg have hatched?</t>
  </si>
  <si>
    <t>cattle are there for a looooong time</t>
  </si>
  <si>
    <t>cattle caused abandonmentt - not clear if other egg hatched</t>
  </si>
  <si>
    <t>cattle caused birds to leave area - don't know estimated hatch. HATCHED AND SHRIKE TOOK A BABY?? Camera is set very high. Shrike in photo MFDC0254 and others</t>
  </si>
  <si>
    <t>cattle</t>
  </si>
  <si>
    <t>lots of cattle disturbance that idd not cause birds to abandon at first but evenetually did</t>
  </si>
  <si>
    <t>moisture on camera on 23-july - blurry photos</t>
  </si>
  <si>
    <t>could have hatched or had other fate before cattle</t>
  </si>
  <si>
    <t>10|18</t>
  </si>
  <si>
    <t>12|20|26</t>
  </si>
  <si>
    <t>12|20</t>
  </si>
  <si>
    <t>14|18</t>
  </si>
  <si>
    <t>16|19</t>
  </si>
  <si>
    <t>16|19|23|26|29|35|40|44</t>
  </si>
  <si>
    <t>16|19|23|26|29|32|33|35|37|38</t>
  </si>
  <si>
    <t>16|19|23|26|29|35|40|41|44</t>
  </si>
  <si>
    <t>17|22|25</t>
  </si>
  <si>
    <t>17|22|25|26|29|34|37</t>
  </si>
  <si>
    <t>19|23|26|35|40</t>
  </si>
  <si>
    <t>20|26</t>
  </si>
  <si>
    <t>20|26|28|33</t>
  </si>
  <si>
    <t>23|28|31</t>
  </si>
  <si>
    <t>25|29|32|33|34|39</t>
  </si>
  <si>
    <t>25|26|29|32|33|34|39</t>
  </si>
  <si>
    <t>25|26|29|32|33|34|39|43</t>
  </si>
  <si>
    <t>25|26|29|32|33|39</t>
  </si>
  <si>
    <t>25|26|29|32|33</t>
  </si>
  <si>
    <t>25|29|32|34|37</t>
  </si>
  <si>
    <t>25|26|29|32|34</t>
  </si>
  <si>
    <t>25|26|29|32|34|39|43|45</t>
  </si>
  <si>
    <t>25|26|29|32|34|39|43|45|46|48</t>
  </si>
  <si>
    <t>25|26|29|32|34|39|43</t>
  </si>
  <si>
    <t>25|26|29|32</t>
  </si>
  <si>
    <t>25|29|32</t>
  </si>
  <si>
    <t>25|29</t>
  </si>
  <si>
    <t>25|29|33|39</t>
  </si>
  <si>
    <t>25|29|33|39|43|48</t>
  </si>
  <si>
    <t>25|29|33|34|39|43|48</t>
  </si>
  <si>
    <t>25|29|33</t>
  </si>
  <si>
    <t>26|28|33</t>
  </si>
  <si>
    <t>26|28</t>
  </si>
  <si>
    <t>26|35</t>
  </si>
  <si>
    <t>26|35|40</t>
  </si>
  <si>
    <t>26|29|35</t>
  </si>
  <si>
    <t>26|29</t>
  </si>
  <si>
    <t>26|29|35|40|44</t>
  </si>
  <si>
    <t>26|35|40|44|49</t>
  </si>
  <si>
    <t>26|35|40|44</t>
  </si>
  <si>
    <t>27|32|37|41|45</t>
  </si>
  <si>
    <t>27|32</t>
  </si>
  <si>
    <t>27|32|37</t>
  </si>
  <si>
    <t>28|31</t>
  </si>
  <si>
    <t>28|33</t>
  </si>
  <si>
    <t>29|33|39|43|48</t>
  </si>
  <si>
    <t>29|32|33|34|37|38|39|43|44</t>
  </si>
  <si>
    <t>34|37</t>
  </si>
  <si>
    <t>34|39|43|45|48|54</t>
  </si>
  <si>
    <t>37|41</t>
  </si>
  <si>
    <t>44|49|53</t>
  </si>
  <si>
    <t>45|46</t>
  </si>
  <si>
    <t>47|52|55|62</t>
  </si>
  <si>
    <t>48|50|54|61</t>
  </si>
  <si>
    <t>48|50|53|54|61</t>
  </si>
  <si>
    <t>49|53</t>
  </si>
  <si>
    <t>54|57|63</t>
  </si>
  <si>
    <t>54|57</t>
  </si>
  <si>
    <t>54|57|63|68|72</t>
  </si>
  <si>
    <t>55|62</t>
  </si>
  <si>
    <t>61|67|69|73|78|83</t>
  </si>
  <si>
    <t>61|67|69</t>
  </si>
  <si>
    <t>61|67|69|73|78</t>
  </si>
  <si>
    <t>63|68|72</t>
  </si>
  <si>
    <t>63|67</t>
  </si>
  <si>
    <t>63|67|72</t>
  </si>
  <si>
    <t>63|67|72|77</t>
  </si>
  <si>
    <t>63|67|72|77|81</t>
  </si>
  <si>
    <t>66|69|73|78</t>
  </si>
  <si>
    <t>69|73</t>
  </si>
  <si>
    <t>69|73|78</t>
  </si>
  <si>
    <t>69|73|78|83|84|85|86|91</t>
  </si>
  <si>
    <t>70|84</t>
  </si>
  <si>
    <t>73|78|83|86</t>
  </si>
  <si>
    <t>73|78|83|86|91</t>
  </si>
  <si>
    <t>73|78</t>
  </si>
  <si>
    <t>73|78|83|86|91|97</t>
  </si>
  <si>
    <t>74|77</t>
  </si>
  <si>
    <t>77|89|92|97|98|99|102</t>
  </si>
  <si>
    <t>78|83|86|91|97</t>
  </si>
  <si>
    <t>78|83|86</t>
  </si>
  <si>
    <t>88|91|100</t>
  </si>
  <si>
    <t>88|100</t>
  </si>
  <si>
    <t>89|98|100|104|106</t>
  </si>
  <si>
    <t>91|97</t>
  </si>
  <si>
    <t>11|15|19|23|28|31</t>
  </si>
  <si>
    <t>11|15</t>
  </si>
  <si>
    <t>19|23</t>
  </si>
  <si>
    <t>23|26|35|40|44|49</t>
  </si>
  <si>
    <t>19|23|28|31</t>
  </si>
  <si>
    <t>23|26|35|40|44</t>
  </si>
  <si>
    <t>23|26</t>
  </si>
  <si>
    <t>40|44|49|53</t>
  </si>
  <si>
    <t>35|40</t>
  </si>
  <si>
    <t>35|40|44|49|53|55|57|63</t>
  </si>
  <si>
    <t>44|49</t>
  </si>
  <si>
    <t>40|49|53|57</t>
  </si>
  <si>
    <t>40|44</t>
  </si>
  <si>
    <t>40|44|49</t>
  </si>
  <si>
    <t>40|44|49|53|57</t>
  </si>
  <si>
    <t>40|44|49|53|57|63</t>
  </si>
  <si>
    <t>40|44|49|53|57|59|63</t>
  </si>
  <si>
    <t>40|44|45|49</t>
  </si>
  <si>
    <t>42|48|54|57|63</t>
  </si>
  <si>
    <t>42|48</t>
  </si>
  <si>
    <t>42|48|54</t>
  </si>
  <si>
    <t>29|35</t>
  </si>
  <si>
    <t>29|35|40|44|49|51|53</t>
  </si>
  <si>
    <t>29|35|40</t>
  </si>
  <si>
    <t>40|49|51</t>
  </si>
  <si>
    <t>35|40|44|49</t>
  </si>
  <si>
    <t>35|40|44|49|53</t>
  </si>
  <si>
    <t>35|40|49</t>
  </si>
  <si>
    <t>35|40|44|49|53|57</t>
  </si>
  <si>
    <t>36|42|48|54</t>
  </si>
  <si>
    <t>36|42|48|54|57|63</t>
  </si>
  <si>
    <t>39|43|48</t>
  </si>
  <si>
    <t>42|48|54|57</t>
  </si>
  <si>
    <t>42|54</t>
  </si>
  <si>
    <t>43|46|48</t>
  </si>
  <si>
    <t>43|46|48|50|54</t>
  </si>
  <si>
    <t>43|46</t>
  </si>
  <si>
    <t>49|53|57</t>
  </si>
  <si>
    <t>43|48</t>
  </si>
  <si>
    <t>43|48|54|61</t>
  </si>
  <si>
    <t>43|48|49|54</t>
  </si>
  <si>
    <t>50|55|62</t>
  </si>
  <si>
    <t>52|55|62</t>
  </si>
  <si>
    <t>49|53|57|63|67</t>
  </si>
  <si>
    <t>52|55</t>
  </si>
  <si>
    <t>53|57|61</t>
  </si>
  <si>
    <t>53|57|61|63|66|67|72</t>
  </si>
  <si>
    <t>54|55|57</t>
  </si>
  <si>
    <t>54|61</t>
  </si>
  <si>
    <t>68|72|77|84</t>
  </si>
  <si>
    <t>68|72|77</t>
  </si>
  <si>
    <t>69|73|79|83</t>
  </si>
  <si>
    <t>69|73|79</t>
  </si>
  <si>
    <t>70|78</t>
  </si>
  <si>
    <t>71|77|81|82</t>
  </si>
  <si>
    <t>71|78|81</t>
  </si>
  <si>
    <t>72|77|81</t>
  </si>
  <si>
    <t>72|77|81|90</t>
  </si>
  <si>
    <t>72|77|81|84|90</t>
  </si>
  <si>
    <t>72|77|78</t>
  </si>
  <si>
    <t>72|77|82|83|89|92|97</t>
  </si>
  <si>
    <t>77|81|90</t>
  </si>
  <si>
    <t>72|78|81|88</t>
  </si>
  <si>
    <t>78|81|85|89|90</t>
  </si>
  <si>
    <t>79|83</t>
  </si>
  <si>
    <t>81|90|92|98</t>
  </si>
  <si>
    <t>82|85</t>
  </si>
  <si>
    <t>82|84|90</t>
  </si>
  <si>
    <t>82|89|90</t>
  </si>
  <si>
    <t>82|89|90|91|98</t>
  </si>
  <si>
    <t>82|84|87|89</t>
  </si>
  <si>
    <t>82|84|90|97</t>
  </si>
  <si>
    <t>83|86</t>
  </si>
  <si>
    <t>89|92|97|99|102|106|111</t>
  </si>
  <si>
    <t>89|97</t>
  </si>
  <si>
    <t>92|98|106</t>
  </si>
  <si>
    <t>89|90|92|98</t>
  </si>
  <si>
    <t>89|92</t>
  </si>
  <si>
    <t>89|92|98</t>
  </si>
  <si>
    <t>98|104|105|106</t>
  </si>
  <si>
    <t>106|112</t>
  </si>
  <si>
    <t>106|112|115</t>
  </si>
  <si>
    <t>43|47|51|55|57|62</t>
  </si>
  <si>
    <t>43|47|49</t>
  </si>
  <si>
    <t>43|47</t>
  </si>
  <si>
    <t>43|47|51|55|57|59</t>
  </si>
  <si>
    <t>43|47|51|55|57</t>
  </si>
  <si>
    <t>43|47|51|52</t>
  </si>
  <si>
    <t>51|54|55|57</t>
  </si>
  <si>
    <t>51|54|55|57|62</t>
  </si>
  <si>
    <t>51|55|57|62</t>
  </si>
  <si>
    <t>51|55|57|62|66|67</t>
  </si>
  <si>
    <t>66|69|74|79|83</t>
  </si>
  <si>
    <t>66|69|74|79</t>
  </si>
  <si>
    <t>74|79|83</t>
  </si>
  <si>
    <t>14|20</t>
  </si>
  <si>
    <t>14|20|24</t>
  </si>
  <si>
    <t>20|24|32|37|39</t>
  </si>
  <si>
    <t>20|32|37|39</t>
  </si>
  <si>
    <t>24|31</t>
  </si>
  <si>
    <t>28|31|33|35|38|40|43|45|47</t>
  </si>
  <si>
    <t>28|31|33|35|38|40|43|45|47|50</t>
  </si>
  <si>
    <t>28|31|33|35|38|40|43|45</t>
  </si>
  <si>
    <t>28|31|33</t>
  </si>
  <si>
    <t>31|33|35</t>
  </si>
  <si>
    <t>31|35|38</t>
  </si>
  <si>
    <t>31|35</t>
  </si>
  <si>
    <t>31|33</t>
  </si>
  <si>
    <t>31|35|38|40|43|45|47</t>
  </si>
  <si>
    <t>31|33|35|38|40|43</t>
  </si>
  <si>
    <t>32|37</t>
  </si>
  <si>
    <t>32|37|39|43</t>
  </si>
  <si>
    <t>33|35</t>
  </si>
  <si>
    <t>33|35|38|40|43|45|47|48</t>
  </si>
  <si>
    <t>35|38|40</t>
  </si>
  <si>
    <t>38|40|43|45</t>
  </si>
  <si>
    <t>38|40|43|45|47</t>
  </si>
  <si>
    <t>38|40|43|45|47|52</t>
  </si>
  <si>
    <t>40|43|45|48</t>
  </si>
  <si>
    <t>40|43|45|47|48</t>
  </si>
  <si>
    <t>45|47|48|51|55</t>
  </si>
  <si>
    <t>45|47</t>
  </si>
  <si>
    <t>45|47|48|51|56|58</t>
  </si>
  <si>
    <t>45|48</t>
  </si>
  <si>
    <t>45|48|51</t>
  </si>
  <si>
    <t>47|51|55</t>
  </si>
  <si>
    <t>47|51|55|56|58|60|64</t>
  </si>
  <si>
    <t>47|52|56|60|64|68</t>
  </si>
  <si>
    <t>51|56|58|61|64|69|71|73</t>
  </si>
  <si>
    <t>51|56|58|61|64</t>
  </si>
  <si>
    <t>52|58</t>
  </si>
  <si>
    <t>55|58|60|64</t>
  </si>
  <si>
    <t>55|58|60|64|68|73|76|80</t>
  </si>
  <si>
    <t>47|55|60|63</t>
  </si>
  <si>
    <t>47|55|60|64</t>
  </si>
  <si>
    <t>47|53</t>
  </si>
  <si>
    <t>47|51|61|64</t>
  </si>
  <si>
    <t>55|60|64|68|73|76|80</t>
  </si>
  <si>
    <t>56|58|61|64|69|73</t>
  </si>
  <si>
    <t>56|61|64|69|73|76|80</t>
  </si>
  <si>
    <t>56|61|64|69</t>
  </si>
  <si>
    <t>56|61|64|69|73|76|78</t>
  </si>
  <si>
    <t>59|67</t>
  </si>
  <si>
    <t>60|64|68|73</t>
  </si>
  <si>
    <t>60|64|68|73|76</t>
  </si>
  <si>
    <t>60|64|68</t>
  </si>
  <si>
    <t>60|64</t>
  </si>
  <si>
    <t>60|64|68|73|76|80|84|86|88</t>
  </si>
  <si>
    <t>61|64|69|73|76</t>
  </si>
  <si>
    <t>61|64|69|73|76|80</t>
  </si>
  <si>
    <t>64|65</t>
  </si>
  <si>
    <t>64|69|73|76</t>
  </si>
  <si>
    <t>64|69</t>
  </si>
  <si>
    <t>68|73</t>
  </si>
  <si>
    <t>68|73|76|80|84</t>
  </si>
  <si>
    <t>71|74</t>
  </si>
  <si>
    <t>73|76|80|81</t>
  </si>
  <si>
    <t>73|76|80|84|86</t>
  </si>
  <si>
    <t>49|55|60|62</t>
  </si>
  <si>
    <t>52|60</t>
  </si>
  <si>
    <t>52|59|60|61</t>
  </si>
  <si>
    <t>56|60|66|70</t>
  </si>
  <si>
    <t>56|64|69|74</t>
  </si>
  <si>
    <t>56|60|66|70|74|80</t>
  </si>
  <si>
    <t>56|64|66|70</t>
  </si>
  <si>
    <t>60|64|70|73</t>
  </si>
  <si>
    <t>61|64|69|73|76|81|84</t>
  </si>
  <si>
    <t>62|66</t>
  </si>
  <si>
    <t>69|73|76|81|84</t>
  </si>
  <si>
    <t>69|72|73</t>
  </si>
  <si>
    <t>74|79|83|84</t>
  </si>
  <si>
    <t>79|83|84</t>
  </si>
  <si>
    <t>83|88|92|96</t>
  </si>
  <si>
    <t>83|84|90|96</t>
  </si>
  <si>
    <t>88|91|96</t>
  </si>
  <si>
    <t>90|96</t>
  </si>
  <si>
    <t>96|100|103</t>
  </si>
  <si>
    <t>73|76|80|84|86|88</t>
  </si>
  <si>
    <t>73|76|80|84|86|88|92</t>
  </si>
  <si>
    <t>73|76|80|84</t>
  </si>
  <si>
    <t>73|76|80</t>
  </si>
  <si>
    <t>76|80|84|86|88|92|95</t>
  </si>
  <si>
    <t>76|80|84|86|88|92</t>
  </si>
  <si>
    <t>76|80|84|86|88</t>
  </si>
  <si>
    <t>76|80|84</t>
  </si>
  <si>
    <t>76|80|84|86|88|92|95|98</t>
  </si>
  <si>
    <t>76|80</t>
  </si>
  <si>
    <t>76|80|84|86|88|92|95|97</t>
  </si>
  <si>
    <t>79|87|90|91</t>
  </si>
  <si>
    <t>80|84|86|88|92|95|98|101</t>
  </si>
  <si>
    <t>81|84|86|88|92|95|98|101</t>
  </si>
  <si>
    <t>81|84|86|88|92|95</t>
  </si>
  <si>
    <t>81|84|86|88</t>
  </si>
  <si>
    <t>81|84|86|88|92</t>
  </si>
  <si>
    <t>82|87|91</t>
  </si>
  <si>
    <t>85|86|88|92|95|98|101|104</t>
  </si>
  <si>
    <t>85|86|88|92</t>
  </si>
  <si>
    <t>85|86|88|92|95|98|101</t>
  </si>
  <si>
    <t>85|86|88|92|95|98</t>
  </si>
  <si>
    <t>86|88|92|95|98|101|104</t>
  </si>
  <si>
    <t>86|88|92</t>
  </si>
  <si>
    <t>86|88|92|95|98|104</t>
  </si>
  <si>
    <t>86|88|92|95</t>
  </si>
  <si>
    <t>86|88|92|95|98|101</t>
  </si>
  <si>
    <t>87|91</t>
  </si>
  <si>
    <t>88|92|95|98|101|104</t>
  </si>
  <si>
    <t>88|92|95</t>
  </si>
  <si>
    <t>88|92|95|98|101</t>
  </si>
  <si>
    <t>88|92|95|98</t>
  </si>
  <si>
    <t>88|92</t>
  </si>
  <si>
    <t>92|95|98</t>
  </si>
  <si>
    <t>92|95|98|101|104</t>
  </si>
  <si>
    <t>92|95</t>
  </si>
  <si>
    <t>95|98|101</t>
  </si>
  <si>
    <t>95|98|101|104</t>
  </si>
  <si>
    <t>95|98|101|104|106|108|112</t>
  </si>
  <si>
    <t>98|101</t>
  </si>
  <si>
    <t>98|101|104</t>
  </si>
  <si>
    <t>101|104|106</t>
  </si>
  <si>
    <t>104|106</t>
  </si>
  <si>
    <t>108|112</t>
  </si>
  <si>
    <t>16|20|24|28|34|39|42|46</t>
  </si>
  <si>
    <t>21|24|26|31|35|43</t>
  </si>
  <si>
    <t>21|24|26|31|35</t>
  </si>
  <si>
    <t>16|20|24|28|34|36|39|42</t>
  </si>
  <si>
    <t>24|28|34</t>
  </si>
  <si>
    <t>24|28|39</t>
  </si>
  <si>
    <t>24|31|35</t>
  </si>
  <si>
    <t>28|34</t>
  </si>
  <si>
    <t>31|39|43|46|52</t>
  </si>
  <si>
    <t>31|35|43</t>
  </si>
  <si>
    <t>34|40</t>
  </si>
  <si>
    <t>34|39</t>
  </si>
  <si>
    <t>34|39|42</t>
  </si>
  <si>
    <t>35|39</t>
  </si>
  <si>
    <t>35|39|43</t>
  </si>
  <si>
    <t>43|52|57</t>
  </si>
  <si>
    <t>43|52</t>
  </si>
  <si>
    <t>43|46|52</t>
  </si>
  <si>
    <t>46|52|57</t>
  </si>
  <si>
    <t>52|57</t>
  </si>
  <si>
    <t>52|57|61|65|69|72</t>
  </si>
  <si>
    <t>52|57|61|65|69</t>
  </si>
  <si>
    <t>57|61</t>
  </si>
  <si>
    <t>58|61</t>
  </si>
  <si>
    <t>58|61|65|69</t>
  </si>
  <si>
    <t>58|61|65</t>
  </si>
  <si>
    <t>59|68</t>
  </si>
  <si>
    <t>59|68|73</t>
  </si>
  <si>
    <t>61|65|69</t>
  </si>
  <si>
    <t>61|65</t>
  </si>
  <si>
    <t>61|65|69|74</t>
  </si>
  <si>
    <t>61|65|69|72</t>
  </si>
  <si>
    <t>61|65|69|72|77</t>
  </si>
  <si>
    <t>65|69</t>
  </si>
  <si>
    <t>65|69|72|77</t>
  </si>
  <si>
    <t>68|73|76|79|83|84</t>
  </si>
  <si>
    <t>69|74</t>
  </si>
  <si>
    <t>69|74|77|86</t>
  </si>
  <si>
    <t>72|77</t>
  </si>
  <si>
    <t>74|77|86</t>
  </si>
  <si>
    <t>77|81</t>
  </si>
  <si>
    <t>81|86|93</t>
  </si>
  <si>
    <t>86|89|94|98|102</t>
  </si>
  <si>
    <t>86|89</t>
  </si>
  <si>
    <t>15|19|23</t>
  </si>
  <si>
    <t>24|31|34|35|39|43</t>
  </si>
  <si>
    <t>31|35|39</t>
  </si>
  <si>
    <t>31|35|39|43</t>
  </si>
  <si>
    <t>42|46|54</t>
  </si>
  <si>
    <t>46|54</t>
  </si>
  <si>
    <t>46|52</t>
  </si>
  <si>
    <t>46|52|57|61|65|69</t>
  </si>
  <si>
    <t>52|61</t>
  </si>
  <si>
    <t>54|58</t>
  </si>
  <si>
    <t>54|58|61</t>
  </si>
  <si>
    <t>58|61|65|69|72</t>
  </si>
  <si>
    <t>65|69|74</t>
  </si>
  <si>
    <t>65|69|72</t>
  </si>
  <si>
    <t>76|79|87</t>
  </si>
  <si>
    <t>77|81|86|89|94</t>
  </si>
  <si>
    <t>77|81|86</t>
  </si>
  <si>
    <t>81|86|89|93</t>
  </si>
  <si>
    <t>81|83|84</t>
  </si>
  <si>
    <t>89|94</t>
  </si>
  <si>
    <t>94|99</t>
  </si>
  <si>
    <t>94|99|102</t>
  </si>
  <si>
    <t>94|98</t>
  </si>
  <si>
    <t>94|98|102</t>
  </si>
  <si>
    <t>96|101|104|111|115|118</t>
  </si>
  <si>
    <t>98|102|104|106</t>
  </si>
  <si>
    <t>98|102</t>
  </si>
  <si>
    <t>99|102</t>
  </si>
  <si>
    <t>101|104|111|115|118</t>
  </si>
  <si>
    <t>101|104|111</t>
  </si>
  <si>
    <t>101|104|111|115|118|121</t>
  </si>
  <si>
    <t>121|124|128|131|138</t>
  </si>
  <si>
    <t>124|128|131|135</t>
  </si>
  <si>
    <t>26|31|35|39|43|46</t>
  </si>
  <si>
    <t>26|31|35</t>
  </si>
  <si>
    <t>26|31|43|46</t>
  </si>
  <si>
    <t>58|61|65|69|74</t>
  </si>
  <si>
    <t>59|61|69|72|77</t>
  </si>
  <si>
    <t>87|90</t>
  </si>
  <si>
    <t>87|90|96|101|104</t>
  </si>
  <si>
    <t>87|90|96|101</t>
  </si>
  <si>
    <t>31|35|39|43|46</t>
  </si>
  <si>
    <t>42|46</t>
  </si>
  <si>
    <t>46|52|54|58|62|65</t>
  </si>
  <si>
    <t>46|52|54</t>
  </si>
  <si>
    <t>46|52|54|58</t>
  </si>
  <si>
    <t>46|52|57|61|65</t>
  </si>
  <si>
    <t>52|57|61|65</t>
  </si>
  <si>
    <t>52|57|65</t>
  </si>
  <si>
    <t>52|55|57</t>
  </si>
  <si>
    <t>52|57|61|65|67|69</t>
  </si>
  <si>
    <t>54|58|61|65|69|74|77</t>
  </si>
  <si>
    <t>54|58|61|65|69</t>
  </si>
  <si>
    <t>61|63|65</t>
  </si>
  <si>
    <t>65|69|74|77|81</t>
  </si>
  <si>
    <t>66|72</t>
  </si>
  <si>
    <t>69|72|74|77|81</t>
  </si>
  <si>
    <t>69|72|74</t>
  </si>
  <si>
    <t>74|81</t>
  </si>
  <si>
    <t>74|81|86|90</t>
  </si>
  <si>
    <t>74|81|86|90|94</t>
  </si>
  <si>
    <t>81|86</t>
  </si>
  <si>
    <t>81|86|90</t>
  </si>
  <si>
    <t>82|86|89|94</t>
  </si>
  <si>
    <t>98|104</t>
  </si>
  <si>
    <t>98|102|104</t>
  </si>
  <si>
    <t>98|102|107|111|115</t>
  </si>
  <si>
    <t>102|106</t>
  </si>
  <si>
    <t>102|107|111</t>
  </si>
  <si>
    <t>104|109</t>
  </si>
  <si>
    <t>70|84|22|35|22|35|22|35|22|35|22|35|22|35|74|76|79|85|91|76|79|85|76|79|85|76|79|85|91|85|91</t>
  </si>
  <si>
    <t>0|8</t>
  </si>
  <si>
    <t>0|8|6</t>
  </si>
  <si>
    <t>0|4</t>
  </si>
  <si>
    <t>0|3</t>
  </si>
  <si>
    <t>0|3|4|3|3|6|5|4</t>
  </si>
  <si>
    <t>0|3|4|3|3|3|1|2|2|1</t>
  </si>
  <si>
    <t>0|3|4|3|3|6|5|1|3</t>
  </si>
  <si>
    <t>0|5|3</t>
  </si>
  <si>
    <t>0|5|3|1|3|5|3</t>
  </si>
  <si>
    <t>0|4|3|9|5</t>
  </si>
  <si>
    <t>0|6</t>
  </si>
  <si>
    <t>0|6|2|5</t>
  </si>
  <si>
    <t>0|4|3|1|1|5</t>
  </si>
  <si>
    <t>0|1|3|3|1|1|5</t>
  </si>
  <si>
    <t>0|1|3|3|1|1|5|4</t>
  </si>
  <si>
    <t>0|1|3|3|1|6</t>
  </si>
  <si>
    <t>0|1|3|3|1</t>
  </si>
  <si>
    <t>0|4|3|2|3</t>
  </si>
  <si>
    <t>0|1|3|3|2</t>
  </si>
  <si>
    <t>0|1|3|3|2|5|4|2</t>
  </si>
  <si>
    <t>0|1|3|3|2|5|4|2|1|2</t>
  </si>
  <si>
    <t>0|1|3|3|2|5|4</t>
  </si>
  <si>
    <t>0|1|3|3</t>
  </si>
  <si>
    <t>0|4|3</t>
  </si>
  <si>
    <t>0|4|4|6</t>
  </si>
  <si>
    <t>0|4|4|6|4|5</t>
  </si>
  <si>
    <t>0|4|4|1|5|4|5</t>
  </si>
  <si>
    <t>0|4|4</t>
  </si>
  <si>
    <t>0|2|5</t>
  </si>
  <si>
    <t>0|2</t>
  </si>
  <si>
    <t>0|9</t>
  </si>
  <si>
    <t>0|9|5</t>
  </si>
  <si>
    <t>0|3|6</t>
  </si>
  <si>
    <t>0|3|6|5|4</t>
  </si>
  <si>
    <t>0|9|5|4|5</t>
  </si>
  <si>
    <t>0|9|5|4</t>
  </si>
  <si>
    <t>0|5|5|4|1</t>
  </si>
  <si>
    <t>0|5</t>
  </si>
  <si>
    <t>0|5|5</t>
  </si>
  <si>
    <t>0|5|5|4|4</t>
  </si>
  <si>
    <t>0|4|6|4|5</t>
  </si>
  <si>
    <t>0|3|1|1|3|1|1|4|1</t>
  </si>
  <si>
    <t>0|5|4|2|3|6</t>
  </si>
  <si>
    <t>0|5|4</t>
  </si>
  <si>
    <t>0|1</t>
  </si>
  <si>
    <t>0|5|3|7</t>
  </si>
  <si>
    <t>0|2|4|7</t>
  </si>
  <si>
    <t>0|2|3|1|7</t>
  </si>
  <si>
    <t>0|7</t>
  </si>
  <si>
    <t>0|6|2|4|5|5</t>
  </si>
  <si>
    <t>0|6|2</t>
  </si>
  <si>
    <t>0|6|2|4|5</t>
  </si>
  <si>
    <t>0|4|5</t>
  </si>
  <si>
    <t>0|4|5|5</t>
  </si>
  <si>
    <t>0|4|5|5|3</t>
  </si>
  <si>
    <t>0|4|5|5|4</t>
  </si>
  <si>
    <t>0|3|4|5</t>
  </si>
  <si>
    <t>0|4|5|5|1|1|1|5</t>
  </si>
  <si>
    <t>0|14</t>
  </si>
  <si>
    <t>0|5|5|1</t>
  </si>
  <si>
    <t>0|5|5|3|2</t>
  </si>
  <si>
    <t>0|5|5|3|5|6</t>
  </si>
  <si>
    <t>0|12|3|5|1|1|3</t>
  </si>
  <si>
    <t>0|5|3|5|6</t>
  </si>
  <si>
    <t>0|3|9</t>
  </si>
  <si>
    <t>0|12</t>
  </si>
  <si>
    <t>0|9|2|4|2</t>
  </si>
  <si>
    <t>0|4|4|4|5|3</t>
  </si>
  <si>
    <t>0|3|9|5|4|5</t>
  </si>
  <si>
    <t>0|4|5|3</t>
  </si>
  <si>
    <t>0|3|9|5|1</t>
  </si>
  <si>
    <t>0|3|9|5|4</t>
  </si>
  <si>
    <t>0|4|5|4</t>
  </si>
  <si>
    <t>0|5|4|5|4|2|2|6</t>
  </si>
  <si>
    <t>0|9|4|4</t>
  </si>
  <si>
    <t>0|4|5|4|4</t>
  </si>
  <si>
    <t>0|4|5|4|4|6</t>
  </si>
  <si>
    <t>0|4|5|4|4|2|4</t>
  </si>
  <si>
    <t>0|4|1|4</t>
  </si>
  <si>
    <t>0|6|6|3|2</t>
  </si>
  <si>
    <t>0|6|6|3|6</t>
  </si>
  <si>
    <t>0|6|4</t>
  </si>
  <si>
    <t>0|6|5|4|5|2|2</t>
  </si>
  <si>
    <t>0|6|5</t>
  </si>
  <si>
    <t>0|9|2</t>
  </si>
  <si>
    <t>0|5|4|5</t>
  </si>
  <si>
    <t>0|5|4|5|4</t>
  </si>
  <si>
    <t>0|5|9</t>
  </si>
  <si>
    <t>0|5|4|5|4|4</t>
  </si>
  <si>
    <t>0|5|4|5|4|3</t>
  </si>
  <si>
    <t>0|6|6|6</t>
  </si>
  <si>
    <t>0|6|6|1</t>
  </si>
  <si>
    <t>0|6|6|6|3|1</t>
  </si>
  <si>
    <t>0|6|6|3</t>
  </si>
  <si>
    <t>0|3|2</t>
  </si>
  <si>
    <t>0|3|2|2|4</t>
  </si>
  <si>
    <t>0|5|6|7</t>
  </si>
  <si>
    <t>0|5|1|5</t>
  </si>
  <si>
    <t>0|5|7</t>
  </si>
  <si>
    <t>0|3|7</t>
  </si>
  <si>
    <t>0|4|4|6|4</t>
  </si>
  <si>
    <t>0|4|4|2|3|1|4</t>
  </si>
  <si>
    <t>0|1|2</t>
  </si>
  <si>
    <t>0|4|5|7</t>
  </si>
  <si>
    <t>0|4|6|4</t>
  </si>
  <si>
    <t>0|4|6</t>
  </si>
  <si>
    <t>0|6|4|1</t>
  </si>
  <si>
    <t>0|7|1</t>
  </si>
  <si>
    <t>0|5|4|6</t>
  </si>
  <si>
    <t>0|5|4|3|6</t>
  </si>
  <si>
    <t>0|5|4|9</t>
  </si>
  <si>
    <t>0|5|1</t>
  </si>
  <si>
    <t>0|5|5|1|6|3|5</t>
  </si>
  <si>
    <t>0|4|9</t>
  </si>
  <si>
    <t>0|6|3|7</t>
  </si>
  <si>
    <t>0|3|4|4|1</t>
  </si>
  <si>
    <t>0|9|2|6</t>
  </si>
  <si>
    <t>0|2|6</t>
  </si>
  <si>
    <t>0|7|1|1|7</t>
  </si>
  <si>
    <t>0|2|3|2</t>
  </si>
  <si>
    <t>0|2|6|7</t>
  </si>
  <si>
    <t>0|3|5|2|3|4|5</t>
  </si>
  <si>
    <t>0|6|8</t>
  </si>
  <si>
    <t>0|1|2|6</t>
  </si>
  <si>
    <t>0|6|1|1</t>
  </si>
  <si>
    <t>0|6|3</t>
  </si>
  <si>
    <t>0|4|4|4|2|5</t>
  </si>
  <si>
    <t>0|4|2</t>
  </si>
  <si>
    <t>0|4|4|4|2|2</t>
  </si>
  <si>
    <t>0|4|4|4|2</t>
  </si>
  <si>
    <t>0|4|4|1</t>
  </si>
  <si>
    <t>0|3|1|2</t>
  </si>
  <si>
    <t>0|3|1|2|5</t>
  </si>
  <si>
    <t>0|4|2|5</t>
  </si>
  <si>
    <t>0|4|2|5|4|1</t>
  </si>
  <si>
    <t>0|3|5|5|4</t>
  </si>
  <si>
    <t>0|3|5|5</t>
  </si>
  <si>
    <t>NA|5|4|3|6</t>
  </si>
  <si>
    <t>NA|6</t>
  </si>
  <si>
    <t>0|4|8|5|2</t>
  </si>
  <si>
    <t>0|12|5|2</t>
  </si>
  <si>
    <t>0|3|2|2|3|2|3|2|2</t>
  </si>
  <si>
    <t>0|3|2|2|3|2|3|2|2|2</t>
  </si>
  <si>
    <t>0|3|2|2|3|2|3|2</t>
  </si>
  <si>
    <t>0|2|2</t>
  </si>
  <si>
    <t>0|4|3|2|3|2|1</t>
  </si>
  <si>
    <t>0|2|2|3|2|3</t>
  </si>
  <si>
    <t>0|4|3|2|3|2|2</t>
  </si>
  <si>
    <t>0|5|2|4</t>
  </si>
  <si>
    <t>0|2|3|2|3|2|2|1</t>
  </si>
  <si>
    <t>0|2|3|2|2</t>
  </si>
  <si>
    <t>0|2|3|2|2|5</t>
  </si>
  <si>
    <t>0|3|2|3</t>
  </si>
  <si>
    <t>0|3|2|2|1</t>
  </si>
  <si>
    <t>0|2|1|3|4</t>
  </si>
  <si>
    <t>0|2|1|3|5|2</t>
  </si>
  <si>
    <t>0|3|3</t>
  </si>
  <si>
    <t>0|4|4|1|2|2|1</t>
  </si>
  <si>
    <t>0|5|4|4|4|2</t>
  </si>
  <si>
    <t>0|5|2|3|3|5|2|2</t>
  </si>
  <si>
    <t>0|5|2|3|3</t>
  </si>
  <si>
    <t>0|3|2|4</t>
  </si>
  <si>
    <t>0|3|2|4|4|5|3|4</t>
  </si>
  <si>
    <t>0|8|5|3</t>
  </si>
  <si>
    <t>0|8|5|2</t>
  </si>
  <si>
    <t>0|4|10|3</t>
  </si>
  <si>
    <t>0|5|4|4|5|3|4</t>
  </si>
  <si>
    <t>0|2|3|3|5|4</t>
  </si>
  <si>
    <t>0|5|3|5|4|3|3</t>
  </si>
  <si>
    <t>0|5|3|5</t>
  </si>
  <si>
    <t>0|5|3|5|4|3|2</t>
  </si>
  <si>
    <t>0|4|4|5</t>
  </si>
  <si>
    <t>0|4|4|5|3</t>
  </si>
  <si>
    <t>0|4|4|5|3|4|4|2|2</t>
  </si>
  <si>
    <t>0|3|5|4|3</t>
  </si>
  <si>
    <t>0|3|5|4|3|4</t>
  </si>
  <si>
    <t>0|5|4|3</t>
  </si>
  <si>
    <t>0|5|3|4|4</t>
  </si>
  <si>
    <t>0|3|4|1</t>
  </si>
  <si>
    <t>0|3|4|4|2</t>
  </si>
  <si>
    <t>0|6|5|2</t>
  </si>
  <si>
    <t>0|7|1|1</t>
  </si>
  <si>
    <t>0|4|6|1</t>
  </si>
  <si>
    <t>0|4|6|4|4|6</t>
  </si>
  <si>
    <t>0|8|2|4</t>
  </si>
  <si>
    <t>0|4|6|3</t>
  </si>
  <si>
    <t>0|3|5|4|3|5|3</t>
  </si>
  <si>
    <t>0|4|3|5|2</t>
  </si>
  <si>
    <t>0|3|1</t>
  </si>
  <si>
    <t>0|5|4|1</t>
  </si>
  <si>
    <t>0|4|1</t>
  </si>
  <si>
    <t>0|5|4|4</t>
  </si>
  <si>
    <t>0|1|6|6</t>
  </si>
  <si>
    <t>0|3|5</t>
  </si>
  <si>
    <t>0|3|4|4|2|2</t>
  </si>
  <si>
    <t>0|3|4|4|2|2|4</t>
  </si>
  <si>
    <t>0|3|4|4</t>
  </si>
  <si>
    <t>0|3|4</t>
  </si>
  <si>
    <t>0|4|4|2|2|4|3</t>
  </si>
  <si>
    <t>0|4|4|2|2|4</t>
  </si>
  <si>
    <t>0|4|4|2|2</t>
  </si>
  <si>
    <t>0|4|4|2|2|4|3|3</t>
  </si>
  <si>
    <t>0|4|4|2|2|4|3|2</t>
  </si>
  <si>
    <t>0|8|3|1</t>
  </si>
  <si>
    <t>0|4|2|2|4|3|3|3</t>
  </si>
  <si>
    <t>0|3|2|2|4|3|3|3</t>
  </si>
  <si>
    <t>0|3|2|2|4|3</t>
  </si>
  <si>
    <t>0|3|2|2</t>
  </si>
  <si>
    <t>0|1|2|4|3|3|3|3</t>
  </si>
  <si>
    <t>0|1|2|4</t>
  </si>
  <si>
    <t>0|1|2|4|3|3|3</t>
  </si>
  <si>
    <t>0|1|2|4|3|3</t>
  </si>
  <si>
    <t>0|2|4|3|3|3|3</t>
  </si>
  <si>
    <t>0|2|4</t>
  </si>
  <si>
    <t>0|2|4|3|3|6</t>
  </si>
  <si>
    <t>0|2|4|3</t>
  </si>
  <si>
    <t>0|2|4|3|3|3</t>
  </si>
  <si>
    <t>0|4|3|3|3|3</t>
  </si>
  <si>
    <t>0|4|3|3|3</t>
  </si>
  <si>
    <t>0|4|3|3</t>
  </si>
  <si>
    <t>0|3|3|3|3</t>
  </si>
  <si>
    <t>0|3|3|3</t>
  </si>
  <si>
    <t>0|3|3|3|2|2|4</t>
  </si>
  <si>
    <t>0|4|4|4|6|5|3|4</t>
  </si>
  <si>
    <t>0|3|2|5|4|8</t>
  </si>
  <si>
    <t>0|3|2|5|4</t>
  </si>
  <si>
    <t>0|4|4|4|6|2|3|3</t>
  </si>
  <si>
    <t>0|4|11</t>
  </si>
  <si>
    <t>0|7|4</t>
  </si>
  <si>
    <t>0|8|4|3|6</t>
  </si>
  <si>
    <t>0|4|8</t>
  </si>
  <si>
    <t>0|5|4|4|4</t>
  </si>
  <si>
    <t>0|4|4|3</t>
  </si>
  <si>
    <t>0|4|4|3|5</t>
  </si>
  <si>
    <t>0|4|3|5</t>
  </si>
  <si>
    <t>0|5|3|3|4|1</t>
  </si>
  <si>
    <t>0|5|3|9</t>
  </si>
  <si>
    <t>0|3|5|4|4</t>
  </si>
  <si>
    <t>0|7|3|1|4|4</t>
  </si>
  <si>
    <t>0|4|4|4</t>
  </si>
  <si>
    <t>0|6|5|4|4|4</t>
  </si>
  <si>
    <t>0|3|4|4|3</t>
  </si>
  <si>
    <t>0|3|8</t>
  </si>
  <si>
    <t>0|4|5|3|5</t>
  </si>
  <si>
    <t>0|5|3|4</t>
  </si>
  <si>
    <t>0|2|1</t>
  </si>
  <si>
    <t>0|5|3|7|4|3</t>
  </si>
  <si>
    <t>0|4|2|2</t>
  </si>
  <si>
    <t>0|3|7|4|3</t>
  </si>
  <si>
    <t>0|3|7|4|3|3</t>
  </si>
  <si>
    <t>0|3|4|3|7</t>
  </si>
  <si>
    <t>0|4|3|4</t>
  </si>
  <si>
    <t>0|5|4|4|4|3</t>
  </si>
  <si>
    <t>0|5|12|3</t>
  </si>
  <si>
    <t>0|3|4|4|5</t>
  </si>
  <si>
    <t>0|2|8|3|5</t>
  </si>
  <si>
    <t>0|3|6|5|3</t>
  </si>
  <si>
    <t>0|3|6|5</t>
  </si>
  <si>
    <t>0|4|4|4|3</t>
  </si>
  <si>
    <t>0|6|2|4|4|3</t>
  </si>
  <si>
    <t>0|6|2|4</t>
  </si>
  <si>
    <t>0|6|5|4|3</t>
  </si>
  <si>
    <t>0|5|8</t>
  </si>
  <si>
    <t>0|5|4|4|3</t>
  </si>
  <si>
    <t>0|5|4|4|2|2</t>
  </si>
  <si>
    <t>0|4|3|4|4|5|3</t>
  </si>
  <si>
    <t>0|4|3|4|2</t>
  </si>
  <si>
    <t>0|4|5|3|4</t>
  </si>
  <si>
    <t>0|3|2|3|4</t>
  </si>
  <si>
    <t>0|7|5|2</t>
  </si>
  <si>
    <t>0|7|5|4</t>
  </si>
  <si>
    <t>0|7|5|4|2</t>
  </si>
  <si>
    <t>NA|NA|NA|NA|NA|NA|NA|NA|NA|NA|NA|NA|NA|NA|NA|NA|NA|NA|NA|NA|NA|NA|NA|NA|NA|NA|NA|NA|NA|NA|NA</t>
  </si>
  <si>
    <t>what is the other nest in the background?</t>
  </si>
  <si>
    <t>if not hatch, what happened to other 2 eggs?</t>
  </si>
  <si>
    <t>if not hatch, what happened to other 2 eggs? Field evidence of hatch??</t>
  </si>
  <si>
    <t>see field photo from 20 May - most likely nest for the photos on cam 11. would already be at 1E when cam placed. No evidence of chicks/extra adult activity</t>
  </si>
  <si>
    <t>U-A</t>
  </si>
  <si>
    <t>hatch_diff</t>
  </si>
  <si>
    <t>final_obs_date2</t>
  </si>
  <si>
    <t>init_diff</t>
  </si>
  <si>
    <t>final_obs_int3</t>
  </si>
  <si>
    <t>&gt; hatch?</t>
  </si>
  <si>
    <t>field_fate4</t>
  </si>
  <si>
    <t>camera_old</t>
  </si>
  <si>
    <t>field_fate5</t>
  </si>
  <si>
    <t>field_fate6</t>
  </si>
  <si>
    <t>field_fate7</t>
  </si>
  <si>
    <t>had field evidence of hatch???</t>
  </si>
  <si>
    <t>field_fate8</t>
  </si>
  <si>
    <t>equal</t>
  </si>
  <si>
    <t>field_fate9</t>
  </si>
  <si>
    <t>no field evidence of hatch</t>
  </si>
  <si>
    <t>bird did not return while watching</t>
  </si>
  <si>
    <t>but no actual field evidence of hatch. rationale for "possibly hatched" matches rationale for 20405</t>
  </si>
  <si>
    <t>egg shells with membrane detached, adult clicking nearby, mom not there/ didn't flush</t>
  </si>
  <si>
    <t>no final obs recorded in original data</t>
  </si>
  <si>
    <t>field fate?</t>
  </si>
  <si>
    <t>female flushed, clicking, could not find chick?</t>
  </si>
  <si>
    <t>field_fate10</t>
  </si>
  <si>
    <t>field_fate_feb</t>
  </si>
  <si>
    <t>nest_age3</t>
  </si>
  <si>
    <t>02 jun - coyote seen on camera on closer inspection</t>
  </si>
  <si>
    <t>pen_obs_date</t>
  </si>
  <si>
    <t>nest_age4</t>
  </si>
  <si>
    <t>field_fate11</t>
  </si>
  <si>
    <t>coyote prints in field photo from last nest check</t>
  </si>
  <si>
    <t>cam_fateNA</t>
  </si>
  <si>
    <t>bird seen incubating in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</si>
</sst>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5"/>
      <color theme="1"/>
      <name val="Aptos Narrow"/>
      <family val="2"/>
      <scheme val="minor"/>
    </font>
    <font>
      <b/>
      <sz val="5"/>
      <color theme="1"/>
      <name val="Aptos Narrow"/>
      <family val="2"/>
      <scheme val="minor"/>
    </font>
    <font>
      <b/>
      <sz val="5"/>
      <color rgb="FFFF0000"/>
      <name val="Aptos Narrow"/>
      <family val="2"/>
      <scheme val="minor"/>
    </font>
    <font>
      <b/>
      <sz val="4"/>
      <color theme="1"/>
      <name val="Aptos Narrow"/>
      <family val="2"/>
      <scheme val="minor"/>
    </font>
    <font>
      <sz val="4"/>
      <color theme="1"/>
      <name val="Aptos Narrow"/>
      <family val="2"/>
      <scheme val="minor"/>
    </font>
    <font>
      <sz val="6"/>
      <color theme="1"/>
      <name val="Aptos Narrow"/>
      <family val="2"/>
      <scheme val="minor"/>
    </font>
    <font>
      <sz val="8"/>
      <name val="Aptos Narrow"/>
      <family val="2"/>
      <scheme val="minor"/>
    </font>
    <font>
      <sz val="6"/>
      <color theme="5" tint="-0.249977111117893"/>
      <name val="Aptos Narrow"/>
      <family val="2"/>
      <scheme val="minor"/>
    </font>
    <font>
      <sz val="5"/>
      <color theme="5"/>
      <name val="Aptos Narrow"/>
      <family val="2"/>
      <scheme val="minor"/>
    </font>
    <font>
      <sz val="11"/>
      <color theme="5"/>
      <name val="Aptos Narrow"/>
      <family val="2"/>
      <scheme val="minor"/>
    </font>
    <font>
      <b/>
      <sz val="5"/>
      <color rgb="FF00B050"/>
      <name val="Aptos Narrow"/>
      <family val="2"/>
      <scheme val="minor"/>
    </font>
    <font>
      <sz val="9"/>
      <color indexed="81"/>
      <name val="Tahoma"/>
      <family val="2"/>
    </font>
    <font>
      <b/>
      <sz val="9"/>
      <color indexed="81"/>
      <name val="Tahoma"/>
      <family val="2"/>
    </font>
    <font>
      <sz val="4.5"/>
      <color theme="1"/>
      <name val="Aptos Narrow"/>
      <family val="2"/>
      <scheme val="minor"/>
    </font>
    <font>
      <sz val="4"/>
      <color rgb="FFFF0000"/>
      <name val="Aptos Narrow"/>
      <family val="2"/>
      <scheme val="minor"/>
    </font>
    <font>
      <b/>
      <sz val="4"/>
      <color rgb="FFFF0000"/>
      <name val="Aptos Narrow"/>
      <family val="2"/>
      <scheme val="minor"/>
    </font>
    <font>
      <b/>
      <sz val="4"/>
      <color theme="5" tint="-0.249977111117893"/>
      <name val="Aptos Narrow"/>
      <family val="2"/>
      <scheme val="minor"/>
    </font>
    <font>
      <b/>
      <sz val="4"/>
      <color theme="3" tint="0.499984740745262"/>
      <name val="Aptos Narrow"/>
      <family val="2"/>
      <scheme val="minor"/>
    </font>
    <font>
      <b/>
      <sz val="4"/>
      <color rgb="FF7030A0"/>
      <name val="Aptos Narrow"/>
      <family val="2"/>
      <scheme val="minor"/>
    </font>
    <font>
      <sz val="9"/>
      <color indexed="81"/>
      <name val="Tahoma"/>
      <charset val="1"/>
    </font>
    <font>
      <b/>
      <sz val="9"/>
      <color indexed="81"/>
      <name val="Tahoma"/>
      <charset val="1"/>
    </font>
    <font>
      <sz val="4"/>
      <color rgb="FF000000"/>
      <name val="Arial Nova Cond Light"/>
      <family val="2"/>
    </font>
    <font>
      <b/>
      <i/>
      <sz val="5"/>
      <color rgb="FFFF0000"/>
      <name val="Aptos Narrow"/>
      <family val="2"/>
      <scheme val="minor"/>
    </font>
    <font>
      <b/>
      <sz val="5"/>
      <color theme="5" tint="-0.249977111117893"/>
      <name val="Aptos Narrow"/>
      <family val="2"/>
      <scheme val="minor"/>
    </font>
    <font>
      <b/>
      <sz val="5"/>
      <color theme="5"/>
      <name val="Aptos Narrow"/>
      <family val="2"/>
      <scheme val="minor"/>
    </font>
    <font>
      <b/>
      <sz val="5"/>
      <color theme="7"/>
      <name val="Aptos Narrow"/>
      <family val="2"/>
      <scheme val="minor"/>
    </font>
    <font>
      <b/>
      <sz val="5"/>
      <color rgb="FF9966FF"/>
      <name val="Aptos Narrow"/>
      <family val="2"/>
      <scheme val="minor"/>
    </font>
    <font>
      <b/>
      <i/>
      <sz val="5"/>
      <color theme="1"/>
      <name val="Aptos Narrow"/>
      <family val="2"/>
      <scheme val="minor"/>
    </font>
    <font>
      <sz val="4.5"/>
      <color rgb="FFFF0000"/>
      <name val="Aptos Narrow"/>
      <family val="2"/>
      <scheme val="minor"/>
    </font>
    <font>
      <b/>
      <sz val="4"/>
      <color rgb="FFD60093"/>
      <name val="Aptos Narrow"/>
      <family val="2"/>
      <scheme val="minor"/>
    </font>
    <font>
      <b/>
      <sz val="5"/>
      <color rgb="FFD60093"/>
      <name val="Aptos Narrow"/>
      <family val="2"/>
      <scheme val="minor"/>
    </font>
    <font>
      <sz val="5"/>
      <color rgb="FFD60093"/>
      <name val="Aptos Narrow"/>
      <family val="2"/>
      <scheme val="minor"/>
    </font>
    <font>
      <sz val="5"/>
      <color rgb="FFFF0000"/>
      <name val="Aptos Narrow"/>
      <family val="2"/>
      <scheme val="minor"/>
    </font>
    <font>
      <b/>
      <sz val="5"/>
      <color theme="0"/>
      <name val="Aptos Narrow"/>
      <family val="2"/>
      <scheme val="minor"/>
    </font>
    <font>
      <b/>
      <sz val="5"/>
      <color theme="2"/>
      <name val="Aptos Narrow"/>
      <family val="2"/>
      <scheme val="minor"/>
    </font>
    <font>
      <b/>
      <sz val="4"/>
      <color theme="2"/>
      <name val="Aptos Narrow"/>
      <family val="2"/>
      <scheme val="minor"/>
    </font>
    <font>
      <b/>
      <sz val="5"/>
      <color rgb="FF9933FF"/>
      <name val="Aptos Narrow"/>
      <family val="2"/>
      <scheme val="minor"/>
    </font>
    <font>
      <b/>
      <i/>
      <sz val="5"/>
      <color rgb="FF9933FF"/>
      <name val="Aptos Narrow"/>
      <family val="2"/>
      <scheme val="minor"/>
    </font>
    <font>
      <b/>
      <sz val="11"/>
      <color rgb="FF9933FF"/>
      <name val="Aptos Narrow"/>
      <family val="2"/>
      <scheme val="minor"/>
    </font>
    <font>
      <b/>
      <sz val="6"/>
      <color theme="1"/>
      <name val="Aptos Narrow"/>
      <family val="2"/>
      <scheme val="minor"/>
    </font>
    <font>
      <b/>
      <sz val="4"/>
      <color theme="0"/>
      <name val="Aptos Narrow"/>
      <family val="2"/>
      <scheme val="minor"/>
    </font>
    <font>
      <b/>
      <sz val="4"/>
      <color rgb="FF9933FF"/>
      <name val="Aptos Narrow"/>
      <family val="2"/>
      <scheme val="minor"/>
    </font>
    <font>
      <b/>
      <sz val="6"/>
      <color rgb="FF9933FF"/>
      <name val="Aptos Narrow"/>
      <family val="2"/>
      <scheme val="minor"/>
    </font>
    <font>
      <b/>
      <sz val="5"/>
      <color theme="9" tint="0.59999389629810485"/>
      <name val="Aptos Narrow"/>
      <family val="2"/>
      <scheme val="minor"/>
    </font>
    <font>
      <b/>
      <sz val="5"/>
      <color rgb="FFFF6600"/>
      <name val="Aptos Narrow"/>
      <family val="2"/>
      <scheme val="minor"/>
    </font>
  </fonts>
  <fills count="5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rgb="FF92D050"/>
        <bgColor indexed="64"/>
      </patternFill>
    </fill>
    <fill>
      <patternFill patternType="solid">
        <fgColor rgb="FF99FFCC"/>
        <bgColor rgb="FFB4C6E7"/>
      </patternFill>
    </fill>
    <fill>
      <patternFill patternType="solid">
        <fgColor theme="4"/>
        <bgColor indexed="64"/>
      </patternFill>
    </fill>
    <fill>
      <patternFill patternType="solid">
        <fgColor rgb="FFD8F5D7"/>
        <bgColor indexed="64"/>
      </patternFill>
    </fill>
    <fill>
      <patternFill patternType="solid">
        <fgColor theme="6" tint="0.39997558519241921"/>
        <bgColor indexed="64"/>
      </patternFill>
    </fill>
    <fill>
      <patternFill patternType="solid">
        <fgColor theme="5"/>
        <bgColor indexed="64"/>
      </patternFill>
    </fill>
    <fill>
      <patternFill patternType="solid">
        <fgColor rgb="FFCCCCFF"/>
        <bgColor indexed="64"/>
      </patternFill>
    </fill>
    <fill>
      <patternFill patternType="solid">
        <fgColor rgb="FFFFFFCC"/>
        <bgColor indexed="64"/>
      </patternFill>
    </fill>
    <fill>
      <patternFill patternType="solid">
        <fgColor theme="3" tint="0.499984740745262"/>
        <bgColor indexed="64"/>
      </patternFill>
    </fill>
    <fill>
      <patternFill patternType="solid">
        <fgColor theme="0" tint="-0.34998626667073579"/>
        <bgColor indexed="64"/>
      </patternFill>
    </fill>
    <fill>
      <patternFill patternType="solid">
        <fgColor theme="4" tint="0.3999755851924192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top style="thin">
        <color theme="2" tint="-0.499984740745262"/>
      </top>
      <bottom style="thin">
        <color theme="2" tint="-0.499984740745262"/>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diagonal/>
    </border>
    <border>
      <left/>
      <right style="medium">
        <color indexed="64"/>
      </right>
      <top style="medium">
        <color indexed="64"/>
      </top>
      <bottom style="medium">
        <color indexed="64"/>
      </bottom>
      <diagonal/>
    </border>
    <border>
      <left/>
      <right style="thin">
        <color theme="2" tint="-0.499984740745262"/>
      </right>
      <top/>
      <bottom style="thin">
        <color theme="2" tint="-0.499984740745262"/>
      </bottom>
      <diagonal/>
    </border>
    <border>
      <left style="thick">
        <color rgb="FF9933FF"/>
      </left>
      <right style="thick">
        <color rgb="FF9933FF"/>
      </right>
      <top/>
      <bottom/>
      <diagonal/>
    </border>
    <border>
      <left style="thick">
        <color rgb="FF9933FF"/>
      </left>
      <right style="thick">
        <color rgb="FF9933FF"/>
      </right>
      <top style="thin">
        <color theme="2" tint="-0.499984740745262"/>
      </top>
      <bottom style="thin">
        <color theme="2" tint="-0.499984740745262"/>
      </bottom>
      <diagonal/>
    </border>
    <border>
      <left style="thick">
        <color rgb="FF9933FF"/>
      </left>
      <right style="thick">
        <color rgb="FF9933FF"/>
      </right>
      <top style="medium">
        <color indexed="64"/>
      </top>
      <bottom style="medium">
        <color indexed="64"/>
      </bottom>
      <diagonal/>
    </border>
    <border>
      <left style="thick">
        <color rgb="FF9933FF"/>
      </left>
      <right style="thick">
        <color rgb="FF9933FF"/>
      </right>
      <top style="thin">
        <color theme="2" tint="-0.499984740745262"/>
      </top>
      <bottom/>
      <diagonal/>
    </border>
    <border>
      <left style="thin">
        <color theme="2" tint="-0.499984740745262"/>
      </left>
      <right style="thin">
        <color theme="2" tint="-0.499984740745262"/>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4">
    <xf numFmtId="0" fontId="0" fillId="0" borderId="0" xfId="0"/>
    <xf numFmtId="0" fontId="18" fillId="0" borderId="0" xfId="0" applyFont="1" applyAlignment="1">
      <alignment horizontal="center" vertical="top" wrapText="1"/>
    </xf>
    <xf numFmtId="0" fontId="21" fillId="0" borderId="10" xfId="0" applyFont="1" applyBorder="1"/>
    <xf numFmtId="0" fontId="22" fillId="0" borderId="10" xfId="0" applyFont="1" applyBorder="1"/>
    <xf numFmtId="0" fontId="18" fillId="0" borderId="10" xfId="0" applyFont="1" applyBorder="1"/>
    <xf numFmtId="0" fontId="19" fillId="0" borderId="10" xfId="0" applyFont="1" applyBorder="1"/>
    <xf numFmtId="0" fontId="19" fillId="33" borderId="10" xfId="0" applyFont="1" applyFill="1" applyBorder="1"/>
    <xf numFmtId="0" fontId="23" fillId="37" borderId="10" xfId="0" applyFont="1" applyFill="1" applyBorder="1"/>
    <xf numFmtId="0" fontId="18" fillId="34" borderId="10" xfId="0" applyFont="1" applyFill="1" applyBorder="1"/>
    <xf numFmtId="0" fontId="19" fillId="34" borderId="10" xfId="0" applyFont="1" applyFill="1" applyBorder="1"/>
    <xf numFmtId="0" fontId="20" fillId="33" borderId="10" xfId="0" applyFont="1" applyFill="1" applyBorder="1"/>
    <xf numFmtId="0" fontId="18" fillId="35" borderId="10" xfId="0" applyFont="1" applyFill="1" applyBorder="1"/>
    <xf numFmtId="0" fontId="18" fillId="36" borderId="10" xfId="0" applyFont="1" applyFill="1" applyBorder="1"/>
    <xf numFmtId="0" fontId="20" fillId="0" borderId="10" xfId="0" applyFont="1" applyBorder="1"/>
    <xf numFmtId="0" fontId="18" fillId="38" borderId="10" xfId="0" applyFont="1" applyFill="1" applyBorder="1"/>
    <xf numFmtId="0" fontId="19" fillId="38" borderId="10" xfId="0" applyFont="1" applyFill="1" applyBorder="1"/>
    <xf numFmtId="0" fontId="25" fillId="39" borderId="10" xfId="0" applyFont="1" applyFill="1" applyBorder="1"/>
    <xf numFmtId="0" fontId="26" fillId="0" borderId="0" xfId="0" applyFont="1" applyAlignment="1">
      <alignment horizontal="center" vertical="top" wrapText="1"/>
    </xf>
    <xf numFmtId="0" fontId="27" fillId="0" borderId="0" xfId="0" applyFont="1"/>
    <xf numFmtId="0" fontId="18" fillId="40" borderId="10" xfId="0" applyFont="1" applyFill="1" applyBorder="1"/>
    <xf numFmtId="0" fontId="28" fillId="41" borderId="10" xfId="0" applyFont="1" applyFill="1" applyBorder="1"/>
    <xf numFmtId="0" fontId="20" fillId="41" borderId="10" xfId="0" applyFont="1" applyFill="1" applyBorder="1"/>
    <xf numFmtId="0" fontId="18" fillId="42" borderId="10" xfId="0" applyFont="1" applyFill="1" applyBorder="1"/>
    <xf numFmtId="0" fontId="23" fillId="42" borderId="10" xfId="0" applyFont="1" applyFill="1" applyBorder="1"/>
    <xf numFmtId="0" fontId="19" fillId="42" borderId="10" xfId="0" applyFont="1" applyFill="1" applyBorder="1"/>
    <xf numFmtId="0" fontId="20" fillId="42" borderId="10" xfId="0" applyFont="1" applyFill="1" applyBorder="1"/>
    <xf numFmtId="0" fontId="31" fillId="0" borderId="10" xfId="0" applyFont="1" applyBorder="1"/>
    <xf numFmtId="0" fontId="22" fillId="35" borderId="10" xfId="0" applyFont="1" applyFill="1" applyBorder="1"/>
    <xf numFmtId="0" fontId="22" fillId="36" borderId="10" xfId="0" applyFont="1" applyFill="1" applyBorder="1"/>
    <xf numFmtId="0" fontId="32" fillId="35" borderId="10" xfId="0" applyFont="1" applyFill="1" applyBorder="1"/>
    <xf numFmtId="0" fontId="32" fillId="36" borderId="10" xfId="0" applyFont="1" applyFill="1" applyBorder="1"/>
    <xf numFmtId="0" fontId="18" fillId="43" borderId="10" xfId="0" applyFont="1" applyFill="1" applyBorder="1"/>
    <xf numFmtId="0" fontId="28" fillId="42" borderId="10" xfId="0" applyFont="1" applyFill="1" applyBorder="1"/>
    <xf numFmtId="0" fontId="18" fillId="37" borderId="10" xfId="0" applyFont="1" applyFill="1" applyBorder="1"/>
    <xf numFmtId="0" fontId="22" fillId="0" borderId="0" xfId="0" applyFont="1"/>
    <xf numFmtId="0" fontId="18" fillId="0" borderId="10" xfId="0" applyFont="1" applyBorder="1" applyAlignment="1">
      <alignment horizontal="center" vertical="top" wrapText="1"/>
    </xf>
    <xf numFmtId="0" fontId="22" fillId="0" borderId="10" xfId="0" applyFont="1" applyBorder="1" applyAlignment="1">
      <alignment wrapText="1"/>
    </xf>
    <xf numFmtId="0" fontId="22" fillId="0" borderId="0" xfId="0" applyFont="1" applyAlignment="1">
      <alignment horizontal="center" vertical="top" wrapText="1"/>
    </xf>
    <xf numFmtId="0" fontId="21" fillId="33" borderId="10" xfId="0" applyFont="1" applyFill="1" applyBorder="1"/>
    <xf numFmtId="0" fontId="21" fillId="35" borderId="10" xfId="0" applyFont="1" applyFill="1" applyBorder="1"/>
    <xf numFmtId="0" fontId="33" fillId="35" borderId="10" xfId="0" applyFont="1" applyFill="1" applyBorder="1"/>
    <xf numFmtId="0" fontId="21" fillId="36" borderId="10" xfId="0" applyFont="1" applyFill="1" applyBorder="1"/>
    <xf numFmtId="0" fontId="33" fillId="36" borderId="10" xfId="0" applyFont="1" applyFill="1" applyBorder="1"/>
    <xf numFmtId="0" fontId="22" fillId="33" borderId="10" xfId="0" applyFont="1" applyFill="1" applyBorder="1"/>
    <xf numFmtId="0" fontId="34" fillId="0" borderId="10" xfId="0" applyFont="1" applyBorder="1"/>
    <xf numFmtId="0" fontId="35" fillId="0" borderId="10" xfId="0" applyFont="1" applyBorder="1"/>
    <xf numFmtId="0" fontId="36" fillId="0" borderId="10" xfId="0" applyFont="1" applyBorder="1"/>
    <xf numFmtId="0" fontId="31" fillId="0" borderId="10" xfId="0" applyFont="1" applyBorder="1" applyAlignment="1">
      <alignment wrapText="1"/>
    </xf>
    <xf numFmtId="0" fontId="31" fillId="0" borderId="11" xfId="0" applyFont="1" applyBorder="1" applyAlignment="1">
      <alignment wrapText="1"/>
    </xf>
    <xf numFmtId="0" fontId="31" fillId="0" borderId="13" xfId="0" applyFont="1" applyBorder="1" applyAlignment="1">
      <alignment wrapText="1"/>
    </xf>
    <xf numFmtId="0" fontId="31" fillId="0" borderId="12" xfId="0" applyFont="1" applyBorder="1" applyAlignment="1">
      <alignment wrapText="1"/>
    </xf>
    <xf numFmtId="0" fontId="39" fillId="44" borderId="14" xfId="0" applyFont="1" applyFill="1" applyBorder="1" applyAlignment="1">
      <alignment wrapText="1"/>
    </xf>
    <xf numFmtId="0" fontId="40" fillId="42" borderId="10" xfId="0" applyFont="1" applyFill="1" applyBorder="1"/>
    <xf numFmtId="0" fontId="31" fillId="36" borderId="10" xfId="0" applyFont="1" applyFill="1" applyBorder="1" applyAlignment="1">
      <alignment wrapText="1"/>
    </xf>
    <xf numFmtId="0" fontId="22" fillId="36" borderId="10" xfId="0" applyFont="1" applyFill="1" applyBorder="1" applyAlignment="1">
      <alignment wrapText="1"/>
    </xf>
    <xf numFmtId="0" fontId="23" fillId="43" borderId="10" xfId="0" applyFont="1" applyFill="1" applyBorder="1"/>
    <xf numFmtId="0" fontId="18" fillId="45" borderId="0" xfId="0" applyFont="1" applyFill="1" applyAlignment="1">
      <alignment horizontal="center" vertical="top" wrapText="1"/>
    </xf>
    <xf numFmtId="0" fontId="18" fillId="41" borderId="10" xfId="0" applyFont="1" applyFill="1" applyBorder="1"/>
    <xf numFmtId="0" fontId="41" fillId="42" borderId="10" xfId="0" applyFont="1" applyFill="1" applyBorder="1"/>
    <xf numFmtId="0" fontId="42" fillId="36" borderId="10" xfId="0" applyFont="1" applyFill="1" applyBorder="1"/>
    <xf numFmtId="0" fontId="43" fillId="36" borderId="10" xfId="0" applyFont="1" applyFill="1" applyBorder="1"/>
    <xf numFmtId="0" fontId="44" fillId="36" borderId="10" xfId="0" applyFont="1" applyFill="1" applyBorder="1"/>
    <xf numFmtId="0" fontId="42" fillId="46" borderId="10" xfId="0" applyFont="1" applyFill="1" applyBorder="1"/>
    <xf numFmtId="0" fontId="43" fillId="46" borderId="10" xfId="0" applyFont="1" applyFill="1" applyBorder="1"/>
    <xf numFmtId="0" fontId="44" fillId="46" borderId="10" xfId="0" applyFont="1" applyFill="1" applyBorder="1"/>
    <xf numFmtId="0" fontId="45" fillId="0" borderId="10" xfId="0" applyFont="1" applyBorder="1"/>
    <xf numFmtId="0" fontId="46" fillId="0" borderId="10" xfId="0" applyFont="1" applyBorder="1" applyAlignment="1">
      <alignment wrapText="1"/>
    </xf>
    <xf numFmtId="0" fontId="19" fillId="37" borderId="10" xfId="0" applyFont="1" applyFill="1" applyBorder="1"/>
    <xf numFmtId="0" fontId="20" fillId="37" borderId="10" xfId="0" applyFont="1" applyFill="1" applyBorder="1"/>
    <xf numFmtId="0" fontId="22" fillId="0" borderId="13" xfId="0" applyFont="1" applyBorder="1" applyAlignment="1">
      <alignment wrapText="1"/>
    </xf>
    <xf numFmtId="0" fontId="22" fillId="36" borderId="13" xfId="0" applyFont="1" applyFill="1" applyBorder="1" applyAlignment="1">
      <alignment wrapText="1"/>
    </xf>
    <xf numFmtId="0" fontId="22" fillId="47" borderId="10" xfId="0" applyFont="1" applyFill="1" applyBorder="1"/>
    <xf numFmtId="0" fontId="22" fillId="37" borderId="10" xfId="0" applyFont="1" applyFill="1" applyBorder="1"/>
    <xf numFmtId="0" fontId="47" fillId="0" borderId="10" xfId="0" applyFont="1" applyBorder="1" applyAlignment="1">
      <alignment wrapText="1"/>
    </xf>
    <xf numFmtId="0" fontId="48" fillId="37" borderId="10" xfId="0" applyFont="1" applyFill="1" applyBorder="1"/>
    <xf numFmtId="0" fontId="49" fillId="34" borderId="10" xfId="0" applyFont="1" applyFill="1" applyBorder="1"/>
    <xf numFmtId="0" fontId="49" fillId="38" borderId="10" xfId="0" applyFont="1" applyFill="1" applyBorder="1"/>
    <xf numFmtId="0" fontId="49" fillId="37" borderId="10" xfId="0" applyFont="1" applyFill="1" applyBorder="1"/>
    <xf numFmtId="0" fontId="18" fillId="48" borderId="10" xfId="0" applyFont="1" applyFill="1" applyBorder="1"/>
    <xf numFmtId="0" fontId="31" fillId="0" borderId="0" xfId="0" applyFont="1"/>
    <xf numFmtId="0" fontId="50" fillId="34" borderId="10" xfId="0" applyFont="1" applyFill="1" applyBorder="1"/>
    <xf numFmtId="0" fontId="50" fillId="38" borderId="10" xfId="0" applyFont="1" applyFill="1" applyBorder="1"/>
    <xf numFmtId="0" fontId="25" fillId="35" borderId="10" xfId="0" applyFont="1" applyFill="1" applyBorder="1"/>
    <xf numFmtId="0" fontId="28" fillId="35" borderId="10" xfId="0" applyFont="1" applyFill="1" applyBorder="1"/>
    <xf numFmtId="0" fontId="19" fillId="49" borderId="10" xfId="0" applyFont="1" applyFill="1" applyBorder="1"/>
    <xf numFmtId="0" fontId="21" fillId="49" borderId="10" xfId="0" applyFont="1" applyFill="1" applyBorder="1"/>
    <xf numFmtId="0" fontId="19" fillId="35" borderId="10" xfId="0" applyFont="1" applyFill="1" applyBorder="1"/>
    <xf numFmtId="0" fontId="18" fillId="50" borderId="10" xfId="0" applyFont="1" applyFill="1" applyBorder="1"/>
    <xf numFmtId="0" fontId="31" fillId="0" borderId="0" xfId="0" applyFont="1" applyAlignment="1">
      <alignment wrapText="1"/>
    </xf>
    <xf numFmtId="0" fontId="22" fillId="43" borderId="10" xfId="0" applyFont="1" applyFill="1" applyBorder="1"/>
    <xf numFmtId="0" fontId="20" fillId="0" borderId="10" xfId="0" applyFont="1" applyBorder="1" applyAlignment="1">
      <alignment wrapText="1"/>
    </xf>
    <xf numFmtId="0" fontId="52" fillId="51" borderId="10" xfId="0" applyFont="1" applyFill="1" applyBorder="1"/>
    <xf numFmtId="0" fontId="53" fillId="51" borderId="10" xfId="0" applyFont="1" applyFill="1" applyBorder="1"/>
    <xf numFmtId="0" fontId="55" fillId="0" borderId="10" xfId="0" applyFont="1" applyBorder="1"/>
    <xf numFmtId="0" fontId="54" fillId="0" borderId="10" xfId="0" applyFont="1" applyBorder="1"/>
    <xf numFmtId="0" fontId="54" fillId="36" borderId="10" xfId="0" applyFont="1" applyFill="1" applyBorder="1"/>
    <xf numFmtId="0" fontId="56" fillId="0" borderId="0" xfId="0" applyFont="1"/>
    <xf numFmtId="0" fontId="51" fillId="0" borderId="0" xfId="0" applyFont="1" applyAlignment="1">
      <alignment horizontal="center" vertical="top" wrapText="1"/>
    </xf>
    <xf numFmtId="0" fontId="54" fillId="0" borderId="13" xfId="0" applyFont="1" applyBorder="1"/>
    <xf numFmtId="0" fontId="22" fillId="33" borderId="16" xfId="0" applyFont="1" applyFill="1" applyBorder="1"/>
    <xf numFmtId="0" fontId="55" fillId="0" borderId="12" xfId="0" applyFont="1" applyBorder="1"/>
    <xf numFmtId="0" fontId="18" fillId="0" borderId="11" xfId="0" applyFont="1" applyBorder="1"/>
    <xf numFmtId="0" fontId="20" fillId="0" borderId="15" xfId="0" applyFont="1" applyBorder="1"/>
    <xf numFmtId="0" fontId="18" fillId="0" borderId="12" xfId="0" applyFont="1" applyBorder="1"/>
    <xf numFmtId="0" fontId="54" fillId="0" borderId="15" xfId="0" applyFont="1" applyBorder="1"/>
    <xf numFmtId="0" fontId="54" fillId="0" borderId="12" xfId="0" applyFont="1" applyBorder="1"/>
    <xf numFmtId="0" fontId="55" fillId="0" borderId="13" xfId="0" applyFont="1" applyBorder="1"/>
    <xf numFmtId="0" fontId="55" fillId="0" borderId="11" xfId="0" applyFont="1" applyBorder="1"/>
    <xf numFmtId="0" fontId="55" fillId="0" borderId="15" xfId="0" applyFont="1" applyBorder="1"/>
    <xf numFmtId="0" fontId="20" fillId="46" borderId="10" xfId="0" applyFont="1" applyFill="1" applyBorder="1"/>
    <xf numFmtId="0" fontId="54" fillId="0" borderId="0" xfId="0" applyFont="1"/>
    <xf numFmtId="0" fontId="20" fillId="0" borderId="0" xfId="0" applyFont="1"/>
    <xf numFmtId="0" fontId="55" fillId="0" borderId="0" xfId="0" applyFont="1"/>
    <xf numFmtId="0" fontId="20" fillId="40" borderId="10" xfId="0" applyFont="1" applyFill="1" applyBorder="1"/>
    <xf numFmtId="0" fontId="54" fillId="0" borderId="16" xfId="0" applyFont="1" applyBorder="1"/>
    <xf numFmtId="0" fontId="57" fillId="0" borderId="0" xfId="0" applyFont="1" applyAlignment="1">
      <alignment horizontal="center" vertical="top" wrapText="1"/>
    </xf>
    <xf numFmtId="0" fontId="19" fillId="47" borderId="10" xfId="0" applyFont="1" applyFill="1" applyBorder="1"/>
    <xf numFmtId="0" fontId="19" fillId="43" borderId="10" xfId="0" applyFont="1" applyFill="1" applyBorder="1"/>
    <xf numFmtId="0" fontId="57" fillId="0" borderId="0" xfId="0" applyFont="1"/>
    <xf numFmtId="0" fontId="50" fillId="37" borderId="10" xfId="0" applyFont="1" applyFill="1" applyBorder="1"/>
    <xf numFmtId="0" fontId="20" fillId="38" borderId="10" xfId="0" applyFont="1" applyFill="1" applyBorder="1"/>
    <xf numFmtId="0" fontId="20" fillId="34" borderId="10" xfId="0" applyFont="1" applyFill="1" applyBorder="1"/>
    <xf numFmtId="0" fontId="18" fillId="0" borderId="10" xfId="0" applyFont="1" applyBorder="1" applyAlignment="1">
      <alignment wrapText="1"/>
    </xf>
    <xf numFmtId="0" fontId="18" fillId="36" borderId="10" xfId="0" applyFont="1" applyFill="1" applyBorder="1" applyAlignment="1">
      <alignment wrapText="1"/>
    </xf>
    <xf numFmtId="0" fontId="18" fillId="0" borderId="0" xfId="0" applyFont="1"/>
    <xf numFmtId="0" fontId="18" fillId="0" borderId="0" xfId="0" applyFont="1" applyAlignment="1">
      <alignment wrapText="1"/>
    </xf>
    <xf numFmtId="0" fontId="58" fillId="0" borderId="0" xfId="0" applyFont="1" applyAlignment="1">
      <alignment horizontal="center" vertical="top" wrapText="1"/>
    </xf>
    <xf numFmtId="0" fontId="59" fillId="0" borderId="13" xfId="0" applyFont="1" applyBorder="1"/>
    <xf numFmtId="0" fontId="59" fillId="0" borderId="10" xfId="0" applyFont="1" applyBorder="1"/>
    <xf numFmtId="0" fontId="59" fillId="0" borderId="0" xfId="0" applyFont="1"/>
    <xf numFmtId="0" fontId="20" fillId="36" borderId="10" xfId="0" applyFont="1" applyFill="1" applyBorder="1"/>
    <xf numFmtId="0" fontId="32" fillId="0" borderId="13" xfId="0" applyFont="1" applyBorder="1" applyAlignment="1">
      <alignment wrapText="1"/>
    </xf>
    <xf numFmtId="0" fontId="59" fillId="36" borderId="13" xfId="0" applyFont="1" applyFill="1" applyBorder="1"/>
    <xf numFmtId="0" fontId="54" fillId="36" borderId="13" xfId="0" applyFont="1" applyFill="1" applyBorder="1"/>
    <xf numFmtId="0" fontId="55" fillId="0" borderId="16" xfId="0" applyFont="1" applyBorder="1"/>
    <xf numFmtId="0" fontId="55" fillId="0" borderId="17" xfId="0" applyFont="1" applyBorder="1"/>
    <xf numFmtId="0" fontId="54" fillId="36" borderId="16" xfId="0" applyFont="1" applyFill="1" applyBorder="1"/>
    <xf numFmtId="0" fontId="54" fillId="0" borderId="18" xfId="0" applyFont="1" applyBorder="1"/>
    <xf numFmtId="0" fontId="54" fillId="0" borderId="19" xfId="0" applyFont="1" applyBorder="1"/>
    <xf numFmtId="0" fontId="51" fillId="0" borderId="20" xfId="0" applyFont="1" applyBorder="1" applyAlignment="1">
      <alignment horizontal="center" vertical="top" wrapText="1"/>
    </xf>
    <xf numFmtId="0" fontId="55" fillId="0" borderId="21" xfId="0" applyFont="1" applyBorder="1"/>
    <xf numFmtId="0" fontId="54" fillId="0" borderId="21" xfId="0" applyFont="1" applyBorder="1"/>
    <xf numFmtId="0" fontId="54" fillId="0" borderId="22" xfId="0" applyFont="1" applyBorder="1"/>
    <xf numFmtId="0" fontId="55" fillId="0" borderId="23" xfId="0" applyFont="1" applyBorder="1"/>
    <xf numFmtId="0" fontId="54" fillId="36" borderId="21" xfId="0" applyFont="1" applyFill="1" applyBorder="1"/>
    <xf numFmtId="0" fontId="25" fillId="39" borderId="13" xfId="0" applyFont="1" applyFill="1" applyBorder="1"/>
    <xf numFmtId="0" fontId="18" fillId="0" borderId="16" xfId="0" applyFont="1" applyBorder="1"/>
    <xf numFmtId="0" fontId="18" fillId="52" borderId="10" xfId="0" applyFont="1" applyFill="1" applyBorder="1" applyAlignment="1">
      <alignment wrapText="1"/>
    </xf>
    <xf numFmtId="0" fontId="18" fillId="52" borderId="12" xfId="0" applyFont="1" applyFill="1" applyBorder="1" applyAlignment="1">
      <alignment wrapText="1"/>
    </xf>
    <xf numFmtId="0" fontId="18" fillId="52" borderId="11" xfId="0" applyFont="1" applyFill="1" applyBorder="1" applyAlignment="1">
      <alignment wrapText="1"/>
    </xf>
    <xf numFmtId="0" fontId="18" fillId="52" borderId="24" xfId="0" applyFont="1" applyFill="1" applyBorder="1" applyAlignment="1">
      <alignment wrapText="1"/>
    </xf>
    <xf numFmtId="0" fontId="42" fillId="0" borderId="0" xfId="0" applyFont="1" applyFill="1" applyBorder="1" applyAlignment="1">
      <alignment vertical="top" wrapText="1"/>
    </xf>
    <xf numFmtId="0" fontId="42" fillId="0" borderId="0" xfId="0" applyFont="1" applyFill="1" applyBorder="1" applyAlignment="1">
      <alignment wrapText="1"/>
    </xf>
    <xf numFmtId="0" fontId="20" fillId="52" borderId="10" xfId="0" applyFont="1" applyFill="1" applyBorder="1" applyAlignment="1">
      <alignment wrapText="1"/>
    </xf>
    <xf numFmtId="0" fontId="32" fillId="0" borderId="10" xfId="0" applyFont="1" applyBorder="1" applyAlignment="1">
      <alignment wrapText="1"/>
    </xf>
    <xf numFmtId="0" fontId="60" fillId="37" borderId="10" xfId="0" applyFont="1" applyFill="1" applyBorder="1"/>
    <xf numFmtId="0" fontId="19" fillId="53" borderId="10" xfId="0" applyFont="1" applyFill="1" applyBorder="1"/>
    <xf numFmtId="0" fontId="61" fillId="53" borderId="10" xfId="0" applyFont="1" applyFill="1" applyBorder="1"/>
    <xf numFmtId="0" fontId="62" fillId="53" borderId="10" xfId="0" applyFont="1" applyFill="1" applyBorder="1"/>
    <xf numFmtId="0" fontId="62" fillId="40" borderId="10" xfId="0" applyFont="1" applyFill="1" applyBorder="1"/>
    <xf numFmtId="0" fontId="22" fillId="52" borderId="10" xfId="0" applyFont="1" applyFill="1" applyBorder="1"/>
    <xf numFmtId="0" fontId="22" fillId="52" borderId="16" xfId="0" applyFont="1" applyFill="1" applyBorder="1"/>
    <xf numFmtId="0" fontId="62" fillId="0" borderId="0" xfId="0" applyFont="1"/>
    <xf numFmtId="0" fontId="62"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9">
    <dxf>
      <font>
        <b val="0"/>
        <i val="0"/>
        <strike val="0"/>
        <condense val="0"/>
        <extend val="0"/>
        <outline val="0"/>
        <shadow val="0"/>
        <u val="none"/>
        <vertAlign val="baseline"/>
        <sz val="4"/>
        <color theme="1"/>
        <name val="Aptos Narrow"/>
        <family val="2"/>
        <scheme val="minor"/>
      </font>
      <numFmt numFmtId="0" formatCode="General"/>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auto="1"/>
      </font>
      <fill>
        <patternFill>
          <bgColor rgb="FFCC99FF"/>
        </patternFill>
      </fill>
    </dxf>
    <dxf>
      <fill>
        <patternFill>
          <bgColor theme="5"/>
        </patternFill>
      </fill>
    </dxf>
    <dxf>
      <font>
        <color auto="1"/>
      </font>
      <fill>
        <patternFill>
          <fgColor rgb="FFCCCCFF"/>
          <bgColor rgb="FFCCCCFF"/>
        </patternFill>
      </fill>
    </dxf>
    <dxf>
      <fill>
        <patternFill>
          <bgColor theme="9" tint="0.39994506668294322"/>
        </patternFill>
      </fill>
    </dxf>
    <dxf>
      <font>
        <color rgb="FF9966FF"/>
      </font>
    </dxf>
    <dxf>
      <font>
        <color theme="5"/>
      </font>
    </dxf>
    <dxf>
      <font>
        <color auto="1"/>
      </font>
      <fill>
        <patternFill>
          <bgColor rgb="FFCC99FF"/>
        </patternFill>
      </fill>
    </dxf>
    <dxf>
      <fill>
        <patternFill>
          <bgColor theme="5"/>
        </patternFill>
      </fill>
    </dxf>
    <dxf>
      <font>
        <b val="0"/>
        <i/>
        <color theme="9"/>
      </font>
      <fill>
        <patternFill patternType="none">
          <bgColor auto="1"/>
        </patternFill>
      </fill>
    </dxf>
    <dxf>
      <font>
        <b/>
        <i/>
        <color rgb="FFD60093"/>
      </font>
    </dxf>
    <dxf>
      <numFmt numFmtId="0" formatCode="General"/>
    </dxf>
    <dxf>
      <numFmt numFmtId="0" formatCode="General"/>
    </dxf>
    <dxf>
      <font>
        <strike val="0"/>
        <outline val="0"/>
        <shadow val="0"/>
        <u val="none"/>
        <vertAlign val="baseline"/>
        <sz val="4"/>
        <color theme="1"/>
        <name val="Aptos Narrow"/>
        <family val="2"/>
        <scheme val="minor"/>
      </font>
      <alignment horizontal="general" vertical="bottom" textRotation="0" wrapText="1"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5"/>
        <color theme="1"/>
        <name val="Aptos Narrow"/>
        <family val="2"/>
        <scheme val="minor"/>
      </font>
      <alignment horizontal="general" vertical="bottom" textRotation="0" wrapText="1"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4.5"/>
        <color theme="1"/>
        <name val="Aptos Narrow"/>
        <family val="2"/>
        <scheme val="minor"/>
      </font>
      <alignment horizontal="general" vertical="bottom" textRotation="0" wrapText="1"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strike val="0"/>
        <outline val="0"/>
        <shadow val="0"/>
        <u val="none"/>
        <vertAlign val="baseline"/>
        <sz val="4.5"/>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4.5"/>
        <color theme="1"/>
        <name val="Aptos Narrow"/>
        <family val="2"/>
        <scheme val="minor"/>
      </font>
      <numFmt numFmtId="3" formatCode="#,##0"/>
      <border diagonalUp="0" diagonalDown="0" outline="0">
        <left/>
        <right/>
        <top style="thin">
          <color theme="2" tint="-0.499984740745262"/>
        </top>
        <bottom style="thin">
          <color theme="2" tint="-0.499984740745262"/>
        </bottom>
      </border>
    </dxf>
    <dxf>
      <font>
        <strike val="0"/>
        <outline val="0"/>
        <shadow val="0"/>
        <u val="none"/>
        <vertAlign val="baseline"/>
        <sz val="4.5"/>
        <color theme="1"/>
        <name val="Aptos Narrow"/>
        <family val="2"/>
        <scheme val="minor"/>
      </font>
      <numFmt numFmtId="3" formatCode="#,##0"/>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border diagonalUp="0" diagonalDown="0" outline="0">
        <left style="thin">
          <color theme="2" tint="-0.499984740745262"/>
        </left>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5"/>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fill>
        <patternFill>
          <fgColor indexed="64"/>
          <bgColor theme="8"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fill>
        <patternFill patternType="solid">
          <fgColor indexed="64"/>
          <bgColor theme="8"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8"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strike val="0"/>
        <outline val="0"/>
        <shadow val="0"/>
        <u val="none"/>
        <vertAlign val="baseline"/>
        <sz val="5"/>
        <color theme="1"/>
        <name val="Aptos Narrow"/>
        <family val="2"/>
        <scheme val="minor"/>
      </font>
      <fill>
        <patternFill patternType="solid">
          <fgColor indexed="64"/>
          <bgColor theme="8"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numFmt numFmtId="0" formatCode="General"/>
      <fill>
        <patternFill patternType="solid">
          <fgColor indexed="64"/>
          <bgColor theme="8"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fill>
        <patternFill patternType="solid">
          <fgColor indexed="64"/>
          <bgColor theme="8"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5"/>
        <color theme="1"/>
        <name val="Aptos Narrow"/>
        <family val="2"/>
        <scheme val="minor"/>
      </font>
      <fill>
        <patternFill patternType="solid">
          <fgColor indexed="64"/>
          <bgColor theme="8"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6"/>
        <color theme="5" tint="-0.249977111117893"/>
        <name val="Aptos Narrow"/>
        <family val="2"/>
        <scheme val="minor"/>
      </font>
      <numFmt numFmtId="0" formatCode="General"/>
      <fill>
        <patternFill patternType="solid">
          <fgColor indexed="64"/>
          <bgColor theme="2" tint="-0.249977111117893"/>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rgb="FF00B050"/>
        <name val="Aptos Narrow"/>
        <family val="2"/>
        <scheme val="minor"/>
      </font>
      <numFmt numFmtId="0" formatCode="General"/>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5"/>
        <color theme="2"/>
        <name val="Aptos Narrow"/>
        <family val="2"/>
        <scheme val="minor"/>
      </font>
      <fill>
        <patternFill patternType="solid">
          <fgColor indexed="64"/>
          <bgColor theme="3" tint="0.49998474074526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5"/>
        <color theme="1"/>
        <name val="Aptos Narrow"/>
        <family val="2"/>
        <scheme val="minor"/>
      </font>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4"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5"/>
        <color theme="1"/>
        <name val="Aptos Narrow"/>
        <family val="2"/>
        <scheme val="minor"/>
      </font>
      <fill>
        <patternFill patternType="solid">
          <fgColor indexed="64"/>
          <bgColor theme="7"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numFmt numFmtId="0" formatCode="General"/>
      <fill>
        <patternFill patternType="solid">
          <fgColor indexed="64"/>
          <bgColor theme="7"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fill>
        <patternFill patternType="solid">
          <fgColor indexed="64"/>
          <bgColor theme="7"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strike val="0"/>
        <outline val="0"/>
        <shadow val="0"/>
        <u val="none"/>
        <vertAlign val="baseline"/>
        <sz val="4"/>
        <color theme="1"/>
        <name val="Aptos Narrow"/>
        <family val="2"/>
        <scheme val="minor"/>
      </font>
      <fill>
        <patternFill patternType="solid">
          <fgColor indexed="64"/>
          <bgColor theme="4" tint="0.79998168889431442"/>
        </patternFill>
      </fill>
      <border diagonalUp="0" diagonalDown="0" outline="0">
        <left style="thin">
          <color theme="2" tint="-0.499984740745262"/>
        </left>
        <right/>
        <top style="thin">
          <color theme="2" tint="-0.499984740745262"/>
        </top>
        <bottom style="thin">
          <color theme="2" tint="-0.499984740745262"/>
        </bottom>
      </border>
    </dxf>
    <dxf>
      <numFmt numFmtId="0" formatCode="General"/>
    </dxf>
    <dxf>
      <font>
        <b val="0"/>
        <i val="0"/>
        <strike val="0"/>
        <condense val="0"/>
        <extend val="0"/>
        <outline val="0"/>
        <shadow val="0"/>
        <u val="none"/>
        <vertAlign val="baseline"/>
        <sz val="4"/>
        <color theme="1"/>
        <name val="Aptos Narrow"/>
        <family val="2"/>
        <scheme val="minor"/>
      </font>
      <numFmt numFmtId="0" formatCode="General"/>
      <fill>
        <patternFill patternType="solid">
          <fgColor indexed="64"/>
          <bgColor theme="7"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6"/>
        <color theme="1"/>
        <name val="Aptos Narrow"/>
        <family val="2"/>
        <scheme val="minor"/>
      </font>
      <fill>
        <patternFill patternType="solid">
          <fgColor indexed="64"/>
          <bgColor theme="7"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5"/>
        <color theme="1"/>
        <name val="Aptos Narrow"/>
        <family val="2"/>
        <scheme val="minor"/>
      </font>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none">
          <fgColor indexed="64"/>
          <bgColor auto="1"/>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4"/>
        <color theme="1"/>
        <name val="Aptos Narrow"/>
        <family val="2"/>
        <scheme val="minor"/>
      </font>
      <fill>
        <patternFill patternType="none">
          <fgColor indexed="64"/>
          <bgColor auto="1"/>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numFmt numFmtId="0" formatCode="General"/>
      <fill>
        <patternFill>
          <fgColor indexed="64"/>
          <bgColor theme="4"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4"/>
        <color theme="1"/>
        <name val="Aptos Narrow"/>
        <family val="2"/>
        <scheme val="minor"/>
      </font>
      <fill>
        <patternFill>
          <fgColor indexed="64"/>
          <bgColor theme="4" tint="0.79998168889431442"/>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strike val="0"/>
        <outline val="0"/>
        <shadow val="0"/>
        <u val="none"/>
        <vertAlign val="baseline"/>
        <sz val="5"/>
        <color theme="1"/>
        <name val="Aptos Narrow"/>
        <family val="2"/>
        <scheme val="minor"/>
      </font>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fill>
        <patternFill patternType="solid">
          <fgColor indexed="64"/>
          <bgColor theme="0" tint="-0.34998626667073579"/>
        </patternFill>
      </fill>
      <alignment horizontal="general" textRotation="0" wrapText="1"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style="thin">
          <color theme="2" tint="-0.499984740745262"/>
        </horizontal>
      </border>
    </dxf>
    <dxf>
      <font>
        <b/>
        <i val="0"/>
        <strike val="0"/>
        <condense val="0"/>
        <extend val="0"/>
        <outline val="0"/>
        <shadow val="0"/>
        <u val="none"/>
        <vertAlign val="baseline"/>
        <sz val="6"/>
        <color theme="5" tint="-0.249977111117893"/>
        <name val="Aptos Narrow"/>
        <family val="2"/>
        <scheme val="minor"/>
      </font>
      <fill>
        <patternFill patternType="solid">
          <fgColor indexed="64"/>
          <bgColor theme="2" tint="-0.249977111117893"/>
        </patternFill>
      </fill>
      <border diagonalUp="0" diagonalDown="0" outline="0">
        <left style="thin">
          <color theme="2" tint="-0.499984740745262"/>
        </left>
        <right/>
        <top style="thin">
          <color theme="2" tint="-0.499984740745262"/>
        </top>
        <bottom style="thin">
          <color theme="2" tint="-0.499984740745262"/>
        </bottom>
      </border>
    </dxf>
    <dxf>
      <font>
        <b/>
        <i val="0"/>
        <strike val="0"/>
        <condense val="0"/>
        <extend val="0"/>
        <outline val="0"/>
        <shadow val="0"/>
        <u val="none"/>
        <vertAlign val="baseline"/>
        <sz val="6"/>
        <color theme="5" tint="-0.249977111117893"/>
        <name val="Aptos Narrow"/>
        <family val="2"/>
        <scheme val="minor"/>
      </font>
      <fill>
        <patternFill patternType="solid">
          <fgColor indexed="64"/>
          <bgColor theme="2" tint="-0.249977111117893"/>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6"/>
        <color theme="5" tint="-0.249977111117893"/>
        <name val="Aptos Narrow"/>
        <family val="2"/>
        <scheme val="minor"/>
      </font>
      <fill>
        <patternFill patternType="solid">
          <fgColor indexed="64"/>
          <bgColor theme="2" tint="-0.249977111117893"/>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rgb="FF00B050"/>
        <name val="Aptos Narrow"/>
        <family val="2"/>
        <scheme val="minor"/>
      </font>
      <fill>
        <patternFill patternType="solid">
          <fgColor indexed="64"/>
          <bgColor theme="5"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5"/>
        <color rgb="FF00B050"/>
        <name val="Aptos Narrow"/>
        <family val="2"/>
        <scheme val="minor"/>
      </font>
      <numFmt numFmtId="0" formatCode="General"/>
      <fill>
        <patternFill patternType="solid">
          <fgColor indexed="64"/>
          <bgColor rgb="FFFFC000"/>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strike val="0"/>
        <outline val="0"/>
        <shadow val="0"/>
        <u val="none"/>
        <vertAlign val="baseline"/>
        <sz val="5"/>
        <color theme="1"/>
        <name val="Aptos Narrow"/>
        <family val="2"/>
        <scheme val="minor"/>
      </font>
      <fill>
        <patternFill patternType="solid">
          <fgColor indexed="64"/>
          <bgColor rgb="FFFFC000"/>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5"/>
        <color theme="1"/>
        <name val="Aptos Narrow"/>
        <family val="2"/>
        <scheme val="minor"/>
      </font>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i val="0"/>
        <strike val="0"/>
        <condense val="0"/>
        <extend val="0"/>
        <outline val="0"/>
        <shadow val="0"/>
        <u val="none"/>
        <vertAlign val="baseline"/>
        <sz val="5"/>
        <color theme="1"/>
        <name val="Aptos Narrow"/>
        <family val="2"/>
        <scheme val="minor"/>
      </font>
      <numFmt numFmtId="0" formatCode="General"/>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6"/>
        <color theme="1"/>
        <name val="Aptos Narrow"/>
        <family val="2"/>
        <scheme val="minor"/>
      </font>
      <numFmt numFmtId="0" formatCode="General"/>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b val="0"/>
        <i val="0"/>
        <strike val="0"/>
        <condense val="0"/>
        <extend val="0"/>
        <outline val="0"/>
        <shadow val="0"/>
        <u val="none"/>
        <vertAlign val="baseline"/>
        <sz val="5"/>
        <color theme="1"/>
        <name val="Aptos Narrow"/>
        <family val="2"/>
        <scheme val="minor"/>
      </font>
      <fill>
        <patternFill patternType="solid">
          <fgColor indexed="64"/>
          <bgColor rgb="FF92D050"/>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5"/>
        <color theme="1"/>
        <name val="Aptos Narrow"/>
        <family val="2"/>
        <scheme val="minor"/>
      </font>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val="0"/>
        <i val="0"/>
        <strike val="0"/>
        <condense val="0"/>
        <extend val="0"/>
        <outline val="0"/>
        <shadow val="0"/>
        <u val="none"/>
        <vertAlign val="baseline"/>
        <sz val="5"/>
        <color theme="1"/>
        <name val="Aptos Narrow"/>
        <family val="2"/>
        <scheme val="minor"/>
      </font>
      <numFmt numFmtId="0" formatCode="General"/>
      <fill>
        <patternFill patternType="solid">
          <fgColor indexed="64"/>
          <bgColor theme="5"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border>
    </dxf>
    <dxf>
      <font>
        <strike val="0"/>
        <outline val="0"/>
        <shadow val="0"/>
        <u val="none"/>
        <vertAlign val="baseline"/>
        <sz val="5"/>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6"/>
        <color theme="1"/>
        <name val="Aptos Narrow"/>
        <family val="2"/>
        <scheme val="minor"/>
      </font>
      <fill>
        <patternFill patternType="solid">
          <fgColor indexed="64"/>
          <bgColor rgb="FF92D050"/>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4"/>
        <color theme="1"/>
        <name val="Aptos Narrow"/>
        <family val="2"/>
        <scheme val="minor"/>
      </font>
      <fill>
        <patternFill patternType="solid">
          <fgColor indexed="64"/>
          <bgColor theme="4" tint="0.7999816888943144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strike val="0"/>
        <outline val="0"/>
        <shadow val="0"/>
        <u val="none"/>
        <vertAlign val="baseline"/>
        <sz val="4"/>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
        <color theme="1"/>
        <name val="Aptos Narrow"/>
        <family val="2"/>
        <scheme val="minor"/>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4"/>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4"/>
        <color theme="1"/>
        <name val="Aptos Narrow"/>
        <family val="2"/>
        <scheme val="minor"/>
      </font>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4"/>
        <color rgb="FF7030A0"/>
        <name val="Aptos Narrow"/>
        <family val="2"/>
        <scheme val="minor"/>
      </font>
      <fill>
        <patternFill patternType="solid">
          <fgColor indexed="64"/>
          <bgColor theme="6" tint="0.59999389629810485"/>
        </patternFill>
      </fill>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u val="none"/>
        <vertAlign val="baseline"/>
        <sz val="5"/>
        <color theme="1"/>
        <name val="Aptos Narrow"/>
        <family val="2"/>
        <scheme val="minor"/>
      </font>
      <fill>
        <patternFill patternType="solid">
          <fgColor indexed="64"/>
          <bgColor theme="6" tint="0.59999389629810485"/>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strike val="0"/>
        <outline val="0"/>
        <shadow val="0"/>
        <u val="none"/>
        <vertAlign val="baseline"/>
        <sz val="5"/>
        <color theme="1"/>
        <name val="Aptos Narrow"/>
        <family val="2"/>
        <scheme val="minor"/>
      </font>
    </dxf>
    <dxf>
      <font>
        <strike val="0"/>
        <outline val="0"/>
        <shadow val="0"/>
        <u val="none"/>
        <vertAlign val="baseline"/>
        <sz val="5"/>
        <color theme="1"/>
        <name val="Aptos Narrow"/>
        <family val="2"/>
        <scheme val="minor"/>
      </font>
      <alignment horizontal="center" vertical="top" textRotation="0" wrapText="1" indent="0" justifyLastLine="0" shrinkToFit="0" readingOrder="0"/>
    </dxf>
  </dxfs>
  <tableStyles count="1" defaultTableStyle="TableStyleMedium2" defaultPivotStyle="PivotStyleLight16">
    <tableStyle name="new" pivot="0" count="0" xr9:uid="{694C1283-C072-4373-B2E1-BF9F3414998B}"/>
  </tableStyles>
  <colors>
    <mruColors>
      <color rgb="FF9933FF"/>
      <color rgb="FFFF6600"/>
      <color rgb="FFFF7C80"/>
      <color rgb="FFFFFFCC"/>
      <color rgb="FFCCCCFF"/>
      <color rgb="FF9966FF"/>
      <color rgb="FFD60093"/>
      <color rgb="FFD8F5D7"/>
      <color rgb="FFCC99FF"/>
      <color rgb="FFC713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78719</xdr:colOff>
      <xdr:row>710</xdr:row>
      <xdr:rowOff>136448</xdr:rowOff>
    </xdr:from>
    <xdr:to>
      <xdr:col>2</xdr:col>
      <xdr:colOff>20863</xdr:colOff>
      <xdr:row>718</xdr:row>
      <xdr:rowOff>10495</xdr:rowOff>
    </xdr:to>
    <xdr:pic>
      <xdr:nvPicPr>
        <xdr:cNvPr id="2" name="Picture 1">
          <a:extLst>
            <a:ext uri="{FF2B5EF4-FFF2-40B4-BE49-F238E27FC236}">
              <a16:creationId xmlns:a16="http://schemas.microsoft.com/office/drawing/2014/main" id="{86EDEF4F-563B-8418-A201-B15577AD0E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719" y="4103886"/>
          <a:ext cx="468172" cy="1343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75</xdr:col>
      <xdr:colOff>115454</xdr:colOff>
      <xdr:row>0</xdr:row>
      <xdr:rowOff>215165</xdr:rowOff>
    </xdr:from>
    <xdr:to>
      <xdr:col>75</xdr:col>
      <xdr:colOff>1102065</xdr:colOff>
      <xdr:row>0</xdr:row>
      <xdr:rowOff>535500</xdr:rowOff>
    </xdr:to>
    <xdr:grpSp>
      <xdr:nvGrpSpPr>
        <xdr:cNvPr id="6" name="Group 5">
          <a:extLst>
            <a:ext uri="{FF2B5EF4-FFF2-40B4-BE49-F238E27FC236}">
              <a16:creationId xmlns:a16="http://schemas.microsoft.com/office/drawing/2014/main" id="{57B5BE5C-A331-4436-CD68-384512B9BCDA}"/>
            </a:ext>
          </a:extLst>
        </xdr:cNvPr>
        <xdr:cNvGrpSpPr/>
      </xdr:nvGrpSpPr>
      <xdr:grpSpPr>
        <a:xfrm>
          <a:off x="10469689" y="215165"/>
          <a:ext cx="986611" cy="320335"/>
          <a:chOff x="2240868" y="4229836"/>
          <a:chExt cx="1380207" cy="514508"/>
        </a:xfrm>
      </xdr:grpSpPr>
      <xdr:pic>
        <xdr:nvPicPr>
          <xdr:cNvPr id="3" name="Picture 2">
            <a:extLst>
              <a:ext uri="{FF2B5EF4-FFF2-40B4-BE49-F238E27FC236}">
                <a16:creationId xmlns:a16="http://schemas.microsoft.com/office/drawing/2014/main" id="{99EF8D58-091A-42D6-BA38-7418CF3AAE7F}"/>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8686" b="68766"/>
          <a:stretch>
            <a:fillRect/>
          </a:stretch>
        </xdr:blipFill>
        <xdr:spPr bwMode="auto">
          <a:xfrm>
            <a:off x="2240868" y="4235294"/>
            <a:ext cx="509049" cy="41962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A0577483-5B3E-45C7-A22E-D6C2A5D75579}"/>
              </a:ext>
            </a:extLst>
          </xdr:cNvPr>
          <xdr:cNvPicPr>
            <a:picLocks noChangeAspect="1" noChangeArrowheads="1"/>
          </xdr:cNvPicPr>
        </xdr:nvPicPr>
        <xdr:blipFill rotWithShape="1">
          <a:blip xmlns:r="http://schemas.openxmlformats.org/officeDocument/2006/relationships" r:embed="rId1">
            <a:duotone>
              <a:prstClr val="black"/>
              <a:srgbClr val="9966FF">
                <a:tint val="45000"/>
                <a:satMod val="400000"/>
              </a:srgbClr>
            </a:duotone>
            <a:extLst>
              <a:ext uri="{28A0092B-C50C-407E-A947-70E740481C1C}">
                <a14:useLocalDpi xmlns:a14="http://schemas.microsoft.com/office/drawing/2010/main" val="0"/>
              </a:ext>
            </a:extLst>
          </a:blip>
          <a:srcRect l="5559" t="30844" r="1402" b="38687"/>
          <a:stretch>
            <a:fillRect/>
          </a:stretch>
        </xdr:blipFill>
        <xdr:spPr bwMode="auto">
          <a:xfrm>
            <a:off x="2702685" y="4240331"/>
            <a:ext cx="435580" cy="40934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CD5FCF4D-A957-4D54-A9F2-EB5D150F7E7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61703" r="-3082"/>
          <a:stretch>
            <a:fillRect/>
          </a:stretch>
        </xdr:blipFill>
        <xdr:spPr bwMode="auto">
          <a:xfrm>
            <a:off x="3138475" y="4229836"/>
            <a:ext cx="482600" cy="51450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rah\Dropbox\nest_models\nest_data\GLM_nests.xlsx" TargetMode="External"/><Relationship Id="rId1" Type="http://schemas.openxmlformats.org/officeDocument/2006/relationships/externalLinkPath" Target="/Users/sarah/Dropbox/nest_models/nest_data/GLM_nes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est_data_grouped_0805_1225_"/>
      <sheetName val="GLM_nests"/>
    </sheetNames>
    <sheetDataSet>
      <sheetData sheetId="0"/>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A36203-D50A-487F-B5CC-0BEE4B85853D}" name="Table2" displayName="Table2" ref="A1:BY710" totalsRowShown="0" headerRowDxfId="88" dataDxfId="87">
  <autoFilter ref="A1:BY710" xr:uid="{97A36203-D50A-487F-B5CC-0BEE4B85853D}">
    <filterColumn colId="1">
      <filters>
        <filter val="RUTE"/>
        <filter val="RUTW"/>
      </filters>
    </filterColumn>
    <filterColumn colId="19">
      <filters>
        <filter val="Y"/>
      </filters>
    </filterColumn>
    <filterColumn colId="36">
      <filters>
        <filter val="FALSE"/>
      </filters>
    </filterColumn>
    <filterColumn colId="38">
      <filters>
        <filter val="FALSE"/>
      </filters>
    </filterColumn>
    <filterColumn colId="52">
      <filters>
        <filter val="CONI"/>
        <filter val="LETE"/>
      </filters>
    </filterColumn>
  </autoFilter>
  <tableColumns count="77">
    <tableColumn id="1" xr3:uid="{791DC205-10EF-4766-83AF-35B7EBA08B14}" name="nest" dataDxfId="86"/>
    <tableColumn id="2" xr3:uid="{CA9AEF49-FAE6-4B29-A13F-FD5E0D6667C8}" name="site" dataDxfId="85"/>
    <tableColumn id="17" xr3:uid="{472E4014-1CF7-433B-A76F-ACD1EC680893}" name="year" dataDxfId="84"/>
    <tableColumn id="18" xr3:uid="{364E719B-9EE6-4EC6-BD95-2C35C30347AA}" name="lat" dataDxfId="83"/>
    <tableColumn id="19" xr3:uid="{20EF050D-8EC4-4DAC-8FB6-9439067AAFE7}" name="lon" dataDxfId="82"/>
    <tableColumn id="20" xr3:uid="{E6C684E0-2905-45C4-9D1D-EBD98F93DF64}" name="cov_1m" dataDxfId="81"/>
    <tableColumn id="21" xr3:uid="{19A98604-2B68-4B49-9F1F-CE7D580FBC5D}" name="cov_5m" dataDxfId="80"/>
    <tableColumn id="22" xr3:uid="{A9635F19-BDAD-4405-B532-CE3C0B4836E4}" name="prot" dataDxfId="79"/>
    <tableColumn id="59" xr3:uid="{18806652-D222-4923-B069-EB4724CF029E}" name="pred" dataDxfId="78"/>
    <tableColumn id="33" xr3:uid="{0F1BE498-70F1-4856-85AD-D2C780FD7589}" name="estHD" dataDxfId="77"/>
    <tableColumn id="9" xr3:uid="{9A9FF9C6-C9CC-4348-8BDB-3787E2711152}" name="HD" dataDxfId="76"/>
    <tableColumn id="47" xr3:uid="{F1BC15C9-DBEC-4F7C-A513-2D6A5E582CD5}" name="HD_diff" dataDxfId="75">
      <calculatedColumnFormula>IF(ISNUMBER(Table2[[#This Row],[estHD]]),ABS(Table2[[#This Row],[HD]]-Table2[[#This Row],[estHD]]),"NA")</calculatedColumnFormula>
    </tableColumn>
    <tableColumn id="34" xr3:uid="{36ECA4D9-B1E5-45E8-9CCA-54027E152F20}" name="HD_equal" dataDxfId="74">
      <calculatedColumnFormula>Table2[[#This Row],[HD]]=Table2[[#This Row],[estHD]]</calculatedColumnFormula>
    </tableColumn>
    <tableColumn id="42" xr3:uid="{3B6C77A4-357E-480A-80E1-ABB956889996}" name="init_calc" dataDxfId="73"/>
    <tableColumn id="43" xr3:uid="{AA1C8310-27FD-4AA2-82F6-3E502129ED40}" name="init_date" dataDxfId="72"/>
    <tableColumn id="46" xr3:uid="{1709003D-7EC6-4225-9353-D236AF971D15}" name="age_diff" dataDxfId="71">
      <calculatedColumnFormula>IF(ISNUMBER(Table2[[#This Row],[nest_age1]]),ABS(Table2[[#This Row],[nest_age1]]-Table2[[#This Row],[nest_age_feb]]),"NA")</calculatedColumnFormula>
    </tableColumn>
    <tableColumn id="45" xr3:uid="{EB7AD7D6-A374-486C-818B-BED5F9879BD9}" name="init_diff" dataDxfId="70">
      <calculatedColumnFormula>IF(ISNUMBER(Table2[[#This Row],[final_obs_int2]]),ABS(Table2[[#This Row],[final_obs_int2]]-Table2[[#This Row],[final_obs_int_feb]]), "NA")</calculatedColumnFormula>
    </tableColumn>
    <tableColumn id="62" xr3:uid="{D7602E70-177B-412C-9EAA-05CB47E7E51C}" name="hatch_diff" dataDxfId="69"/>
    <tableColumn id="4" xr3:uid="{52B25306-89B0-4AF3-9E18-6D4C9D41773D}" name="camera_old" dataDxfId="68"/>
    <tableColumn id="61" xr3:uid="{1F177237-1EC7-47FA-B677-1BCE9F8C446C}" name="camera" dataDxfId="67">
      <calculatedColumnFormula>Table2[[#This Row],[camera_old]]</calculatedColumnFormula>
    </tableColumn>
    <tableColumn id="37" xr3:uid="{B8C4BFB2-064E-4C37-B9BF-A24DF6539ABF}" name="missing" dataDxfId="66"/>
    <tableColumn id="36" xr3:uid="{4B4BB5E1-1A6F-49E1-8066-B47B3329F6BD}" name="cam_fate_feb" dataDxfId="65"/>
    <tableColumn id="41" xr3:uid="{6B017F48-6872-4A2E-93CD-690AB9EE9397}" name="nest_age_feb" dataDxfId="64"/>
    <tableColumn id="40" xr3:uid="{CAE5086A-BCF6-48C9-8468-5DCA966BCC19}" name="final_obs_int_feb" dataDxfId="63"/>
    <tableColumn id="72" xr3:uid="{7EDFF894-37CF-4F30-AF32-82E06E923805}" name="field_fate_feb" dataDxfId="62"/>
    <tableColumn id="6" xr3:uid="{6208C6DC-E495-49AD-B76A-C48694D08DC2}" name="field_fate" dataDxfId="61"/>
    <tableColumn id="54" xr3:uid="{B40C879D-C836-46B9-BC1A-0AEC9CCB89CD}" name="field_fate2" dataDxfId="60">
      <calculatedColumnFormula>Table2[[#This Row],[field_fate]]</calculatedColumnFormula>
    </tableColumn>
    <tableColumn id="57" xr3:uid="{90CB2C14-FE5B-40C6-8CF9-BCE94E8504C8}" name="field_fate3" dataDxfId="59">
      <calculatedColumnFormula>Table2[[#This Row],[field_fate2]]</calculatedColumnFormula>
    </tableColumn>
    <tableColumn id="60" xr3:uid="{C7AA7191-07C8-4612-BC3C-6C9A33BD5132}" name="field_fate4" dataDxfId="58">
      <calculatedColumnFormula>Table2[[#This Row],[field_fate3]]</calculatedColumnFormula>
    </tableColumn>
    <tableColumn id="65" xr3:uid="{B228EF06-C013-40F9-A0D5-83077DB5FD9E}" name="field_fate5" dataDxfId="57">
      <calculatedColumnFormula>Table2[[#This Row],[field_fate4]]</calculatedColumnFormula>
    </tableColumn>
    <tableColumn id="66" xr3:uid="{7440A41D-E0D1-4480-BC7B-64B9541807EE}" name="field_fate6" dataDxfId="56">
      <calculatedColumnFormula>Table2[[#This Row],[field_fate5]]</calculatedColumnFormula>
    </tableColumn>
    <tableColumn id="68" xr3:uid="{CC4CC680-2269-47DF-90CE-8BC71F29598A}" name="field_fate7" dataDxfId="55">
      <calculatedColumnFormula>Table2[[#This Row],[field_fate5]]</calculatedColumnFormula>
    </tableColumn>
    <tableColumn id="69" xr3:uid="{2A4A3C34-CA1A-4509-BC34-A5B43687924D}" name="field_fate8" dataDxfId="54">
      <calculatedColumnFormula>Table2[[#This Row],[field_fate5]]</calculatedColumnFormula>
    </tableColumn>
    <tableColumn id="71" xr3:uid="{1355647A-3695-445E-B9A3-4BA068216BDA}" name="field_fate9" dataDxfId="53">
      <calculatedColumnFormula>Table2[[#This Row],[field_fate2]]</calculatedColumnFormula>
    </tableColumn>
    <tableColumn id="70" xr3:uid="{DD2526E9-71E8-4496-87E8-81279E55E2DE}" name="field_fate10" dataDxfId="52">
      <calculatedColumnFormula>Table2[[#This Row],[field_fate8]]</calculatedColumnFormula>
    </tableColumn>
    <tableColumn id="76" xr3:uid="{7DD1CD72-D1C6-4970-A30A-BC43E49A264F}" name="field_fate11" dataDxfId="11">
      <calculatedColumnFormula>Table2[[#This Row],[field_fate10]]</calculatedColumnFormula>
    </tableColumn>
    <tableColumn id="67" xr3:uid="{AC086BE9-4315-4460-A1E7-D01CA0666349}" name="equal" dataDxfId="12">
      <calculatedColumnFormula>Table2[[#This Row],[field_fate_feb]]=Table2[[#This Row],[field_fate10]]</calculatedColumnFormula>
    </tableColumn>
    <tableColumn id="7" xr3:uid="{6ED38C51-DC45-44F0-BA12-38C37B02F199}" name="cam_fate1" dataDxfId="51"/>
    <tableColumn id="77" xr3:uid="{BAF2B2B8-8A56-4920-9FC7-AF1033C337A4}" name="cam_fateNA" dataDxfId="0">
      <calculatedColumnFormula>Table2[[#This Row],[cam_fate2]]="NA"</calculatedColumnFormula>
    </tableColumn>
    <tableColumn id="38" xr3:uid="{E7D542A1-BE9E-4188-9D8A-7428A376BF19}" name="cam_fate2" dataDxfId="50">
      <calculatedColumnFormula>Table2[[#This Row],[cam_fate1]]</calculatedColumnFormula>
    </tableColumn>
    <tableColumn id="8" xr3:uid="{11173F2B-7163-42DF-9346-8F3C9878746B}" name="final_fate1" dataDxfId="49"/>
    <tableColumn id="39" xr3:uid="{DA3F95C4-15D2-4830-8158-EFF1942EF13C}" name="final_fate2" dataDxfId="48">
      <calculatedColumnFormula>Table2[[#This Row],[final_fate1]]</calculatedColumnFormula>
    </tableColumn>
    <tableColumn id="10" xr3:uid="{153C3EBD-E9CB-4671-99DB-D1375DB6E7A3}" name="nest_age1" dataDxfId="47"/>
    <tableColumn id="35" xr3:uid="{6CFF4232-729D-4A37-A073-451E2184315A}" name="nest_age2" dataDxfId="46"/>
    <tableColumn id="73" xr3:uid="{C7C3CB9E-F730-4725-B9D6-65F2662CD503}" name="nest_age3" dataDxfId="45">
      <calculatedColumnFormula>Table2[[#This Row],[final_obs_date]]-Table2[[#This Row],[init_date]]</calculatedColumnFormula>
    </tableColumn>
    <tableColumn id="75" xr3:uid="{21ABADE9-9152-4074-BA0E-FEE79B781D20}" name="nest_age4" dataDxfId="44">
      <calculatedColumnFormula>(Table2[[#This Row],[final_obs_date2]]-Table2[[#This Row],[estHD]])+16</calculatedColumnFormula>
    </tableColumn>
    <tableColumn id="11" xr3:uid="{FEA162B0-D9AB-4476-A6BA-45159BF53E67}" name="final_obs_int" dataDxfId="43"/>
    <tableColumn id="44" xr3:uid="{DB86C188-90AB-476B-B8C7-6F97998B54C2}" name="final_obs_int2" dataDxfId="42"/>
    <tableColumn id="64" xr3:uid="{115DD0F8-EB48-4424-B04C-6F9DFB536A02}" name="final_obs_int3" dataDxfId="41">
      <calculatedColumnFormula>Table2[[#This Row],[final_obs_date2]]-Table2[[#This Row],[pen_obs_date]]</calculatedColumnFormula>
    </tableColumn>
    <tableColumn id="23" xr3:uid="{11B25991-07CE-42AD-9020-B8A3BDA54F42}" name="final_obs_date" dataDxfId="40"/>
    <tableColumn id="63" xr3:uid="{BF611267-51D6-4DC6-AE73-C254DE3D2B66}" name="final_obs_date2" dataDxfId="39">
      <calculatedColumnFormula>Table2[[#This Row],[final_obs_date]]</calculatedColumnFormula>
    </tableColumn>
    <tableColumn id="74" xr3:uid="{8D3222AB-F8F6-4D49-AECE-EDBC8A21CA18}" name="pen_obs_date" dataDxfId="38"/>
    <tableColumn id="3" xr3:uid="{9885CC9D-25C3-4875-B7CD-A8D985D361C8}" name="species" dataDxfId="37"/>
    <tableColumn id="56" xr3:uid="{BF2FDD2F-8788-4FB9-99D1-5D804716CCB0}" name="likely_failed" dataDxfId="36">
      <calculatedColumnFormula>Table2[[#This Row],[final_obs_date]]&lt;(Table2[[#This Row],[estHD]]-2)</calculatedColumnFormula>
    </tableColumn>
    <tableColumn id="51" xr3:uid="{50A08702-C1AF-4599-815B-1FA7BDA569A8}" name="HF" dataDxfId="35">
      <calculatedColumnFormula>IF(Table2[[#This Row],[field_fate]]="H",1,0)</calculatedColumnFormula>
    </tableColumn>
    <tableColumn id="52" xr3:uid="{15FCFE1A-8E33-4229-92F0-B744340371FB}" name="HF_C" dataDxfId="34">
      <calculatedColumnFormula>IF(Table2[[#This Row],[cam_fate2]]="H",1,0)</calculatedColumnFormula>
    </tableColumn>
    <tableColumn id="53" xr3:uid="{9E99B6C2-F612-4E9C-A357-D9BE1B86169C}" name="HF_MC" dataDxfId="33">
      <calculatedColumnFormula>NOT(Table2[[#This Row],[HF_C]]=Table2[[#This Row],[HF]])</calculatedColumnFormula>
    </tableColumn>
    <tableColumn id="49" xr3:uid="{ADF1AE36-6355-40D8-9B11-3326503DA9EA}" name="MC" dataDxfId="32">
      <calculatedColumnFormula>NOT(Table2[[#This Row],[cam_fate2]]=Table2[[#This Row],[field_fate3]])</calculatedColumnFormula>
    </tableColumn>
    <tableColumn id="50" xr3:uid="{714A3A08-27E1-44E3-A832-539EE2A135C0}" name="marked_U" dataDxfId="31">
      <calculatedColumnFormula>OR(Table2[[#This Row],[field_fate3]]="U",Table2[[#This Row],[field_fate3]]="U-H")</calculatedColumnFormula>
    </tableColumn>
    <tableColumn id="12" xr3:uid="{DFBB7B42-A776-467E-AAEC-73BBAE66AA43}" name="i" dataDxfId="30"/>
    <tableColumn id="13" xr3:uid="{9D31C81E-347C-4F35-B5C9-E7DECBFB2590}" name="j" dataDxfId="29"/>
    <tableColumn id="5" xr3:uid="{6B1712E7-6F3D-4B6C-ADA1-2AFE2FBB188D}" name="j_adj" dataDxfId="28">
      <calculatedColumnFormula>IF(ISTEXT(Table2[[#This Row],[j.cam]]),Table2[[#This Row],[j]],Table2[[#This Row],[j.cam]])</calculatedColumnFormula>
    </tableColumn>
    <tableColumn id="15" xr3:uid="{11BF3D98-14DD-44E7-88A2-A8B8891757A6}" name="k" dataDxfId="27"/>
    <tableColumn id="31" xr3:uid="{23CD5FE6-DBFC-4F51-81D3-EA68B822938C}" name="k_adj" dataDxfId="26">
      <calculatedColumnFormula>IF(ISTEXT(Table2[[#This Row],[k.cam]]), Table2[[#This Row],[k]], Table2[[#This Row],[k.cam]])</calculatedColumnFormula>
    </tableColumn>
    <tableColumn id="14" xr3:uid="{7CDF2C5B-F73B-4218-9A60-D388B7924E86}" name="j.cam" dataDxfId="25"/>
    <tableColumn id="16" xr3:uid="{87403452-937D-418C-9E06-D22C4CA52DEE}" name="k.cam" dataDxfId="24"/>
    <tableColumn id="26" xr3:uid="{5F5D4CCF-69B5-4DF3-9682-ECF3B2FFBF39}" name="n_obs" dataDxfId="23"/>
    <tableColumn id="32" xr3:uid="{1099B59F-09CC-4382-B5B7-8B9813F64843}" name="n_days" dataDxfId="22">
      <calculatedColumnFormula>Table2[[#This Row],[final_obs_date]]-Table2[[#This Row],[i]]</calculatedColumnFormula>
    </tableColumn>
    <tableColumn id="58" xr3:uid="{8D988B41-447B-480C-B441-218079E528CE}" name="&gt; hatch?" dataDxfId="21">
      <calculatedColumnFormula>Table2[[#This Row],[final_obs_date2]]&gt;Table2[[#This Row],[estHD]]+3</calculatedColumnFormula>
    </tableColumn>
    <tableColumn id="24" xr3:uid="{A5A02969-CD77-41C3-A75A-2CE76141A0C1}" name="penultimate" dataDxfId="20"/>
    <tableColumn id="25" xr3:uid="{B2A81E8F-82EE-4E5B-864A-125D4F5ABCFC}" name="final" dataDxfId="19"/>
    <tableColumn id="27" xr3:uid="{AD5D3BE9-147B-4FDA-8DAD-D664F0C72D60}" name="obs_dates" dataDxfId="18"/>
    <tableColumn id="29" xr3:uid="{05751332-4065-44ED-918F-7BD1E7BE1A5C}" name="obs_history" dataDxfId="17"/>
    <tableColumn id="28" xr3:uid="{39BA4529-1A93-4CDB-AD7C-6CDDF9C867A0}" name="obs_ints" dataDxfId="16"/>
    <tableColumn id="30" xr3:uid="{8369AA8F-B539-426A-9176-1C2724220F42}" name="new_notes" dataDxfId="15"/>
    <tableColumn id="55" xr3:uid="{FD940D73-1F25-4652-B762-9402ED9355FD}" name="camera_notes" dataDxfId="14"/>
    <tableColumn id="48" xr3:uid="{77167F2A-2FBA-43B8-93C4-643B4D3BFE2C}" name="field_notes" dataDxfId="13"/>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B44B4-A05E-45B2-A35E-DD355866EE5D}">
  <dimension ref="A1:BY710"/>
  <sheetViews>
    <sheetView tabSelected="1" zoomScale="85" zoomScaleNormal="85" workbookViewId="0">
      <pane xSplit="89" ySplit="1" topLeftCell="CL115" activePane="bottomRight" state="frozen"/>
      <selection pane="topRight" activeCell="AX1" sqref="AX1"/>
      <selection pane="bottomLeft" activeCell="A2" sqref="A2"/>
      <selection pane="bottomRight" activeCell="AJ1" sqref="AJ1"/>
    </sheetView>
  </sheetViews>
  <sheetFormatPr defaultRowHeight="14.5" x14ac:dyDescent="0.35"/>
  <cols>
    <col min="1" max="1" width="4.81640625" customWidth="1"/>
    <col min="2" max="3" width="2.7265625" customWidth="1"/>
    <col min="4" max="4" width="2.81640625" hidden="1" customWidth="1"/>
    <col min="5" max="5" width="3.08984375" hidden="1" customWidth="1"/>
    <col min="6" max="6" width="1.7265625" hidden="1" customWidth="1"/>
    <col min="7" max="7" width="2.26953125" hidden="1" customWidth="1"/>
    <col min="8" max="8" width="2" hidden="1" customWidth="1"/>
    <col min="9" max="9" width="2" style="34" hidden="1" customWidth="1"/>
    <col min="10" max="10" width="2.26953125" style="118" customWidth="1"/>
    <col min="11" max="12" width="2" customWidth="1"/>
    <col min="13" max="13" width="2.36328125" customWidth="1"/>
    <col min="14" max="14" width="2.6328125" customWidth="1"/>
    <col min="15" max="15" width="2" customWidth="1"/>
    <col min="16" max="16" width="2.7265625" hidden="1" customWidth="1"/>
    <col min="17" max="17" width="2.6328125" hidden="1" customWidth="1"/>
    <col min="18" max="18" width="2.26953125" hidden="1" customWidth="1"/>
    <col min="19" max="19" width="2" hidden="1" customWidth="1"/>
    <col min="20" max="20" width="2" customWidth="1"/>
    <col min="21" max="21" width="1.7265625" customWidth="1"/>
    <col min="22" max="23" width="3.453125" customWidth="1"/>
    <col min="24" max="24" width="2.453125" customWidth="1"/>
    <col min="25" max="25" width="3.6328125" style="152" customWidth="1"/>
    <col min="26" max="26" width="2.26953125" hidden="1" customWidth="1"/>
    <col min="27" max="27" width="2" customWidth="1"/>
    <col min="28" max="28" width="2" style="34" hidden="1" customWidth="1"/>
    <col min="29" max="29" width="2" style="129" customWidth="1"/>
    <col min="30" max="30" width="2" style="96" customWidth="1"/>
    <col min="31" max="31" width="3.6328125" style="96" hidden="1" customWidth="1"/>
    <col min="32" max="34" width="2" style="96" hidden="1" customWidth="1"/>
    <col min="35" max="36" width="3.36328125" style="96" customWidth="1"/>
    <col min="37" max="37" width="2.6328125" style="96" customWidth="1"/>
    <col min="38" max="38" width="1.7265625" hidden="1" customWidth="1"/>
    <col min="39" max="39" width="1.7265625" customWidth="1"/>
    <col min="40" max="40" width="1.81640625" customWidth="1"/>
    <col min="41" max="41" width="2" hidden="1" customWidth="1"/>
    <col min="42" max="42" width="2.453125" hidden="1" customWidth="1"/>
    <col min="43" max="43" width="2" style="34" hidden="1" customWidth="1"/>
    <col min="44" max="45" width="2.453125" hidden="1" customWidth="1"/>
    <col min="46" max="47" width="2.453125" customWidth="1"/>
    <col min="48" max="49" width="2.453125" style="34" customWidth="1"/>
    <col min="50" max="50" width="3.08984375" customWidth="1"/>
    <col min="51" max="52" width="2.36328125" customWidth="1"/>
    <col min="53" max="53" width="2.90625" customWidth="1"/>
    <col min="54" max="54" width="3.1796875" hidden="1" customWidth="1"/>
    <col min="55" max="55" width="2" style="34" hidden="1" customWidth="1"/>
    <col min="56" max="56" width="2.7265625" style="34" hidden="1" customWidth="1"/>
    <col min="57" max="57" width="2.36328125" customWidth="1"/>
    <col min="58" max="58" width="1.90625" customWidth="1"/>
    <col min="59" max="59" width="1.81640625" style="34" customWidth="1"/>
    <col min="60" max="60" width="2.26953125" style="18" customWidth="1"/>
    <col min="61" max="61" width="2.54296875" customWidth="1"/>
    <col min="62" max="62" width="2.08984375" customWidth="1"/>
    <col min="63" max="63" width="2.36328125" customWidth="1"/>
    <col min="64" max="64" width="2.453125" customWidth="1"/>
    <col min="65" max="65" width="2.90625" hidden="1" customWidth="1"/>
    <col min="66" max="66" width="2" hidden="1" customWidth="1"/>
    <col min="67" max="68" width="1.6328125" customWidth="1"/>
    <col min="69" max="69" width="4" customWidth="1"/>
    <col min="70" max="70" width="3.36328125" customWidth="1"/>
    <col min="71" max="71" width="3.08984375" style="34" customWidth="1"/>
    <col min="72" max="72" width="8.453125" style="125" customWidth="1"/>
    <col min="73" max="73" width="10.81640625" style="124" customWidth="1"/>
    <col min="74" max="74" width="4" customWidth="1"/>
    <col min="75" max="75" width="13.7265625" customWidth="1"/>
    <col min="76" max="76" width="17.81640625" customWidth="1"/>
    <col min="77" max="77" width="25.6328125" customWidth="1"/>
    <col min="78" max="85" width="1.90625" customWidth="1"/>
    <col min="86" max="86" width="1.26953125" customWidth="1"/>
    <col min="87" max="87" width="1.36328125" customWidth="1"/>
    <col min="88" max="88" width="2.90625" customWidth="1"/>
    <col min="89" max="89" width="3.08984375" customWidth="1"/>
    <col min="90" max="90" width="17.453125" customWidth="1"/>
    <col min="91" max="91" width="11.1796875" customWidth="1"/>
    <col min="92" max="92" width="5.1796875" customWidth="1"/>
    <col min="93" max="93" width="17.54296875" customWidth="1"/>
    <col min="94" max="94" width="17.81640625" customWidth="1"/>
    <col min="95" max="95" width="22.1796875" customWidth="1"/>
    <col min="97" max="97" width="9.7265625" customWidth="1"/>
    <col min="98" max="98" width="14.54296875" customWidth="1"/>
    <col min="99" max="99" width="10.6328125" customWidth="1"/>
    <col min="100" max="100" width="9.6328125" customWidth="1"/>
    <col min="102" max="113" width="3.08984375" customWidth="1"/>
  </cols>
  <sheetData>
    <row r="1" spans="1:77" ht="42.5" customHeight="1" thickBot="1" x14ac:dyDescent="0.4">
      <c r="A1" s="1" t="s">
        <v>0</v>
      </c>
      <c r="B1" s="1" t="s">
        <v>1</v>
      </c>
      <c r="C1" s="1" t="s">
        <v>11</v>
      </c>
      <c r="D1" s="1" t="s">
        <v>12</v>
      </c>
      <c r="E1" s="1" t="s">
        <v>13</v>
      </c>
      <c r="F1" s="1" t="s">
        <v>14</v>
      </c>
      <c r="G1" s="1" t="s">
        <v>15</v>
      </c>
      <c r="H1" s="1" t="s">
        <v>16</v>
      </c>
      <c r="I1" s="37" t="s">
        <v>996</v>
      </c>
      <c r="J1" s="115" t="s">
        <v>458</v>
      </c>
      <c r="K1" s="1" t="s">
        <v>5</v>
      </c>
      <c r="L1" s="1" t="s">
        <v>461</v>
      </c>
      <c r="M1" s="1" t="s">
        <v>459</v>
      </c>
      <c r="N1" s="1" t="s">
        <v>480</v>
      </c>
      <c r="O1" s="1" t="s">
        <v>481</v>
      </c>
      <c r="P1" s="1" t="s">
        <v>482</v>
      </c>
      <c r="Q1" s="1" t="s">
        <v>1707</v>
      </c>
      <c r="R1" s="1" t="s">
        <v>1705</v>
      </c>
      <c r="S1" s="1" t="s">
        <v>1711</v>
      </c>
      <c r="T1" s="1" t="s">
        <v>3</v>
      </c>
      <c r="U1" s="1" t="s">
        <v>489</v>
      </c>
      <c r="V1" s="17" t="s">
        <v>477</v>
      </c>
      <c r="W1" s="17" t="s">
        <v>479</v>
      </c>
      <c r="X1" s="17" t="s">
        <v>478</v>
      </c>
      <c r="Y1" s="151" t="s">
        <v>1727</v>
      </c>
      <c r="Z1" s="1" t="s">
        <v>4</v>
      </c>
      <c r="AA1" s="1" t="s">
        <v>914</v>
      </c>
      <c r="AB1" s="37" t="s">
        <v>973</v>
      </c>
      <c r="AC1" s="126" t="s">
        <v>1710</v>
      </c>
      <c r="AD1" s="139" t="s">
        <v>1712</v>
      </c>
      <c r="AE1" s="97" t="s">
        <v>1713</v>
      </c>
      <c r="AF1" s="97" t="s">
        <v>1714</v>
      </c>
      <c r="AG1" s="97" t="s">
        <v>1716</v>
      </c>
      <c r="AH1" s="97" t="s">
        <v>1718</v>
      </c>
      <c r="AI1" s="97" t="s">
        <v>1726</v>
      </c>
      <c r="AJ1" s="97" t="s">
        <v>1732</v>
      </c>
      <c r="AK1" s="97" t="s">
        <v>1717</v>
      </c>
      <c r="AL1" s="37" t="s">
        <v>475</v>
      </c>
      <c r="AM1" s="37" t="s">
        <v>1734</v>
      </c>
      <c r="AN1" s="1" t="s">
        <v>476</v>
      </c>
      <c r="AO1" s="37" t="s">
        <v>474</v>
      </c>
      <c r="AP1" s="1" t="s">
        <v>472</v>
      </c>
      <c r="AQ1" s="37" t="s">
        <v>473</v>
      </c>
      <c r="AR1" s="37" t="s">
        <v>460</v>
      </c>
      <c r="AS1" s="115" t="s">
        <v>1728</v>
      </c>
      <c r="AT1" s="115" t="s">
        <v>1731</v>
      </c>
      <c r="AU1" s="37" t="s">
        <v>457</v>
      </c>
      <c r="AV1" s="1" t="s">
        <v>483</v>
      </c>
      <c r="AW1" s="1" t="s">
        <v>1708</v>
      </c>
      <c r="AX1" s="56" t="s">
        <v>456</v>
      </c>
      <c r="AY1" s="1" t="s">
        <v>1706</v>
      </c>
      <c r="AZ1" s="1" t="s">
        <v>1730</v>
      </c>
      <c r="BA1" s="37" t="s">
        <v>2</v>
      </c>
      <c r="BB1" s="1" t="s">
        <v>975</v>
      </c>
      <c r="BC1" s="1" t="s">
        <v>912</v>
      </c>
      <c r="BD1" s="1" t="s">
        <v>913</v>
      </c>
      <c r="BE1" s="1" t="s">
        <v>910</v>
      </c>
      <c r="BF1" s="1" t="s">
        <v>911</v>
      </c>
      <c r="BG1" s="1" t="s">
        <v>956</v>
      </c>
      <c r="BH1" s="1" t="s">
        <v>6</v>
      </c>
      <c r="BI1" s="1" t="s">
        <v>7</v>
      </c>
      <c r="BJ1" s="1" t="s">
        <v>454</v>
      </c>
      <c r="BK1" s="1" t="s">
        <v>9</v>
      </c>
      <c r="BL1" s="1" t="s">
        <v>455</v>
      </c>
      <c r="BM1" s="1" t="s">
        <v>8</v>
      </c>
      <c r="BN1" s="1" t="s">
        <v>10</v>
      </c>
      <c r="BO1" s="1" t="s">
        <v>486</v>
      </c>
      <c r="BP1" s="1" t="s">
        <v>487</v>
      </c>
      <c r="BQ1" s="1" t="s">
        <v>1709</v>
      </c>
      <c r="BR1" s="1" t="s">
        <v>17</v>
      </c>
      <c r="BS1" s="1" t="s">
        <v>18</v>
      </c>
      <c r="BT1" s="1" t="s">
        <v>19</v>
      </c>
      <c r="BU1" s="1" t="s">
        <v>21</v>
      </c>
      <c r="BV1" s="1" t="s">
        <v>20</v>
      </c>
      <c r="BW1" s="1" t="s">
        <v>922</v>
      </c>
      <c r="BX1" s="1" t="s">
        <v>915</v>
      </c>
      <c r="BY1" s="35" t="s">
        <v>490</v>
      </c>
    </row>
    <row r="2" spans="1:77" ht="19" hidden="1" thickBot="1" x14ac:dyDescent="0.4">
      <c r="A2" s="62">
        <v>10001</v>
      </c>
      <c r="B2" s="2" t="s">
        <v>22</v>
      </c>
      <c r="C2" s="44">
        <v>2019</v>
      </c>
      <c r="D2" s="3">
        <v>29.67155</v>
      </c>
      <c r="E2" s="3">
        <v>-92.855959999999996</v>
      </c>
      <c r="F2" s="3">
        <v>0</v>
      </c>
      <c r="G2" s="3">
        <v>0</v>
      </c>
      <c r="H2" s="3" t="s">
        <v>26</v>
      </c>
      <c r="I2" s="43"/>
      <c r="J2" s="55">
        <v>34</v>
      </c>
      <c r="K2" s="4">
        <v>34</v>
      </c>
      <c r="L2" s="22">
        <f>IF(ISNUMBER(Table2[[#This Row],[estHD]]),ABS(Table2[[#This Row],[HD]]-Table2[[#This Row],[estHD]]),"NA")</f>
        <v>0</v>
      </c>
      <c r="M2" s="4" t="b">
        <f>Table2[[#This Row],[HD]]=Table2[[#This Row],[estHD]]</f>
        <v>1</v>
      </c>
      <c r="N2" s="4" t="str">
        <f>IF(ISNUMBER([1]!Table2[[#This Row],[hatch_date]]), [1]!Table2[[#This Row],[hatch_date]]-28, "NA")</f>
        <v>NA</v>
      </c>
      <c r="O2" s="31">
        <v>6</v>
      </c>
      <c r="P2" s="23">
        <f>IF(ISNUMBER(Table2[[#This Row],[nest_age1]]),ABS(Table2[[#This Row],[nest_age1]]-Table2[[#This Row],[nest_age_feb]]),"NA")</f>
        <v>0</v>
      </c>
      <c r="Q2" s="24">
        <f>IF(ISNUMBER(Table2[[#This Row],[final_obs_int2]]),ABS(Table2[[#This Row],[final_obs_int2]]-Table2[[#This Row],[final_obs_int_feb]]), "NA")</f>
        <v>0</v>
      </c>
      <c r="R2" s="24"/>
      <c r="S2" s="57" t="s">
        <v>88</v>
      </c>
      <c r="T2" s="57" t="str">
        <f>Table2[[#This Row],[camera_old]]</f>
        <v>N</v>
      </c>
      <c r="U2" s="24"/>
      <c r="V2" s="16" t="s">
        <v>24</v>
      </c>
      <c r="W2" s="16">
        <v>12</v>
      </c>
      <c r="X2" s="145">
        <v>8</v>
      </c>
      <c r="Y2" s="149" t="s">
        <v>25</v>
      </c>
      <c r="Z2" s="146" t="s">
        <v>25</v>
      </c>
      <c r="AA2" s="4" t="str">
        <f>Table2[[#This Row],[field_fate]]</f>
        <v>S</v>
      </c>
      <c r="AB2" s="4" t="str">
        <f>Table2[[#This Row],[field_fate2]]</f>
        <v>S</v>
      </c>
      <c r="AC2" s="4" t="str">
        <f>Table2[[#This Row],[field_fate3]]</f>
        <v>S</v>
      </c>
      <c r="AD2" s="4" t="str">
        <f>Table2[[#This Row],[field_fate4]]</f>
        <v>S</v>
      </c>
      <c r="AE2" s="4" t="str">
        <f>Table2[[#This Row],[field_fate5]]</f>
        <v>S</v>
      </c>
      <c r="AF2" s="4" t="str">
        <f>Table2[[#This Row],[field_fate5]]</f>
        <v>S</v>
      </c>
      <c r="AG2" s="4" t="str">
        <f>Table2[[#This Row],[field_fate5]]</f>
        <v>S</v>
      </c>
      <c r="AH2" s="4" t="str">
        <f>Table2[[#This Row],[field_fate2]]</f>
        <v>S</v>
      </c>
      <c r="AI2" s="4" t="str">
        <f>Table2[[#This Row],[field_fate8]]</f>
        <v>S</v>
      </c>
      <c r="AJ2" s="4" t="str">
        <f>Table2[[#This Row],[field_fate10]]</f>
        <v>S</v>
      </c>
      <c r="AK2" s="4" t="b">
        <f>Table2[[#This Row],[field_fate_feb]]=Table2[[#This Row],[field_fate10]]</f>
        <v>1</v>
      </c>
      <c r="AL2" s="43" t="s">
        <v>24</v>
      </c>
      <c r="AM2" s="43" t="b">
        <f>Table2[[#This Row],[cam_fate2]]="NA"</f>
        <v>1</v>
      </c>
      <c r="AN2" s="19" t="str">
        <f>Table2[[#This Row],[cam_fate1]]</f>
        <v>NA</v>
      </c>
      <c r="AO2" s="2" t="s">
        <v>25</v>
      </c>
      <c r="AP2" s="5" t="str">
        <f>Table2[[#This Row],[final_fate1]]</f>
        <v>S</v>
      </c>
      <c r="AQ2" s="6">
        <v>12</v>
      </c>
      <c r="AR2" s="7">
        <v>12</v>
      </c>
      <c r="AS2" s="7">
        <f>Table2[[#This Row],[final_obs_date]]-Table2[[#This Row],[init_date]]</f>
        <v>12</v>
      </c>
      <c r="AT2" s="7">
        <f>(Table2[[#This Row],[final_obs_date2]]-Table2[[#This Row],[estHD]])+16</f>
        <v>0</v>
      </c>
      <c r="AU2" s="38">
        <v>8</v>
      </c>
      <c r="AV2" s="33">
        <v>8</v>
      </c>
      <c r="AW2" s="33">
        <f>Table2[[#This Row],[final_obs_date2]]-Table2[[#This Row],[pen_obs_date]]</f>
        <v>18</v>
      </c>
      <c r="AX2" s="67">
        <v>18</v>
      </c>
      <c r="AY2" s="6">
        <f>Table2[[#This Row],[final_obs_date]]</f>
        <v>18</v>
      </c>
      <c r="AZ2" s="6"/>
      <c r="BA2" s="91" t="s">
        <v>23</v>
      </c>
      <c r="BB2" s="6" t="b">
        <f>Table2[[#This Row],[final_obs_date]]&lt;(Table2[[#This Row],[estHD]]-2)</f>
        <v>1</v>
      </c>
      <c r="BC2" s="24">
        <f>IF(Table2[[#This Row],[field_fate]]="H",1,0)</f>
        <v>0</v>
      </c>
      <c r="BD2" s="16">
        <f>IF(Table2[[#This Row],[cam_fate2]]="H",1,0)</f>
        <v>0</v>
      </c>
      <c r="BE2" s="6" t="b">
        <f>NOT(Table2[[#This Row],[HF_C]]=Table2[[#This Row],[HF]])</f>
        <v>0</v>
      </c>
      <c r="BF2" s="6" t="b">
        <f>NOT(Table2[[#This Row],[cam_fate2]]=Table2[[#This Row],[field_fate3]])</f>
        <v>1</v>
      </c>
      <c r="BG2" s="38" t="b">
        <f>OR(Table2[[#This Row],[field_fate3]]="U",Table2[[#This Row],[field_fate3]]="U-H")</f>
        <v>0</v>
      </c>
      <c r="BH2" s="8">
        <v>10</v>
      </c>
      <c r="BI2" s="8">
        <v>10</v>
      </c>
      <c r="BJ2" s="14">
        <f>IF(ISTEXT(Table2[[#This Row],[j.cam]]),Table2[[#This Row],[j]],Table2[[#This Row],[j.cam]])</f>
        <v>10</v>
      </c>
      <c r="BK2" s="9">
        <v>18</v>
      </c>
      <c r="BL2" s="15">
        <f>IF(ISTEXT(Table2[[#This Row],[k.cam]]), Table2[[#This Row],[k]], Table2[[#This Row],[k.cam]])</f>
        <v>18</v>
      </c>
      <c r="BM2" s="4" t="s">
        <v>24</v>
      </c>
      <c r="BN2" s="8" t="s">
        <v>24</v>
      </c>
      <c r="BO2" s="4">
        <v>2</v>
      </c>
      <c r="BP2" s="4">
        <f>Table2[[#This Row],[final_obs_date]]-Table2[[#This Row],[i]]</f>
        <v>8</v>
      </c>
      <c r="BQ2" s="4" t="b">
        <f>Table2[[#This Row],[final_obs_date2]]&gt;Table2[[#This Row],[estHD]]+3</f>
        <v>0</v>
      </c>
      <c r="BR2" s="4" t="s">
        <v>27</v>
      </c>
      <c r="BS2" s="4" t="s">
        <v>28</v>
      </c>
      <c r="BT2" s="79" t="s">
        <v>1006</v>
      </c>
      <c r="BU2" s="26" t="s">
        <v>29</v>
      </c>
      <c r="BV2" s="79" t="s">
        <v>1427</v>
      </c>
      <c r="BW2" s="49"/>
      <c r="BX2" s="48"/>
      <c r="BY2" s="36" t="s">
        <v>491</v>
      </c>
    </row>
    <row r="3" spans="1:77" ht="15" hidden="1" thickBot="1" x14ac:dyDescent="0.4">
      <c r="A3" s="62">
        <v>10002</v>
      </c>
      <c r="B3" s="2" t="s">
        <v>30</v>
      </c>
      <c r="C3" s="44">
        <v>2019</v>
      </c>
      <c r="D3" s="3">
        <v>29.636369999999999</v>
      </c>
      <c r="E3" s="3">
        <v>-92.770799999999994</v>
      </c>
      <c r="F3" s="3">
        <v>0</v>
      </c>
      <c r="G3" s="3">
        <v>0</v>
      </c>
      <c r="H3" s="3" t="s">
        <v>26</v>
      </c>
      <c r="I3" s="43"/>
      <c r="J3" s="55">
        <v>43</v>
      </c>
      <c r="K3" s="4">
        <v>43</v>
      </c>
      <c r="L3" s="22">
        <f>IF(ISNUMBER(Table2[[#This Row],[estHD]]),ABS(Table2[[#This Row],[HD]]-Table2[[#This Row],[estHD]]),"NA")</f>
        <v>0</v>
      </c>
      <c r="M3" s="4" t="b">
        <f>Table2[[#This Row],[HD]]=Table2[[#This Row],[estHD]]</f>
        <v>1</v>
      </c>
      <c r="N3" s="4" t="str">
        <f>IF(ISNUMBER([1]!Table2[[#This Row],[hatch_date]]), [1]!Table2[[#This Row],[hatch_date]]-28, "NA")</f>
        <v>NA</v>
      </c>
      <c r="O3" s="31">
        <v>15</v>
      </c>
      <c r="P3" s="23">
        <f>IF(ISNUMBER(Table2[[#This Row],[nest_age1]]),ABS(Table2[[#This Row],[nest_age1]]-Table2[[#This Row],[nest_age_feb]]),"NA")</f>
        <v>0</v>
      </c>
      <c r="Q3" s="24">
        <f>IF(ISNUMBER(Table2[[#This Row],[final_obs_int2]]),ABS(Table2[[#This Row],[final_obs_int2]]-Table2[[#This Row],[final_obs_int_feb]]), "NA")</f>
        <v>0</v>
      </c>
      <c r="R3" s="24"/>
      <c r="S3" s="57" t="s">
        <v>88</v>
      </c>
      <c r="T3" s="57" t="str">
        <f>Table2[[#This Row],[camera_old]]</f>
        <v>N</v>
      </c>
      <c r="U3" s="24"/>
      <c r="V3" s="16" t="s">
        <v>24</v>
      </c>
      <c r="W3" s="16">
        <v>11</v>
      </c>
      <c r="X3" s="145">
        <v>6</v>
      </c>
      <c r="Y3" s="147" t="s">
        <v>31</v>
      </c>
      <c r="Z3" s="146" t="s">
        <v>31</v>
      </c>
      <c r="AA3" s="4" t="str">
        <f>Table2[[#This Row],[field_fate]]</f>
        <v>D</v>
      </c>
      <c r="AB3" s="4" t="str">
        <f>Table2[[#This Row],[field_fate2]]</f>
        <v>D</v>
      </c>
      <c r="AC3" s="4" t="str">
        <f>Table2[[#This Row],[field_fate3]]</f>
        <v>D</v>
      </c>
      <c r="AD3" s="4" t="str">
        <f>Table2[[#This Row],[field_fate4]]</f>
        <v>D</v>
      </c>
      <c r="AE3" s="4" t="str">
        <f>Table2[[#This Row],[field_fate5]]</f>
        <v>D</v>
      </c>
      <c r="AF3" s="4" t="str">
        <f>Table2[[#This Row],[field_fate5]]</f>
        <v>D</v>
      </c>
      <c r="AG3" s="4" t="str">
        <f>Table2[[#This Row],[field_fate5]]</f>
        <v>D</v>
      </c>
      <c r="AH3" s="4" t="str">
        <f>Table2[[#This Row],[field_fate2]]</f>
        <v>D</v>
      </c>
      <c r="AI3" s="4" t="str">
        <f>Table2[[#This Row],[field_fate8]]</f>
        <v>D</v>
      </c>
      <c r="AJ3" s="4" t="str">
        <f>Table2[[#This Row],[field_fate10]]</f>
        <v>D</v>
      </c>
      <c r="AK3" s="4" t="b">
        <f>Table2[[#This Row],[field_fate_feb]]=Table2[[#This Row],[field_fate10]]</f>
        <v>1</v>
      </c>
      <c r="AL3" s="43" t="s">
        <v>24</v>
      </c>
      <c r="AM3" s="43" t="b">
        <f>Table2[[#This Row],[cam_fate2]]="NA"</f>
        <v>1</v>
      </c>
      <c r="AN3" s="19" t="str">
        <f>Table2[[#This Row],[cam_fate1]]</f>
        <v>NA</v>
      </c>
      <c r="AO3" s="2" t="s">
        <v>31</v>
      </c>
      <c r="AP3" s="5" t="str">
        <f>Table2[[#This Row],[final_fate1]]</f>
        <v>D</v>
      </c>
      <c r="AQ3" s="6">
        <v>11</v>
      </c>
      <c r="AR3" s="7">
        <v>11</v>
      </c>
      <c r="AS3" s="7">
        <f>Table2[[#This Row],[final_obs_date]]-Table2[[#This Row],[init_date]]</f>
        <v>11</v>
      </c>
      <c r="AT3" s="7">
        <f>(Table2[[#This Row],[final_obs_date2]]-Table2[[#This Row],[estHD]])+16</f>
        <v>-1</v>
      </c>
      <c r="AU3" s="38">
        <v>6</v>
      </c>
      <c r="AV3" s="33">
        <v>6</v>
      </c>
      <c r="AW3" s="33">
        <f>Table2[[#This Row],[final_obs_date2]]-Table2[[#This Row],[pen_obs_date]]</f>
        <v>26</v>
      </c>
      <c r="AX3" s="67">
        <v>26</v>
      </c>
      <c r="AY3" s="6">
        <f>Table2[[#This Row],[final_obs_date]]</f>
        <v>26</v>
      </c>
      <c r="AZ3" s="6"/>
      <c r="BA3" s="91" t="s">
        <v>23</v>
      </c>
      <c r="BB3" s="6" t="b">
        <f>Table2[[#This Row],[final_obs_date]]&lt;(Table2[[#This Row],[estHD]]-2)</f>
        <v>1</v>
      </c>
      <c r="BC3" s="24">
        <f>IF(Table2[[#This Row],[field_fate]]="H",1,0)</f>
        <v>0</v>
      </c>
      <c r="BD3" s="16">
        <f>IF(Table2[[#This Row],[cam_fate2]]="H",1,0)</f>
        <v>0</v>
      </c>
      <c r="BE3" s="6" t="b">
        <f>NOT(Table2[[#This Row],[HF_C]]=Table2[[#This Row],[HF]])</f>
        <v>0</v>
      </c>
      <c r="BF3" s="6" t="b">
        <f>NOT(Table2[[#This Row],[cam_fate2]]=Table2[[#This Row],[field_fate3]])</f>
        <v>1</v>
      </c>
      <c r="BG3" s="6" t="b">
        <f>OR(Table2[[#This Row],[field_fate3]]="U",Table2[[#This Row],[field_fate3]]="U-H")</f>
        <v>0</v>
      </c>
      <c r="BH3" s="8">
        <v>12</v>
      </c>
      <c r="BI3" s="8">
        <v>20</v>
      </c>
      <c r="BJ3" s="14">
        <f>IF(ISTEXT(Table2[[#This Row],[j.cam]]),Table2[[#This Row],[j]],Table2[[#This Row],[j.cam]])</f>
        <v>20</v>
      </c>
      <c r="BK3" s="9">
        <v>26</v>
      </c>
      <c r="BL3" s="15">
        <f>IF(ISTEXT(Table2[[#This Row],[k.cam]]), Table2[[#This Row],[k]], Table2[[#This Row],[k.cam]])</f>
        <v>26</v>
      </c>
      <c r="BM3" s="4" t="s">
        <v>24</v>
      </c>
      <c r="BN3" s="8" t="s">
        <v>24</v>
      </c>
      <c r="BO3" s="4">
        <v>3</v>
      </c>
      <c r="BP3" s="4">
        <f>Table2[[#This Row],[final_obs_date]]-Table2[[#This Row],[i]]</f>
        <v>14</v>
      </c>
      <c r="BQ3" s="4" t="b">
        <f>Table2[[#This Row],[final_obs_date2]]&gt;Table2[[#This Row],[estHD]]+3</f>
        <v>0</v>
      </c>
      <c r="BR3" s="4" t="s">
        <v>27</v>
      </c>
      <c r="BS3" s="4" t="s">
        <v>28</v>
      </c>
      <c r="BT3" s="79" t="s">
        <v>1007</v>
      </c>
      <c r="BU3" s="26" t="s">
        <v>32</v>
      </c>
      <c r="BV3" s="79" t="s">
        <v>1428</v>
      </c>
      <c r="BW3" s="49"/>
      <c r="BX3" s="47"/>
      <c r="BY3" s="36" t="s">
        <v>492</v>
      </c>
    </row>
    <row r="4" spans="1:77" ht="15" hidden="1" thickBot="1" x14ac:dyDescent="0.4">
      <c r="A4" s="62">
        <v>10003</v>
      </c>
      <c r="B4" s="2" t="s">
        <v>30</v>
      </c>
      <c r="C4" s="44">
        <v>2019</v>
      </c>
      <c r="D4" s="3">
        <v>29.637370000000001</v>
      </c>
      <c r="E4" s="3">
        <v>-92.774569999999997</v>
      </c>
      <c r="F4" s="3">
        <v>0</v>
      </c>
      <c r="G4" s="3">
        <v>0</v>
      </c>
      <c r="H4" s="3" t="s">
        <v>26</v>
      </c>
      <c r="I4" s="43"/>
      <c r="J4" s="55">
        <v>31</v>
      </c>
      <c r="K4" s="4">
        <v>31</v>
      </c>
      <c r="L4" s="22">
        <f>IF(ISNUMBER(Table2[[#This Row],[estHD]]),ABS(Table2[[#This Row],[HD]]-Table2[[#This Row],[estHD]]),"NA")</f>
        <v>0</v>
      </c>
      <c r="M4" s="4" t="b">
        <f>Table2[[#This Row],[HD]]=Table2[[#This Row],[estHD]]</f>
        <v>1</v>
      </c>
      <c r="N4" s="4" t="str">
        <f>IF(ISNUMBER([1]!Table2[[#This Row],[hatch_date]]), [1]!Table2[[#This Row],[hatch_date]]-28, "NA")</f>
        <v>NA</v>
      </c>
      <c r="O4" s="31">
        <v>3</v>
      </c>
      <c r="P4" s="23">
        <f>IF(ISNUMBER(Table2[[#This Row],[nest_age1]]),ABS(Table2[[#This Row],[nest_age1]]-Table2[[#This Row],[nest_age_feb]]),"NA")</f>
        <v>0</v>
      </c>
      <c r="Q4" s="24">
        <f>IF(ISNUMBER(Table2[[#This Row],[final_obs_int2]]),ABS(Table2[[#This Row],[final_obs_int2]]-Table2[[#This Row],[final_obs_int_feb]]), "NA")</f>
        <v>0</v>
      </c>
      <c r="R4" s="24"/>
      <c r="S4" s="57" t="s">
        <v>88</v>
      </c>
      <c r="T4" s="57" t="str">
        <f>Table2[[#This Row],[camera_old]]</f>
        <v>N</v>
      </c>
      <c r="U4" s="24"/>
      <c r="V4" s="16" t="s">
        <v>24</v>
      </c>
      <c r="W4" s="16">
        <v>17</v>
      </c>
      <c r="X4" s="145">
        <v>8</v>
      </c>
      <c r="Y4" s="147" t="s">
        <v>25</v>
      </c>
      <c r="Z4" s="146" t="s">
        <v>25</v>
      </c>
      <c r="AA4" s="4" t="str">
        <f>Table2[[#This Row],[field_fate]]</f>
        <v>S</v>
      </c>
      <c r="AB4" s="4" t="str">
        <f>Table2[[#This Row],[field_fate2]]</f>
        <v>S</v>
      </c>
      <c r="AC4" s="4" t="str">
        <f>Table2[[#This Row],[field_fate3]]</f>
        <v>S</v>
      </c>
      <c r="AD4" s="4" t="str">
        <f>Table2[[#This Row],[field_fate4]]</f>
        <v>S</v>
      </c>
      <c r="AE4" s="4" t="str">
        <f>Table2[[#This Row],[field_fate5]]</f>
        <v>S</v>
      </c>
      <c r="AF4" s="4" t="str">
        <f>Table2[[#This Row],[field_fate5]]</f>
        <v>S</v>
      </c>
      <c r="AG4" s="4" t="str">
        <f>Table2[[#This Row],[field_fate5]]</f>
        <v>S</v>
      </c>
      <c r="AH4" s="4" t="str">
        <f>Table2[[#This Row],[field_fate2]]</f>
        <v>S</v>
      </c>
      <c r="AI4" s="4" t="str">
        <f>Table2[[#This Row],[field_fate8]]</f>
        <v>S</v>
      </c>
      <c r="AJ4" s="4" t="str">
        <f>Table2[[#This Row],[field_fate10]]</f>
        <v>S</v>
      </c>
      <c r="AK4" s="4" t="b">
        <f>Table2[[#This Row],[field_fate_feb]]=Table2[[#This Row],[field_fate10]]</f>
        <v>1</v>
      </c>
      <c r="AL4" s="43" t="s">
        <v>24</v>
      </c>
      <c r="AM4" s="43" t="b">
        <f>Table2[[#This Row],[cam_fate2]]="NA"</f>
        <v>1</v>
      </c>
      <c r="AN4" s="19" t="str">
        <f>Table2[[#This Row],[cam_fate1]]</f>
        <v>NA</v>
      </c>
      <c r="AO4" s="2" t="s">
        <v>25</v>
      </c>
      <c r="AP4" s="5" t="str">
        <f>Table2[[#This Row],[final_fate1]]</f>
        <v>S</v>
      </c>
      <c r="AQ4" s="6">
        <v>17</v>
      </c>
      <c r="AR4" s="7">
        <v>17</v>
      </c>
      <c r="AS4" s="7">
        <f>Table2[[#This Row],[final_obs_date]]-Table2[[#This Row],[init_date]]</f>
        <v>17</v>
      </c>
      <c r="AT4" s="7">
        <f>(Table2[[#This Row],[final_obs_date2]]-Table2[[#This Row],[estHD]])+16</f>
        <v>5</v>
      </c>
      <c r="AU4" s="38">
        <v>8</v>
      </c>
      <c r="AV4" s="33">
        <v>8</v>
      </c>
      <c r="AW4" s="33">
        <f>Table2[[#This Row],[final_obs_date2]]-Table2[[#This Row],[pen_obs_date]]</f>
        <v>20</v>
      </c>
      <c r="AX4" s="67">
        <v>20</v>
      </c>
      <c r="AY4" s="6">
        <f>Table2[[#This Row],[final_obs_date]]</f>
        <v>20</v>
      </c>
      <c r="AZ4" s="6"/>
      <c r="BA4" s="91" t="s">
        <v>23</v>
      </c>
      <c r="BB4" s="6" t="b">
        <f>Table2[[#This Row],[final_obs_date]]&lt;(Table2[[#This Row],[estHD]]-2)</f>
        <v>1</v>
      </c>
      <c r="BC4" s="24">
        <f>IF(Table2[[#This Row],[field_fate]]="H",1,0)</f>
        <v>0</v>
      </c>
      <c r="BD4" s="16">
        <f>IF(Table2[[#This Row],[cam_fate2]]="H",1,0)</f>
        <v>0</v>
      </c>
      <c r="BE4" s="6" t="b">
        <f>NOT(Table2[[#This Row],[HF_C]]=Table2[[#This Row],[HF]])</f>
        <v>0</v>
      </c>
      <c r="BF4" s="6" t="b">
        <f>NOT(Table2[[#This Row],[cam_fate2]]=Table2[[#This Row],[field_fate3]])</f>
        <v>1</v>
      </c>
      <c r="BG4" s="6" t="b">
        <f>OR(Table2[[#This Row],[field_fate3]]="U",Table2[[#This Row],[field_fate3]]="U-H")</f>
        <v>0</v>
      </c>
      <c r="BH4" s="8">
        <v>12</v>
      </c>
      <c r="BI4" s="8">
        <v>12</v>
      </c>
      <c r="BJ4" s="14">
        <f>IF(ISTEXT(Table2[[#This Row],[j.cam]]),Table2[[#This Row],[j]],Table2[[#This Row],[j.cam]])</f>
        <v>12</v>
      </c>
      <c r="BK4" s="9">
        <v>20</v>
      </c>
      <c r="BL4" s="15">
        <f>IF(ISTEXT(Table2[[#This Row],[k.cam]]), Table2[[#This Row],[k]], Table2[[#This Row],[k.cam]])</f>
        <v>20</v>
      </c>
      <c r="BM4" s="4" t="s">
        <v>24</v>
      </c>
      <c r="BN4" s="8" t="s">
        <v>24</v>
      </c>
      <c r="BO4" s="4">
        <v>2</v>
      </c>
      <c r="BP4" s="4">
        <f>Table2[[#This Row],[final_obs_date]]-Table2[[#This Row],[i]]</f>
        <v>8</v>
      </c>
      <c r="BQ4" s="4" t="b">
        <f>Table2[[#This Row],[final_obs_date2]]&gt;Table2[[#This Row],[estHD]]+3</f>
        <v>0</v>
      </c>
      <c r="BR4" s="4" t="s">
        <v>27</v>
      </c>
      <c r="BS4" s="4" t="s">
        <v>28</v>
      </c>
      <c r="BT4" s="79" t="s">
        <v>1008</v>
      </c>
      <c r="BU4" s="26" t="s">
        <v>29</v>
      </c>
      <c r="BV4" s="79" t="s">
        <v>1427</v>
      </c>
      <c r="BW4" s="49"/>
      <c r="BX4" s="47"/>
      <c r="BY4" s="36" t="s">
        <v>493</v>
      </c>
    </row>
    <row r="5" spans="1:77" ht="15" hidden="1" thickBot="1" x14ac:dyDescent="0.4">
      <c r="A5" s="62">
        <v>10004</v>
      </c>
      <c r="B5" s="2" t="s">
        <v>22</v>
      </c>
      <c r="C5" s="44">
        <v>2019</v>
      </c>
      <c r="D5" s="3">
        <v>29.670269999999999</v>
      </c>
      <c r="E5" s="3">
        <v>-92.85163</v>
      </c>
      <c r="F5" s="3">
        <v>0</v>
      </c>
      <c r="G5" s="3">
        <v>5</v>
      </c>
      <c r="H5" s="3" t="s">
        <v>26</v>
      </c>
      <c r="I5" s="43"/>
      <c r="J5" s="55">
        <v>39</v>
      </c>
      <c r="K5" s="4">
        <v>39</v>
      </c>
      <c r="L5" s="22">
        <f>IF(ISNUMBER(Table2[[#This Row],[estHD]]),ABS(Table2[[#This Row],[HD]]-Table2[[#This Row],[estHD]]),"NA")</f>
        <v>0</v>
      </c>
      <c r="M5" s="4" t="b">
        <f>Table2[[#This Row],[HD]]=Table2[[#This Row],[estHD]]</f>
        <v>1</v>
      </c>
      <c r="N5" s="4" t="str">
        <f>IF(ISNUMBER([1]!Table2[[#This Row],[hatch_date]]), [1]!Table2[[#This Row],[hatch_date]]-28, "NA")</f>
        <v>NA</v>
      </c>
      <c r="O5" s="31">
        <v>11</v>
      </c>
      <c r="P5" s="23">
        <f>IF(ISNUMBER(Table2[[#This Row],[nest_age1]]),ABS(Table2[[#This Row],[nest_age1]]-Table2[[#This Row],[nest_age_feb]]),"NA")</f>
        <v>0</v>
      </c>
      <c r="Q5" s="24">
        <f>IF(ISNUMBER(Table2[[#This Row],[final_obs_int2]]),ABS(Table2[[#This Row],[final_obs_int2]]-Table2[[#This Row],[final_obs_int_feb]]), "NA")</f>
        <v>0</v>
      </c>
      <c r="R5" s="24"/>
      <c r="S5" s="57" t="s">
        <v>88</v>
      </c>
      <c r="T5" s="57" t="str">
        <f>Table2[[#This Row],[camera_old]]</f>
        <v>N</v>
      </c>
      <c r="U5" s="24"/>
      <c r="V5" s="16" t="s">
        <v>24</v>
      </c>
      <c r="W5" s="16">
        <v>7</v>
      </c>
      <c r="X5" s="145">
        <v>4</v>
      </c>
      <c r="Y5" s="147" t="s">
        <v>25</v>
      </c>
      <c r="Z5" s="146" t="s">
        <v>25</v>
      </c>
      <c r="AA5" s="4" t="str">
        <f>Table2[[#This Row],[field_fate]]</f>
        <v>S</v>
      </c>
      <c r="AB5" s="4" t="str">
        <f>Table2[[#This Row],[field_fate2]]</f>
        <v>S</v>
      </c>
      <c r="AC5" s="4" t="str">
        <f>Table2[[#This Row],[field_fate3]]</f>
        <v>S</v>
      </c>
      <c r="AD5" s="4" t="str">
        <f>Table2[[#This Row],[field_fate4]]</f>
        <v>S</v>
      </c>
      <c r="AE5" s="4" t="str">
        <f>Table2[[#This Row],[field_fate5]]</f>
        <v>S</v>
      </c>
      <c r="AF5" s="4" t="str">
        <f>Table2[[#This Row],[field_fate5]]</f>
        <v>S</v>
      </c>
      <c r="AG5" s="4" t="str">
        <f>Table2[[#This Row],[field_fate5]]</f>
        <v>S</v>
      </c>
      <c r="AH5" s="4" t="str">
        <f>Table2[[#This Row],[field_fate2]]</f>
        <v>S</v>
      </c>
      <c r="AI5" s="4" t="str">
        <f>Table2[[#This Row],[field_fate8]]</f>
        <v>S</v>
      </c>
      <c r="AJ5" s="4" t="str">
        <f>Table2[[#This Row],[field_fate10]]</f>
        <v>S</v>
      </c>
      <c r="AK5" s="4" t="b">
        <f>Table2[[#This Row],[field_fate_feb]]=Table2[[#This Row],[field_fate10]]</f>
        <v>1</v>
      </c>
      <c r="AL5" s="43" t="s">
        <v>24</v>
      </c>
      <c r="AM5" s="43" t="b">
        <f>Table2[[#This Row],[cam_fate2]]="NA"</f>
        <v>1</v>
      </c>
      <c r="AN5" s="19" t="str">
        <f>Table2[[#This Row],[cam_fate1]]</f>
        <v>NA</v>
      </c>
      <c r="AO5" s="2" t="s">
        <v>25</v>
      </c>
      <c r="AP5" s="5" t="str">
        <f>Table2[[#This Row],[final_fate1]]</f>
        <v>S</v>
      </c>
      <c r="AQ5" s="6">
        <v>7</v>
      </c>
      <c r="AR5" s="7">
        <v>7</v>
      </c>
      <c r="AS5" s="7">
        <f>Table2[[#This Row],[final_obs_date]]-Table2[[#This Row],[init_date]]</f>
        <v>7</v>
      </c>
      <c r="AT5" s="7">
        <f>(Table2[[#This Row],[final_obs_date2]]-Table2[[#This Row],[estHD]])+16</f>
        <v>-5</v>
      </c>
      <c r="AU5" s="38">
        <v>4</v>
      </c>
      <c r="AV5" s="33">
        <v>4</v>
      </c>
      <c r="AW5" s="33">
        <f>Table2[[#This Row],[final_obs_date2]]-Table2[[#This Row],[pen_obs_date]]</f>
        <v>18</v>
      </c>
      <c r="AX5" s="67">
        <v>18</v>
      </c>
      <c r="AY5" s="6">
        <f>Table2[[#This Row],[final_obs_date]]</f>
        <v>18</v>
      </c>
      <c r="AZ5" s="6"/>
      <c r="BA5" s="91" t="s">
        <v>23</v>
      </c>
      <c r="BB5" s="6" t="b">
        <f>Table2[[#This Row],[final_obs_date]]&lt;(Table2[[#This Row],[estHD]]-2)</f>
        <v>1</v>
      </c>
      <c r="BC5" s="24">
        <f>IF(Table2[[#This Row],[field_fate]]="H",1,0)</f>
        <v>0</v>
      </c>
      <c r="BD5" s="16">
        <f>IF(Table2[[#This Row],[cam_fate2]]="H",1,0)</f>
        <v>0</v>
      </c>
      <c r="BE5" s="6" t="b">
        <f>NOT(Table2[[#This Row],[HF_C]]=Table2[[#This Row],[HF]])</f>
        <v>0</v>
      </c>
      <c r="BF5" s="6" t="b">
        <f>NOT(Table2[[#This Row],[cam_fate2]]=Table2[[#This Row],[field_fate3]])</f>
        <v>1</v>
      </c>
      <c r="BG5" s="6" t="b">
        <f>OR(Table2[[#This Row],[field_fate3]]="U",Table2[[#This Row],[field_fate3]]="U-H")</f>
        <v>0</v>
      </c>
      <c r="BH5" s="8">
        <v>14</v>
      </c>
      <c r="BI5" s="8">
        <v>14</v>
      </c>
      <c r="BJ5" s="14">
        <f>IF(ISTEXT(Table2[[#This Row],[j.cam]]),Table2[[#This Row],[j]],Table2[[#This Row],[j.cam]])</f>
        <v>14</v>
      </c>
      <c r="BK5" s="9">
        <v>18</v>
      </c>
      <c r="BL5" s="15">
        <f>IF(ISTEXT(Table2[[#This Row],[k.cam]]), Table2[[#This Row],[k]], Table2[[#This Row],[k.cam]])</f>
        <v>18</v>
      </c>
      <c r="BM5" s="4" t="s">
        <v>24</v>
      </c>
      <c r="BN5" s="8" t="s">
        <v>24</v>
      </c>
      <c r="BO5" s="4">
        <v>2</v>
      </c>
      <c r="BP5" s="4">
        <f>Table2[[#This Row],[final_obs_date]]-Table2[[#This Row],[i]]</f>
        <v>4</v>
      </c>
      <c r="BQ5" s="4" t="b">
        <f>Table2[[#This Row],[final_obs_date2]]&gt;Table2[[#This Row],[estHD]]+3</f>
        <v>0</v>
      </c>
      <c r="BR5" s="4" t="s">
        <v>33</v>
      </c>
      <c r="BS5" s="4" t="s">
        <v>28</v>
      </c>
      <c r="BT5" s="79" t="s">
        <v>1009</v>
      </c>
      <c r="BU5" s="26" t="s">
        <v>34</v>
      </c>
      <c r="BV5" s="79" t="s">
        <v>1429</v>
      </c>
      <c r="BW5" s="49"/>
      <c r="BX5" s="47"/>
      <c r="BY5" s="36" t="s">
        <v>494</v>
      </c>
    </row>
    <row r="6" spans="1:77" ht="15" hidden="1" thickBot="1" x14ac:dyDescent="0.4">
      <c r="A6" s="62">
        <v>10005</v>
      </c>
      <c r="B6" s="2" t="s">
        <v>35</v>
      </c>
      <c r="C6" s="44">
        <v>2019</v>
      </c>
      <c r="D6" s="3">
        <v>29.766780000000001</v>
      </c>
      <c r="E6" s="3">
        <v>-93.160259999999994</v>
      </c>
      <c r="F6" s="3">
        <v>20</v>
      </c>
      <c r="G6" s="3">
        <v>30</v>
      </c>
      <c r="H6" s="3" t="s">
        <v>26</v>
      </c>
      <c r="I6" s="43"/>
      <c r="J6" s="55">
        <v>45</v>
      </c>
      <c r="K6" s="4">
        <v>45</v>
      </c>
      <c r="L6" s="22">
        <f>IF(ISNUMBER(Table2[[#This Row],[estHD]]),ABS(Table2[[#This Row],[HD]]-Table2[[#This Row],[estHD]]),"NA")</f>
        <v>0</v>
      </c>
      <c r="M6" s="4" t="b">
        <f>Table2[[#This Row],[HD]]=Table2[[#This Row],[estHD]]</f>
        <v>1</v>
      </c>
      <c r="N6" s="4" t="str">
        <f>IF(ISNUMBER([1]!Table2[[#This Row],[hatch_date]]), [1]!Table2[[#This Row],[hatch_date]]-28, "NA")</f>
        <v>NA</v>
      </c>
      <c r="O6" s="31">
        <v>17</v>
      </c>
      <c r="P6" s="23">
        <f>IF(ISNUMBER(Table2[[#This Row],[nest_age1]]),ABS(Table2[[#This Row],[nest_age1]]-Table2[[#This Row],[nest_age_feb]]),"NA")</f>
        <v>0</v>
      </c>
      <c r="Q6" s="24">
        <f>IF(ISNUMBER(Table2[[#This Row],[final_obs_int2]]),ABS(Table2[[#This Row],[final_obs_int2]]-Table2[[#This Row],[final_obs_int_feb]]), "NA")</f>
        <v>0</v>
      </c>
      <c r="R6" s="24"/>
      <c r="S6" s="57" t="s">
        <v>88</v>
      </c>
      <c r="T6" s="57" t="str">
        <f>Table2[[#This Row],[camera_old]]</f>
        <v>N</v>
      </c>
      <c r="U6" s="24"/>
      <c r="V6" s="16" t="s">
        <v>24</v>
      </c>
      <c r="W6" s="16">
        <v>2</v>
      </c>
      <c r="X6" s="145">
        <v>3</v>
      </c>
      <c r="Y6" s="147" t="s">
        <v>36</v>
      </c>
      <c r="Z6" s="146" t="s">
        <v>36</v>
      </c>
      <c r="AA6" s="4" t="str">
        <f>Table2[[#This Row],[field_fate]]</f>
        <v>A</v>
      </c>
      <c r="AB6" s="4" t="str">
        <f>Table2[[#This Row],[field_fate2]]</f>
        <v>A</v>
      </c>
      <c r="AC6" s="4" t="str">
        <f>Table2[[#This Row],[field_fate3]]</f>
        <v>A</v>
      </c>
      <c r="AD6" s="4" t="str">
        <f>Table2[[#This Row],[field_fate4]]</f>
        <v>A</v>
      </c>
      <c r="AE6" s="4" t="str">
        <f>Table2[[#This Row],[field_fate5]]</f>
        <v>A</v>
      </c>
      <c r="AF6" s="4" t="str">
        <f>Table2[[#This Row],[field_fate5]]</f>
        <v>A</v>
      </c>
      <c r="AG6" s="4" t="str">
        <f>Table2[[#This Row],[field_fate5]]</f>
        <v>A</v>
      </c>
      <c r="AH6" s="4" t="str">
        <f>Table2[[#This Row],[field_fate2]]</f>
        <v>A</v>
      </c>
      <c r="AI6" s="4" t="str">
        <f>Table2[[#This Row],[field_fate8]]</f>
        <v>A</v>
      </c>
      <c r="AJ6" s="4" t="str">
        <f>Table2[[#This Row],[field_fate10]]</f>
        <v>A</v>
      </c>
      <c r="AK6" s="4" t="b">
        <f>Table2[[#This Row],[field_fate_feb]]=Table2[[#This Row],[field_fate10]]</f>
        <v>1</v>
      </c>
      <c r="AL6" s="43" t="s">
        <v>24</v>
      </c>
      <c r="AM6" s="43" t="b">
        <f>Table2[[#This Row],[cam_fate2]]="NA"</f>
        <v>1</v>
      </c>
      <c r="AN6" s="19" t="str">
        <f>Table2[[#This Row],[cam_fate1]]</f>
        <v>NA</v>
      </c>
      <c r="AO6" s="2" t="s">
        <v>36</v>
      </c>
      <c r="AP6" s="5" t="str">
        <f>Table2[[#This Row],[final_fate1]]</f>
        <v>A</v>
      </c>
      <c r="AQ6" s="6">
        <v>2</v>
      </c>
      <c r="AR6" s="7">
        <v>2</v>
      </c>
      <c r="AS6" s="7">
        <f>Table2[[#This Row],[final_obs_date]]-Table2[[#This Row],[init_date]]</f>
        <v>2</v>
      </c>
      <c r="AT6" s="7">
        <f>(Table2[[#This Row],[final_obs_date2]]-Table2[[#This Row],[estHD]])+16</f>
        <v>-10</v>
      </c>
      <c r="AU6" s="38">
        <v>3</v>
      </c>
      <c r="AV6" s="33">
        <v>3</v>
      </c>
      <c r="AW6" s="33">
        <f>Table2[[#This Row],[final_obs_date2]]-Table2[[#This Row],[pen_obs_date]]</f>
        <v>19</v>
      </c>
      <c r="AX6" s="67">
        <v>19</v>
      </c>
      <c r="AY6" s="6">
        <f>Table2[[#This Row],[final_obs_date]]</f>
        <v>19</v>
      </c>
      <c r="AZ6" s="6"/>
      <c r="BA6" s="91" t="s">
        <v>23</v>
      </c>
      <c r="BB6" s="6" t="b">
        <f>Table2[[#This Row],[final_obs_date]]&lt;(Table2[[#This Row],[estHD]]-2)</f>
        <v>1</v>
      </c>
      <c r="BC6" s="24">
        <f>IF(Table2[[#This Row],[field_fate]]="H",1,0)</f>
        <v>0</v>
      </c>
      <c r="BD6" s="16">
        <f>IF(Table2[[#This Row],[cam_fate2]]="H",1,0)</f>
        <v>0</v>
      </c>
      <c r="BE6" s="6" t="b">
        <f>NOT(Table2[[#This Row],[HF_C]]=Table2[[#This Row],[HF]])</f>
        <v>0</v>
      </c>
      <c r="BF6" s="6" t="b">
        <f>NOT(Table2[[#This Row],[cam_fate2]]=Table2[[#This Row],[field_fate3]])</f>
        <v>1</v>
      </c>
      <c r="BG6" s="6" t="b">
        <f>OR(Table2[[#This Row],[field_fate3]]="U",Table2[[#This Row],[field_fate3]]="U-H")</f>
        <v>0</v>
      </c>
      <c r="BH6" s="8">
        <v>16</v>
      </c>
      <c r="BI6" s="8">
        <v>16</v>
      </c>
      <c r="BJ6" s="14">
        <f>IF(ISTEXT(Table2[[#This Row],[j.cam]]),Table2[[#This Row],[j]],Table2[[#This Row],[j.cam]])</f>
        <v>16</v>
      </c>
      <c r="BK6" s="9">
        <v>19</v>
      </c>
      <c r="BL6" s="15">
        <f>IF(ISTEXT(Table2[[#This Row],[k.cam]]), Table2[[#This Row],[k]], Table2[[#This Row],[k.cam]])</f>
        <v>19</v>
      </c>
      <c r="BM6" s="4" t="s">
        <v>24</v>
      </c>
      <c r="BN6" s="8" t="s">
        <v>24</v>
      </c>
      <c r="BO6" s="4">
        <v>2</v>
      </c>
      <c r="BP6" s="4">
        <f>Table2[[#This Row],[final_obs_date]]-Table2[[#This Row],[i]]</f>
        <v>3</v>
      </c>
      <c r="BQ6" s="4" t="b">
        <f>Table2[[#This Row],[final_obs_date2]]&gt;Table2[[#This Row],[estHD]]+3</f>
        <v>0</v>
      </c>
      <c r="BR6" s="4" t="s">
        <v>33</v>
      </c>
      <c r="BS6" s="4" t="s">
        <v>28</v>
      </c>
      <c r="BT6" s="79" t="s">
        <v>1010</v>
      </c>
      <c r="BU6" s="26" t="s">
        <v>34</v>
      </c>
      <c r="BV6" s="79" t="s">
        <v>1430</v>
      </c>
      <c r="BW6" s="49"/>
      <c r="BX6" s="47"/>
      <c r="BY6" s="36" t="s">
        <v>495</v>
      </c>
    </row>
    <row r="7" spans="1:77" ht="15" hidden="1" thickBot="1" x14ac:dyDescent="0.4">
      <c r="A7" s="62">
        <v>10006</v>
      </c>
      <c r="B7" s="2" t="s">
        <v>35</v>
      </c>
      <c r="C7" s="44">
        <v>2019</v>
      </c>
      <c r="D7" s="3">
        <v>29.76756</v>
      </c>
      <c r="E7" s="3">
        <v>-93.164190000000005</v>
      </c>
      <c r="F7" s="3">
        <v>5</v>
      </c>
      <c r="G7" s="3">
        <v>20</v>
      </c>
      <c r="H7" s="3" t="s">
        <v>26</v>
      </c>
      <c r="I7" s="43"/>
      <c r="J7" s="55">
        <v>45</v>
      </c>
      <c r="K7" s="4">
        <v>44</v>
      </c>
      <c r="L7" s="22">
        <f>IF(ISNUMBER(Table2[[#This Row],[estHD]]),ABS(Table2[[#This Row],[HD]]-Table2[[#This Row],[estHD]]),"NA")</f>
        <v>1</v>
      </c>
      <c r="M7" s="4" t="b">
        <f>Table2[[#This Row],[HD]]=Table2[[#This Row],[estHD]]</f>
        <v>0</v>
      </c>
      <c r="N7" s="4" t="str">
        <f>IF(ISNUMBER([1]!Table2[[#This Row],[hatch_date]]), [1]!Table2[[#This Row],[hatch_date]]-28, "NA")</f>
        <v>NA</v>
      </c>
      <c r="O7" s="31">
        <v>16</v>
      </c>
      <c r="P7" s="23">
        <f>IF(ISNUMBER(Table2[[#This Row],[nest_age1]]),ABS(Table2[[#This Row],[nest_age1]]-Table2[[#This Row],[nest_age_feb]]),"NA")</f>
        <v>1</v>
      </c>
      <c r="Q7" s="24">
        <f>IF(ISNUMBER(Table2[[#This Row],[final_obs_int2]]),ABS(Table2[[#This Row],[final_obs_int2]]-Table2[[#This Row],[final_obs_int_feb]]), "NA")</f>
        <v>0</v>
      </c>
      <c r="R7" s="24"/>
      <c r="S7" s="57" t="s">
        <v>88</v>
      </c>
      <c r="T7" s="57" t="str">
        <f>Table2[[#This Row],[camera_old]]</f>
        <v>N</v>
      </c>
      <c r="U7" s="24"/>
      <c r="V7" s="16" t="s">
        <v>24</v>
      </c>
      <c r="W7" s="16">
        <v>27</v>
      </c>
      <c r="X7" s="145">
        <v>4</v>
      </c>
      <c r="Y7" s="147" t="s">
        <v>37</v>
      </c>
      <c r="Z7" s="146" t="s">
        <v>37</v>
      </c>
      <c r="AA7" s="4" t="str">
        <f>Table2[[#This Row],[field_fate]]</f>
        <v>H</v>
      </c>
      <c r="AB7" s="4" t="str">
        <f>Table2[[#This Row],[field_fate2]]</f>
        <v>H</v>
      </c>
      <c r="AC7" s="4" t="str">
        <f>Table2[[#This Row],[field_fate3]]</f>
        <v>H</v>
      </c>
      <c r="AD7" s="4" t="str">
        <f>Table2[[#This Row],[field_fate4]]</f>
        <v>H</v>
      </c>
      <c r="AE7" s="4" t="str">
        <f>Table2[[#This Row],[field_fate5]]</f>
        <v>H</v>
      </c>
      <c r="AF7" s="4" t="str">
        <f>Table2[[#This Row],[field_fate5]]</f>
        <v>H</v>
      </c>
      <c r="AG7" s="4" t="str">
        <f>Table2[[#This Row],[field_fate5]]</f>
        <v>H</v>
      </c>
      <c r="AH7" s="4" t="str">
        <f>Table2[[#This Row],[field_fate2]]</f>
        <v>H</v>
      </c>
      <c r="AI7" s="4" t="str">
        <f>Table2[[#This Row],[field_fate8]]</f>
        <v>H</v>
      </c>
      <c r="AJ7" s="4" t="str">
        <f>Table2[[#This Row],[field_fate10]]</f>
        <v>H</v>
      </c>
      <c r="AK7" s="4" t="b">
        <f>Table2[[#This Row],[field_fate_feb]]=Table2[[#This Row],[field_fate10]]</f>
        <v>1</v>
      </c>
      <c r="AL7" s="43" t="s">
        <v>24</v>
      </c>
      <c r="AM7" s="43" t="b">
        <f>Table2[[#This Row],[cam_fate2]]="NA"</f>
        <v>1</v>
      </c>
      <c r="AN7" s="19" t="str">
        <f>Table2[[#This Row],[cam_fate1]]</f>
        <v>NA</v>
      </c>
      <c r="AO7" s="2" t="s">
        <v>37</v>
      </c>
      <c r="AP7" s="5" t="str">
        <f>Table2[[#This Row],[final_fate1]]</f>
        <v>H</v>
      </c>
      <c r="AQ7" s="6">
        <v>28</v>
      </c>
      <c r="AR7" s="7">
        <v>27</v>
      </c>
      <c r="AS7" s="7">
        <f>Table2[[#This Row],[final_obs_date]]-Table2[[#This Row],[init_date]]</f>
        <v>28</v>
      </c>
      <c r="AT7" s="7">
        <f>(Table2[[#This Row],[final_obs_date2]]-Table2[[#This Row],[estHD]])+16</f>
        <v>15</v>
      </c>
      <c r="AU7" s="38">
        <v>4</v>
      </c>
      <c r="AV7" s="33">
        <v>4</v>
      </c>
      <c r="AW7" s="33">
        <f>Table2[[#This Row],[final_obs_date2]]-Table2[[#This Row],[pen_obs_date]]</f>
        <v>44</v>
      </c>
      <c r="AX7" s="67">
        <v>44</v>
      </c>
      <c r="AY7" s="6">
        <f>Table2[[#This Row],[final_obs_date]]</f>
        <v>44</v>
      </c>
      <c r="AZ7" s="6"/>
      <c r="BA7" s="91" t="s">
        <v>23</v>
      </c>
      <c r="BB7" s="6" t="b">
        <f>Table2[[#This Row],[final_obs_date]]&lt;(Table2[[#This Row],[estHD]]-2)</f>
        <v>0</v>
      </c>
      <c r="BC7" s="24">
        <f>IF(Table2[[#This Row],[field_fate]]="H",1,0)</f>
        <v>1</v>
      </c>
      <c r="BD7" s="16">
        <f>IF(Table2[[#This Row],[cam_fate2]]="H",1,0)</f>
        <v>0</v>
      </c>
      <c r="BE7" s="6" t="b">
        <f>NOT(Table2[[#This Row],[HF_C]]=Table2[[#This Row],[HF]])</f>
        <v>1</v>
      </c>
      <c r="BF7" s="6" t="b">
        <f>NOT(Table2[[#This Row],[cam_fate2]]=Table2[[#This Row],[field_fate3]])</f>
        <v>1</v>
      </c>
      <c r="BG7" s="6" t="b">
        <f>OR(Table2[[#This Row],[field_fate3]]="U",Table2[[#This Row],[field_fate3]]="U-H")</f>
        <v>0</v>
      </c>
      <c r="BH7" s="8">
        <v>16</v>
      </c>
      <c r="BI7" s="8">
        <v>44</v>
      </c>
      <c r="BJ7" s="14">
        <f>IF(ISTEXT(Table2[[#This Row],[j.cam]]),Table2[[#This Row],[j]],Table2[[#This Row],[j.cam]])</f>
        <v>44</v>
      </c>
      <c r="BK7" s="9">
        <v>44</v>
      </c>
      <c r="BL7" s="15">
        <f>IF(ISTEXT(Table2[[#This Row],[k.cam]]), Table2[[#This Row],[k]], Table2[[#This Row],[k.cam]])</f>
        <v>44</v>
      </c>
      <c r="BM7" s="4" t="s">
        <v>24</v>
      </c>
      <c r="BN7" s="8" t="s">
        <v>24</v>
      </c>
      <c r="BO7" s="4">
        <v>8</v>
      </c>
      <c r="BP7" s="4">
        <f>Table2[[#This Row],[final_obs_date]]-Table2[[#This Row],[i]]</f>
        <v>28</v>
      </c>
      <c r="BQ7" s="4" t="b">
        <f>Table2[[#This Row],[final_obs_date2]]&gt;Table2[[#This Row],[estHD]]+3</f>
        <v>0</v>
      </c>
      <c r="BR7" s="4" t="s">
        <v>27</v>
      </c>
      <c r="BS7" s="4" t="s">
        <v>38</v>
      </c>
      <c r="BT7" s="79" t="s">
        <v>1011</v>
      </c>
      <c r="BU7" s="26" t="s">
        <v>39</v>
      </c>
      <c r="BV7" s="79" t="s">
        <v>1431</v>
      </c>
      <c r="BW7" s="49"/>
      <c r="BX7" s="47"/>
      <c r="BY7" s="36" t="s">
        <v>496</v>
      </c>
    </row>
    <row r="8" spans="1:77" ht="15" hidden="1" thickBot="1" x14ac:dyDescent="0.4">
      <c r="A8" s="62">
        <v>10007</v>
      </c>
      <c r="B8" s="2" t="s">
        <v>35</v>
      </c>
      <c r="C8" s="44">
        <v>2019</v>
      </c>
      <c r="D8" s="3">
        <v>29.770109999999999</v>
      </c>
      <c r="E8" s="3">
        <v>-93.177239999999998</v>
      </c>
      <c r="F8" s="3">
        <v>5</v>
      </c>
      <c r="G8" s="3">
        <v>20</v>
      </c>
      <c r="H8" s="3" t="s">
        <v>462</v>
      </c>
      <c r="I8" s="43"/>
      <c r="J8" s="55" t="s">
        <v>24</v>
      </c>
      <c r="K8" s="4">
        <v>38</v>
      </c>
      <c r="L8" s="22" t="str">
        <f>IF(ISNUMBER(Table2[[#This Row],[estHD]]),ABS(Table2[[#This Row],[HD]]-Table2[[#This Row],[estHD]]),"NA")</f>
        <v>NA</v>
      </c>
      <c r="M8" s="4" t="b">
        <f>Table2[[#This Row],[HD]]=Table2[[#This Row],[estHD]]</f>
        <v>0</v>
      </c>
      <c r="N8" s="4"/>
      <c r="O8" s="31"/>
      <c r="P8" s="23" t="str">
        <f>IF(ISNUMBER(Table2[[#This Row],[nest_age1]]),ABS(Table2[[#This Row],[nest_age1]]-Table2[[#This Row],[nest_age_feb]]),"NA")</f>
        <v>NA</v>
      </c>
      <c r="Q8" s="24">
        <f>IF(ISNUMBER(Table2[[#This Row],[final_obs_int2]]),ABS(Table2[[#This Row],[final_obs_int2]]-Table2[[#This Row],[final_obs_int_feb]]), "NA")</f>
        <v>0</v>
      </c>
      <c r="R8" s="24"/>
      <c r="S8" s="57" t="s">
        <v>88</v>
      </c>
      <c r="T8" s="57" t="str">
        <f>Table2[[#This Row],[camera_old]]</f>
        <v>N</v>
      </c>
      <c r="U8" s="24"/>
      <c r="V8" s="16" t="s">
        <v>24</v>
      </c>
      <c r="W8" s="16" t="s">
        <v>24</v>
      </c>
      <c r="X8" s="145">
        <v>1</v>
      </c>
      <c r="Y8" s="147" t="s">
        <v>37</v>
      </c>
      <c r="Z8" s="146" t="s">
        <v>37</v>
      </c>
      <c r="AA8" s="4" t="str">
        <f>Table2[[#This Row],[field_fate]]</f>
        <v>H</v>
      </c>
      <c r="AB8" s="4" t="str">
        <f>Table2[[#This Row],[field_fate2]]</f>
        <v>H</v>
      </c>
      <c r="AC8" s="4" t="str">
        <f>Table2[[#This Row],[field_fate3]]</f>
        <v>H</v>
      </c>
      <c r="AD8" s="4" t="str">
        <f>Table2[[#This Row],[field_fate4]]</f>
        <v>H</v>
      </c>
      <c r="AE8" s="4" t="str">
        <f>Table2[[#This Row],[field_fate5]]</f>
        <v>H</v>
      </c>
      <c r="AF8" s="4" t="str">
        <f>Table2[[#This Row],[field_fate5]]</f>
        <v>H</v>
      </c>
      <c r="AG8" s="4" t="str">
        <f>Table2[[#This Row],[field_fate5]]</f>
        <v>H</v>
      </c>
      <c r="AH8" s="4" t="str">
        <f>Table2[[#This Row],[field_fate2]]</f>
        <v>H</v>
      </c>
      <c r="AI8" s="4" t="str">
        <f>Table2[[#This Row],[field_fate8]]</f>
        <v>H</v>
      </c>
      <c r="AJ8" s="4" t="str">
        <f>Table2[[#This Row],[field_fate10]]</f>
        <v>H</v>
      </c>
      <c r="AK8" s="4" t="b">
        <f>Table2[[#This Row],[field_fate_feb]]=Table2[[#This Row],[field_fate10]]</f>
        <v>1</v>
      </c>
      <c r="AL8" s="43" t="s">
        <v>24</v>
      </c>
      <c r="AM8" s="43" t="b">
        <f>Table2[[#This Row],[cam_fate2]]="NA"</f>
        <v>1</v>
      </c>
      <c r="AN8" s="19" t="str">
        <f>Table2[[#This Row],[cam_fate1]]</f>
        <v>NA</v>
      </c>
      <c r="AO8" s="2" t="s">
        <v>37</v>
      </c>
      <c r="AP8" s="5" t="str">
        <f>Table2[[#This Row],[final_fate1]]</f>
        <v>H</v>
      </c>
      <c r="AQ8" s="6" t="s">
        <v>24</v>
      </c>
      <c r="AR8" s="7" t="s">
        <v>24</v>
      </c>
      <c r="AS8" s="7">
        <f>Table2[[#This Row],[final_obs_date]]-Table2[[#This Row],[init_date]]</f>
        <v>38</v>
      </c>
      <c r="AT8" s="7" t="e">
        <f>(Table2[[#This Row],[final_obs_date2]]-Table2[[#This Row],[estHD]])+16</f>
        <v>#VALUE!</v>
      </c>
      <c r="AU8" s="38">
        <v>1</v>
      </c>
      <c r="AV8" s="33">
        <v>1</v>
      </c>
      <c r="AW8" s="33">
        <f>Table2[[#This Row],[final_obs_date2]]-Table2[[#This Row],[pen_obs_date]]</f>
        <v>38</v>
      </c>
      <c r="AX8" s="67">
        <v>38</v>
      </c>
      <c r="AY8" s="6">
        <f>Table2[[#This Row],[final_obs_date]]</f>
        <v>38</v>
      </c>
      <c r="AZ8" s="6"/>
      <c r="BA8" s="91" t="s">
        <v>40</v>
      </c>
      <c r="BB8" s="6" t="e">
        <f>Table2[[#This Row],[final_obs_date]]&lt;(Table2[[#This Row],[estHD]]-2)</f>
        <v>#VALUE!</v>
      </c>
      <c r="BC8" s="24">
        <f>IF(Table2[[#This Row],[field_fate]]="H",1,0)</f>
        <v>1</v>
      </c>
      <c r="BD8" s="16">
        <f>IF(Table2[[#This Row],[cam_fate2]]="H",1,0)</f>
        <v>0</v>
      </c>
      <c r="BE8" s="6" t="b">
        <f>NOT(Table2[[#This Row],[HF_C]]=Table2[[#This Row],[HF]])</f>
        <v>1</v>
      </c>
      <c r="BF8" s="6" t="b">
        <f>NOT(Table2[[#This Row],[cam_fate2]]=Table2[[#This Row],[field_fate3]])</f>
        <v>1</v>
      </c>
      <c r="BG8" s="6" t="b">
        <f>OR(Table2[[#This Row],[field_fate3]]="U",Table2[[#This Row],[field_fate3]]="U-H")</f>
        <v>0</v>
      </c>
      <c r="BH8" s="8">
        <v>16</v>
      </c>
      <c r="BI8" s="8">
        <v>38</v>
      </c>
      <c r="BJ8" s="14">
        <f>IF(ISTEXT(Table2[[#This Row],[j.cam]]),Table2[[#This Row],[j]],Table2[[#This Row],[j.cam]])</f>
        <v>38</v>
      </c>
      <c r="BK8" s="9">
        <v>38</v>
      </c>
      <c r="BL8" s="15">
        <f>IF(ISTEXT(Table2[[#This Row],[k.cam]]), Table2[[#This Row],[k]], Table2[[#This Row],[k.cam]])</f>
        <v>38</v>
      </c>
      <c r="BM8" s="4" t="s">
        <v>24</v>
      </c>
      <c r="BN8" s="8" t="s">
        <v>24</v>
      </c>
      <c r="BO8" s="4">
        <v>10</v>
      </c>
      <c r="BP8" s="4">
        <f>Table2[[#This Row],[final_obs_date]]-Table2[[#This Row],[i]]</f>
        <v>22</v>
      </c>
      <c r="BQ8" s="4" t="e">
        <f>Table2[[#This Row],[final_obs_date2]]&gt;Table2[[#This Row],[estHD]]+3</f>
        <v>#VALUE!</v>
      </c>
      <c r="BR8" s="4" t="s">
        <v>41</v>
      </c>
      <c r="BS8" s="4" t="s">
        <v>42</v>
      </c>
      <c r="BT8" s="79" t="s">
        <v>1012</v>
      </c>
      <c r="BU8" s="26" t="s">
        <v>43</v>
      </c>
      <c r="BV8" s="79" t="s">
        <v>1432</v>
      </c>
      <c r="BW8" s="49"/>
      <c r="BX8" s="47"/>
      <c r="BY8" s="36" t="s">
        <v>497</v>
      </c>
    </row>
    <row r="9" spans="1:77" ht="19" hidden="1" thickBot="1" x14ac:dyDescent="0.4">
      <c r="A9" s="62">
        <v>10008</v>
      </c>
      <c r="B9" s="2" t="s">
        <v>35</v>
      </c>
      <c r="C9" s="44">
        <v>2019</v>
      </c>
      <c r="D9" s="3">
        <v>29.77064</v>
      </c>
      <c r="E9" s="3">
        <v>-93.180599999999998</v>
      </c>
      <c r="F9" s="3">
        <v>20</v>
      </c>
      <c r="G9" s="3">
        <v>15</v>
      </c>
      <c r="H9" s="3" t="s">
        <v>26</v>
      </c>
      <c r="I9" s="43"/>
      <c r="J9" s="55">
        <v>45</v>
      </c>
      <c r="K9" s="4">
        <v>41</v>
      </c>
      <c r="L9" s="22">
        <f>IF(ISNUMBER(Table2[[#This Row],[estHD]]),ABS(Table2[[#This Row],[HD]]-Table2[[#This Row],[estHD]]),"NA")</f>
        <v>4</v>
      </c>
      <c r="M9" s="4" t="b">
        <f>Table2[[#This Row],[HD]]=Table2[[#This Row],[estHD]]</f>
        <v>0</v>
      </c>
      <c r="N9" s="4" t="str">
        <f>IF(ISNUMBER([1]!Table2[[#This Row],[hatch_date]]), [1]!Table2[[#This Row],[hatch_date]]-28, "NA")</f>
        <v>NA</v>
      </c>
      <c r="O9" s="31">
        <v>13</v>
      </c>
      <c r="P9" s="23">
        <f>IF(ISNUMBER(Table2[[#This Row],[nest_age1]]),ABS(Table2[[#This Row],[nest_age1]]-Table2[[#This Row],[nest_age_feb]]),"NA")</f>
        <v>7</v>
      </c>
      <c r="Q9" s="24">
        <f>IF(ISNUMBER(Table2[[#This Row],[final_obs_int2]]),ABS(Table2[[#This Row],[final_obs_int2]]-Table2[[#This Row],[final_obs_int_feb]]), "NA")</f>
        <v>2</v>
      </c>
      <c r="R9" s="24"/>
      <c r="S9" s="57" t="s">
        <v>88</v>
      </c>
      <c r="T9" s="57" t="str">
        <f>Table2[[#This Row],[camera_old]]</f>
        <v>N</v>
      </c>
      <c r="U9" s="24"/>
      <c r="V9" s="16" t="s">
        <v>24</v>
      </c>
      <c r="W9" s="16">
        <v>24</v>
      </c>
      <c r="X9" s="145">
        <v>1</v>
      </c>
      <c r="Y9" s="147" t="s">
        <v>37</v>
      </c>
      <c r="Z9" s="146" t="s">
        <v>37</v>
      </c>
      <c r="AA9" s="4" t="str">
        <f>Table2[[#This Row],[field_fate]]</f>
        <v>H</v>
      </c>
      <c r="AB9" s="4" t="str">
        <f>Table2[[#This Row],[field_fate2]]</f>
        <v>H</v>
      </c>
      <c r="AC9" s="4" t="str">
        <f>Table2[[#This Row],[field_fate3]]</f>
        <v>H</v>
      </c>
      <c r="AD9" s="4" t="str">
        <f>Table2[[#This Row],[field_fate4]]</f>
        <v>H</v>
      </c>
      <c r="AE9" s="4" t="str">
        <f>Table2[[#This Row],[field_fate5]]</f>
        <v>H</v>
      </c>
      <c r="AF9" s="4" t="str">
        <f>Table2[[#This Row],[field_fate5]]</f>
        <v>H</v>
      </c>
      <c r="AG9" s="4" t="str">
        <f>Table2[[#This Row],[field_fate5]]</f>
        <v>H</v>
      </c>
      <c r="AH9" s="4" t="str">
        <f>Table2[[#This Row],[field_fate2]]</f>
        <v>H</v>
      </c>
      <c r="AI9" s="4" t="str">
        <f>Table2[[#This Row],[field_fate8]]</f>
        <v>H</v>
      </c>
      <c r="AJ9" s="4" t="str">
        <f>Table2[[#This Row],[field_fate10]]</f>
        <v>H</v>
      </c>
      <c r="AK9" s="4" t="b">
        <f>Table2[[#This Row],[field_fate_feb]]=Table2[[#This Row],[field_fate10]]</f>
        <v>1</v>
      </c>
      <c r="AL9" s="43" t="s">
        <v>24</v>
      </c>
      <c r="AM9" s="43" t="b">
        <f>Table2[[#This Row],[cam_fate2]]="NA"</f>
        <v>1</v>
      </c>
      <c r="AN9" s="19" t="str">
        <f>Table2[[#This Row],[cam_fate1]]</f>
        <v>NA</v>
      </c>
      <c r="AO9" s="2" t="s">
        <v>37</v>
      </c>
      <c r="AP9" s="5" t="str">
        <f>Table2[[#This Row],[final_fate1]]</f>
        <v>H</v>
      </c>
      <c r="AQ9" s="6">
        <v>31</v>
      </c>
      <c r="AR9" s="7">
        <v>27</v>
      </c>
      <c r="AS9" s="7">
        <f>Table2[[#This Row],[final_obs_date]]-Table2[[#This Row],[init_date]]</f>
        <v>31</v>
      </c>
      <c r="AT9" s="7">
        <f>(Table2[[#This Row],[final_obs_date2]]-Table2[[#This Row],[estHD]])+16</f>
        <v>15</v>
      </c>
      <c r="AU9" s="38">
        <v>3</v>
      </c>
      <c r="AV9" s="33">
        <v>3</v>
      </c>
      <c r="AW9" s="33">
        <f>Table2[[#This Row],[final_obs_date2]]-Table2[[#This Row],[pen_obs_date]]</f>
        <v>44</v>
      </c>
      <c r="AX9" s="67">
        <v>44</v>
      </c>
      <c r="AY9" s="6">
        <f>Table2[[#This Row],[final_obs_date]]</f>
        <v>44</v>
      </c>
      <c r="AZ9" s="6"/>
      <c r="BA9" s="91" t="s">
        <v>23</v>
      </c>
      <c r="BB9" s="6" t="b">
        <f>Table2[[#This Row],[final_obs_date]]&lt;(Table2[[#This Row],[estHD]]-2)</f>
        <v>0</v>
      </c>
      <c r="BC9" s="24">
        <f>IF(Table2[[#This Row],[field_fate]]="H",1,0)</f>
        <v>1</v>
      </c>
      <c r="BD9" s="16">
        <f>IF(Table2[[#This Row],[cam_fate2]]="H",1,0)</f>
        <v>0</v>
      </c>
      <c r="BE9" s="6" t="b">
        <f>NOT(Table2[[#This Row],[HF_C]]=Table2[[#This Row],[HF]])</f>
        <v>1</v>
      </c>
      <c r="BF9" s="6" t="b">
        <f>NOT(Table2[[#This Row],[cam_fate2]]=Table2[[#This Row],[field_fate3]])</f>
        <v>1</v>
      </c>
      <c r="BG9" s="6" t="b">
        <f>OR(Table2[[#This Row],[field_fate3]]="U",Table2[[#This Row],[field_fate3]]="U-H")</f>
        <v>0</v>
      </c>
      <c r="BH9" s="8">
        <v>16</v>
      </c>
      <c r="BI9" s="8">
        <v>41</v>
      </c>
      <c r="BJ9" s="14">
        <f>IF(ISTEXT(Table2[[#This Row],[j.cam]]),Table2[[#This Row],[j]],Table2[[#This Row],[j.cam]])</f>
        <v>41</v>
      </c>
      <c r="BK9" s="9">
        <v>41</v>
      </c>
      <c r="BL9" s="15">
        <f>IF(ISTEXT(Table2[[#This Row],[k.cam]]), Table2[[#This Row],[k]], Table2[[#This Row],[k.cam]])</f>
        <v>41</v>
      </c>
      <c r="BM9" s="4" t="s">
        <v>24</v>
      </c>
      <c r="BN9" s="8" t="s">
        <v>24</v>
      </c>
      <c r="BO9" s="4">
        <v>9</v>
      </c>
      <c r="BP9" s="4">
        <f>Table2[[#This Row],[final_obs_date]]-Table2[[#This Row],[i]]</f>
        <v>28</v>
      </c>
      <c r="BQ9" s="4" t="b">
        <f>Table2[[#This Row],[final_obs_date2]]&gt;Table2[[#This Row],[estHD]]+3</f>
        <v>0</v>
      </c>
      <c r="BR9" s="4" t="s">
        <v>44</v>
      </c>
      <c r="BS9" s="4" t="s">
        <v>45</v>
      </c>
      <c r="BT9" s="79" t="s">
        <v>1013</v>
      </c>
      <c r="BU9" s="26" t="s">
        <v>46</v>
      </c>
      <c r="BV9" s="79" t="s">
        <v>1433</v>
      </c>
      <c r="BW9" s="49"/>
      <c r="BX9" s="47"/>
      <c r="BY9" s="36" t="s">
        <v>498</v>
      </c>
    </row>
    <row r="10" spans="1:77" ht="15" hidden="1" thickBot="1" x14ac:dyDescent="0.4">
      <c r="A10" s="62">
        <v>10009</v>
      </c>
      <c r="B10" s="2" t="s">
        <v>35</v>
      </c>
      <c r="C10" s="44">
        <v>2019</v>
      </c>
      <c r="D10" s="3">
        <v>29.764130000000002</v>
      </c>
      <c r="E10" s="3">
        <v>-93.14734</v>
      </c>
      <c r="F10" s="3">
        <v>5</v>
      </c>
      <c r="G10" s="3">
        <v>10</v>
      </c>
      <c r="H10" s="3" t="s">
        <v>26</v>
      </c>
      <c r="I10" s="43"/>
      <c r="J10" s="55">
        <v>38</v>
      </c>
      <c r="K10" s="4">
        <v>38</v>
      </c>
      <c r="L10" s="22">
        <f>IF(ISNUMBER(Table2[[#This Row],[estHD]]),ABS(Table2[[#This Row],[HD]]-Table2[[#This Row],[estHD]]),"NA")</f>
        <v>0</v>
      </c>
      <c r="M10" s="4" t="b">
        <f>Table2[[#This Row],[HD]]=Table2[[#This Row],[estHD]]</f>
        <v>1</v>
      </c>
      <c r="N10" s="4" t="str">
        <f>IF(ISNUMBER([1]!Table2[[#This Row],[hatch_date]]),[1]!Table2[[#This Row],[hatch_date]]-19,"NA")</f>
        <v>NA</v>
      </c>
      <c r="O10" s="31">
        <v>19</v>
      </c>
      <c r="P10" s="23">
        <f>IF(ISNUMBER(Table2[[#This Row],[nest_age1]]),ABS(Table2[[#This Row],[nest_age1]]-Table2[[#This Row],[nest_age_feb]]),"NA")</f>
        <v>0</v>
      </c>
      <c r="Q10" s="24">
        <f>IF(ISNUMBER(Table2[[#This Row],[final_obs_int2]]),ABS(Table2[[#This Row],[final_obs_int2]]-Table2[[#This Row],[final_obs_int_feb]]), "NA")</f>
        <v>0</v>
      </c>
      <c r="R10" s="24"/>
      <c r="S10" s="57" t="s">
        <v>88</v>
      </c>
      <c r="T10" s="57" t="str">
        <f>Table2[[#This Row],[camera_old]]</f>
        <v>N</v>
      </c>
      <c r="U10" s="24"/>
      <c r="V10" s="16" t="s">
        <v>24</v>
      </c>
      <c r="W10" s="16">
        <v>6</v>
      </c>
      <c r="X10" s="145">
        <v>3</v>
      </c>
      <c r="Y10" s="147" t="s">
        <v>48</v>
      </c>
      <c r="Z10" s="146" t="s">
        <v>48</v>
      </c>
      <c r="AA10" s="4" t="str">
        <f>Table2[[#This Row],[field_fate]]</f>
        <v>F</v>
      </c>
      <c r="AB10" s="4" t="str">
        <f>Table2[[#This Row],[field_fate2]]</f>
        <v>F</v>
      </c>
      <c r="AC10" s="4" t="str">
        <f>Table2[[#This Row],[field_fate3]]</f>
        <v>F</v>
      </c>
      <c r="AD10" s="4" t="str">
        <f>Table2[[#This Row],[field_fate4]]</f>
        <v>F</v>
      </c>
      <c r="AE10" s="4" t="str">
        <f>Table2[[#This Row],[field_fate5]]</f>
        <v>F</v>
      </c>
      <c r="AF10" s="4" t="str">
        <f>Table2[[#This Row],[field_fate5]]</f>
        <v>F</v>
      </c>
      <c r="AG10" s="4" t="str">
        <f>Table2[[#This Row],[field_fate5]]</f>
        <v>F</v>
      </c>
      <c r="AH10" s="4" t="str">
        <f>Table2[[#This Row],[field_fate2]]</f>
        <v>F</v>
      </c>
      <c r="AI10" s="4" t="str">
        <f>Table2[[#This Row],[field_fate8]]</f>
        <v>F</v>
      </c>
      <c r="AJ10" s="4" t="str">
        <f>Table2[[#This Row],[field_fate10]]</f>
        <v>F</v>
      </c>
      <c r="AK10" s="4" t="b">
        <f>Table2[[#This Row],[field_fate_feb]]=Table2[[#This Row],[field_fate10]]</f>
        <v>1</v>
      </c>
      <c r="AL10" s="43" t="s">
        <v>24</v>
      </c>
      <c r="AM10" s="43" t="b">
        <f>Table2[[#This Row],[cam_fate2]]="NA"</f>
        <v>1</v>
      </c>
      <c r="AN10" s="19" t="str">
        <f>Table2[[#This Row],[cam_fate1]]</f>
        <v>NA</v>
      </c>
      <c r="AO10" s="2" t="s">
        <v>48</v>
      </c>
      <c r="AP10" s="5" t="str">
        <f>Table2[[#This Row],[final_fate1]]</f>
        <v>F</v>
      </c>
      <c r="AQ10" s="6">
        <v>6</v>
      </c>
      <c r="AR10" s="7">
        <v>6</v>
      </c>
      <c r="AS10" s="7">
        <f>Table2[[#This Row],[final_obs_date]]-Table2[[#This Row],[init_date]]</f>
        <v>6</v>
      </c>
      <c r="AT10" s="7">
        <f>(Table2[[#This Row],[final_obs_date2]]-Table2[[#This Row],[estHD]])+16</f>
        <v>3</v>
      </c>
      <c r="AU10" s="38">
        <v>3</v>
      </c>
      <c r="AV10" s="33">
        <v>3</v>
      </c>
      <c r="AW10" s="33">
        <f>Table2[[#This Row],[final_obs_date2]]-Table2[[#This Row],[pen_obs_date]]</f>
        <v>25</v>
      </c>
      <c r="AX10" s="67">
        <v>25</v>
      </c>
      <c r="AY10" s="6">
        <f>Table2[[#This Row],[final_obs_date]]</f>
        <v>25</v>
      </c>
      <c r="AZ10" s="6"/>
      <c r="BA10" s="91" t="s">
        <v>47</v>
      </c>
      <c r="BB10" s="6" t="b">
        <f>Table2[[#This Row],[final_obs_date]]&lt;(Table2[[#This Row],[estHD]]-2)</f>
        <v>1</v>
      </c>
      <c r="BC10" s="24">
        <f>IF(Table2[[#This Row],[field_fate]]="H",1,0)</f>
        <v>0</v>
      </c>
      <c r="BD10" s="16">
        <f>IF(Table2[[#This Row],[cam_fate2]]="H",1,0)</f>
        <v>0</v>
      </c>
      <c r="BE10" s="6" t="b">
        <f>NOT(Table2[[#This Row],[HF_C]]=Table2[[#This Row],[HF]])</f>
        <v>0</v>
      </c>
      <c r="BF10" s="6" t="b">
        <f>NOT(Table2[[#This Row],[cam_fate2]]=Table2[[#This Row],[field_fate3]])</f>
        <v>1</v>
      </c>
      <c r="BG10" s="6" t="b">
        <f>OR(Table2[[#This Row],[field_fate3]]="U",Table2[[#This Row],[field_fate3]]="U-H")</f>
        <v>0</v>
      </c>
      <c r="BH10" s="8">
        <v>17</v>
      </c>
      <c r="BI10" s="8">
        <v>22</v>
      </c>
      <c r="BJ10" s="14">
        <f>IF(ISTEXT(Table2[[#This Row],[j.cam]]),Table2[[#This Row],[j]],Table2[[#This Row],[j.cam]])</f>
        <v>22</v>
      </c>
      <c r="BK10" s="9">
        <v>25</v>
      </c>
      <c r="BL10" s="15">
        <f>IF(ISTEXT(Table2[[#This Row],[k.cam]]), Table2[[#This Row],[k]], Table2[[#This Row],[k.cam]])</f>
        <v>25</v>
      </c>
      <c r="BM10" s="4" t="s">
        <v>24</v>
      </c>
      <c r="BN10" s="8" t="s">
        <v>24</v>
      </c>
      <c r="BO10" s="4">
        <v>3</v>
      </c>
      <c r="BP10" s="4">
        <f>Table2[[#This Row],[final_obs_date]]-Table2[[#This Row],[i]]</f>
        <v>8</v>
      </c>
      <c r="BQ10" s="4" t="b">
        <f>Table2[[#This Row],[final_obs_date2]]&gt;Table2[[#This Row],[estHD]]+3</f>
        <v>0</v>
      </c>
      <c r="BR10" s="4" t="s">
        <v>33</v>
      </c>
      <c r="BS10" s="4" t="s">
        <v>49</v>
      </c>
      <c r="BT10" s="79" t="s">
        <v>1014</v>
      </c>
      <c r="BU10" s="26" t="s">
        <v>50</v>
      </c>
      <c r="BV10" s="79" t="s">
        <v>1434</v>
      </c>
      <c r="BW10" s="49"/>
      <c r="BX10" s="47"/>
      <c r="BY10" s="36" t="s">
        <v>499</v>
      </c>
    </row>
    <row r="11" spans="1:77" ht="15" hidden="1" thickBot="1" x14ac:dyDescent="0.4">
      <c r="A11" s="62">
        <v>10010</v>
      </c>
      <c r="B11" s="2" t="s">
        <v>35</v>
      </c>
      <c r="C11" s="44">
        <v>2019</v>
      </c>
      <c r="D11" s="3">
        <v>29.761659999999999</v>
      </c>
      <c r="E11" s="3">
        <v>-93.136359999999996</v>
      </c>
      <c r="F11" s="3">
        <v>0</v>
      </c>
      <c r="G11" s="3">
        <v>5</v>
      </c>
      <c r="H11" s="3" t="s">
        <v>26</v>
      </c>
      <c r="I11" s="43"/>
      <c r="J11" s="55">
        <v>37</v>
      </c>
      <c r="K11" s="4">
        <v>37</v>
      </c>
      <c r="L11" s="22">
        <f>IF(ISNUMBER(Table2[[#This Row],[estHD]]),ABS(Table2[[#This Row],[HD]]-Table2[[#This Row],[estHD]]),"NA")</f>
        <v>0</v>
      </c>
      <c r="M11" s="4" t="b">
        <f>Table2[[#This Row],[HD]]=Table2[[#This Row],[estHD]]</f>
        <v>1</v>
      </c>
      <c r="N11" s="4" t="str">
        <f>IF(ISNUMBER([1]!Table2[[#This Row],[hatch_date]]),[1]!Table2[[#This Row],[hatch_date]]-19,"NA")</f>
        <v>NA</v>
      </c>
      <c r="O11" s="31">
        <v>18</v>
      </c>
      <c r="P11" s="23">
        <f>IF(ISNUMBER(Table2[[#This Row],[nest_age1]]),ABS(Table2[[#This Row],[nest_age1]]-Table2[[#This Row],[nest_age_feb]]),"NA")</f>
        <v>0</v>
      </c>
      <c r="Q11" s="24">
        <f>IF(ISNUMBER(Table2[[#This Row],[final_obs_int2]]),ABS(Table2[[#This Row],[final_obs_int2]]-Table2[[#This Row],[final_obs_int_feb]]), "NA")</f>
        <v>0</v>
      </c>
      <c r="R11" s="24"/>
      <c r="S11" s="57" t="s">
        <v>88</v>
      </c>
      <c r="T11" s="57" t="str">
        <f>Table2[[#This Row],[camera_old]]</f>
        <v>N</v>
      </c>
      <c r="U11" s="24"/>
      <c r="V11" s="16" t="s">
        <v>24</v>
      </c>
      <c r="W11" s="16">
        <v>19</v>
      </c>
      <c r="X11" s="145">
        <v>3</v>
      </c>
      <c r="Y11" s="147" t="s">
        <v>48</v>
      </c>
      <c r="Z11" s="146" t="s">
        <v>48</v>
      </c>
      <c r="AA11" s="4" t="str">
        <f>Table2[[#This Row],[field_fate]]</f>
        <v>F</v>
      </c>
      <c r="AB11" s="4" t="str">
        <f>Table2[[#This Row],[field_fate2]]</f>
        <v>F</v>
      </c>
      <c r="AC11" s="4" t="str">
        <f>Table2[[#This Row],[field_fate3]]</f>
        <v>F</v>
      </c>
      <c r="AD11" s="4" t="str">
        <f>Table2[[#This Row],[field_fate4]]</f>
        <v>F</v>
      </c>
      <c r="AE11" s="4" t="str">
        <f>Table2[[#This Row],[field_fate5]]</f>
        <v>F</v>
      </c>
      <c r="AF11" s="4" t="str">
        <f>Table2[[#This Row],[field_fate5]]</f>
        <v>F</v>
      </c>
      <c r="AG11" s="4" t="str">
        <f>Table2[[#This Row],[field_fate5]]</f>
        <v>F</v>
      </c>
      <c r="AH11" s="4" t="str">
        <f>Table2[[#This Row],[field_fate2]]</f>
        <v>F</v>
      </c>
      <c r="AI11" s="4" t="str">
        <f>Table2[[#This Row],[field_fate8]]</f>
        <v>F</v>
      </c>
      <c r="AJ11" s="4" t="str">
        <f>Table2[[#This Row],[field_fate10]]</f>
        <v>F</v>
      </c>
      <c r="AK11" s="4" t="b">
        <f>Table2[[#This Row],[field_fate_feb]]=Table2[[#This Row],[field_fate10]]</f>
        <v>1</v>
      </c>
      <c r="AL11" s="43" t="s">
        <v>24</v>
      </c>
      <c r="AM11" s="43" t="b">
        <f>Table2[[#This Row],[cam_fate2]]="NA"</f>
        <v>1</v>
      </c>
      <c r="AN11" s="19" t="str">
        <f>Table2[[#This Row],[cam_fate1]]</f>
        <v>NA</v>
      </c>
      <c r="AO11" s="2" t="s">
        <v>48</v>
      </c>
      <c r="AP11" s="5" t="str">
        <f>Table2[[#This Row],[final_fate1]]</f>
        <v>F</v>
      </c>
      <c r="AQ11" s="6">
        <v>19</v>
      </c>
      <c r="AR11" s="7">
        <v>19</v>
      </c>
      <c r="AS11" s="7">
        <f>Table2[[#This Row],[final_obs_date]]-Table2[[#This Row],[init_date]]</f>
        <v>19</v>
      </c>
      <c r="AT11" s="7">
        <f>(Table2[[#This Row],[final_obs_date2]]-Table2[[#This Row],[estHD]])+16</f>
        <v>16</v>
      </c>
      <c r="AU11" s="39">
        <v>3</v>
      </c>
      <c r="AV11" s="33">
        <v>3</v>
      </c>
      <c r="AW11" s="33">
        <f>Table2[[#This Row],[final_obs_date2]]-Table2[[#This Row],[pen_obs_date]]</f>
        <v>37</v>
      </c>
      <c r="AX11" s="67">
        <v>37</v>
      </c>
      <c r="AY11" s="6">
        <f>Table2[[#This Row],[final_obs_date]]</f>
        <v>37</v>
      </c>
      <c r="AZ11" s="6"/>
      <c r="BA11" s="91" t="s">
        <v>47</v>
      </c>
      <c r="BB11" s="6" t="b">
        <f>Table2[[#This Row],[final_obs_date]]&lt;(Table2[[#This Row],[estHD]]-2)</f>
        <v>0</v>
      </c>
      <c r="BC11" s="24">
        <f>IF(Table2[[#This Row],[field_fate]]="H",1,0)</f>
        <v>0</v>
      </c>
      <c r="BD11" s="16">
        <f>IF(Table2[[#This Row],[cam_fate2]]="H",1,0)</f>
        <v>0</v>
      </c>
      <c r="BE11" s="6" t="b">
        <f>NOT(Table2[[#This Row],[HF_C]]=Table2[[#This Row],[HF]])</f>
        <v>0</v>
      </c>
      <c r="BF11" s="6" t="b">
        <f>NOT(Table2[[#This Row],[cam_fate2]]=Table2[[#This Row],[field_fate3]])</f>
        <v>1</v>
      </c>
      <c r="BG11" s="6" t="b">
        <f>OR(Table2[[#This Row],[field_fate3]]="U",Table2[[#This Row],[field_fate3]]="U-H")</f>
        <v>0</v>
      </c>
      <c r="BH11" s="8">
        <v>17</v>
      </c>
      <c r="BI11" s="8">
        <v>34</v>
      </c>
      <c r="BJ11" s="14">
        <f>IF(ISTEXT(Table2[[#This Row],[j.cam]]),Table2[[#This Row],[j]],Table2[[#This Row],[j.cam]])</f>
        <v>34</v>
      </c>
      <c r="BK11" s="9">
        <v>37</v>
      </c>
      <c r="BL11" s="15">
        <f>IF(ISTEXT(Table2[[#This Row],[k.cam]]), Table2[[#This Row],[k]], Table2[[#This Row],[k.cam]])</f>
        <v>37</v>
      </c>
      <c r="BM11" s="4" t="s">
        <v>24</v>
      </c>
      <c r="BN11" s="8" t="s">
        <v>24</v>
      </c>
      <c r="BO11" s="4">
        <v>7</v>
      </c>
      <c r="BP11" s="4">
        <f>Table2[[#This Row],[final_obs_date]]-Table2[[#This Row],[i]]</f>
        <v>20</v>
      </c>
      <c r="BQ11" s="4" t="b">
        <f>Table2[[#This Row],[final_obs_date2]]&gt;Table2[[#This Row],[estHD]]+3</f>
        <v>0</v>
      </c>
      <c r="BR11" s="11" t="s">
        <v>51</v>
      </c>
      <c r="BS11" s="4" t="s">
        <v>28</v>
      </c>
      <c r="BT11" s="79" t="s">
        <v>1015</v>
      </c>
      <c r="BU11" s="26" t="s">
        <v>52</v>
      </c>
      <c r="BV11" s="79" t="s">
        <v>1435</v>
      </c>
      <c r="BW11" s="49"/>
      <c r="BX11" s="47"/>
      <c r="BY11" s="36" t="s">
        <v>500</v>
      </c>
    </row>
    <row r="12" spans="1:77" ht="15" hidden="1" thickBot="1" x14ac:dyDescent="0.4">
      <c r="A12" s="62">
        <v>10012</v>
      </c>
      <c r="B12" s="2" t="s">
        <v>35</v>
      </c>
      <c r="C12" s="44">
        <v>2019</v>
      </c>
      <c r="D12" s="3">
        <v>29.767810000000001</v>
      </c>
      <c r="E12" s="3">
        <v>-93.165210000000002</v>
      </c>
      <c r="F12" s="3">
        <v>0</v>
      </c>
      <c r="G12" s="3">
        <v>0</v>
      </c>
      <c r="H12" s="3" t="s">
        <v>26</v>
      </c>
      <c r="I12" s="43"/>
      <c r="J12" s="55">
        <v>37</v>
      </c>
      <c r="K12" s="4">
        <v>40</v>
      </c>
      <c r="L12" s="22">
        <f>IF(ISNUMBER(Table2[[#This Row],[estHD]]),ABS(Table2[[#This Row],[HD]]-Table2[[#This Row],[estHD]]),"NA")</f>
        <v>3</v>
      </c>
      <c r="M12" s="4" t="b">
        <f>Table2[[#This Row],[HD]]=Table2[[#This Row],[estHD]]</f>
        <v>0</v>
      </c>
      <c r="N12" s="4" t="str">
        <f>IF(ISNUMBER([1]!Table2[[#This Row],[hatch_date]]),[1]!Table2[[#This Row],[hatch_date]]-19,"NA")</f>
        <v>NA</v>
      </c>
      <c r="O12" s="31">
        <v>21</v>
      </c>
      <c r="P12" s="23">
        <f>IF(ISNUMBER(Table2[[#This Row],[nest_age1]]),ABS(Table2[[#This Row],[nest_age1]]-Table2[[#This Row],[nest_age_feb]]),"NA")</f>
        <v>3</v>
      </c>
      <c r="Q12" s="24">
        <f>IF(ISNUMBER(Table2[[#This Row],[final_obs_int2]]),ABS(Table2[[#This Row],[final_obs_int2]]-Table2[[#This Row],[final_obs_int_feb]]), "NA")</f>
        <v>0</v>
      </c>
      <c r="R12" s="24"/>
      <c r="S12" s="57" t="s">
        <v>88</v>
      </c>
      <c r="T12" s="57" t="str">
        <f>Table2[[#This Row],[camera_old]]</f>
        <v>N</v>
      </c>
      <c r="U12" s="24"/>
      <c r="V12" s="16" t="s">
        <v>24</v>
      </c>
      <c r="W12" s="16">
        <v>22</v>
      </c>
      <c r="X12" s="145">
        <v>5</v>
      </c>
      <c r="Y12" s="147" t="s">
        <v>37</v>
      </c>
      <c r="Z12" s="146" t="s">
        <v>37</v>
      </c>
      <c r="AA12" s="4" t="str">
        <f>Table2[[#This Row],[field_fate]]</f>
        <v>H</v>
      </c>
      <c r="AB12" s="4" t="str">
        <f>Table2[[#This Row],[field_fate2]]</f>
        <v>H</v>
      </c>
      <c r="AC12" s="4" t="str">
        <f>Table2[[#This Row],[field_fate3]]</f>
        <v>H</v>
      </c>
      <c r="AD12" s="4" t="str">
        <f>Table2[[#This Row],[field_fate4]]</f>
        <v>H</v>
      </c>
      <c r="AE12" s="4" t="str">
        <f>Table2[[#This Row],[field_fate5]]</f>
        <v>H</v>
      </c>
      <c r="AF12" s="4" t="str">
        <f>Table2[[#This Row],[field_fate5]]</f>
        <v>H</v>
      </c>
      <c r="AG12" s="4" t="str">
        <f>Table2[[#This Row],[field_fate5]]</f>
        <v>H</v>
      </c>
      <c r="AH12" s="4" t="str">
        <f>Table2[[#This Row],[field_fate2]]</f>
        <v>H</v>
      </c>
      <c r="AI12" s="4" t="str">
        <f>Table2[[#This Row],[field_fate8]]</f>
        <v>H</v>
      </c>
      <c r="AJ12" s="4" t="str">
        <f>Table2[[#This Row],[field_fate10]]</f>
        <v>H</v>
      </c>
      <c r="AK12" s="4" t="b">
        <f>Table2[[#This Row],[field_fate_feb]]=Table2[[#This Row],[field_fate10]]</f>
        <v>1</v>
      </c>
      <c r="AL12" s="43" t="s">
        <v>24</v>
      </c>
      <c r="AM12" s="43" t="b">
        <f>Table2[[#This Row],[cam_fate2]]="NA"</f>
        <v>1</v>
      </c>
      <c r="AN12" s="19" t="str">
        <f>Table2[[#This Row],[cam_fate1]]</f>
        <v>NA</v>
      </c>
      <c r="AO12" s="2" t="s">
        <v>37</v>
      </c>
      <c r="AP12" s="5" t="str">
        <f>Table2[[#This Row],[final_fate1]]</f>
        <v>H</v>
      </c>
      <c r="AQ12" s="6">
        <v>19</v>
      </c>
      <c r="AR12" s="7">
        <v>22</v>
      </c>
      <c r="AS12" s="7">
        <f>Table2[[#This Row],[final_obs_date]]-Table2[[#This Row],[init_date]]</f>
        <v>19</v>
      </c>
      <c r="AT12" s="7">
        <f>(Table2[[#This Row],[final_obs_date2]]-Table2[[#This Row],[estHD]])+16</f>
        <v>19</v>
      </c>
      <c r="AU12" s="38">
        <v>5</v>
      </c>
      <c r="AV12" s="33">
        <v>5</v>
      </c>
      <c r="AW12" s="33">
        <f>Table2[[#This Row],[final_obs_date2]]-Table2[[#This Row],[pen_obs_date]]</f>
        <v>40</v>
      </c>
      <c r="AX12" s="67">
        <v>40</v>
      </c>
      <c r="AY12" s="6">
        <f>Table2[[#This Row],[final_obs_date]]</f>
        <v>40</v>
      </c>
      <c r="AZ12" s="6"/>
      <c r="BA12" s="91" t="s">
        <v>47</v>
      </c>
      <c r="BB12" s="6" t="b">
        <f>Table2[[#This Row],[final_obs_date]]&lt;(Table2[[#This Row],[estHD]]-2)</f>
        <v>0</v>
      </c>
      <c r="BC12" s="24">
        <f>IF(Table2[[#This Row],[field_fate]]="H",1,0)</f>
        <v>1</v>
      </c>
      <c r="BD12" s="16">
        <f>IF(Table2[[#This Row],[cam_fate2]]="H",1,0)</f>
        <v>0</v>
      </c>
      <c r="BE12" s="6" t="b">
        <f>NOT(Table2[[#This Row],[HF_C]]=Table2[[#This Row],[HF]])</f>
        <v>1</v>
      </c>
      <c r="BF12" s="6" t="b">
        <f>NOT(Table2[[#This Row],[cam_fate2]]=Table2[[#This Row],[field_fate3]])</f>
        <v>1</v>
      </c>
      <c r="BG12" s="6" t="b">
        <f>OR(Table2[[#This Row],[field_fate3]]="U",Table2[[#This Row],[field_fate3]]="U-H")</f>
        <v>0</v>
      </c>
      <c r="BH12" s="8">
        <v>19</v>
      </c>
      <c r="BI12" s="8">
        <v>40</v>
      </c>
      <c r="BJ12" s="14">
        <f>IF(ISTEXT(Table2[[#This Row],[j.cam]]),Table2[[#This Row],[j]],Table2[[#This Row],[j.cam]])</f>
        <v>40</v>
      </c>
      <c r="BK12" s="9">
        <v>40</v>
      </c>
      <c r="BL12" s="15">
        <f>IF(ISTEXT(Table2[[#This Row],[k.cam]]), Table2[[#This Row],[k]], Table2[[#This Row],[k.cam]])</f>
        <v>40</v>
      </c>
      <c r="BM12" s="4" t="s">
        <v>24</v>
      </c>
      <c r="BN12" s="8" t="s">
        <v>24</v>
      </c>
      <c r="BO12" s="4">
        <v>5</v>
      </c>
      <c r="BP12" s="4">
        <f>Table2[[#This Row],[final_obs_date]]-Table2[[#This Row],[i]]</f>
        <v>21</v>
      </c>
      <c r="BQ12" s="4" t="b">
        <f>Table2[[#This Row],[final_obs_date2]]&gt;Table2[[#This Row],[estHD]]+3</f>
        <v>0</v>
      </c>
      <c r="BR12" s="4" t="s">
        <v>33</v>
      </c>
      <c r="BS12" s="4" t="s">
        <v>53</v>
      </c>
      <c r="BT12" s="79" t="s">
        <v>1016</v>
      </c>
      <c r="BU12" s="26" t="s">
        <v>54</v>
      </c>
      <c r="BV12" s="79" t="s">
        <v>1436</v>
      </c>
      <c r="BW12" s="49"/>
      <c r="BX12" s="47"/>
      <c r="BY12" s="36" t="s">
        <v>24</v>
      </c>
    </row>
    <row r="13" spans="1:77" ht="15" hidden="1" thickBot="1" x14ac:dyDescent="0.4">
      <c r="A13" s="62">
        <v>10013</v>
      </c>
      <c r="B13" s="2" t="s">
        <v>35</v>
      </c>
      <c r="C13" s="44">
        <v>2019</v>
      </c>
      <c r="D13" s="3">
        <v>29.76876</v>
      </c>
      <c r="E13" s="3">
        <v>-93.170680000000004</v>
      </c>
      <c r="F13" s="3">
        <v>10</v>
      </c>
      <c r="G13" s="3">
        <v>15</v>
      </c>
      <c r="H13" s="3" t="s">
        <v>26</v>
      </c>
      <c r="I13" s="43"/>
      <c r="J13" s="55">
        <v>47</v>
      </c>
      <c r="K13" s="4">
        <v>40</v>
      </c>
      <c r="L13" s="22">
        <f>IF(ISNUMBER(Table2[[#This Row],[estHD]]),ABS(Table2[[#This Row],[HD]]-Table2[[#This Row],[estHD]]),"NA")</f>
        <v>7</v>
      </c>
      <c r="M13" s="4" t="b">
        <f>Table2[[#This Row],[HD]]=Table2[[#This Row],[estHD]]</f>
        <v>0</v>
      </c>
      <c r="N13" s="4" t="str">
        <f>IF(ISNUMBER([1]!Table2[[#This Row],[hatch_date]]), [1]!Table2[[#This Row],[hatch_date]]-28, "NA")</f>
        <v>NA</v>
      </c>
      <c r="O13" s="31">
        <v>12</v>
      </c>
      <c r="P13" s="23">
        <f>IF(ISNUMBER(Table2[[#This Row],[nest_age1]]),ABS(Table2[[#This Row],[nest_age1]]-Table2[[#This Row],[nest_age_feb]]),"NA")</f>
        <v>7</v>
      </c>
      <c r="Q13" s="24">
        <f>IF(ISNUMBER(Table2[[#This Row],[final_obs_int2]]),ABS(Table2[[#This Row],[final_obs_int2]]-Table2[[#This Row],[final_obs_int_feb]]), "NA")</f>
        <v>16</v>
      </c>
      <c r="R13" s="24"/>
      <c r="S13" s="57" t="s">
        <v>88</v>
      </c>
      <c r="T13" s="57" t="str">
        <f>Table2[[#This Row],[camera_old]]</f>
        <v>N</v>
      </c>
      <c r="U13" s="24"/>
      <c r="V13" s="16" t="s">
        <v>24</v>
      </c>
      <c r="W13" s="16">
        <v>21</v>
      </c>
      <c r="X13" s="145">
        <v>5</v>
      </c>
      <c r="Y13" s="147" t="s">
        <v>37</v>
      </c>
      <c r="Z13" s="146" t="s">
        <v>37</v>
      </c>
      <c r="AA13" s="4" t="str">
        <f>Table2[[#This Row],[field_fate]]</f>
        <v>H</v>
      </c>
      <c r="AB13" s="4" t="str">
        <f>Table2[[#This Row],[field_fate2]]</f>
        <v>H</v>
      </c>
      <c r="AC13" s="4" t="str">
        <f>Table2[[#This Row],[field_fate3]]</f>
        <v>H</v>
      </c>
      <c r="AD13" s="4" t="str">
        <f>Table2[[#This Row],[field_fate4]]</f>
        <v>H</v>
      </c>
      <c r="AE13" s="4" t="str">
        <f>Table2[[#This Row],[field_fate5]]</f>
        <v>H</v>
      </c>
      <c r="AF13" s="4" t="str">
        <f>Table2[[#This Row],[field_fate5]]</f>
        <v>H</v>
      </c>
      <c r="AG13" s="4" t="str">
        <f>Table2[[#This Row],[field_fate5]]</f>
        <v>H</v>
      </c>
      <c r="AH13" s="4" t="str">
        <f>Table2[[#This Row],[field_fate2]]</f>
        <v>H</v>
      </c>
      <c r="AI13" s="4" t="str">
        <f>Table2[[#This Row],[field_fate8]]</f>
        <v>H</v>
      </c>
      <c r="AJ13" s="4" t="str">
        <f>Table2[[#This Row],[field_fate10]]</f>
        <v>H</v>
      </c>
      <c r="AK13" s="4" t="b">
        <f>Table2[[#This Row],[field_fate_feb]]=Table2[[#This Row],[field_fate10]]</f>
        <v>1</v>
      </c>
      <c r="AL13" s="43" t="s">
        <v>24</v>
      </c>
      <c r="AM13" s="43" t="b">
        <f>Table2[[#This Row],[cam_fate2]]="NA"</f>
        <v>1</v>
      </c>
      <c r="AN13" s="19" t="str">
        <f>Table2[[#This Row],[cam_fate1]]</f>
        <v>NA</v>
      </c>
      <c r="AO13" s="2" t="s">
        <v>37</v>
      </c>
      <c r="AP13" s="5" t="str">
        <f>Table2[[#This Row],[final_fate1]]</f>
        <v>H</v>
      </c>
      <c r="AQ13" s="6">
        <v>28</v>
      </c>
      <c r="AR13" s="7">
        <v>21</v>
      </c>
      <c r="AS13" s="7">
        <f>Table2[[#This Row],[final_obs_date]]-Table2[[#This Row],[init_date]]</f>
        <v>28</v>
      </c>
      <c r="AT13" s="7">
        <f>(Table2[[#This Row],[final_obs_date2]]-Table2[[#This Row],[estHD]])+16</f>
        <v>9</v>
      </c>
      <c r="AU13" s="39">
        <v>5</v>
      </c>
      <c r="AV13" s="33">
        <v>21</v>
      </c>
      <c r="AW13" s="33">
        <f>Table2[[#This Row],[final_obs_date2]]-Table2[[#This Row],[pen_obs_date]]</f>
        <v>40</v>
      </c>
      <c r="AX13" s="67">
        <v>40</v>
      </c>
      <c r="AY13" s="6">
        <f>Table2[[#This Row],[final_obs_date]]</f>
        <v>40</v>
      </c>
      <c r="AZ13" s="6"/>
      <c r="BA13" s="91" t="s">
        <v>23</v>
      </c>
      <c r="BB13" s="6" t="b">
        <f>Table2[[#This Row],[final_obs_date]]&lt;(Table2[[#This Row],[estHD]]-2)</f>
        <v>1</v>
      </c>
      <c r="BC13" s="24">
        <f>IF(Table2[[#This Row],[field_fate]]="H",1,0)</f>
        <v>1</v>
      </c>
      <c r="BD13" s="16">
        <f>IF(Table2[[#This Row],[cam_fate2]]="H",1,0)</f>
        <v>0</v>
      </c>
      <c r="BE13" s="6" t="b">
        <f>NOT(Table2[[#This Row],[HF_C]]=Table2[[#This Row],[HF]])</f>
        <v>1</v>
      </c>
      <c r="BF13" s="6" t="b">
        <f>NOT(Table2[[#This Row],[cam_fate2]]=Table2[[#This Row],[field_fate3]])</f>
        <v>1</v>
      </c>
      <c r="BG13" s="6" t="b">
        <f>OR(Table2[[#This Row],[field_fate3]]="U",Table2[[#This Row],[field_fate3]]="U-H")</f>
        <v>0</v>
      </c>
      <c r="BH13" s="8">
        <v>19</v>
      </c>
      <c r="BI13" s="8">
        <v>40</v>
      </c>
      <c r="BJ13" s="14">
        <f>IF(ISTEXT(Table2[[#This Row],[j.cam]]),Table2[[#This Row],[j]],Table2[[#This Row],[j.cam]])</f>
        <v>40</v>
      </c>
      <c r="BK13" s="9">
        <v>40</v>
      </c>
      <c r="BL13" s="15">
        <f>IF(ISTEXT(Table2[[#This Row],[k.cam]]), Table2[[#This Row],[k]], Table2[[#This Row],[k.cam]])</f>
        <v>40</v>
      </c>
      <c r="BM13" s="4" t="s">
        <v>24</v>
      </c>
      <c r="BN13" s="8" t="s">
        <v>24</v>
      </c>
      <c r="BO13" s="4">
        <v>5</v>
      </c>
      <c r="BP13" s="4">
        <f>Table2[[#This Row],[final_obs_date]]-Table2[[#This Row],[i]]</f>
        <v>21</v>
      </c>
      <c r="BQ13" s="4" t="b">
        <f>Table2[[#This Row],[final_obs_date2]]&gt;Table2[[#This Row],[estHD]]+3</f>
        <v>0</v>
      </c>
      <c r="BR13" s="11" t="s">
        <v>55</v>
      </c>
      <c r="BS13" s="4" t="s">
        <v>56</v>
      </c>
      <c r="BT13" s="79" t="s">
        <v>1016</v>
      </c>
      <c r="BU13" s="26" t="s">
        <v>57</v>
      </c>
      <c r="BV13" s="79" t="s">
        <v>1436</v>
      </c>
      <c r="BW13" s="49"/>
      <c r="BX13" s="47"/>
      <c r="BY13" s="36" t="s">
        <v>501</v>
      </c>
    </row>
    <row r="14" spans="1:77" ht="15" hidden="1" thickBot="1" x14ac:dyDescent="0.4">
      <c r="A14" s="62">
        <v>10014</v>
      </c>
      <c r="B14" s="2" t="s">
        <v>30</v>
      </c>
      <c r="C14" s="44">
        <v>2019</v>
      </c>
      <c r="D14" s="3">
        <v>29.636220000000002</v>
      </c>
      <c r="E14" s="3">
        <v>-92.769170000000003</v>
      </c>
      <c r="F14" s="3">
        <v>0</v>
      </c>
      <c r="G14" s="3">
        <v>0</v>
      </c>
      <c r="H14" s="3" t="s">
        <v>462</v>
      </c>
      <c r="I14" s="43"/>
      <c r="J14" s="55">
        <v>41</v>
      </c>
      <c r="K14" s="4">
        <v>41</v>
      </c>
      <c r="L14" s="22">
        <f>IF(ISNUMBER(Table2[[#This Row],[estHD]]),ABS(Table2[[#This Row],[HD]]-Table2[[#This Row],[estHD]]),"NA")</f>
        <v>0</v>
      </c>
      <c r="M14" s="4" t="b">
        <f>Table2[[#This Row],[HD]]=Table2[[#This Row],[estHD]]</f>
        <v>1</v>
      </c>
      <c r="N14" s="4" t="str">
        <f>IF(ISNUMBER([1]!Table2[[#This Row],[hatch_date]]),[1]!Table2[[#This Row],[hatch_date]]-19,"NA")</f>
        <v>NA</v>
      </c>
      <c r="O14" s="31">
        <v>22</v>
      </c>
      <c r="P14" s="23">
        <f>IF(ISNUMBER(Table2[[#This Row],[nest_age1]]),ABS(Table2[[#This Row],[nest_age1]]-Table2[[#This Row],[nest_age_feb]]),"NA")</f>
        <v>0</v>
      </c>
      <c r="Q14" s="24">
        <f>IF(ISNUMBER(Table2[[#This Row],[final_obs_int2]]),ABS(Table2[[#This Row],[final_obs_int2]]-Table2[[#This Row],[final_obs_int_feb]]), "NA")</f>
        <v>0</v>
      </c>
      <c r="R14" s="24"/>
      <c r="S14" s="57" t="s">
        <v>88</v>
      </c>
      <c r="T14" s="57" t="str">
        <f>Table2[[#This Row],[camera_old]]</f>
        <v>N</v>
      </c>
      <c r="U14" s="24"/>
      <c r="V14" s="16" t="s">
        <v>24</v>
      </c>
      <c r="W14" s="16">
        <v>4</v>
      </c>
      <c r="X14" s="145">
        <v>6</v>
      </c>
      <c r="Y14" s="147" t="s">
        <v>31</v>
      </c>
      <c r="Z14" s="146" t="s">
        <v>31</v>
      </c>
      <c r="AA14" s="4" t="str">
        <f>Table2[[#This Row],[field_fate]]</f>
        <v>D</v>
      </c>
      <c r="AB14" s="4" t="str">
        <f>Table2[[#This Row],[field_fate2]]</f>
        <v>D</v>
      </c>
      <c r="AC14" s="4" t="str">
        <f>Table2[[#This Row],[field_fate3]]</f>
        <v>D</v>
      </c>
      <c r="AD14" s="4" t="str">
        <f>Table2[[#This Row],[field_fate4]]</f>
        <v>D</v>
      </c>
      <c r="AE14" s="4" t="str">
        <f>Table2[[#This Row],[field_fate5]]</f>
        <v>D</v>
      </c>
      <c r="AF14" s="4" t="str">
        <f>Table2[[#This Row],[field_fate5]]</f>
        <v>D</v>
      </c>
      <c r="AG14" s="4" t="str">
        <f>Table2[[#This Row],[field_fate5]]</f>
        <v>D</v>
      </c>
      <c r="AH14" s="4" t="str">
        <f>Table2[[#This Row],[field_fate2]]</f>
        <v>D</v>
      </c>
      <c r="AI14" s="4" t="str">
        <f>Table2[[#This Row],[field_fate8]]</f>
        <v>D</v>
      </c>
      <c r="AJ14" s="4" t="str">
        <f>Table2[[#This Row],[field_fate10]]</f>
        <v>D</v>
      </c>
      <c r="AK14" s="4" t="b">
        <f>Table2[[#This Row],[field_fate_feb]]=Table2[[#This Row],[field_fate10]]</f>
        <v>1</v>
      </c>
      <c r="AL14" s="43" t="s">
        <v>24</v>
      </c>
      <c r="AM14" s="43" t="b">
        <f>Table2[[#This Row],[cam_fate2]]="NA"</f>
        <v>1</v>
      </c>
      <c r="AN14" s="19" t="str">
        <f>Table2[[#This Row],[cam_fate1]]</f>
        <v>NA</v>
      </c>
      <c r="AO14" s="2" t="s">
        <v>31</v>
      </c>
      <c r="AP14" s="5" t="str">
        <f>Table2[[#This Row],[final_fate1]]</f>
        <v>D</v>
      </c>
      <c r="AQ14" s="6">
        <v>4</v>
      </c>
      <c r="AR14" s="7">
        <v>4</v>
      </c>
      <c r="AS14" s="7">
        <f>Table2[[#This Row],[final_obs_date]]-Table2[[#This Row],[init_date]]</f>
        <v>4</v>
      </c>
      <c r="AT14" s="7">
        <f>(Table2[[#This Row],[final_obs_date2]]-Table2[[#This Row],[estHD]])+16</f>
        <v>1</v>
      </c>
      <c r="AU14" s="38">
        <v>6</v>
      </c>
      <c r="AV14" s="33">
        <v>6</v>
      </c>
      <c r="AW14" s="33">
        <f>Table2[[#This Row],[final_obs_date2]]-Table2[[#This Row],[pen_obs_date]]</f>
        <v>26</v>
      </c>
      <c r="AX14" s="67">
        <v>26</v>
      </c>
      <c r="AY14" s="6">
        <f>Table2[[#This Row],[final_obs_date]]</f>
        <v>26</v>
      </c>
      <c r="AZ14" s="6"/>
      <c r="BA14" s="91" t="s">
        <v>47</v>
      </c>
      <c r="BB14" s="6" t="b">
        <f>Table2[[#This Row],[final_obs_date]]&lt;(Table2[[#This Row],[estHD]]-2)</f>
        <v>1</v>
      </c>
      <c r="BC14" s="24">
        <f>IF(Table2[[#This Row],[field_fate]]="H",1,0)</f>
        <v>0</v>
      </c>
      <c r="BD14" s="16">
        <f>IF(Table2[[#This Row],[cam_fate2]]="H",1,0)</f>
        <v>0</v>
      </c>
      <c r="BE14" s="6" t="b">
        <f>NOT(Table2[[#This Row],[HF_C]]=Table2[[#This Row],[HF]])</f>
        <v>0</v>
      </c>
      <c r="BF14" s="6" t="b">
        <f>NOT(Table2[[#This Row],[cam_fate2]]=Table2[[#This Row],[field_fate3]])</f>
        <v>1</v>
      </c>
      <c r="BG14" s="6" t="b">
        <f>OR(Table2[[#This Row],[field_fate3]]="U",Table2[[#This Row],[field_fate3]]="U-H")</f>
        <v>0</v>
      </c>
      <c r="BH14" s="8">
        <v>20</v>
      </c>
      <c r="BI14" s="8">
        <v>20</v>
      </c>
      <c r="BJ14" s="14">
        <f>IF(ISTEXT(Table2[[#This Row],[j.cam]]),Table2[[#This Row],[j]],Table2[[#This Row],[j.cam]])</f>
        <v>20</v>
      </c>
      <c r="BK14" s="9">
        <v>26</v>
      </c>
      <c r="BL14" s="15">
        <f>IF(ISTEXT(Table2[[#This Row],[k.cam]]), Table2[[#This Row],[k]], Table2[[#This Row],[k.cam]])</f>
        <v>26</v>
      </c>
      <c r="BM14" s="4" t="s">
        <v>24</v>
      </c>
      <c r="BN14" s="8" t="s">
        <v>24</v>
      </c>
      <c r="BO14" s="4">
        <v>2</v>
      </c>
      <c r="BP14" s="4">
        <f>Table2[[#This Row],[final_obs_date]]-Table2[[#This Row],[i]]</f>
        <v>6</v>
      </c>
      <c r="BQ14" s="4" t="b">
        <f>Table2[[#This Row],[final_obs_date2]]&gt;Table2[[#This Row],[estHD]]+3</f>
        <v>0</v>
      </c>
      <c r="BR14" s="4" t="s">
        <v>58</v>
      </c>
      <c r="BS14" s="4" t="s">
        <v>28</v>
      </c>
      <c r="BT14" s="79" t="s">
        <v>1017</v>
      </c>
      <c r="BU14" s="26" t="s">
        <v>59</v>
      </c>
      <c r="BV14" s="79" t="s">
        <v>1437</v>
      </c>
      <c r="BW14" s="49"/>
      <c r="BX14" s="47"/>
      <c r="BY14" s="36" t="s">
        <v>502</v>
      </c>
    </row>
    <row r="15" spans="1:77" ht="15" hidden="1" thickBot="1" x14ac:dyDescent="0.4">
      <c r="A15" s="62">
        <v>10015</v>
      </c>
      <c r="B15" s="2" t="s">
        <v>30</v>
      </c>
      <c r="C15" s="44">
        <v>2019</v>
      </c>
      <c r="D15" s="3">
        <v>29.63618</v>
      </c>
      <c r="E15" s="3">
        <v>-92.769210000000001</v>
      </c>
      <c r="F15" s="3">
        <v>0</v>
      </c>
      <c r="G15" s="3">
        <v>0</v>
      </c>
      <c r="H15" s="3" t="s">
        <v>462</v>
      </c>
      <c r="I15" s="43"/>
      <c r="J15" s="55">
        <v>40</v>
      </c>
      <c r="K15" s="4">
        <v>40</v>
      </c>
      <c r="L15" s="22">
        <f>IF(ISNUMBER(Table2[[#This Row],[estHD]]),ABS(Table2[[#This Row],[HD]]-Table2[[#This Row],[estHD]]),"NA")</f>
        <v>0</v>
      </c>
      <c r="M15" s="4" t="b">
        <f>Table2[[#This Row],[HD]]=Table2[[#This Row],[estHD]]</f>
        <v>1</v>
      </c>
      <c r="N15" s="4" t="str">
        <f>IF(ISNUMBER([1]!Table2[[#This Row],[hatch_date]]),[1]!Table2[[#This Row],[hatch_date]]-19,"NA")</f>
        <v>NA</v>
      </c>
      <c r="O15" s="31">
        <v>21</v>
      </c>
      <c r="P15" s="23">
        <f>IF(ISNUMBER(Table2[[#This Row],[nest_age1]]),ABS(Table2[[#This Row],[nest_age1]]-Table2[[#This Row],[nest_age_feb]]),"NA")</f>
        <v>0</v>
      </c>
      <c r="Q15" s="24">
        <f>IF(ISNUMBER(Table2[[#This Row],[final_obs_int2]]),ABS(Table2[[#This Row],[final_obs_int2]]-Table2[[#This Row],[final_obs_int_feb]]), "NA")</f>
        <v>0</v>
      </c>
      <c r="R15" s="24"/>
      <c r="S15" s="57" t="s">
        <v>88</v>
      </c>
      <c r="T15" s="57" t="str">
        <f>Table2[[#This Row],[camera_old]]</f>
        <v>N</v>
      </c>
      <c r="U15" s="24"/>
      <c r="V15" s="16" t="s">
        <v>24</v>
      </c>
      <c r="W15" s="16">
        <v>5</v>
      </c>
      <c r="X15" s="145">
        <v>6</v>
      </c>
      <c r="Y15" s="147" t="s">
        <v>31</v>
      </c>
      <c r="Z15" s="146" t="s">
        <v>31</v>
      </c>
      <c r="AA15" s="4" t="str">
        <f>Table2[[#This Row],[field_fate]]</f>
        <v>D</v>
      </c>
      <c r="AB15" s="4" t="str">
        <f>Table2[[#This Row],[field_fate2]]</f>
        <v>D</v>
      </c>
      <c r="AC15" s="4" t="str">
        <f>Table2[[#This Row],[field_fate3]]</f>
        <v>D</v>
      </c>
      <c r="AD15" s="4" t="str">
        <f>Table2[[#This Row],[field_fate4]]</f>
        <v>D</v>
      </c>
      <c r="AE15" s="4" t="str">
        <f>Table2[[#This Row],[field_fate5]]</f>
        <v>D</v>
      </c>
      <c r="AF15" s="4" t="str">
        <f>Table2[[#This Row],[field_fate5]]</f>
        <v>D</v>
      </c>
      <c r="AG15" s="4" t="str">
        <f>Table2[[#This Row],[field_fate5]]</f>
        <v>D</v>
      </c>
      <c r="AH15" s="4" t="str">
        <f>Table2[[#This Row],[field_fate2]]</f>
        <v>D</v>
      </c>
      <c r="AI15" s="4" t="str">
        <f>Table2[[#This Row],[field_fate8]]</f>
        <v>D</v>
      </c>
      <c r="AJ15" s="4" t="str">
        <f>Table2[[#This Row],[field_fate10]]</f>
        <v>D</v>
      </c>
      <c r="AK15" s="4" t="b">
        <f>Table2[[#This Row],[field_fate_feb]]=Table2[[#This Row],[field_fate10]]</f>
        <v>1</v>
      </c>
      <c r="AL15" s="43" t="s">
        <v>24</v>
      </c>
      <c r="AM15" s="43" t="b">
        <f>Table2[[#This Row],[cam_fate2]]="NA"</f>
        <v>1</v>
      </c>
      <c r="AN15" s="19" t="str">
        <f>Table2[[#This Row],[cam_fate1]]</f>
        <v>NA</v>
      </c>
      <c r="AO15" s="2" t="s">
        <v>31</v>
      </c>
      <c r="AP15" s="5" t="str">
        <f>Table2[[#This Row],[final_fate1]]</f>
        <v>D</v>
      </c>
      <c r="AQ15" s="6">
        <v>5</v>
      </c>
      <c r="AR15" s="7">
        <v>5</v>
      </c>
      <c r="AS15" s="7">
        <f>Table2[[#This Row],[final_obs_date]]-Table2[[#This Row],[init_date]]</f>
        <v>5</v>
      </c>
      <c r="AT15" s="7">
        <f>(Table2[[#This Row],[final_obs_date2]]-Table2[[#This Row],[estHD]])+16</f>
        <v>2</v>
      </c>
      <c r="AU15" s="38">
        <v>6</v>
      </c>
      <c r="AV15" s="33">
        <v>6</v>
      </c>
      <c r="AW15" s="33">
        <f>Table2[[#This Row],[final_obs_date2]]-Table2[[#This Row],[pen_obs_date]]</f>
        <v>26</v>
      </c>
      <c r="AX15" s="67">
        <v>26</v>
      </c>
      <c r="AY15" s="6">
        <f>Table2[[#This Row],[final_obs_date]]</f>
        <v>26</v>
      </c>
      <c r="AZ15" s="6"/>
      <c r="BA15" s="91" t="s">
        <v>47</v>
      </c>
      <c r="BB15" s="6" t="b">
        <f>Table2[[#This Row],[final_obs_date]]&lt;(Table2[[#This Row],[estHD]]-2)</f>
        <v>1</v>
      </c>
      <c r="BC15" s="24">
        <f>IF(Table2[[#This Row],[field_fate]]="H",1,0)</f>
        <v>0</v>
      </c>
      <c r="BD15" s="16">
        <f>IF(Table2[[#This Row],[cam_fate2]]="H",1,0)</f>
        <v>0</v>
      </c>
      <c r="BE15" s="6" t="b">
        <f>NOT(Table2[[#This Row],[HF_C]]=Table2[[#This Row],[HF]])</f>
        <v>0</v>
      </c>
      <c r="BF15" s="6" t="b">
        <f>NOT(Table2[[#This Row],[cam_fate2]]=Table2[[#This Row],[field_fate3]])</f>
        <v>1</v>
      </c>
      <c r="BG15" s="6" t="b">
        <f>OR(Table2[[#This Row],[field_fate3]]="U",Table2[[#This Row],[field_fate3]]="U-H")</f>
        <v>0</v>
      </c>
      <c r="BH15" s="8">
        <v>20</v>
      </c>
      <c r="BI15" s="8">
        <v>20</v>
      </c>
      <c r="BJ15" s="14">
        <f>IF(ISTEXT(Table2[[#This Row],[j.cam]]),Table2[[#This Row],[j]],Table2[[#This Row],[j.cam]])</f>
        <v>20</v>
      </c>
      <c r="BK15" s="9">
        <v>26</v>
      </c>
      <c r="BL15" s="15">
        <f>IF(ISTEXT(Table2[[#This Row],[k.cam]]), Table2[[#This Row],[k]], Table2[[#This Row],[k.cam]])</f>
        <v>26</v>
      </c>
      <c r="BM15" s="4" t="s">
        <v>24</v>
      </c>
      <c r="BN15" s="8" t="s">
        <v>24</v>
      </c>
      <c r="BO15" s="4">
        <v>2</v>
      </c>
      <c r="BP15" s="4">
        <f>Table2[[#This Row],[final_obs_date]]-Table2[[#This Row],[i]]</f>
        <v>6</v>
      </c>
      <c r="BQ15" s="4" t="b">
        <f>Table2[[#This Row],[final_obs_date2]]&gt;Table2[[#This Row],[estHD]]+3</f>
        <v>0</v>
      </c>
      <c r="BR15" s="4" t="s">
        <v>33</v>
      </c>
      <c r="BS15" s="4" t="s">
        <v>28</v>
      </c>
      <c r="BT15" s="79" t="s">
        <v>1017</v>
      </c>
      <c r="BU15" s="26" t="s">
        <v>34</v>
      </c>
      <c r="BV15" s="79" t="s">
        <v>1437</v>
      </c>
      <c r="BW15" s="49"/>
      <c r="BX15" s="47"/>
      <c r="BY15" s="36" t="s">
        <v>502</v>
      </c>
    </row>
    <row r="16" spans="1:77" ht="15" hidden="1" thickBot="1" x14ac:dyDescent="0.4">
      <c r="A16" s="62">
        <v>10016</v>
      </c>
      <c r="B16" s="2" t="s">
        <v>30</v>
      </c>
      <c r="C16" s="44">
        <v>2019</v>
      </c>
      <c r="D16" s="3">
        <v>29.63626</v>
      </c>
      <c r="E16" s="3">
        <v>-92.769679999999994</v>
      </c>
      <c r="F16" s="3">
        <v>0</v>
      </c>
      <c r="G16" s="3">
        <v>0</v>
      </c>
      <c r="H16" s="3" t="s">
        <v>462</v>
      </c>
      <c r="I16" s="43"/>
      <c r="J16" s="55">
        <v>41</v>
      </c>
      <c r="K16" s="4">
        <v>41</v>
      </c>
      <c r="L16" s="22">
        <f>IF(ISNUMBER(Table2[[#This Row],[estHD]]),ABS(Table2[[#This Row],[HD]]-Table2[[#This Row],[estHD]]),"NA")</f>
        <v>0</v>
      </c>
      <c r="M16" s="4" t="b">
        <f>Table2[[#This Row],[HD]]=Table2[[#This Row],[estHD]]</f>
        <v>1</v>
      </c>
      <c r="N16" s="4" t="str">
        <f>IF(ISNUMBER([1]!Table2[[#This Row],[hatch_date]]),[1]!Table2[[#This Row],[hatch_date]]-19,"NA")</f>
        <v>NA</v>
      </c>
      <c r="O16" s="31">
        <v>22</v>
      </c>
      <c r="P16" s="23">
        <f>IF(ISNUMBER(Table2[[#This Row],[nest_age1]]),ABS(Table2[[#This Row],[nest_age1]]-Table2[[#This Row],[nest_age_feb]]),"NA")</f>
        <v>0</v>
      </c>
      <c r="Q16" s="24">
        <f>IF(ISNUMBER(Table2[[#This Row],[final_obs_int2]]),ABS(Table2[[#This Row],[final_obs_int2]]-Table2[[#This Row],[final_obs_int_feb]]), "NA")</f>
        <v>0</v>
      </c>
      <c r="R16" s="24"/>
      <c r="S16" s="57" t="s">
        <v>88</v>
      </c>
      <c r="T16" s="57" t="str">
        <f>Table2[[#This Row],[camera_old]]</f>
        <v>N</v>
      </c>
      <c r="U16" s="24"/>
      <c r="V16" s="16" t="s">
        <v>24</v>
      </c>
      <c r="W16" s="16">
        <v>4</v>
      </c>
      <c r="X16" s="145">
        <v>6</v>
      </c>
      <c r="Y16" s="147" t="s">
        <v>31</v>
      </c>
      <c r="Z16" s="146" t="s">
        <v>31</v>
      </c>
      <c r="AA16" s="4" t="str">
        <f>Table2[[#This Row],[field_fate]]</f>
        <v>D</v>
      </c>
      <c r="AB16" s="4" t="str">
        <f>Table2[[#This Row],[field_fate2]]</f>
        <v>D</v>
      </c>
      <c r="AC16" s="4" t="str">
        <f>Table2[[#This Row],[field_fate3]]</f>
        <v>D</v>
      </c>
      <c r="AD16" s="4" t="str">
        <f>Table2[[#This Row],[field_fate4]]</f>
        <v>D</v>
      </c>
      <c r="AE16" s="4" t="str">
        <f>Table2[[#This Row],[field_fate5]]</f>
        <v>D</v>
      </c>
      <c r="AF16" s="4" t="str">
        <f>Table2[[#This Row],[field_fate5]]</f>
        <v>D</v>
      </c>
      <c r="AG16" s="4" t="str">
        <f>Table2[[#This Row],[field_fate5]]</f>
        <v>D</v>
      </c>
      <c r="AH16" s="4" t="str">
        <f>Table2[[#This Row],[field_fate2]]</f>
        <v>D</v>
      </c>
      <c r="AI16" s="4" t="str">
        <f>Table2[[#This Row],[field_fate8]]</f>
        <v>D</v>
      </c>
      <c r="AJ16" s="4" t="str">
        <f>Table2[[#This Row],[field_fate10]]</f>
        <v>D</v>
      </c>
      <c r="AK16" s="4" t="b">
        <f>Table2[[#This Row],[field_fate_feb]]=Table2[[#This Row],[field_fate10]]</f>
        <v>1</v>
      </c>
      <c r="AL16" s="43" t="s">
        <v>24</v>
      </c>
      <c r="AM16" s="43" t="b">
        <f>Table2[[#This Row],[cam_fate2]]="NA"</f>
        <v>1</v>
      </c>
      <c r="AN16" s="19" t="str">
        <f>Table2[[#This Row],[cam_fate1]]</f>
        <v>NA</v>
      </c>
      <c r="AO16" s="2" t="s">
        <v>31</v>
      </c>
      <c r="AP16" s="5" t="str">
        <f>Table2[[#This Row],[final_fate1]]</f>
        <v>D</v>
      </c>
      <c r="AQ16" s="6">
        <v>4</v>
      </c>
      <c r="AR16" s="7">
        <v>4</v>
      </c>
      <c r="AS16" s="7">
        <f>Table2[[#This Row],[final_obs_date]]-Table2[[#This Row],[init_date]]</f>
        <v>4</v>
      </c>
      <c r="AT16" s="7">
        <f>(Table2[[#This Row],[final_obs_date2]]-Table2[[#This Row],[estHD]])+16</f>
        <v>1</v>
      </c>
      <c r="AU16" s="38">
        <v>6</v>
      </c>
      <c r="AV16" s="33">
        <v>6</v>
      </c>
      <c r="AW16" s="33">
        <f>Table2[[#This Row],[final_obs_date2]]-Table2[[#This Row],[pen_obs_date]]</f>
        <v>26</v>
      </c>
      <c r="AX16" s="67">
        <v>26</v>
      </c>
      <c r="AY16" s="6">
        <f>Table2[[#This Row],[final_obs_date]]</f>
        <v>26</v>
      </c>
      <c r="AZ16" s="6"/>
      <c r="BA16" s="91" t="s">
        <v>47</v>
      </c>
      <c r="BB16" s="6" t="b">
        <f>Table2[[#This Row],[final_obs_date]]&lt;(Table2[[#This Row],[estHD]]-2)</f>
        <v>1</v>
      </c>
      <c r="BC16" s="24">
        <f>IF(Table2[[#This Row],[field_fate]]="H",1,0)</f>
        <v>0</v>
      </c>
      <c r="BD16" s="16">
        <f>IF(Table2[[#This Row],[cam_fate2]]="H",1,0)</f>
        <v>0</v>
      </c>
      <c r="BE16" s="6" t="b">
        <f>NOT(Table2[[#This Row],[HF_C]]=Table2[[#This Row],[HF]])</f>
        <v>0</v>
      </c>
      <c r="BF16" s="6" t="b">
        <f>NOT(Table2[[#This Row],[cam_fate2]]=Table2[[#This Row],[field_fate3]])</f>
        <v>1</v>
      </c>
      <c r="BG16" s="6" t="b">
        <f>OR(Table2[[#This Row],[field_fate3]]="U",Table2[[#This Row],[field_fate3]]="U-H")</f>
        <v>0</v>
      </c>
      <c r="BH16" s="8">
        <v>20</v>
      </c>
      <c r="BI16" s="8">
        <v>20</v>
      </c>
      <c r="BJ16" s="14">
        <f>IF(ISTEXT(Table2[[#This Row],[j.cam]]),Table2[[#This Row],[j]],Table2[[#This Row],[j.cam]])</f>
        <v>20</v>
      </c>
      <c r="BK16" s="9">
        <v>26</v>
      </c>
      <c r="BL16" s="15">
        <f>IF(ISTEXT(Table2[[#This Row],[k.cam]]), Table2[[#This Row],[k]], Table2[[#This Row],[k.cam]])</f>
        <v>26</v>
      </c>
      <c r="BM16" s="4" t="s">
        <v>24</v>
      </c>
      <c r="BN16" s="8" t="s">
        <v>24</v>
      </c>
      <c r="BO16" s="4">
        <v>2</v>
      </c>
      <c r="BP16" s="4">
        <f>Table2[[#This Row],[final_obs_date]]-Table2[[#This Row],[i]]</f>
        <v>6</v>
      </c>
      <c r="BQ16" s="4" t="b">
        <f>Table2[[#This Row],[final_obs_date2]]&gt;Table2[[#This Row],[estHD]]+3</f>
        <v>0</v>
      </c>
      <c r="BR16" s="4" t="s">
        <v>58</v>
      </c>
      <c r="BS16" s="4" t="s">
        <v>28</v>
      </c>
      <c r="BT16" s="79" t="s">
        <v>1017</v>
      </c>
      <c r="BU16" s="26" t="s">
        <v>59</v>
      </c>
      <c r="BV16" s="79" t="s">
        <v>1437</v>
      </c>
      <c r="BW16" s="49"/>
      <c r="BX16" s="47"/>
      <c r="BY16" s="36" t="s">
        <v>502</v>
      </c>
    </row>
    <row r="17" spans="1:77" ht="15" hidden="1" thickBot="1" x14ac:dyDescent="0.4">
      <c r="A17" s="62">
        <v>10017</v>
      </c>
      <c r="B17" s="2" t="s">
        <v>30</v>
      </c>
      <c r="C17" s="44">
        <v>2019</v>
      </c>
      <c r="D17" s="3">
        <v>29.636299999999999</v>
      </c>
      <c r="E17" s="3">
        <v>-92.770020000000002</v>
      </c>
      <c r="F17" s="3">
        <v>0</v>
      </c>
      <c r="G17" s="3">
        <v>0</v>
      </c>
      <c r="H17" s="3" t="s">
        <v>462</v>
      </c>
      <c r="I17" s="43"/>
      <c r="J17" s="55">
        <v>37</v>
      </c>
      <c r="K17" s="4">
        <v>37</v>
      </c>
      <c r="L17" s="22">
        <f>IF(ISNUMBER(Table2[[#This Row],[estHD]]),ABS(Table2[[#This Row],[HD]]-Table2[[#This Row],[estHD]]),"NA")</f>
        <v>0</v>
      </c>
      <c r="M17" s="4" t="b">
        <f>Table2[[#This Row],[HD]]=Table2[[#This Row],[estHD]]</f>
        <v>1</v>
      </c>
      <c r="N17" s="4" t="str">
        <f>IF(ISNUMBER([1]!Table2[[#This Row],[hatch_date]]), [1]!Table2[[#This Row],[hatch_date]]-16, "NA")</f>
        <v>NA</v>
      </c>
      <c r="O17" s="31">
        <v>21</v>
      </c>
      <c r="P17" s="23">
        <f>IF(ISNUMBER(Table2[[#This Row],[nest_age1]]),ABS(Table2[[#This Row],[nest_age1]]-Table2[[#This Row],[nest_age_feb]]),"NA")</f>
        <v>0</v>
      </c>
      <c r="Q17" s="24">
        <f>IF(ISNUMBER(Table2[[#This Row],[final_obs_int2]]),ABS(Table2[[#This Row],[final_obs_int2]]-Table2[[#This Row],[final_obs_int_feb]]), "NA")</f>
        <v>0</v>
      </c>
      <c r="R17" s="24"/>
      <c r="S17" s="57" t="s">
        <v>88</v>
      </c>
      <c r="T17" s="57" t="str">
        <f>Table2[[#This Row],[camera_old]]</f>
        <v>N</v>
      </c>
      <c r="U17" s="24"/>
      <c r="V17" s="16" t="s">
        <v>24</v>
      </c>
      <c r="W17" s="16">
        <v>12</v>
      </c>
      <c r="X17" s="145">
        <v>5</v>
      </c>
      <c r="Y17" s="147" t="s">
        <v>25</v>
      </c>
      <c r="Z17" s="146" t="s">
        <v>25</v>
      </c>
      <c r="AA17" s="4" t="str">
        <f>Table2[[#This Row],[field_fate]]</f>
        <v>S</v>
      </c>
      <c r="AB17" s="4" t="str">
        <f>Table2[[#This Row],[field_fate2]]</f>
        <v>S</v>
      </c>
      <c r="AC17" s="4" t="str">
        <f>Table2[[#This Row],[field_fate3]]</f>
        <v>S</v>
      </c>
      <c r="AD17" s="4" t="str">
        <f>Table2[[#This Row],[field_fate4]]</f>
        <v>S</v>
      </c>
      <c r="AE17" s="4" t="str">
        <f>Table2[[#This Row],[field_fate5]]</f>
        <v>S</v>
      </c>
      <c r="AF17" s="4" t="str">
        <f>Table2[[#This Row],[field_fate5]]</f>
        <v>S</v>
      </c>
      <c r="AG17" s="4" t="str">
        <f>Table2[[#This Row],[field_fate5]]</f>
        <v>S</v>
      </c>
      <c r="AH17" s="4" t="str">
        <f>Table2[[#This Row],[field_fate2]]</f>
        <v>S</v>
      </c>
      <c r="AI17" s="4" t="str">
        <f>Table2[[#This Row],[field_fate8]]</f>
        <v>S</v>
      </c>
      <c r="AJ17" s="4" t="str">
        <f>Table2[[#This Row],[field_fate10]]</f>
        <v>S</v>
      </c>
      <c r="AK17" s="4" t="b">
        <f>Table2[[#This Row],[field_fate_feb]]=Table2[[#This Row],[field_fate10]]</f>
        <v>1</v>
      </c>
      <c r="AL17" s="43" t="s">
        <v>24</v>
      </c>
      <c r="AM17" s="43" t="b">
        <f>Table2[[#This Row],[cam_fate2]]="NA"</f>
        <v>1</v>
      </c>
      <c r="AN17" s="19" t="str">
        <f>Table2[[#This Row],[cam_fate1]]</f>
        <v>NA</v>
      </c>
      <c r="AO17" s="2" t="s">
        <v>25</v>
      </c>
      <c r="AP17" s="5" t="str">
        <f>Table2[[#This Row],[final_fate1]]</f>
        <v>S</v>
      </c>
      <c r="AQ17" s="6">
        <v>12</v>
      </c>
      <c r="AR17" s="7">
        <v>12</v>
      </c>
      <c r="AS17" s="7">
        <f>Table2[[#This Row],[final_obs_date]]-Table2[[#This Row],[init_date]]</f>
        <v>12</v>
      </c>
      <c r="AT17" s="7">
        <f>(Table2[[#This Row],[final_obs_date2]]-Table2[[#This Row],[estHD]])+16</f>
        <v>12</v>
      </c>
      <c r="AU17" s="38">
        <v>5</v>
      </c>
      <c r="AV17" s="33">
        <v>5</v>
      </c>
      <c r="AW17" s="33">
        <f>Table2[[#This Row],[final_obs_date2]]-Table2[[#This Row],[pen_obs_date]]</f>
        <v>33</v>
      </c>
      <c r="AX17" s="67">
        <v>33</v>
      </c>
      <c r="AY17" s="6">
        <f>Table2[[#This Row],[final_obs_date]]</f>
        <v>33</v>
      </c>
      <c r="AZ17" s="6"/>
      <c r="BA17" s="91" t="s">
        <v>60</v>
      </c>
      <c r="BB17" s="6" t="b">
        <f>Table2[[#This Row],[final_obs_date]]&lt;(Table2[[#This Row],[estHD]]-2)</f>
        <v>1</v>
      </c>
      <c r="BC17" s="24">
        <f>IF(Table2[[#This Row],[field_fate]]="H",1,0)</f>
        <v>0</v>
      </c>
      <c r="BD17" s="16">
        <f>IF(Table2[[#This Row],[cam_fate2]]="H",1,0)</f>
        <v>0</v>
      </c>
      <c r="BE17" s="6" t="b">
        <f>NOT(Table2[[#This Row],[HF_C]]=Table2[[#This Row],[HF]])</f>
        <v>0</v>
      </c>
      <c r="BF17" s="6" t="b">
        <f>NOT(Table2[[#This Row],[cam_fate2]]=Table2[[#This Row],[field_fate3]])</f>
        <v>1</v>
      </c>
      <c r="BG17" s="6" t="b">
        <f>OR(Table2[[#This Row],[field_fate3]]="U",Table2[[#This Row],[field_fate3]]="U-H")</f>
        <v>0</v>
      </c>
      <c r="BH17" s="8">
        <v>20</v>
      </c>
      <c r="BI17" s="8">
        <v>28</v>
      </c>
      <c r="BJ17" s="14">
        <f>IF(ISTEXT(Table2[[#This Row],[j.cam]]),Table2[[#This Row],[j]],Table2[[#This Row],[j.cam]])</f>
        <v>28</v>
      </c>
      <c r="BK17" s="9">
        <v>33</v>
      </c>
      <c r="BL17" s="15">
        <f>IF(ISTEXT(Table2[[#This Row],[k.cam]]), Table2[[#This Row],[k]], Table2[[#This Row],[k.cam]])</f>
        <v>33</v>
      </c>
      <c r="BM17" s="4" t="s">
        <v>24</v>
      </c>
      <c r="BN17" s="8" t="s">
        <v>24</v>
      </c>
      <c r="BO17" s="4">
        <v>4</v>
      </c>
      <c r="BP17" s="4">
        <f>Table2[[#This Row],[final_obs_date]]-Table2[[#This Row],[i]]</f>
        <v>13</v>
      </c>
      <c r="BQ17" s="4" t="b">
        <f>Table2[[#This Row],[final_obs_date2]]&gt;Table2[[#This Row],[estHD]]+3</f>
        <v>0</v>
      </c>
      <c r="BR17" s="4" t="s">
        <v>33</v>
      </c>
      <c r="BS17" s="4" t="s">
        <v>28</v>
      </c>
      <c r="BT17" s="79" t="s">
        <v>1018</v>
      </c>
      <c r="BU17" s="26" t="s">
        <v>61</v>
      </c>
      <c r="BV17" s="79" t="s">
        <v>1438</v>
      </c>
      <c r="BW17" s="49"/>
      <c r="BX17" s="47"/>
      <c r="BY17" s="36" t="s">
        <v>503</v>
      </c>
    </row>
    <row r="18" spans="1:77" ht="15" hidden="1" thickBot="1" x14ac:dyDescent="0.4">
      <c r="A18" s="62">
        <v>10018</v>
      </c>
      <c r="B18" s="2" t="s">
        <v>30</v>
      </c>
      <c r="C18" s="44">
        <v>2019</v>
      </c>
      <c r="D18" s="3">
        <v>29.637589999999999</v>
      </c>
      <c r="E18" s="3">
        <v>-92.767880000000005</v>
      </c>
      <c r="F18" s="3">
        <v>0</v>
      </c>
      <c r="G18" s="3">
        <v>0</v>
      </c>
      <c r="H18" s="3" t="s">
        <v>462</v>
      </c>
      <c r="I18" s="43"/>
      <c r="J18" s="55" t="s">
        <v>24</v>
      </c>
      <c r="K18" s="4" t="s">
        <v>24</v>
      </c>
      <c r="L18" s="22" t="str">
        <f>IF(ISNUMBER(Table2[[#This Row],[estHD]]),ABS(Table2[[#This Row],[HD]]-Table2[[#This Row],[estHD]]),"NA")</f>
        <v>NA</v>
      </c>
      <c r="M18" s="4" t="b">
        <f>Table2[[#This Row],[HD]]=Table2[[#This Row],[estHD]]</f>
        <v>1</v>
      </c>
      <c r="N18" s="4" t="str">
        <f>IF(ISNUMBER([1]!Table2[[#This Row],[hatch_date]]), [1]!Table2[[#This Row],[hatch_date]]-28, "NA")</f>
        <v>NA</v>
      </c>
      <c r="O18" s="31" t="s">
        <v>24</v>
      </c>
      <c r="P18" s="23" t="str">
        <f>IF(ISNUMBER(Table2[[#This Row],[nest_age1]]),ABS(Table2[[#This Row],[nest_age1]]-Table2[[#This Row],[nest_age_feb]]),"NA")</f>
        <v>NA</v>
      </c>
      <c r="Q18" s="24">
        <f>IF(ISNUMBER(Table2[[#This Row],[final_obs_int2]]),ABS(Table2[[#This Row],[final_obs_int2]]-Table2[[#This Row],[final_obs_int_feb]]), "NA")</f>
        <v>0</v>
      </c>
      <c r="R18" s="24"/>
      <c r="S18" s="57" t="s">
        <v>88</v>
      </c>
      <c r="T18" s="57" t="str">
        <f>Table2[[#This Row],[camera_old]]</f>
        <v>N</v>
      </c>
      <c r="U18" s="24"/>
      <c r="V18" s="16" t="s">
        <v>24</v>
      </c>
      <c r="W18" s="16" t="s">
        <v>24</v>
      </c>
      <c r="X18" s="145">
        <v>6</v>
      </c>
      <c r="Y18" s="147" t="s">
        <v>31</v>
      </c>
      <c r="Z18" s="146" t="s">
        <v>31</v>
      </c>
      <c r="AA18" s="4" t="str">
        <f>Table2[[#This Row],[field_fate]]</f>
        <v>D</v>
      </c>
      <c r="AB18" s="4" t="str">
        <f>Table2[[#This Row],[field_fate2]]</f>
        <v>D</v>
      </c>
      <c r="AC18" s="4" t="str">
        <f>Table2[[#This Row],[field_fate3]]</f>
        <v>D</v>
      </c>
      <c r="AD18" s="4" t="str">
        <f>Table2[[#This Row],[field_fate4]]</f>
        <v>D</v>
      </c>
      <c r="AE18" s="4" t="str">
        <f>Table2[[#This Row],[field_fate5]]</f>
        <v>D</v>
      </c>
      <c r="AF18" s="4" t="str">
        <f>Table2[[#This Row],[field_fate5]]</f>
        <v>D</v>
      </c>
      <c r="AG18" s="4" t="str">
        <f>Table2[[#This Row],[field_fate5]]</f>
        <v>D</v>
      </c>
      <c r="AH18" s="4" t="str">
        <f>Table2[[#This Row],[field_fate2]]</f>
        <v>D</v>
      </c>
      <c r="AI18" s="4" t="str">
        <f>Table2[[#This Row],[field_fate8]]</f>
        <v>D</v>
      </c>
      <c r="AJ18" s="4" t="str">
        <f>Table2[[#This Row],[field_fate10]]</f>
        <v>D</v>
      </c>
      <c r="AK18" s="4" t="b">
        <f>Table2[[#This Row],[field_fate_feb]]=Table2[[#This Row],[field_fate10]]</f>
        <v>1</v>
      </c>
      <c r="AL18" s="43" t="s">
        <v>24</v>
      </c>
      <c r="AM18" s="43" t="b">
        <f>Table2[[#This Row],[cam_fate2]]="NA"</f>
        <v>1</v>
      </c>
      <c r="AN18" s="19" t="str">
        <f>Table2[[#This Row],[cam_fate1]]</f>
        <v>NA</v>
      </c>
      <c r="AO18" s="2" t="s">
        <v>31</v>
      </c>
      <c r="AP18" s="5" t="str">
        <f>Table2[[#This Row],[final_fate1]]</f>
        <v>D</v>
      </c>
      <c r="AQ18" s="6" t="s">
        <v>24</v>
      </c>
      <c r="AR18" s="7" t="s">
        <v>24</v>
      </c>
      <c r="AS18" s="7" t="e">
        <f>Table2[[#This Row],[final_obs_date]]-Table2[[#This Row],[init_date]]</f>
        <v>#VALUE!</v>
      </c>
      <c r="AT18" s="7" t="e">
        <f>(Table2[[#This Row],[final_obs_date2]]-Table2[[#This Row],[estHD]])+16</f>
        <v>#VALUE!</v>
      </c>
      <c r="AU18" s="38">
        <v>6</v>
      </c>
      <c r="AV18" s="33">
        <v>6</v>
      </c>
      <c r="AW18" s="33">
        <f>Table2[[#This Row],[final_obs_date2]]-Table2[[#This Row],[pen_obs_date]]</f>
        <v>26</v>
      </c>
      <c r="AX18" s="67">
        <v>26</v>
      </c>
      <c r="AY18" s="6">
        <f>Table2[[#This Row],[final_obs_date]]</f>
        <v>26</v>
      </c>
      <c r="AZ18" s="6"/>
      <c r="BA18" s="91" t="s">
        <v>23</v>
      </c>
      <c r="BB18" s="6" t="e">
        <f>Table2[[#This Row],[final_obs_date]]&lt;(Table2[[#This Row],[estHD]]-2)</f>
        <v>#VALUE!</v>
      </c>
      <c r="BC18" s="24">
        <f>IF(Table2[[#This Row],[field_fate]]="H",1,0)</f>
        <v>0</v>
      </c>
      <c r="BD18" s="16">
        <f>IF(Table2[[#This Row],[cam_fate2]]="H",1,0)</f>
        <v>0</v>
      </c>
      <c r="BE18" s="6" t="b">
        <f>NOT(Table2[[#This Row],[HF_C]]=Table2[[#This Row],[HF]])</f>
        <v>0</v>
      </c>
      <c r="BF18" s="6" t="b">
        <f>NOT(Table2[[#This Row],[cam_fate2]]=Table2[[#This Row],[field_fate3]])</f>
        <v>1</v>
      </c>
      <c r="BG18" s="6" t="b">
        <f>OR(Table2[[#This Row],[field_fate3]]="U",Table2[[#This Row],[field_fate3]]="U-H")</f>
        <v>0</v>
      </c>
      <c r="BH18" s="8">
        <v>20</v>
      </c>
      <c r="BI18" s="8">
        <v>20</v>
      </c>
      <c r="BJ18" s="14">
        <f>IF(ISTEXT(Table2[[#This Row],[j.cam]]),Table2[[#This Row],[j]],Table2[[#This Row],[j.cam]])</f>
        <v>20</v>
      </c>
      <c r="BK18" s="9">
        <v>26</v>
      </c>
      <c r="BL18" s="15">
        <f>IF(ISTEXT(Table2[[#This Row],[k.cam]]), Table2[[#This Row],[k]], Table2[[#This Row],[k.cam]])</f>
        <v>26</v>
      </c>
      <c r="BM18" s="4" t="s">
        <v>24</v>
      </c>
      <c r="BN18" s="8" t="s">
        <v>24</v>
      </c>
      <c r="BO18" s="4">
        <v>2</v>
      </c>
      <c r="BP18" s="4">
        <f>Table2[[#This Row],[final_obs_date]]-Table2[[#This Row],[i]]</f>
        <v>6</v>
      </c>
      <c r="BQ18" s="4" t="e">
        <f>Table2[[#This Row],[final_obs_date2]]&gt;Table2[[#This Row],[estHD]]+3</f>
        <v>#VALUE!</v>
      </c>
      <c r="BR18" s="4" t="s">
        <v>27</v>
      </c>
      <c r="BS18" s="4" t="s">
        <v>28</v>
      </c>
      <c r="BT18" s="79" t="s">
        <v>1017</v>
      </c>
      <c r="BU18" s="26" t="s">
        <v>29</v>
      </c>
      <c r="BV18" s="79" t="s">
        <v>1437</v>
      </c>
      <c r="BW18" s="49"/>
      <c r="BX18" s="47"/>
      <c r="BY18" s="36" t="s">
        <v>504</v>
      </c>
    </row>
    <row r="19" spans="1:77" ht="15" hidden="1" thickBot="1" x14ac:dyDescent="0.4">
      <c r="A19" s="62">
        <v>10019</v>
      </c>
      <c r="B19" s="2" t="s">
        <v>22</v>
      </c>
      <c r="C19" s="44">
        <v>2019</v>
      </c>
      <c r="D19" s="3">
        <v>29.660250000000001</v>
      </c>
      <c r="E19" s="3">
        <v>-92.826220000000006</v>
      </c>
      <c r="F19" s="3">
        <v>0</v>
      </c>
      <c r="G19" s="3">
        <v>0</v>
      </c>
      <c r="H19" s="3" t="s">
        <v>26</v>
      </c>
      <c r="I19" s="43"/>
      <c r="J19" s="55">
        <v>53</v>
      </c>
      <c r="K19" s="4">
        <v>53</v>
      </c>
      <c r="L19" s="22">
        <f>IF(ISNUMBER(Table2[[#This Row],[estHD]]),ABS(Table2[[#This Row],[HD]]-Table2[[#This Row],[estHD]]),"NA")</f>
        <v>0</v>
      </c>
      <c r="M19" s="4" t="b">
        <f>Table2[[#This Row],[HD]]=Table2[[#This Row],[estHD]]</f>
        <v>1</v>
      </c>
      <c r="N19" s="4" t="str">
        <f>IF(ISNUMBER([1]!Table2[[#This Row],[hatch_date]]), [1]!Table2[[#This Row],[hatch_date]]-28, "NA")</f>
        <v>NA</v>
      </c>
      <c r="O19" s="31">
        <v>25</v>
      </c>
      <c r="P19" s="23">
        <f>IF(ISNUMBER(Table2[[#This Row],[nest_age1]]),ABS(Table2[[#This Row],[nest_age1]]-Table2[[#This Row],[nest_age_feb]]),"NA")</f>
        <v>0</v>
      </c>
      <c r="Q19" s="24">
        <f>IF(ISNUMBER(Table2[[#This Row],[final_obs_int2]]),ABS(Table2[[#This Row],[final_obs_int2]]-Table2[[#This Row],[final_obs_int_feb]]), "NA")</f>
        <v>5</v>
      </c>
      <c r="R19" s="24"/>
      <c r="S19" s="57" t="s">
        <v>88</v>
      </c>
      <c r="T19" s="57" t="str">
        <f>Table2[[#This Row],[camera_old]]</f>
        <v>N</v>
      </c>
      <c r="U19" s="24"/>
      <c r="V19" s="16" t="s">
        <v>24</v>
      </c>
      <c r="W19" s="16">
        <v>6</v>
      </c>
      <c r="X19" s="145">
        <v>3</v>
      </c>
      <c r="Y19" s="147" t="s">
        <v>25</v>
      </c>
      <c r="Z19" s="146" t="s">
        <v>25</v>
      </c>
      <c r="AA19" s="4" t="str">
        <f>Table2[[#This Row],[field_fate]]</f>
        <v>S</v>
      </c>
      <c r="AB19" s="4" t="str">
        <f>Table2[[#This Row],[field_fate2]]</f>
        <v>S</v>
      </c>
      <c r="AC19" s="4" t="str">
        <f>Table2[[#This Row],[field_fate3]]</f>
        <v>S</v>
      </c>
      <c r="AD19" s="4" t="str">
        <f>Table2[[#This Row],[field_fate4]]</f>
        <v>S</v>
      </c>
      <c r="AE19" s="4" t="str">
        <f>Table2[[#This Row],[field_fate5]]</f>
        <v>S</v>
      </c>
      <c r="AF19" s="4" t="str">
        <f>Table2[[#This Row],[field_fate5]]</f>
        <v>S</v>
      </c>
      <c r="AG19" s="4" t="str">
        <f>Table2[[#This Row],[field_fate5]]</f>
        <v>S</v>
      </c>
      <c r="AH19" s="4" t="str">
        <f>Table2[[#This Row],[field_fate2]]</f>
        <v>S</v>
      </c>
      <c r="AI19" s="4" t="str">
        <f>Table2[[#This Row],[field_fate8]]</f>
        <v>S</v>
      </c>
      <c r="AJ19" s="4" t="str">
        <f>Table2[[#This Row],[field_fate10]]</f>
        <v>S</v>
      </c>
      <c r="AK19" s="4" t="b">
        <f>Table2[[#This Row],[field_fate_feb]]=Table2[[#This Row],[field_fate10]]</f>
        <v>1</v>
      </c>
      <c r="AL19" s="43" t="s">
        <v>24</v>
      </c>
      <c r="AM19" s="43" t="b">
        <f>Table2[[#This Row],[cam_fate2]]="NA"</f>
        <v>1</v>
      </c>
      <c r="AN19" s="19" t="str">
        <f>Table2[[#This Row],[cam_fate1]]</f>
        <v>NA</v>
      </c>
      <c r="AO19" s="2" t="s">
        <v>25</v>
      </c>
      <c r="AP19" s="5" t="str">
        <f>Table2[[#This Row],[final_fate1]]</f>
        <v>S</v>
      </c>
      <c r="AQ19" s="6">
        <v>6</v>
      </c>
      <c r="AR19" s="7">
        <v>6</v>
      </c>
      <c r="AS19" s="7">
        <f>Table2[[#This Row],[final_obs_date]]-Table2[[#This Row],[init_date]]</f>
        <v>6</v>
      </c>
      <c r="AT19" s="7">
        <f>(Table2[[#This Row],[final_obs_date2]]-Table2[[#This Row],[estHD]])+16</f>
        <v>-6</v>
      </c>
      <c r="AU19" s="39">
        <v>3</v>
      </c>
      <c r="AV19" s="33">
        <v>8</v>
      </c>
      <c r="AW19" s="33">
        <f>Table2[[#This Row],[final_obs_date2]]-Table2[[#This Row],[pen_obs_date]]</f>
        <v>31</v>
      </c>
      <c r="AX19" s="67">
        <v>31</v>
      </c>
      <c r="AY19" s="6">
        <f>Table2[[#This Row],[final_obs_date]]</f>
        <v>31</v>
      </c>
      <c r="AZ19" s="6"/>
      <c r="BA19" s="91" t="s">
        <v>23</v>
      </c>
      <c r="BB19" s="6" t="b">
        <f>Table2[[#This Row],[final_obs_date]]&lt;(Table2[[#This Row],[estHD]]-2)</f>
        <v>1</v>
      </c>
      <c r="BC19" s="24">
        <f>IF(Table2[[#This Row],[field_fate]]="H",1,0)</f>
        <v>0</v>
      </c>
      <c r="BD19" s="16">
        <f>IF(Table2[[#This Row],[cam_fate2]]="H",1,0)</f>
        <v>0</v>
      </c>
      <c r="BE19" s="6" t="b">
        <f>NOT(Table2[[#This Row],[HF_C]]=Table2[[#This Row],[HF]])</f>
        <v>0</v>
      </c>
      <c r="BF19" s="6" t="b">
        <f>NOT(Table2[[#This Row],[cam_fate2]]=Table2[[#This Row],[field_fate3]])</f>
        <v>1</v>
      </c>
      <c r="BG19" s="6" t="b">
        <f>OR(Table2[[#This Row],[field_fate3]]="U",Table2[[#This Row],[field_fate3]]="U-H")</f>
        <v>0</v>
      </c>
      <c r="BH19" s="8">
        <v>23</v>
      </c>
      <c r="BI19" s="8">
        <v>23</v>
      </c>
      <c r="BJ19" s="14">
        <f>IF(ISTEXT(Table2[[#This Row],[j.cam]]),Table2[[#This Row],[j]],Table2[[#This Row],[j.cam]])</f>
        <v>23</v>
      </c>
      <c r="BK19" s="9">
        <v>31</v>
      </c>
      <c r="BL19" s="15">
        <f>IF(ISTEXT(Table2[[#This Row],[k.cam]]), Table2[[#This Row],[k]], Table2[[#This Row],[k.cam]])</f>
        <v>31</v>
      </c>
      <c r="BM19" s="4" t="s">
        <v>24</v>
      </c>
      <c r="BN19" s="8" t="s">
        <v>24</v>
      </c>
      <c r="BO19" s="4">
        <v>3</v>
      </c>
      <c r="BP19" s="4">
        <f>Table2[[#This Row],[final_obs_date]]-Table2[[#This Row],[i]]</f>
        <v>8</v>
      </c>
      <c r="BQ19" s="4" t="b">
        <f>Table2[[#This Row],[final_obs_date2]]&gt;Table2[[#This Row],[estHD]]+3</f>
        <v>0</v>
      </c>
      <c r="BR19" s="11" t="s">
        <v>62</v>
      </c>
      <c r="BS19" s="4" t="s">
        <v>28</v>
      </c>
      <c r="BT19" s="79" t="s">
        <v>1019</v>
      </c>
      <c r="BU19" s="26" t="s">
        <v>63</v>
      </c>
      <c r="BV19" s="79" t="s">
        <v>1434</v>
      </c>
      <c r="BW19" s="49"/>
      <c r="BX19" s="47"/>
      <c r="BY19" s="36" t="s">
        <v>505</v>
      </c>
    </row>
    <row r="20" spans="1:77" ht="15" hidden="1" thickBot="1" x14ac:dyDescent="0.4">
      <c r="A20" s="62">
        <v>10020</v>
      </c>
      <c r="B20" s="2" t="s">
        <v>22</v>
      </c>
      <c r="C20" s="44">
        <v>2019</v>
      </c>
      <c r="D20" s="3">
        <v>29.66985</v>
      </c>
      <c r="E20" s="3">
        <v>-92.850880000000004</v>
      </c>
      <c r="F20" s="3">
        <v>5</v>
      </c>
      <c r="G20" s="3">
        <v>10</v>
      </c>
      <c r="H20" s="3" t="s">
        <v>26</v>
      </c>
      <c r="I20" s="43"/>
      <c r="J20" s="55">
        <v>38</v>
      </c>
      <c r="K20" s="4">
        <v>38</v>
      </c>
      <c r="L20" s="22">
        <f>IF(ISNUMBER(Table2[[#This Row],[estHD]]),ABS(Table2[[#This Row],[HD]]-Table2[[#This Row],[estHD]]),"NA")</f>
        <v>0</v>
      </c>
      <c r="M20" s="4" t="b">
        <f>Table2[[#This Row],[HD]]=Table2[[#This Row],[estHD]]</f>
        <v>1</v>
      </c>
      <c r="N20" s="4" t="str">
        <f>IF(ISNUMBER([1]!Table2[[#This Row],[hatch_date]]), [1]!Table2[[#This Row],[hatch_date]]-16, "NA")</f>
        <v>NA</v>
      </c>
      <c r="O20" s="31">
        <v>22</v>
      </c>
      <c r="P20" s="23">
        <f>IF(ISNUMBER(Table2[[#This Row],[nest_age1]]),ABS(Table2[[#This Row],[nest_age1]]-Table2[[#This Row],[nest_age_feb]]),"NA")</f>
        <v>0</v>
      </c>
      <c r="Q20" s="24">
        <f>IF(ISNUMBER(Table2[[#This Row],[final_obs_int2]]),ABS(Table2[[#This Row],[final_obs_int2]]-Table2[[#This Row],[final_obs_int_feb]]), "NA")</f>
        <v>0</v>
      </c>
      <c r="R20" s="24"/>
      <c r="S20" s="57" t="s">
        <v>88</v>
      </c>
      <c r="T20" s="57" t="str">
        <f>Table2[[#This Row],[camera_old]]</f>
        <v>N</v>
      </c>
      <c r="U20" s="24"/>
      <c r="V20" s="16" t="s">
        <v>24</v>
      </c>
      <c r="W20" s="16">
        <v>9</v>
      </c>
      <c r="X20" s="145">
        <v>3</v>
      </c>
      <c r="Y20" s="147" t="s">
        <v>25</v>
      </c>
      <c r="Z20" s="146" t="s">
        <v>25</v>
      </c>
      <c r="AA20" s="4" t="str">
        <f>Table2[[#This Row],[field_fate]]</f>
        <v>S</v>
      </c>
      <c r="AB20" s="4" t="str">
        <f>Table2[[#This Row],[field_fate2]]</f>
        <v>S</v>
      </c>
      <c r="AC20" s="4" t="str">
        <f>Table2[[#This Row],[field_fate3]]</f>
        <v>S</v>
      </c>
      <c r="AD20" s="4" t="str">
        <f>Table2[[#This Row],[field_fate4]]</f>
        <v>S</v>
      </c>
      <c r="AE20" s="4" t="str">
        <f>Table2[[#This Row],[field_fate5]]</f>
        <v>S</v>
      </c>
      <c r="AF20" s="4" t="str">
        <f>Table2[[#This Row],[field_fate5]]</f>
        <v>S</v>
      </c>
      <c r="AG20" s="4" t="str">
        <f>Table2[[#This Row],[field_fate5]]</f>
        <v>S</v>
      </c>
      <c r="AH20" s="4" t="str">
        <f>Table2[[#This Row],[field_fate2]]</f>
        <v>S</v>
      </c>
      <c r="AI20" s="4" t="str">
        <f>Table2[[#This Row],[field_fate8]]</f>
        <v>S</v>
      </c>
      <c r="AJ20" s="4" t="str">
        <f>Table2[[#This Row],[field_fate10]]</f>
        <v>S</v>
      </c>
      <c r="AK20" s="4" t="b">
        <f>Table2[[#This Row],[field_fate_feb]]=Table2[[#This Row],[field_fate10]]</f>
        <v>1</v>
      </c>
      <c r="AL20" s="43" t="s">
        <v>24</v>
      </c>
      <c r="AM20" s="43" t="b">
        <f>Table2[[#This Row],[cam_fate2]]="NA"</f>
        <v>1</v>
      </c>
      <c r="AN20" s="19" t="str">
        <f>Table2[[#This Row],[cam_fate1]]</f>
        <v>NA</v>
      </c>
      <c r="AO20" s="2" t="s">
        <v>25</v>
      </c>
      <c r="AP20" s="5" t="str">
        <f>Table2[[#This Row],[final_fate1]]</f>
        <v>S</v>
      </c>
      <c r="AQ20" s="6">
        <v>9</v>
      </c>
      <c r="AR20" s="7">
        <v>9</v>
      </c>
      <c r="AS20" s="7">
        <f>Table2[[#This Row],[final_obs_date]]-Table2[[#This Row],[init_date]]</f>
        <v>9</v>
      </c>
      <c r="AT20" s="7">
        <f>(Table2[[#This Row],[final_obs_date2]]-Table2[[#This Row],[estHD]])+16</f>
        <v>9</v>
      </c>
      <c r="AU20" s="38">
        <v>3</v>
      </c>
      <c r="AV20" s="33">
        <v>3</v>
      </c>
      <c r="AW20" s="33">
        <f>Table2[[#This Row],[final_obs_date2]]-Table2[[#This Row],[pen_obs_date]]</f>
        <v>31</v>
      </c>
      <c r="AX20" s="67">
        <v>31</v>
      </c>
      <c r="AY20" s="6">
        <f>Table2[[#This Row],[final_obs_date]]</f>
        <v>31</v>
      </c>
      <c r="AZ20" s="6"/>
      <c r="BA20" s="91" t="s">
        <v>60</v>
      </c>
      <c r="BB20" s="6" t="b">
        <f>Table2[[#This Row],[final_obs_date]]&lt;(Table2[[#This Row],[estHD]]-2)</f>
        <v>1</v>
      </c>
      <c r="BC20" s="24">
        <f>IF(Table2[[#This Row],[field_fate]]="H",1,0)</f>
        <v>0</v>
      </c>
      <c r="BD20" s="16">
        <f>IF(Table2[[#This Row],[cam_fate2]]="H",1,0)</f>
        <v>0</v>
      </c>
      <c r="BE20" s="6" t="b">
        <f>NOT(Table2[[#This Row],[HF_C]]=Table2[[#This Row],[HF]])</f>
        <v>0</v>
      </c>
      <c r="BF20" s="6" t="b">
        <f>NOT(Table2[[#This Row],[cam_fate2]]=Table2[[#This Row],[field_fate3]])</f>
        <v>1</v>
      </c>
      <c r="BG20" s="6" t="b">
        <f>OR(Table2[[#This Row],[field_fate3]]="U",Table2[[#This Row],[field_fate3]]="U-H")</f>
        <v>0</v>
      </c>
      <c r="BH20" s="8">
        <v>23</v>
      </c>
      <c r="BI20" s="8">
        <v>28</v>
      </c>
      <c r="BJ20" s="14">
        <f>IF(ISTEXT(Table2[[#This Row],[j.cam]]),Table2[[#This Row],[j]],Table2[[#This Row],[j.cam]])</f>
        <v>28</v>
      </c>
      <c r="BK20" s="9">
        <v>31</v>
      </c>
      <c r="BL20" s="15">
        <f>IF(ISTEXT(Table2[[#This Row],[k.cam]]), Table2[[#This Row],[k]], Table2[[#This Row],[k.cam]])</f>
        <v>31</v>
      </c>
      <c r="BM20" s="4" t="s">
        <v>24</v>
      </c>
      <c r="BN20" s="8" t="s">
        <v>24</v>
      </c>
      <c r="BO20" s="4">
        <v>3</v>
      </c>
      <c r="BP20" s="4">
        <f>Table2[[#This Row],[final_obs_date]]-Table2[[#This Row],[i]]</f>
        <v>8</v>
      </c>
      <c r="BQ20" s="4" t="b">
        <f>Table2[[#This Row],[final_obs_date2]]&gt;Table2[[#This Row],[estHD]]+3</f>
        <v>0</v>
      </c>
      <c r="BR20" s="4" t="s">
        <v>33</v>
      </c>
      <c r="BS20" s="4" t="s">
        <v>28</v>
      </c>
      <c r="BT20" s="79" t="s">
        <v>1019</v>
      </c>
      <c r="BU20" s="26" t="s">
        <v>64</v>
      </c>
      <c r="BV20" s="79" t="s">
        <v>1434</v>
      </c>
      <c r="BW20" s="49"/>
      <c r="BX20" s="47"/>
      <c r="BY20" s="36" t="s">
        <v>505</v>
      </c>
    </row>
    <row r="21" spans="1:77" ht="15" hidden="1" thickBot="1" x14ac:dyDescent="0.4">
      <c r="A21" s="62">
        <v>10021</v>
      </c>
      <c r="B21" s="2" t="s">
        <v>35</v>
      </c>
      <c r="C21" s="44">
        <v>2019</v>
      </c>
      <c r="D21" s="3">
        <v>29.761500000000002</v>
      </c>
      <c r="E21" s="3">
        <v>-93.135429999999999</v>
      </c>
      <c r="F21" s="3" t="s">
        <v>24</v>
      </c>
      <c r="G21" s="3" t="s">
        <v>24</v>
      </c>
      <c r="H21" s="3" t="s">
        <v>462</v>
      </c>
      <c r="I21" s="43"/>
      <c r="J21" s="55">
        <v>42</v>
      </c>
      <c r="K21" s="4">
        <v>42</v>
      </c>
      <c r="L21" s="22">
        <f>IF(ISNUMBER(Table2[[#This Row],[estHD]]),ABS(Table2[[#This Row],[HD]]-Table2[[#This Row],[estHD]]),"NA")</f>
        <v>0</v>
      </c>
      <c r="M21" s="4" t="b">
        <f>Table2[[#This Row],[HD]]=Table2[[#This Row],[estHD]]</f>
        <v>1</v>
      </c>
      <c r="N21" s="4" t="str">
        <f>IF(ISNUMBER([1]!Table2[[#This Row],[hatch_date]]),[1]!Table2[[#This Row],[hatch_date]]-19,"NA")</f>
        <v>NA</v>
      </c>
      <c r="O21" s="31">
        <v>23</v>
      </c>
      <c r="P21" s="23">
        <f>IF(ISNUMBER(Table2[[#This Row],[nest_age1]]),ABS(Table2[[#This Row],[nest_age1]]-Table2[[#This Row],[nest_age_feb]]),"NA")</f>
        <v>0</v>
      </c>
      <c r="Q21" s="24">
        <f>IF(ISNUMBER(Table2[[#This Row],[final_obs_int2]]),ABS(Table2[[#This Row],[final_obs_int2]]-Table2[[#This Row],[final_obs_int_feb]]), "NA")</f>
        <v>0</v>
      </c>
      <c r="R21" s="24"/>
      <c r="S21" s="57" t="s">
        <v>88</v>
      </c>
      <c r="T21" s="57" t="str">
        <f>Table2[[#This Row],[camera_old]]</f>
        <v>N</v>
      </c>
      <c r="U21" s="24"/>
      <c r="V21" s="16" t="s">
        <v>24</v>
      </c>
      <c r="W21" s="16">
        <v>16</v>
      </c>
      <c r="X21" s="145">
        <v>5</v>
      </c>
      <c r="Y21" s="147" t="s">
        <v>65</v>
      </c>
      <c r="Z21" s="146" t="s">
        <v>65</v>
      </c>
      <c r="AA21" s="4" t="str">
        <f>Table2[[#This Row],[field_fate]]</f>
        <v>Ca</v>
      </c>
      <c r="AB21" s="4" t="str">
        <f>Table2[[#This Row],[field_fate2]]</f>
        <v>Ca</v>
      </c>
      <c r="AC21" s="4" t="str">
        <f>Table2[[#This Row],[field_fate3]]</f>
        <v>Ca</v>
      </c>
      <c r="AD21" s="4" t="str">
        <f>Table2[[#This Row],[field_fate4]]</f>
        <v>Ca</v>
      </c>
      <c r="AE21" s="4" t="str">
        <f>Table2[[#This Row],[field_fate5]]</f>
        <v>Ca</v>
      </c>
      <c r="AF21" s="4" t="str">
        <f>Table2[[#This Row],[field_fate5]]</f>
        <v>Ca</v>
      </c>
      <c r="AG21" s="4" t="str">
        <f>Table2[[#This Row],[field_fate5]]</f>
        <v>Ca</v>
      </c>
      <c r="AH21" s="4" t="str">
        <f>Table2[[#This Row],[field_fate2]]</f>
        <v>Ca</v>
      </c>
      <c r="AI21" s="4" t="str">
        <f>Table2[[#This Row],[field_fate8]]</f>
        <v>Ca</v>
      </c>
      <c r="AJ21" s="4" t="str">
        <f>Table2[[#This Row],[field_fate10]]</f>
        <v>Ca</v>
      </c>
      <c r="AK21" s="4" t="b">
        <f>Table2[[#This Row],[field_fate_feb]]=Table2[[#This Row],[field_fate10]]</f>
        <v>1</v>
      </c>
      <c r="AL21" s="43" t="s">
        <v>24</v>
      </c>
      <c r="AM21" s="43" t="b">
        <f>Table2[[#This Row],[cam_fate2]]="NA"</f>
        <v>1</v>
      </c>
      <c r="AN21" s="19" t="str">
        <f>Table2[[#This Row],[cam_fate1]]</f>
        <v>NA</v>
      </c>
      <c r="AO21" s="2" t="s">
        <v>65</v>
      </c>
      <c r="AP21" s="5" t="str">
        <f>Table2[[#This Row],[final_fate1]]</f>
        <v>Ca</v>
      </c>
      <c r="AQ21" s="6">
        <v>16</v>
      </c>
      <c r="AR21" s="7">
        <v>16</v>
      </c>
      <c r="AS21" s="7">
        <f>Table2[[#This Row],[final_obs_date]]-Table2[[#This Row],[init_date]]</f>
        <v>16</v>
      </c>
      <c r="AT21" s="7">
        <f>(Table2[[#This Row],[final_obs_date2]]-Table2[[#This Row],[estHD]])+16</f>
        <v>13</v>
      </c>
      <c r="AU21" s="38">
        <v>5</v>
      </c>
      <c r="AV21" s="33">
        <v>5</v>
      </c>
      <c r="AW21" s="33">
        <f>Table2[[#This Row],[final_obs_date2]]-Table2[[#This Row],[pen_obs_date]]</f>
        <v>39</v>
      </c>
      <c r="AX21" s="67">
        <v>39</v>
      </c>
      <c r="AY21" s="6">
        <f>Table2[[#This Row],[final_obs_date]]</f>
        <v>39</v>
      </c>
      <c r="AZ21" s="6"/>
      <c r="BA21" s="91" t="s">
        <v>47</v>
      </c>
      <c r="BB21" s="6" t="b">
        <f>Table2[[#This Row],[final_obs_date]]&lt;(Table2[[#This Row],[estHD]]-2)</f>
        <v>1</v>
      </c>
      <c r="BC21" s="24">
        <f>IF(Table2[[#This Row],[field_fate]]="H",1,0)</f>
        <v>0</v>
      </c>
      <c r="BD21" s="16">
        <f>IF(Table2[[#This Row],[cam_fate2]]="H",1,0)</f>
        <v>0</v>
      </c>
      <c r="BE21" s="6" t="b">
        <f>NOT(Table2[[#This Row],[HF_C]]=Table2[[#This Row],[HF]])</f>
        <v>0</v>
      </c>
      <c r="BF21" s="6" t="b">
        <f>NOT(Table2[[#This Row],[cam_fate2]]=Table2[[#This Row],[field_fate3]])</f>
        <v>1</v>
      </c>
      <c r="BG21" s="6" t="b">
        <f>OR(Table2[[#This Row],[field_fate3]]="U",Table2[[#This Row],[field_fate3]]="U-H")</f>
        <v>0</v>
      </c>
      <c r="BH21" s="8">
        <v>25</v>
      </c>
      <c r="BI21" s="8">
        <v>34</v>
      </c>
      <c r="BJ21" s="14">
        <f>IF(ISTEXT(Table2[[#This Row],[j.cam]]),Table2[[#This Row],[j]],Table2[[#This Row],[j.cam]])</f>
        <v>34</v>
      </c>
      <c r="BK21" s="9">
        <v>39</v>
      </c>
      <c r="BL21" s="15">
        <f>IF(ISTEXT(Table2[[#This Row],[k.cam]]), Table2[[#This Row],[k]], Table2[[#This Row],[k.cam]])</f>
        <v>39</v>
      </c>
      <c r="BM21" s="4" t="s">
        <v>24</v>
      </c>
      <c r="BN21" s="8" t="s">
        <v>24</v>
      </c>
      <c r="BO21" s="4">
        <v>6</v>
      </c>
      <c r="BP21" s="4">
        <f>Table2[[#This Row],[final_obs_date]]-Table2[[#This Row],[i]]</f>
        <v>14</v>
      </c>
      <c r="BQ21" s="4" t="b">
        <f>Table2[[#This Row],[final_obs_date2]]&gt;Table2[[#This Row],[estHD]]+3</f>
        <v>0</v>
      </c>
      <c r="BR21" s="4" t="s">
        <v>66</v>
      </c>
      <c r="BS21" s="4" t="s">
        <v>45</v>
      </c>
      <c r="BT21" s="79" t="s">
        <v>1020</v>
      </c>
      <c r="BU21" s="26" t="s">
        <v>67</v>
      </c>
      <c r="BV21" s="79" t="s">
        <v>1439</v>
      </c>
      <c r="BW21" s="49"/>
      <c r="BX21" s="47"/>
      <c r="BY21" s="36" t="s">
        <v>24</v>
      </c>
    </row>
    <row r="22" spans="1:77" ht="15" hidden="1" thickBot="1" x14ac:dyDescent="0.4">
      <c r="A22" s="62">
        <v>10022</v>
      </c>
      <c r="B22" s="2" t="s">
        <v>35</v>
      </c>
      <c r="C22" s="44">
        <v>2019</v>
      </c>
      <c r="D22" s="3">
        <v>29.761500000000002</v>
      </c>
      <c r="E22" s="3">
        <v>-93.135570000000001</v>
      </c>
      <c r="F22" s="3" t="s">
        <v>24</v>
      </c>
      <c r="G22" s="3" t="s">
        <v>24</v>
      </c>
      <c r="H22" s="3" t="s">
        <v>462</v>
      </c>
      <c r="I22" s="43"/>
      <c r="J22" s="55">
        <v>42</v>
      </c>
      <c r="K22" s="4">
        <v>42</v>
      </c>
      <c r="L22" s="22">
        <f>IF(ISNUMBER(Table2[[#This Row],[estHD]]),ABS(Table2[[#This Row],[HD]]-Table2[[#This Row],[estHD]]),"NA")</f>
        <v>0</v>
      </c>
      <c r="M22" s="4" t="b">
        <f>Table2[[#This Row],[HD]]=Table2[[#This Row],[estHD]]</f>
        <v>1</v>
      </c>
      <c r="N22" s="4" t="str">
        <f>IF(ISNUMBER([1]!Table2[[#This Row],[hatch_date]]),[1]!Table2[[#This Row],[hatch_date]]-19,"NA")</f>
        <v>NA</v>
      </c>
      <c r="O22" s="31">
        <v>23</v>
      </c>
      <c r="P22" s="23">
        <f>IF(ISNUMBER(Table2[[#This Row],[nest_age1]]),ABS(Table2[[#This Row],[nest_age1]]-Table2[[#This Row],[nest_age_feb]]),"NA")</f>
        <v>0</v>
      </c>
      <c r="Q22" s="24">
        <f>IF(ISNUMBER(Table2[[#This Row],[final_obs_int2]]),ABS(Table2[[#This Row],[final_obs_int2]]-Table2[[#This Row],[final_obs_int_feb]]), "NA")</f>
        <v>0</v>
      </c>
      <c r="R22" s="24"/>
      <c r="S22" s="57" t="s">
        <v>88</v>
      </c>
      <c r="T22" s="57" t="str">
        <f>Table2[[#This Row],[camera_old]]</f>
        <v>N</v>
      </c>
      <c r="U22" s="24"/>
      <c r="V22" s="16" t="s">
        <v>24</v>
      </c>
      <c r="W22" s="16">
        <v>16</v>
      </c>
      <c r="X22" s="145">
        <v>5</v>
      </c>
      <c r="Y22" s="147" t="s">
        <v>65</v>
      </c>
      <c r="Z22" s="146" t="s">
        <v>65</v>
      </c>
      <c r="AA22" s="4" t="str">
        <f>Table2[[#This Row],[field_fate]]</f>
        <v>Ca</v>
      </c>
      <c r="AB22" s="4" t="str">
        <f>Table2[[#This Row],[field_fate2]]</f>
        <v>Ca</v>
      </c>
      <c r="AC22" s="4" t="str">
        <f>Table2[[#This Row],[field_fate3]]</f>
        <v>Ca</v>
      </c>
      <c r="AD22" s="4" t="str">
        <f>Table2[[#This Row],[field_fate4]]</f>
        <v>Ca</v>
      </c>
      <c r="AE22" s="4" t="str">
        <f>Table2[[#This Row],[field_fate5]]</f>
        <v>Ca</v>
      </c>
      <c r="AF22" s="4" t="str">
        <f>Table2[[#This Row],[field_fate5]]</f>
        <v>Ca</v>
      </c>
      <c r="AG22" s="4" t="str">
        <f>Table2[[#This Row],[field_fate5]]</f>
        <v>Ca</v>
      </c>
      <c r="AH22" s="4" t="str">
        <f>Table2[[#This Row],[field_fate2]]</f>
        <v>Ca</v>
      </c>
      <c r="AI22" s="4" t="str">
        <f>Table2[[#This Row],[field_fate8]]</f>
        <v>Ca</v>
      </c>
      <c r="AJ22" s="4" t="str">
        <f>Table2[[#This Row],[field_fate10]]</f>
        <v>Ca</v>
      </c>
      <c r="AK22" s="4" t="b">
        <f>Table2[[#This Row],[field_fate_feb]]=Table2[[#This Row],[field_fate10]]</f>
        <v>1</v>
      </c>
      <c r="AL22" s="43" t="s">
        <v>24</v>
      </c>
      <c r="AM22" s="43" t="b">
        <f>Table2[[#This Row],[cam_fate2]]="NA"</f>
        <v>1</v>
      </c>
      <c r="AN22" s="19" t="str">
        <f>Table2[[#This Row],[cam_fate1]]</f>
        <v>NA</v>
      </c>
      <c r="AO22" s="2" t="s">
        <v>65</v>
      </c>
      <c r="AP22" s="5" t="str">
        <f>Table2[[#This Row],[final_fate1]]</f>
        <v>Ca</v>
      </c>
      <c r="AQ22" s="6">
        <v>16</v>
      </c>
      <c r="AR22" s="7">
        <v>16</v>
      </c>
      <c r="AS22" s="7">
        <f>Table2[[#This Row],[final_obs_date]]-Table2[[#This Row],[init_date]]</f>
        <v>16</v>
      </c>
      <c r="AT22" s="7">
        <f>(Table2[[#This Row],[final_obs_date2]]-Table2[[#This Row],[estHD]])+16</f>
        <v>13</v>
      </c>
      <c r="AU22" s="38">
        <v>5</v>
      </c>
      <c r="AV22" s="33">
        <v>5</v>
      </c>
      <c r="AW22" s="33">
        <f>Table2[[#This Row],[final_obs_date2]]-Table2[[#This Row],[pen_obs_date]]</f>
        <v>39</v>
      </c>
      <c r="AX22" s="67">
        <v>39</v>
      </c>
      <c r="AY22" s="6">
        <f>Table2[[#This Row],[final_obs_date]]</f>
        <v>39</v>
      </c>
      <c r="AZ22" s="6"/>
      <c r="BA22" s="91" t="s">
        <v>47</v>
      </c>
      <c r="BB22" s="6" t="b">
        <f>Table2[[#This Row],[final_obs_date]]&lt;(Table2[[#This Row],[estHD]]-2)</f>
        <v>1</v>
      </c>
      <c r="BC22" s="24">
        <f>IF(Table2[[#This Row],[field_fate]]="H",1,0)</f>
        <v>0</v>
      </c>
      <c r="BD22" s="16">
        <f>IF(Table2[[#This Row],[cam_fate2]]="H",1,0)</f>
        <v>0</v>
      </c>
      <c r="BE22" s="6" t="b">
        <f>NOT(Table2[[#This Row],[HF_C]]=Table2[[#This Row],[HF]])</f>
        <v>0</v>
      </c>
      <c r="BF22" s="6" t="b">
        <f>NOT(Table2[[#This Row],[cam_fate2]]=Table2[[#This Row],[field_fate3]])</f>
        <v>1</v>
      </c>
      <c r="BG22" s="6" t="b">
        <f>OR(Table2[[#This Row],[field_fate3]]="U",Table2[[#This Row],[field_fate3]]="U-H")</f>
        <v>0</v>
      </c>
      <c r="BH22" s="8">
        <v>25</v>
      </c>
      <c r="BI22" s="8">
        <v>34</v>
      </c>
      <c r="BJ22" s="14">
        <f>IF(ISTEXT(Table2[[#This Row],[j.cam]]),Table2[[#This Row],[j]],Table2[[#This Row],[j.cam]])</f>
        <v>34</v>
      </c>
      <c r="BK22" s="9">
        <v>39</v>
      </c>
      <c r="BL22" s="15">
        <f>IF(ISTEXT(Table2[[#This Row],[k.cam]]), Table2[[#This Row],[k]], Table2[[#This Row],[k.cam]])</f>
        <v>39</v>
      </c>
      <c r="BM22" s="4" t="s">
        <v>24</v>
      </c>
      <c r="BN22" s="8" t="s">
        <v>24</v>
      </c>
      <c r="BO22" s="4">
        <v>7</v>
      </c>
      <c r="BP22" s="4">
        <f>Table2[[#This Row],[final_obs_date]]-Table2[[#This Row],[i]]</f>
        <v>14</v>
      </c>
      <c r="BQ22" s="4" t="b">
        <f>Table2[[#This Row],[final_obs_date2]]&gt;Table2[[#This Row],[estHD]]+3</f>
        <v>0</v>
      </c>
      <c r="BR22" s="4" t="s">
        <v>33</v>
      </c>
      <c r="BS22" s="4" t="s">
        <v>45</v>
      </c>
      <c r="BT22" s="79" t="s">
        <v>1021</v>
      </c>
      <c r="BU22" s="26" t="s">
        <v>68</v>
      </c>
      <c r="BV22" s="79" t="s">
        <v>1440</v>
      </c>
      <c r="BW22" s="49"/>
      <c r="BX22" s="47"/>
      <c r="BY22" s="36" t="s">
        <v>24</v>
      </c>
    </row>
    <row r="23" spans="1:77" ht="15" hidden="1" thickBot="1" x14ac:dyDescent="0.4">
      <c r="A23" s="62">
        <v>10024</v>
      </c>
      <c r="B23" s="2" t="s">
        <v>35</v>
      </c>
      <c r="C23" s="44">
        <v>2019</v>
      </c>
      <c r="D23" s="3">
        <v>29.761489999999998</v>
      </c>
      <c r="E23" s="3">
        <v>-93.135689999999997</v>
      </c>
      <c r="F23" s="3" t="s">
        <v>24</v>
      </c>
      <c r="G23" s="3" t="s">
        <v>24</v>
      </c>
      <c r="H23" s="3" t="s">
        <v>462</v>
      </c>
      <c r="I23" s="43"/>
      <c r="J23" s="55">
        <v>43</v>
      </c>
      <c r="K23" s="4">
        <v>43</v>
      </c>
      <c r="L23" s="22">
        <f>IF(ISNUMBER(Table2[[#This Row],[estHD]]),ABS(Table2[[#This Row],[HD]]-Table2[[#This Row],[estHD]]),"NA")</f>
        <v>0</v>
      </c>
      <c r="M23" s="4" t="b">
        <f>Table2[[#This Row],[HD]]=Table2[[#This Row],[estHD]]</f>
        <v>1</v>
      </c>
      <c r="N23" s="4" t="str">
        <f>IF(ISNUMBER([1]!Table2[[#This Row],[hatch_date]]),[1]!Table2[[#This Row],[hatch_date]]-19,"NA")</f>
        <v>NA</v>
      </c>
      <c r="O23" s="31">
        <v>24</v>
      </c>
      <c r="P23" s="23">
        <f>IF(ISNUMBER(Table2[[#This Row],[nest_age1]]),ABS(Table2[[#This Row],[nest_age1]]-Table2[[#This Row],[nest_age_feb]]),"NA")</f>
        <v>0</v>
      </c>
      <c r="Q23" s="24">
        <f>IF(ISNUMBER(Table2[[#This Row],[final_obs_int2]]),ABS(Table2[[#This Row],[final_obs_int2]]-Table2[[#This Row],[final_obs_int_feb]]), "NA")</f>
        <v>0</v>
      </c>
      <c r="R23" s="24"/>
      <c r="S23" s="57" t="s">
        <v>88</v>
      </c>
      <c r="T23" s="57" t="str">
        <f>Table2[[#This Row],[camera_old]]</f>
        <v>N</v>
      </c>
      <c r="U23" s="24"/>
      <c r="V23" s="16" t="s">
        <v>24</v>
      </c>
      <c r="W23" s="16">
        <v>19</v>
      </c>
      <c r="X23" s="145">
        <v>4</v>
      </c>
      <c r="Y23" s="147" t="s">
        <v>65</v>
      </c>
      <c r="Z23" s="146" t="s">
        <v>65</v>
      </c>
      <c r="AA23" s="4" t="str">
        <f>Table2[[#This Row],[field_fate]]</f>
        <v>Ca</v>
      </c>
      <c r="AB23" s="4" t="str">
        <f>Table2[[#This Row],[field_fate2]]</f>
        <v>Ca</v>
      </c>
      <c r="AC23" s="4" t="str">
        <f>Table2[[#This Row],[field_fate3]]</f>
        <v>Ca</v>
      </c>
      <c r="AD23" s="4" t="str">
        <f>Table2[[#This Row],[field_fate4]]</f>
        <v>Ca</v>
      </c>
      <c r="AE23" s="4" t="str">
        <f>Table2[[#This Row],[field_fate5]]</f>
        <v>Ca</v>
      </c>
      <c r="AF23" s="4" t="str">
        <f>Table2[[#This Row],[field_fate5]]</f>
        <v>Ca</v>
      </c>
      <c r="AG23" s="4" t="str">
        <f>Table2[[#This Row],[field_fate5]]</f>
        <v>Ca</v>
      </c>
      <c r="AH23" s="4" t="str">
        <f>Table2[[#This Row],[field_fate2]]</f>
        <v>Ca</v>
      </c>
      <c r="AI23" s="4" t="str">
        <f>Table2[[#This Row],[field_fate8]]</f>
        <v>Ca</v>
      </c>
      <c r="AJ23" s="4" t="str">
        <f>Table2[[#This Row],[field_fate10]]</f>
        <v>Ca</v>
      </c>
      <c r="AK23" s="4" t="b">
        <f>Table2[[#This Row],[field_fate_feb]]=Table2[[#This Row],[field_fate10]]</f>
        <v>1</v>
      </c>
      <c r="AL23" s="43" t="s">
        <v>24</v>
      </c>
      <c r="AM23" s="43" t="b">
        <f>Table2[[#This Row],[cam_fate2]]="NA"</f>
        <v>1</v>
      </c>
      <c r="AN23" s="19" t="str">
        <f>Table2[[#This Row],[cam_fate1]]</f>
        <v>NA</v>
      </c>
      <c r="AO23" s="2" t="s">
        <v>65</v>
      </c>
      <c r="AP23" s="5" t="str">
        <f>Table2[[#This Row],[final_fate1]]</f>
        <v>Ca</v>
      </c>
      <c r="AQ23" s="6">
        <v>19</v>
      </c>
      <c r="AR23" s="7">
        <v>19</v>
      </c>
      <c r="AS23" s="7">
        <f>Table2[[#This Row],[final_obs_date]]-Table2[[#This Row],[init_date]]</f>
        <v>19</v>
      </c>
      <c r="AT23" s="7">
        <f>(Table2[[#This Row],[final_obs_date2]]-Table2[[#This Row],[estHD]])+16</f>
        <v>16</v>
      </c>
      <c r="AU23" s="38">
        <v>4</v>
      </c>
      <c r="AV23" s="33">
        <v>4</v>
      </c>
      <c r="AW23" s="33">
        <f>Table2[[#This Row],[final_obs_date2]]-Table2[[#This Row],[pen_obs_date]]</f>
        <v>43</v>
      </c>
      <c r="AX23" s="67">
        <v>43</v>
      </c>
      <c r="AY23" s="6">
        <f>Table2[[#This Row],[final_obs_date]]</f>
        <v>43</v>
      </c>
      <c r="AZ23" s="6"/>
      <c r="BA23" s="91" t="s">
        <v>47</v>
      </c>
      <c r="BB23" s="6" t="b">
        <f>Table2[[#This Row],[final_obs_date]]&lt;(Table2[[#This Row],[estHD]]-2)</f>
        <v>0</v>
      </c>
      <c r="BC23" s="24">
        <f>IF(Table2[[#This Row],[field_fate]]="H",1,0)</f>
        <v>0</v>
      </c>
      <c r="BD23" s="16">
        <f>IF(Table2[[#This Row],[cam_fate2]]="H",1,0)</f>
        <v>0</v>
      </c>
      <c r="BE23" s="6" t="b">
        <f>NOT(Table2[[#This Row],[HF_C]]=Table2[[#This Row],[HF]])</f>
        <v>0</v>
      </c>
      <c r="BF23" s="6" t="b">
        <f>NOT(Table2[[#This Row],[cam_fate2]]=Table2[[#This Row],[field_fate3]])</f>
        <v>1</v>
      </c>
      <c r="BG23" s="6" t="b">
        <f>OR(Table2[[#This Row],[field_fate3]]="U",Table2[[#This Row],[field_fate3]]="U-H")</f>
        <v>0</v>
      </c>
      <c r="BH23" s="8">
        <v>25</v>
      </c>
      <c r="BI23" s="8">
        <v>39</v>
      </c>
      <c r="BJ23" s="14">
        <f>IF(ISTEXT(Table2[[#This Row],[j.cam]]),Table2[[#This Row],[j]],Table2[[#This Row],[j.cam]])</f>
        <v>39</v>
      </c>
      <c r="BK23" s="9">
        <v>43</v>
      </c>
      <c r="BL23" s="15">
        <f>IF(ISTEXT(Table2[[#This Row],[k.cam]]), Table2[[#This Row],[k]], Table2[[#This Row],[k.cam]])</f>
        <v>43</v>
      </c>
      <c r="BM23" s="4" t="s">
        <v>24</v>
      </c>
      <c r="BN23" s="8" t="s">
        <v>24</v>
      </c>
      <c r="BO23" s="4">
        <v>8</v>
      </c>
      <c r="BP23" s="4">
        <f>Table2[[#This Row],[final_obs_date]]-Table2[[#This Row],[i]]</f>
        <v>18</v>
      </c>
      <c r="BQ23" s="4" t="b">
        <f>Table2[[#This Row],[final_obs_date2]]&gt;Table2[[#This Row],[estHD]]+3</f>
        <v>0</v>
      </c>
      <c r="BR23" s="4" t="s">
        <v>27</v>
      </c>
      <c r="BS23" s="4" t="s">
        <v>28</v>
      </c>
      <c r="BT23" s="79" t="s">
        <v>1022</v>
      </c>
      <c r="BU23" s="26" t="s">
        <v>69</v>
      </c>
      <c r="BV23" s="79" t="s">
        <v>1441</v>
      </c>
      <c r="BW23" s="49"/>
      <c r="BX23" s="47"/>
      <c r="BY23" s="36" t="s">
        <v>24</v>
      </c>
    </row>
    <row r="24" spans="1:77" ht="15" hidden="1" thickBot="1" x14ac:dyDescent="0.4">
      <c r="A24" s="62">
        <v>10025</v>
      </c>
      <c r="B24" s="2" t="s">
        <v>35</v>
      </c>
      <c r="C24" s="44">
        <v>2019</v>
      </c>
      <c r="D24" s="3">
        <v>29.761520000000001</v>
      </c>
      <c r="E24" s="3">
        <v>-93.135720000000006</v>
      </c>
      <c r="F24" s="3" t="s">
        <v>24</v>
      </c>
      <c r="G24" s="3" t="s">
        <v>24</v>
      </c>
      <c r="H24" s="3" t="s">
        <v>462</v>
      </c>
      <c r="I24" s="43"/>
      <c r="J24" s="55">
        <v>43</v>
      </c>
      <c r="K24" s="4">
        <v>43</v>
      </c>
      <c r="L24" s="22">
        <f>IF(ISNUMBER(Table2[[#This Row],[estHD]]),ABS(Table2[[#This Row],[HD]]-Table2[[#This Row],[estHD]]),"NA")</f>
        <v>0</v>
      </c>
      <c r="M24" s="4" t="b">
        <f>Table2[[#This Row],[HD]]=Table2[[#This Row],[estHD]]</f>
        <v>1</v>
      </c>
      <c r="N24" s="4" t="str">
        <f>IF(ISNUMBER([1]!Table2[[#This Row],[hatch_date]]),[1]!Table2[[#This Row],[hatch_date]]-19,"NA")</f>
        <v>NA</v>
      </c>
      <c r="O24" s="31">
        <v>24</v>
      </c>
      <c r="P24" s="23">
        <f>IF(ISNUMBER(Table2[[#This Row],[nest_age1]]),ABS(Table2[[#This Row],[nest_age1]]-Table2[[#This Row],[nest_age_feb]]),"NA")</f>
        <v>0</v>
      </c>
      <c r="Q24" s="24">
        <f>IF(ISNUMBER(Table2[[#This Row],[final_obs_int2]]),ABS(Table2[[#This Row],[final_obs_int2]]-Table2[[#This Row],[final_obs_int_feb]]), "NA")</f>
        <v>0</v>
      </c>
      <c r="R24" s="24"/>
      <c r="S24" s="57" t="s">
        <v>88</v>
      </c>
      <c r="T24" s="57" t="str">
        <f>Table2[[#This Row],[camera_old]]</f>
        <v>N</v>
      </c>
      <c r="U24" s="24"/>
      <c r="V24" s="16" t="s">
        <v>24</v>
      </c>
      <c r="W24" s="16">
        <v>15</v>
      </c>
      <c r="X24" s="145">
        <v>6</v>
      </c>
      <c r="Y24" s="147" t="s">
        <v>65</v>
      </c>
      <c r="Z24" s="146" t="s">
        <v>65</v>
      </c>
      <c r="AA24" s="4" t="str">
        <f>Table2[[#This Row],[field_fate]]</f>
        <v>Ca</v>
      </c>
      <c r="AB24" s="4" t="str">
        <f>Table2[[#This Row],[field_fate2]]</f>
        <v>Ca</v>
      </c>
      <c r="AC24" s="4" t="str">
        <f>Table2[[#This Row],[field_fate3]]</f>
        <v>Ca</v>
      </c>
      <c r="AD24" s="4" t="str">
        <f>Table2[[#This Row],[field_fate4]]</f>
        <v>Ca</v>
      </c>
      <c r="AE24" s="4" t="str">
        <f>Table2[[#This Row],[field_fate5]]</f>
        <v>Ca</v>
      </c>
      <c r="AF24" s="4" t="str">
        <f>Table2[[#This Row],[field_fate5]]</f>
        <v>Ca</v>
      </c>
      <c r="AG24" s="4" t="str">
        <f>Table2[[#This Row],[field_fate5]]</f>
        <v>Ca</v>
      </c>
      <c r="AH24" s="4" t="str">
        <f>Table2[[#This Row],[field_fate2]]</f>
        <v>Ca</v>
      </c>
      <c r="AI24" s="4" t="str">
        <f>Table2[[#This Row],[field_fate8]]</f>
        <v>Ca</v>
      </c>
      <c r="AJ24" s="4" t="str">
        <f>Table2[[#This Row],[field_fate10]]</f>
        <v>Ca</v>
      </c>
      <c r="AK24" s="4" t="b">
        <f>Table2[[#This Row],[field_fate_feb]]=Table2[[#This Row],[field_fate10]]</f>
        <v>1</v>
      </c>
      <c r="AL24" s="43" t="s">
        <v>24</v>
      </c>
      <c r="AM24" s="43" t="b">
        <f>Table2[[#This Row],[cam_fate2]]="NA"</f>
        <v>1</v>
      </c>
      <c r="AN24" s="19" t="str">
        <f>Table2[[#This Row],[cam_fate1]]</f>
        <v>NA</v>
      </c>
      <c r="AO24" s="2" t="s">
        <v>65</v>
      </c>
      <c r="AP24" s="5" t="str">
        <f>Table2[[#This Row],[final_fate1]]</f>
        <v>Ca</v>
      </c>
      <c r="AQ24" s="6">
        <v>15</v>
      </c>
      <c r="AR24" s="7">
        <v>15</v>
      </c>
      <c r="AS24" s="7">
        <f>Table2[[#This Row],[final_obs_date]]-Table2[[#This Row],[init_date]]</f>
        <v>15</v>
      </c>
      <c r="AT24" s="7">
        <f>(Table2[[#This Row],[final_obs_date2]]-Table2[[#This Row],[estHD]])+16</f>
        <v>12</v>
      </c>
      <c r="AU24" s="38">
        <v>6</v>
      </c>
      <c r="AV24" s="33">
        <v>6</v>
      </c>
      <c r="AW24" s="33">
        <f>Table2[[#This Row],[final_obs_date2]]-Table2[[#This Row],[pen_obs_date]]</f>
        <v>39</v>
      </c>
      <c r="AX24" s="67">
        <v>39</v>
      </c>
      <c r="AY24" s="6">
        <f>Table2[[#This Row],[final_obs_date]]</f>
        <v>39</v>
      </c>
      <c r="AZ24" s="6"/>
      <c r="BA24" s="91" t="s">
        <v>47</v>
      </c>
      <c r="BB24" s="6" t="b">
        <f>Table2[[#This Row],[final_obs_date]]&lt;(Table2[[#This Row],[estHD]]-2)</f>
        <v>1</v>
      </c>
      <c r="BC24" s="24">
        <f>IF(Table2[[#This Row],[field_fate]]="H",1,0)</f>
        <v>0</v>
      </c>
      <c r="BD24" s="16">
        <f>IF(Table2[[#This Row],[cam_fate2]]="H",1,0)</f>
        <v>0</v>
      </c>
      <c r="BE24" s="6" t="b">
        <f>NOT(Table2[[#This Row],[HF_C]]=Table2[[#This Row],[HF]])</f>
        <v>0</v>
      </c>
      <c r="BF24" s="6" t="b">
        <f>NOT(Table2[[#This Row],[cam_fate2]]=Table2[[#This Row],[field_fate3]])</f>
        <v>1</v>
      </c>
      <c r="BG24" s="6" t="b">
        <f>OR(Table2[[#This Row],[field_fate3]]="U",Table2[[#This Row],[field_fate3]]="U-H")</f>
        <v>0</v>
      </c>
      <c r="BH24" s="8">
        <v>25</v>
      </c>
      <c r="BI24" s="8">
        <v>33</v>
      </c>
      <c r="BJ24" s="14">
        <f>IF(ISTEXT(Table2[[#This Row],[j.cam]]),Table2[[#This Row],[j]],Table2[[#This Row],[j.cam]])</f>
        <v>33</v>
      </c>
      <c r="BK24" s="9">
        <v>39</v>
      </c>
      <c r="BL24" s="15">
        <f>IF(ISTEXT(Table2[[#This Row],[k.cam]]), Table2[[#This Row],[k]], Table2[[#This Row],[k.cam]])</f>
        <v>39</v>
      </c>
      <c r="BM24" s="4" t="s">
        <v>24</v>
      </c>
      <c r="BN24" s="8" t="s">
        <v>24</v>
      </c>
      <c r="BO24" s="4">
        <v>6</v>
      </c>
      <c r="BP24" s="4">
        <f>Table2[[#This Row],[final_obs_date]]-Table2[[#This Row],[i]]</f>
        <v>14</v>
      </c>
      <c r="BQ24" s="4" t="b">
        <f>Table2[[#This Row],[final_obs_date2]]&gt;Table2[[#This Row],[estHD]]+3</f>
        <v>0</v>
      </c>
      <c r="BR24" s="4" t="s">
        <v>33</v>
      </c>
      <c r="BS24" s="4" t="s">
        <v>45</v>
      </c>
      <c r="BT24" s="79" t="s">
        <v>1023</v>
      </c>
      <c r="BU24" s="26" t="s">
        <v>70</v>
      </c>
      <c r="BV24" s="79" t="s">
        <v>1442</v>
      </c>
      <c r="BW24" s="49"/>
      <c r="BX24" s="47"/>
      <c r="BY24" s="36" t="s">
        <v>24</v>
      </c>
    </row>
    <row r="25" spans="1:77" ht="15" hidden="1" thickBot="1" x14ac:dyDescent="0.4">
      <c r="A25" s="62">
        <v>10026</v>
      </c>
      <c r="B25" s="2" t="s">
        <v>35</v>
      </c>
      <c r="C25" s="44">
        <v>2019</v>
      </c>
      <c r="D25" s="3">
        <v>29.76153</v>
      </c>
      <c r="E25" s="3">
        <v>-93.135729999999995</v>
      </c>
      <c r="F25" s="3" t="s">
        <v>24</v>
      </c>
      <c r="G25" s="3" t="s">
        <v>24</v>
      </c>
      <c r="H25" s="3" t="s">
        <v>462</v>
      </c>
      <c r="I25" s="43"/>
      <c r="J25" s="55">
        <v>42</v>
      </c>
      <c r="K25" s="4">
        <v>42</v>
      </c>
      <c r="L25" s="22">
        <f>IF(ISNUMBER(Table2[[#This Row],[estHD]]),ABS(Table2[[#This Row],[HD]]-Table2[[#This Row],[estHD]]),"NA")</f>
        <v>0</v>
      </c>
      <c r="M25" s="4" t="b">
        <f>Table2[[#This Row],[HD]]=Table2[[#This Row],[estHD]]</f>
        <v>1</v>
      </c>
      <c r="N25" s="4" t="str">
        <f>IF(ISNUMBER([1]!Table2[[#This Row],[hatch_date]]),[1]!Table2[[#This Row],[hatch_date]]-19,"NA")</f>
        <v>NA</v>
      </c>
      <c r="O25" s="31">
        <v>23</v>
      </c>
      <c r="P25" s="23">
        <f>IF(ISNUMBER(Table2[[#This Row],[nest_age1]]),ABS(Table2[[#This Row],[nest_age1]]-Table2[[#This Row],[nest_age_feb]]),"NA")</f>
        <v>0</v>
      </c>
      <c r="Q25" s="24">
        <f>IF(ISNUMBER(Table2[[#This Row],[final_obs_int2]]),ABS(Table2[[#This Row],[final_obs_int2]]-Table2[[#This Row],[final_obs_int_feb]]), "NA")</f>
        <v>0</v>
      </c>
      <c r="R25" s="24"/>
      <c r="S25" s="57" t="s">
        <v>88</v>
      </c>
      <c r="T25" s="57" t="str">
        <f>Table2[[#This Row],[camera_old]]</f>
        <v>N</v>
      </c>
      <c r="U25" s="24"/>
      <c r="V25" s="16" t="s">
        <v>24</v>
      </c>
      <c r="W25" s="16">
        <v>16</v>
      </c>
      <c r="X25" s="145">
        <v>6</v>
      </c>
      <c r="Y25" s="147" t="s">
        <v>65</v>
      </c>
      <c r="Z25" s="146" t="s">
        <v>65</v>
      </c>
      <c r="AA25" s="4" t="str">
        <f>Table2[[#This Row],[field_fate]]</f>
        <v>Ca</v>
      </c>
      <c r="AB25" s="4" t="str">
        <f>Table2[[#This Row],[field_fate2]]</f>
        <v>Ca</v>
      </c>
      <c r="AC25" s="4" t="str">
        <f>Table2[[#This Row],[field_fate3]]</f>
        <v>Ca</v>
      </c>
      <c r="AD25" s="4" t="str">
        <f>Table2[[#This Row],[field_fate4]]</f>
        <v>Ca</v>
      </c>
      <c r="AE25" s="4" t="str">
        <f>Table2[[#This Row],[field_fate5]]</f>
        <v>Ca</v>
      </c>
      <c r="AF25" s="4" t="str">
        <f>Table2[[#This Row],[field_fate5]]</f>
        <v>Ca</v>
      </c>
      <c r="AG25" s="4" t="str">
        <f>Table2[[#This Row],[field_fate5]]</f>
        <v>Ca</v>
      </c>
      <c r="AH25" s="4" t="str">
        <f>Table2[[#This Row],[field_fate2]]</f>
        <v>Ca</v>
      </c>
      <c r="AI25" s="4" t="str">
        <f>Table2[[#This Row],[field_fate8]]</f>
        <v>Ca</v>
      </c>
      <c r="AJ25" s="4" t="str">
        <f>Table2[[#This Row],[field_fate10]]</f>
        <v>Ca</v>
      </c>
      <c r="AK25" s="4" t="b">
        <f>Table2[[#This Row],[field_fate_feb]]=Table2[[#This Row],[field_fate10]]</f>
        <v>1</v>
      </c>
      <c r="AL25" s="43" t="s">
        <v>24</v>
      </c>
      <c r="AM25" s="43" t="b">
        <f>Table2[[#This Row],[cam_fate2]]="NA"</f>
        <v>1</v>
      </c>
      <c r="AN25" s="19" t="str">
        <f>Table2[[#This Row],[cam_fate1]]</f>
        <v>NA</v>
      </c>
      <c r="AO25" s="2" t="s">
        <v>65</v>
      </c>
      <c r="AP25" s="5" t="str">
        <f>Table2[[#This Row],[final_fate1]]</f>
        <v>Ca</v>
      </c>
      <c r="AQ25" s="6">
        <v>16</v>
      </c>
      <c r="AR25" s="7">
        <v>16</v>
      </c>
      <c r="AS25" s="7">
        <f>Table2[[#This Row],[final_obs_date]]-Table2[[#This Row],[init_date]]</f>
        <v>16</v>
      </c>
      <c r="AT25" s="7">
        <f>(Table2[[#This Row],[final_obs_date2]]-Table2[[#This Row],[estHD]])+16</f>
        <v>13</v>
      </c>
      <c r="AU25" s="38">
        <v>6</v>
      </c>
      <c r="AV25" s="33">
        <v>6</v>
      </c>
      <c r="AW25" s="33">
        <f>Table2[[#This Row],[final_obs_date2]]-Table2[[#This Row],[pen_obs_date]]</f>
        <v>39</v>
      </c>
      <c r="AX25" s="67">
        <v>39</v>
      </c>
      <c r="AY25" s="6">
        <f>Table2[[#This Row],[final_obs_date]]</f>
        <v>39</v>
      </c>
      <c r="AZ25" s="6"/>
      <c r="BA25" s="91" t="s">
        <v>47</v>
      </c>
      <c r="BB25" s="6" t="b">
        <f>Table2[[#This Row],[final_obs_date]]&lt;(Table2[[#This Row],[estHD]]-2)</f>
        <v>1</v>
      </c>
      <c r="BC25" s="24">
        <f>IF(Table2[[#This Row],[field_fate]]="H",1,0)</f>
        <v>0</v>
      </c>
      <c r="BD25" s="16">
        <f>IF(Table2[[#This Row],[cam_fate2]]="H",1,0)</f>
        <v>0</v>
      </c>
      <c r="BE25" s="6" t="b">
        <f>NOT(Table2[[#This Row],[HF_C]]=Table2[[#This Row],[HF]])</f>
        <v>0</v>
      </c>
      <c r="BF25" s="6" t="b">
        <f>NOT(Table2[[#This Row],[cam_fate2]]=Table2[[#This Row],[field_fate3]])</f>
        <v>1</v>
      </c>
      <c r="BG25" s="6" t="b">
        <f>OR(Table2[[#This Row],[field_fate3]]="U",Table2[[#This Row],[field_fate3]]="U-H")</f>
        <v>0</v>
      </c>
      <c r="BH25" s="8">
        <v>25</v>
      </c>
      <c r="BI25" s="8">
        <v>33</v>
      </c>
      <c r="BJ25" s="14">
        <f>IF(ISTEXT(Table2[[#This Row],[j.cam]]),Table2[[#This Row],[j]],Table2[[#This Row],[j.cam]])</f>
        <v>33</v>
      </c>
      <c r="BK25" s="9">
        <v>39</v>
      </c>
      <c r="BL25" s="15">
        <f>IF(ISTEXT(Table2[[#This Row],[k.cam]]), Table2[[#This Row],[k]], Table2[[#This Row],[k.cam]])</f>
        <v>39</v>
      </c>
      <c r="BM25" s="4" t="s">
        <v>24</v>
      </c>
      <c r="BN25" s="8" t="s">
        <v>24</v>
      </c>
      <c r="BO25" s="4">
        <v>6</v>
      </c>
      <c r="BP25" s="4">
        <f>Table2[[#This Row],[final_obs_date]]-Table2[[#This Row],[i]]</f>
        <v>14</v>
      </c>
      <c r="BQ25" s="4" t="b">
        <f>Table2[[#This Row],[final_obs_date2]]&gt;Table2[[#This Row],[estHD]]+3</f>
        <v>0</v>
      </c>
      <c r="BR25" s="4" t="s">
        <v>33</v>
      </c>
      <c r="BS25" s="4" t="s">
        <v>45</v>
      </c>
      <c r="BT25" s="79" t="s">
        <v>1023</v>
      </c>
      <c r="BU25" s="26" t="s">
        <v>71</v>
      </c>
      <c r="BV25" s="79" t="s">
        <v>1442</v>
      </c>
      <c r="BW25" s="49"/>
      <c r="BX25" s="47"/>
      <c r="BY25" s="36" t="s">
        <v>24</v>
      </c>
    </row>
    <row r="26" spans="1:77" ht="15" hidden="1" thickBot="1" x14ac:dyDescent="0.4">
      <c r="A26" s="62">
        <v>10027</v>
      </c>
      <c r="B26" s="2" t="s">
        <v>35</v>
      </c>
      <c r="C26" s="44">
        <v>2019</v>
      </c>
      <c r="D26" s="3">
        <v>29.761559999999999</v>
      </c>
      <c r="E26" s="3">
        <v>-93.135769999999994</v>
      </c>
      <c r="F26" s="3" t="s">
        <v>24</v>
      </c>
      <c r="G26" s="3" t="s">
        <v>24</v>
      </c>
      <c r="H26" s="3" t="s">
        <v>462</v>
      </c>
      <c r="I26" s="43"/>
      <c r="J26" s="55">
        <v>42</v>
      </c>
      <c r="K26" s="4">
        <v>42</v>
      </c>
      <c r="L26" s="22">
        <f>IF(ISNUMBER(Table2[[#This Row],[estHD]]),ABS(Table2[[#This Row],[HD]]-Table2[[#This Row],[estHD]]),"NA")</f>
        <v>0</v>
      </c>
      <c r="M26" s="4" t="b">
        <f>Table2[[#This Row],[HD]]=Table2[[#This Row],[estHD]]</f>
        <v>1</v>
      </c>
      <c r="N26" s="4" t="str">
        <f>IF(ISNUMBER([1]!Table2[[#This Row],[hatch_date]]),[1]!Table2[[#This Row],[hatch_date]]-19,"NA")</f>
        <v>NA</v>
      </c>
      <c r="O26" s="31">
        <v>23</v>
      </c>
      <c r="P26" s="23">
        <f>IF(ISNUMBER(Table2[[#This Row],[nest_age1]]),ABS(Table2[[#This Row],[nest_age1]]-Table2[[#This Row],[nest_age_feb]]),"NA")</f>
        <v>0</v>
      </c>
      <c r="Q26" s="24">
        <f>IF(ISNUMBER(Table2[[#This Row],[final_obs_int2]]),ABS(Table2[[#This Row],[final_obs_int2]]-Table2[[#This Row],[final_obs_int_feb]]), "NA")</f>
        <v>0</v>
      </c>
      <c r="R26" s="24"/>
      <c r="S26" s="57" t="s">
        <v>88</v>
      </c>
      <c r="T26" s="57" t="str">
        <f>Table2[[#This Row],[camera_old]]</f>
        <v>N</v>
      </c>
      <c r="U26" s="24"/>
      <c r="V26" s="16" t="s">
        <v>24</v>
      </c>
      <c r="W26" s="16">
        <v>16</v>
      </c>
      <c r="X26" s="145">
        <v>6</v>
      </c>
      <c r="Y26" s="147" t="s">
        <v>65</v>
      </c>
      <c r="Z26" s="146" t="s">
        <v>65</v>
      </c>
      <c r="AA26" s="4" t="str">
        <f>Table2[[#This Row],[field_fate]]</f>
        <v>Ca</v>
      </c>
      <c r="AB26" s="4" t="str">
        <f>Table2[[#This Row],[field_fate2]]</f>
        <v>Ca</v>
      </c>
      <c r="AC26" s="4" t="str">
        <f>Table2[[#This Row],[field_fate3]]</f>
        <v>Ca</v>
      </c>
      <c r="AD26" s="4" t="str">
        <f>Table2[[#This Row],[field_fate4]]</f>
        <v>Ca</v>
      </c>
      <c r="AE26" s="4" t="str">
        <f>Table2[[#This Row],[field_fate5]]</f>
        <v>Ca</v>
      </c>
      <c r="AF26" s="4" t="str">
        <f>Table2[[#This Row],[field_fate5]]</f>
        <v>Ca</v>
      </c>
      <c r="AG26" s="4" t="str">
        <f>Table2[[#This Row],[field_fate5]]</f>
        <v>Ca</v>
      </c>
      <c r="AH26" s="4" t="str">
        <f>Table2[[#This Row],[field_fate2]]</f>
        <v>Ca</v>
      </c>
      <c r="AI26" s="4" t="str">
        <f>Table2[[#This Row],[field_fate8]]</f>
        <v>Ca</v>
      </c>
      <c r="AJ26" s="4" t="str">
        <f>Table2[[#This Row],[field_fate10]]</f>
        <v>Ca</v>
      </c>
      <c r="AK26" s="4" t="b">
        <f>Table2[[#This Row],[field_fate_feb]]=Table2[[#This Row],[field_fate10]]</f>
        <v>1</v>
      </c>
      <c r="AL26" s="43" t="s">
        <v>24</v>
      </c>
      <c r="AM26" s="43" t="b">
        <f>Table2[[#This Row],[cam_fate2]]="NA"</f>
        <v>1</v>
      </c>
      <c r="AN26" s="19" t="str">
        <f>Table2[[#This Row],[cam_fate1]]</f>
        <v>NA</v>
      </c>
      <c r="AO26" s="2" t="s">
        <v>65</v>
      </c>
      <c r="AP26" s="5" t="str">
        <f>Table2[[#This Row],[final_fate1]]</f>
        <v>Ca</v>
      </c>
      <c r="AQ26" s="6">
        <v>16</v>
      </c>
      <c r="AR26" s="7">
        <v>16</v>
      </c>
      <c r="AS26" s="7">
        <f>Table2[[#This Row],[final_obs_date]]-Table2[[#This Row],[init_date]]</f>
        <v>16</v>
      </c>
      <c r="AT26" s="7">
        <f>(Table2[[#This Row],[final_obs_date2]]-Table2[[#This Row],[estHD]])+16</f>
        <v>13</v>
      </c>
      <c r="AU26" s="38">
        <v>6</v>
      </c>
      <c r="AV26" s="33">
        <v>6</v>
      </c>
      <c r="AW26" s="33">
        <f>Table2[[#This Row],[final_obs_date2]]-Table2[[#This Row],[pen_obs_date]]</f>
        <v>39</v>
      </c>
      <c r="AX26" s="67">
        <v>39</v>
      </c>
      <c r="AY26" s="6">
        <f>Table2[[#This Row],[final_obs_date]]</f>
        <v>39</v>
      </c>
      <c r="AZ26" s="6"/>
      <c r="BA26" s="91" t="s">
        <v>47</v>
      </c>
      <c r="BB26" s="6" t="b">
        <f>Table2[[#This Row],[final_obs_date]]&lt;(Table2[[#This Row],[estHD]]-2)</f>
        <v>1</v>
      </c>
      <c r="BC26" s="24">
        <f>IF(Table2[[#This Row],[field_fate]]="H",1,0)</f>
        <v>0</v>
      </c>
      <c r="BD26" s="16">
        <f>IF(Table2[[#This Row],[cam_fate2]]="H",1,0)</f>
        <v>0</v>
      </c>
      <c r="BE26" s="6" t="b">
        <f>NOT(Table2[[#This Row],[HF_C]]=Table2[[#This Row],[HF]])</f>
        <v>0</v>
      </c>
      <c r="BF26" s="6" t="b">
        <f>NOT(Table2[[#This Row],[cam_fate2]]=Table2[[#This Row],[field_fate3]])</f>
        <v>1</v>
      </c>
      <c r="BG26" s="6" t="b">
        <f>OR(Table2[[#This Row],[field_fate3]]="U",Table2[[#This Row],[field_fate3]]="U-H")</f>
        <v>0</v>
      </c>
      <c r="BH26" s="8">
        <v>25</v>
      </c>
      <c r="BI26" s="8">
        <v>33</v>
      </c>
      <c r="BJ26" s="14">
        <f>IF(ISTEXT(Table2[[#This Row],[j.cam]]),Table2[[#This Row],[j]],Table2[[#This Row],[j.cam]])</f>
        <v>33</v>
      </c>
      <c r="BK26" s="9">
        <v>39</v>
      </c>
      <c r="BL26" s="15">
        <f>IF(ISTEXT(Table2[[#This Row],[k.cam]]), Table2[[#This Row],[k]], Table2[[#This Row],[k.cam]])</f>
        <v>39</v>
      </c>
      <c r="BM26" s="4" t="s">
        <v>24</v>
      </c>
      <c r="BN26" s="8" t="s">
        <v>24</v>
      </c>
      <c r="BO26" s="4">
        <v>6</v>
      </c>
      <c r="BP26" s="4">
        <f>Table2[[#This Row],[final_obs_date]]-Table2[[#This Row],[i]]</f>
        <v>14</v>
      </c>
      <c r="BQ26" s="4" t="b">
        <f>Table2[[#This Row],[final_obs_date2]]&gt;Table2[[#This Row],[estHD]]+3</f>
        <v>0</v>
      </c>
      <c r="BR26" s="4" t="s">
        <v>27</v>
      </c>
      <c r="BS26" s="4" t="s">
        <v>45</v>
      </c>
      <c r="BT26" s="79" t="s">
        <v>1023</v>
      </c>
      <c r="BU26" s="26" t="s">
        <v>72</v>
      </c>
      <c r="BV26" s="79" t="s">
        <v>1442</v>
      </c>
      <c r="BW26" s="49"/>
      <c r="BX26" s="47"/>
      <c r="BY26" s="36" t="s">
        <v>24</v>
      </c>
    </row>
    <row r="27" spans="1:77" ht="15" hidden="1" thickBot="1" x14ac:dyDescent="0.4">
      <c r="A27" s="62">
        <v>10028</v>
      </c>
      <c r="B27" s="2" t="s">
        <v>35</v>
      </c>
      <c r="C27" s="44">
        <v>2019</v>
      </c>
      <c r="D27" s="3">
        <v>29.761579999999999</v>
      </c>
      <c r="E27" s="3">
        <v>-93.135829999999999</v>
      </c>
      <c r="F27" s="3" t="s">
        <v>24</v>
      </c>
      <c r="G27" s="3" t="s">
        <v>24</v>
      </c>
      <c r="H27" s="3" t="s">
        <v>462</v>
      </c>
      <c r="I27" s="43"/>
      <c r="J27" s="55">
        <v>42</v>
      </c>
      <c r="K27" s="4">
        <v>42</v>
      </c>
      <c r="L27" s="22">
        <f>IF(ISNUMBER(Table2[[#This Row],[estHD]]),ABS(Table2[[#This Row],[HD]]-Table2[[#This Row],[estHD]]),"NA")</f>
        <v>0</v>
      </c>
      <c r="M27" s="4" t="b">
        <f>Table2[[#This Row],[HD]]=Table2[[#This Row],[estHD]]</f>
        <v>1</v>
      </c>
      <c r="N27" s="4" t="str">
        <f>IF(ISNUMBER([1]!Table2[[#This Row],[hatch_date]]),[1]!Table2[[#This Row],[hatch_date]]-19,"NA")</f>
        <v>NA</v>
      </c>
      <c r="O27" s="31">
        <v>23</v>
      </c>
      <c r="P27" s="23">
        <f>IF(ISNUMBER(Table2[[#This Row],[nest_age1]]),ABS(Table2[[#This Row],[nest_age1]]-Table2[[#This Row],[nest_age_feb]]),"NA")</f>
        <v>0</v>
      </c>
      <c r="Q27" s="24">
        <f>IF(ISNUMBER(Table2[[#This Row],[final_obs_int2]]),ABS(Table2[[#This Row],[final_obs_int2]]-Table2[[#This Row],[final_obs_int_feb]]), "NA")</f>
        <v>0</v>
      </c>
      <c r="R27" s="24"/>
      <c r="S27" s="57" t="s">
        <v>88</v>
      </c>
      <c r="T27" s="57" t="str">
        <f>Table2[[#This Row],[camera_old]]</f>
        <v>N</v>
      </c>
      <c r="U27" s="24"/>
      <c r="V27" s="16" t="s">
        <v>24</v>
      </c>
      <c r="W27" s="16">
        <v>16</v>
      </c>
      <c r="X27" s="145">
        <v>6</v>
      </c>
      <c r="Y27" s="147" t="s">
        <v>65</v>
      </c>
      <c r="Z27" s="146" t="s">
        <v>65</v>
      </c>
      <c r="AA27" s="4" t="str">
        <f>Table2[[#This Row],[field_fate]]</f>
        <v>Ca</v>
      </c>
      <c r="AB27" s="4" t="str">
        <f>Table2[[#This Row],[field_fate2]]</f>
        <v>Ca</v>
      </c>
      <c r="AC27" s="4" t="str">
        <f>Table2[[#This Row],[field_fate3]]</f>
        <v>Ca</v>
      </c>
      <c r="AD27" s="4" t="str">
        <f>Table2[[#This Row],[field_fate4]]</f>
        <v>Ca</v>
      </c>
      <c r="AE27" s="4" t="str">
        <f>Table2[[#This Row],[field_fate5]]</f>
        <v>Ca</v>
      </c>
      <c r="AF27" s="4" t="str">
        <f>Table2[[#This Row],[field_fate5]]</f>
        <v>Ca</v>
      </c>
      <c r="AG27" s="4" t="str">
        <f>Table2[[#This Row],[field_fate5]]</f>
        <v>Ca</v>
      </c>
      <c r="AH27" s="4" t="str">
        <f>Table2[[#This Row],[field_fate2]]</f>
        <v>Ca</v>
      </c>
      <c r="AI27" s="4" t="str">
        <f>Table2[[#This Row],[field_fate8]]</f>
        <v>Ca</v>
      </c>
      <c r="AJ27" s="4" t="str">
        <f>Table2[[#This Row],[field_fate10]]</f>
        <v>Ca</v>
      </c>
      <c r="AK27" s="4" t="b">
        <f>Table2[[#This Row],[field_fate_feb]]=Table2[[#This Row],[field_fate10]]</f>
        <v>1</v>
      </c>
      <c r="AL27" s="43" t="s">
        <v>24</v>
      </c>
      <c r="AM27" s="43" t="b">
        <f>Table2[[#This Row],[cam_fate2]]="NA"</f>
        <v>1</v>
      </c>
      <c r="AN27" s="19" t="str">
        <f>Table2[[#This Row],[cam_fate1]]</f>
        <v>NA</v>
      </c>
      <c r="AO27" s="2" t="s">
        <v>65</v>
      </c>
      <c r="AP27" s="5" t="str">
        <f>Table2[[#This Row],[final_fate1]]</f>
        <v>Ca</v>
      </c>
      <c r="AQ27" s="6">
        <v>16</v>
      </c>
      <c r="AR27" s="7">
        <v>16</v>
      </c>
      <c r="AS27" s="7">
        <f>Table2[[#This Row],[final_obs_date]]-Table2[[#This Row],[init_date]]</f>
        <v>16</v>
      </c>
      <c r="AT27" s="7">
        <f>(Table2[[#This Row],[final_obs_date2]]-Table2[[#This Row],[estHD]])+16</f>
        <v>13</v>
      </c>
      <c r="AU27" s="38">
        <v>6</v>
      </c>
      <c r="AV27" s="33">
        <v>6</v>
      </c>
      <c r="AW27" s="33">
        <f>Table2[[#This Row],[final_obs_date2]]-Table2[[#This Row],[pen_obs_date]]</f>
        <v>39</v>
      </c>
      <c r="AX27" s="67">
        <v>39</v>
      </c>
      <c r="AY27" s="6">
        <f>Table2[[#This Row],[final_obs_date]]</f>
        <v>39</v>
      </c>
      <c r="AZ27" s="6"/>
      <c r="BA27" s="91" t="s">
        <v>47</v>
      </c>
      <c r="BB27" s="6" t="b">
        <f>Table2[[#This Row],[final_obs_date]]&lt;(Table2[[#This Row],[estHD]]-2)</f>
        <v>1</v>
      </c>
      <c r="BC27" s="24">
        <f>IF(Table2[[#This Row],[field_fate]]="H",1,0)</f>
        <v>0</v>
      </c>
      <c r="BD27" s="16">
        <f>IF(Table2[[#This Row],[cam_fate2]]="H",1,0)</f>
        <v>0</v>
      </c>
      <c r="BE27" s="6" t="b">
        <f>NOT(Table2[[#This Row],[HF_C]]=Table2[[#This Row],[HF]])</f>
        <v>0</v>
      </c>
      <c r="BF27" s="6" t="b">
        <f>NOT(Table2[[#This Row],[cam_fate2]]=Table2[[#This Row],[field_fate3]])</f>
        <v>1</v>
      </c>
      <c r="BG27" s="6" t="b">
        <f>OR(Table2[[#This Row],[field_fate3]]="U",Table2[[#This Row],[field_fate3]]="U-H")</f>
        <v>0</v>
      </c>
      <c r="BH27" s="8">
        <v>25</v>
      </c>
      <c r="BI27" s="8">
        <v>33</v>
      </c>
      <c r="BJ27" s="14">
        <f>IF(ISTEXT(Table2[[#This Row],[j.cam]]),Table2[[#This Row],[j]],Table2[[#This Row],[j.cam]])</f>
        <v>33</v>
      </c>
      <c r="BK27" s="9">
        <v>39</v>
      </c>
      <c r="BL27" s="15">
        <f>IF(ISTEXT(Table2[[#This Row],[k.cam]]), Table2[[#This Row],[k]], Table2[[#This Row],[k.cam]])</f>
        <v>39</v>
      </c>
      <c r="BM27" s="4" t="s">
        <v>24</v>
      </c>
      <c r="BN27" s="8" t="s">
        <v>24</v>
      </c>
      <c r="BO27" s="4">
        <v>6</v>
      </c>
      <c r="BP27" s="4">
        <f>Table2[[#This Row],[final_obs_date]]-Table2[[#This Row],[i]]</f>
        <v>14</v>
      </c>
      <c r="BQ27" s="4" t="b">
        <f>Table2[[#This Row],[final_obs_date2]]&gt;Table2[[#This Row],[estHD]]+3</f>
        <v>0</v>
      </c>
      <c r="BR27" s="4" t="s">
        <v>27</v>
      </c>
      <c r="BS27" s="4" t="s">
        <v>45</v>
      </c>
      <c r="BT27" s="79" t="s">
        <v>1023</v>
      </c>
      <c r="BU27" s="26" t="s">
        <v>72</v>
      </c>
      <c r="BV27" s="79" t="s">
        <v>1442</v>
      </c>
      <c r="BW27" s="49"/>
      <c r="BX27" s="47"/>
      <c r="BY27" s="36" t="s">
        <v>24</v>
      </c>
    </row>
    <row r="28" spans="1:77" ht="15" hidden="1" thickBot="1" x14ac:dyDescent="0.4">
      <c r="A28" s="62">
        <v>10029</v>
      </c>
      <c r="B28" s="2" t="s">
        <v>35</v>
      </c>
      <c r="C28" s="44">
        <v>2019</v>
      </c>
      <c r="D28" s="3">
        <v>29.761569999999999</v>
      </c>
      <c r="E28" s="3">
        <v>-93.135840000000002</v>
      </c>
      <c r="F28" s="3" t="s">
        <v>24</v>
      </c>
      <c r="G28" s="3" t="s">
        <v>24</v>
      </c>
      <c r="H28" s="3" t="s">
        <v>462</v>
      </c>
      <c r="I28" s="43"/>
      <c r="J28" s="55">
        <v>43</v>
      </c>
      <c r="K28" s="4">
        <v>43</v>
      </c>
      <c r="L28" s="22">
        <f>IF(ISNUMBER(Table2[[#This Row],[estHD]]),ABS(Table2[[#This Row],[HD]]-Table2[[#This Row],[estHD]]),"NA")</f>
        <v>0</v>
      </c>
      <c r="M28" s="4" t="b">
        <f>Table2[[#This Row],[HD]]=Table2[[#This Row],[estHD]]</f>
        <v>1</v>
      </c>
      <c r="N28" s="4" t="str">
        <f>IF(ISNUMBER([1]!Table2[[#This Row],[hatch_date]]),[1]!Table2[[#This Row],[hatch_date]]-19,"NA")</f>
        <v>NA</v>
      </c>
      <c r="O28" s="31">
        <v>24</v>
      </c>
      <c r="P28" s="23">
        <f>IF(ISNUMBER(Table2[[#This Row],[nest_age1]]),ABS(Table2[[#This Row],[nest_age1]]-Table2[[#This Row],[nest_age_feb]]),"NA")</f>
        <v>0</v>
      </c>
      <c r="Q28" s="24">
        <f>IF(ISNUMBER(Table2[[#This Row],[final_obs_int2]]),ABS(Table2[[#This Row],[final_obs_int2]]-Table2[[#This Row],[final_obs_int_feb]]), "NA")</f>
        <v>0</v>
      </c>
      <c r="R28" s="24"/>
      <c r="S28" s="57" t="s">
        <v>88</v>
      </c>
      <c r="T28" s="57" t="str">
        <f>Table2[[#This Row],[camera_old]]</f>
        <v>N</v>
      </c>
      <c r="U28" s="24"/>
      <c r="V28" s="16" t="s">
        <v>24</v>
      </c>
      <c r="W28" s="16">
        <v>15</v>
      </c>
      <c r="X28" s="145">
        <v>6</v>
      </c>
      <c r="Y28" s="147" t="s">
        <v>65</v>
      </c>
      <c r="Z28" s="146" t="s">
        <v>65</v>
      </c>
      <c r="AA28" s="4" t="str">
        <f>Table2[[#This Row],[field_fate]]</f>
        <v>Ca</v>
      </c>
      <c r="AB28" s="4" t="str">
        <f>Table2[[#This Row],[field_fate2]]</f>
        <v>Ca</v>
      </c>
      <c r="AC28" s="4" t="str">
        <f>Table2[[#This Row],[field_fate3]]</f>
        <v>Ca</v>
      </c>
      <c r="AD28" s="4" t="str">
        <f>Table2[[#This Row],[field_fate4]]</f>
        <v>Ca</v>
      </c>
      <c r="AE28" s="4" t="str">
        <f>Table2[[#This Row],[field_fate5]]</f>
        <v>Ca</v>
      </c>
      <c r="AF28" s="4" t="str">
        <f>Table2[[#This Row],[field_fate5]]</f>
        <v>Ca</v>
      </c>
      <c r="AG28" s="4" t="str">
        <f>Table2[[#This Row],[field_fate5]]</f>
        <v>Ca</v>
      </c>
      <c r="AH28" s="4" t="str">
        <f>Table2[[#This Row],[field_fate2]]</f>
        <v>Ca</v>
      </c>
      <c r="AI28" s="4" t="str">
        <f>Table2[[#This Row],[field_fate8]]</f>
        <v>Ca</v>
      </c>
      <c r="AJ28" s="4" t="str">
        <f>Table2[[#This Row],[field_fate10]]</f>
        <v>Ca</v>
      </c>
      <c r="AK28" s="4" t="b">
        <f>Table2[[#This Row],[field_fate_feb]]=Table2[[#This Row],[field_fate10]]</f>
        <v>1</v>
      </c>
      <c r="AL28" s="43" t="s">
        <v>24</v>
      </c>
      <c r="AM28" s="43" t="b">
        <f>Table2[[#This Row],[cam_fate2]]="NA"</f>
        <v>1</v>
      </c>
      <c r="AN28" s="19" t="str">
        <f>Table2[[#This Row],[cam_fate1]]</f>
        <v>NA</v>
      </c>
      <c r="AO28" s="2" t="s">
        <v>65</v>
      </c>
      <c r="AP28" s="5" t="str">
        <f>Table2[[#This Row],[final_fate1]]</f>
        <v>Ca</v>
      </c>
      <c r="AQ28" s="6">
        <v>15</v>
      </c>
      <c r="AR28" s="7">
        <v>15</v>
      </c>
      <c r="AS28" s="7">
        <f>Table2[[#This Row],[final_obs_date]]-Table2[[#This Row],[init_date]]</f>
        <v>15</v>
      </c>
      <c r="AT28" s="7">
        <f>(Table2[[#This Row],[final_obs_date2]]-Table2[[#This Row],[estHD]])+16</f>
        <v>12</v>
      </c>
      <c r="AU28" s="38">
        <v>6</v>
      </c>
      <c r="AV28" s="33">
        <v>6</v>
      </c>
      <c r="AW28" s="33">
        <f>Table2[[#This Row],[final_obs_date2]]-Table2[[#This Row],[pen_obs_date]]</f>
        <v>39</v>
      </c>
      <c r="AX28" s="67">
        <v>39</v>
      </c>
      <c r="AY28" s="6">
        <f>Table2[[#This Row],[final_obs_date]]</f>
        <v>39</v>
      </c>
      <c r="AZ28" s="6"/>
      <c r="BA28" s="91" t="s">
        <v>47</v>
      </c>
      <c r="BB28" s="6" t="b">
        <f>Table2[[#This Row],[final_obs_date]]&lt;(Table2[[#This Row],[estHD]]-2)</f>
        <v>1</v>
      </c>
      <c r="BC28" s="24">
        <f>IF(Table2[[#This Row],[field_fate]]="H",1,0)</f>
        <v>0</v>
      </c>
      <c r="BD28" s="16">
        <f>IF(Table2[[#This Row],[cam_fate2]]="H",1,0)</f>
        <v>0</v>
      </c>
      <c r="BE28" s="6" t="b">
        <f>NOT(Table2[[#This Row],[HF_C]]=Table2[[#This Row],[HF]])</f>
        <v>0</v>
      </c>
      <c r="BF28" s="6" t="b">
        <f>NOT(Table2[[#This Row],[cam_fate2]]=Table2[[#This Row],[field_fate3]])</f>
        <v>1</v>
      </c>
      <c r="BG28" s="6" t="b">
        <f>OR(Table2[[#This Row],[field_fate3]]="U",Table2[[#This Row],[field_fate3]]="U-H")</f>
        <v>0</v>
      </c>
      <c r="BH28" s="8">
        <v>25</v>
      </c>
      <c r="BI28" s="8">
        <v>33</v>
      </c>
      <c r="BJ28" s="14">
        <f>IF(ISTEXT(Table2[[#This Row],[j.cam]]),Table2[[#This Row],[j]],Table2[[#This Row],[j.cam]])</f>
        <v>33</v>
      </c>
      <c r="BK28" s="9">
        <v>39</v>
      </c>
      <c r="BL28" s="15">
        <f>IF(ISTEXT(Table2[[#This Row],[k.cam]]), Table2[[#This Row],[k]], Table2[[#This Row],[k.cam]])</f>
        <v>39</v>
      </c>
      <c r="BM28" s="4" t="s">
        <v>24</v>
      </c>
      <c r="BN28" s="8" t="s">
        <v>24</v>
      </c>
      <c r="BO28" s="4">
        <v>6</v>
      </c>
      <c r="BP28" s="4">
        <f>Table2[[#This Row],[final_obs_date]]-Table2[[#This Row],[i]]</f>
        <v>14</v>
      </c>
      <c r="BQ28" s="4" t="b">
        <f>Table2[[#This Row],[final_obs_date2]]&gt;Table2[[#This Row],[estHD]]+3</f>
        <v>0</v>
      </c>
      <c r="BR28" s="4" t="s">
        <v>33</v>
      </c>
      <c r="BS28" s="4" t="s">
        <v>45</v>
      </c>
      <c r="BT28" s="79" t="s">
        <v>1023</v>
      </c>
      <c r="BU28" s="26" t="s">
        <v>71</v>
      </c>
      <c r="BV28" s="79" t="s">
        <v>1442</v>
      </c>
      <c r="BW28" s="49"/>
      <c r="BX28" s="47"/>
      <c r="BY28" s="36" t="s">
        <v>24</v>
      </c>
    </row>
    <row r="29" spans="1:77" ht="15" hidden="1" thickBot="1" x14ac:dyDescent="0.4">
      <c r="A29" s="62">
        <v>10030</v>
      </c>
      <c r="B29" s="2" t="s">
        <v>35</v>
      </c>
      <c r="C29" s="44">
        <v>2019</v>
      </c>
      <c r="D29" s="3">
        <v>29.761559999999999</v>
      </c>
      <c r="E29" s="3">
        <v>-93.135859999999994</v>
      </c>
      <c r="F29" s="3" t="s">
        <v>24</v>
      </c>
      <c r="G29" s="3" t="s">
        <v>24</v>
      </c>
      <c r="H29" s="3" t="s">
        <v>462</v>
      </c>
      <c r="I29" s="43"/>
      <c r="J29" s="55">
        <v>42</v>
      </c>
      <c r="K29" s="4">
        <v>42</v>
      </c>
      <c r="L29" s="22">
        <f>IF(ISNUMBER(Table2[[#This Row],[estHD]]),ABS(Table2[[#This Row],[HD]]-Table2[[#This Row],[estHD]]),"NA")</f>
        <v>0</v>
      </c>
      <c r="M29" s="4" t="b">
        <f>Table2[[#This Row],[HD]]=Table2[[#This Row],[estHD]]</f>
        <v>1</v>
      </c>
      <c r="N29" s="4" t="str">
        <f>IF(ISNUMBER([1]!Table2[[#This Row],[hatch_date]]),[1]!Table2[[#This Row],[hatch_date]]-19,"NA")</f>
        <v>NA</v>
      </c>
      <c r="O29" s="31">
        <v>23</v>
      </c>
      <c r="P29" s="23">
        <f>IF(ISNUMBER(Table2[[#This Row],[nest_age1]]),ABS(Table2[[#This Row],[nest_age1]]-Table2[[#This Row],[nest_age_feb]]),"NA")</f>
        <v>0</v>
      </c>
      <c r="Q29" s="24">
        <f>IF(ISNUMBER(Table2[[#This Row],[final_obs_int2]]),ABS(Table2[[#This Row],[final_obs_int2]]-Table2[[#This Row],[final_obs_int_feb]]), "NA")</f>
        <v>0</v>
      </c>
      <c r="R29" s="24"/>
      <c r="S29" s="57" t="s">
        <v>88</v>
      </c>
      <c r="T29" s="57" t="str">
        <f>Table2[[#This Row],[camera_old]]</f>
        <v>N</v>
      </c>
      <c r="U29" s="24"/>
      <c r="V29" s="16" t="s">
        <v>24</v>
      </c>
      <c r="W29" s="16">
        <v>10</v>
      </c>
      <c r="X29" s="145">
        <v>1</v>
      </c>
      <c r="Y29" s="147" t="s">
        <v>65</v>
      </c>
      <c r="Z29" s="146" t="s">
        <v>65</v>
      </c>
      <c r="AA29" s="4" t="str">
        <f>Table2[[#This Row],[field_fate]]</f>
        <v>Ca</v>
      </c>
      <c r="AB29" s="4" t="str">
        <f>Table2[[#This Row],[field_fate2]]</f>
        <v>Ca</v>
      </c>
      <c r="AC29" s="4" t="str">
        <f>Table2[[#This Row],[field_fate3]]</f>
        <v>Ca</v>
      </c>
      <c r="AD29" s="4" t="str">
        <f>Table2[[#This Row],[field_fate4]]</f>
        <v>Ca</v>
      </c>
      <c r="AE29" s="4" t="str">
        <f>Table2[[#This Row],[field_fate5]]</f>
        <v>Ca</v>
      </c>
      <c r="AF29" s="4" t="str">
        <f>Table2[[#This Row],[field_fate5]]</f>
        <v>Ca</v>
      </c>
      <c r="AG29" s="4" t="str">
        <f>Table2[[#This Row],[field_fate5]]</f>
        <v>Ca</v>
      </c>
      <c r="AH29" s="4" t="str">
        <f>Table2[[#This Row],[field_fate2]]</f>
        <v>Ca</v>
      </c>
      <c r="AI29" s="4" t="str">
        <f>Table2[[#This Row],[field_fate8]]</f>
        <v>Ca</v>
      </c>
      <c r="AJ29" s="4" t="str">
        <f>Table2[[#This Row],[field_fate10]]</f>
        <v>Ca</v>
      </c>
      <c r="AK29" s="4" t="b">
        <f>Table2[[#This Row],[field_fate_feb]]=Table2[[#This Row],[field_fate10]]</f>
        <v>1</v>
      </c>
      <c r="AL29" s="43" t="s">
        <v>24</v>
      </c>
      <c r="AM29" s="43" t="b">
        <f>Table2[[#This Row],[cam_fate2]]="NA"</f>
        <v>1</v>
      </c>
      <c r="AN29" s="19" t="str">
        <f>Table2[[#This Row],[cam_fate1]]</f>
        <v>NA</v>
      </c>
      <c r="AO29" s="2" t="s">
        <v>65</v>
      </c>
      <c r="AP29" s="5" t="str">
        <f>Table2[[#This Row],[final_fate1]]</f>
        <v>Ca</v>
      </c>
      <c r="AQ29" s="6">
        <v>10</v>
      </c>
      <c r="AR29" s="7">
        <v>10</v>
      </c>
      <c r="AS29" s="7">
        <f>Table2[[#This Row],[final_obs_date]]-Table2[[#This Row],[init_date]]</f>
        <v>10</v>
      </c>
      <c r="AT29" s="7">
        <f>(Table2[[#This Row],[final_obs_date2]]-Table2[[#This Row],[estHD]])+16</f>
        <v>7</v>
      </c>
      <c r="AU29" s="38">
        <v>1</v>
      </c>
      <c r="AV29" s="33">
        <v>1</v>
      </c>
      <c r="AW29" s="33">
        <f>Table2[[#This Row],[final_obs_date2]]-Table2[[#This Row],[pen_obs_date]]</f>
        <v>33</v>
      </c>
      <c r="AX29" s="67">
        <v>33</v>
      </c>
      <c r="AY29" s="6">
        <f>Table2[[#This Row],[final_obs_date]]</f>
        <v>33</v>
      </c>
      <c r="AZ29" s="6"/>
      <c r="BA29" s="91" t="s">
        <v>47</v>
      </c>
      <c r="BB29" s="6" t="b">
        <f>Table2[[#This Row],[final_obs_date]]&lt;(Table2[[#This Row],[estHD]]-2)</f>
        <v>1</v>
      </c>
      <c r="BC29" s="24">
        <f>IF(Table2[[#This Row],[field_fate]]="H",1,0)</f>
        <v>0</v>
      </c>
      <c r="BD29" s="16">
        <f>IF(Table2[[#This Row],[cam_fate2]]="H",1,0)</f>
        <v>0</v>
      </c>
      <c r="BE29" s="6" t="b">
        <f>NOT(Table2[[#This Row],[HF_C]]=Table2[[#This Row],[HF]])</f>
        <v>0</v>
      </c>
      <c r="BF29" s="6" t="b">
        <f>NOT(Table2[[#This Row],[cam_fate2]]=Table2[[#This Row],[field_fate3]])</f>
        <v>1</v>
      </c>
      <c r="BG29" s="6" t="b">
        <f>OR(Table2[[#This Row],[field_fate3]]="U",Table2[[#This Row],[field_fate3]]="U-H")</f>
        <v>0</v>
      </c>
      <c r="BH29" s="8">
        <v>25</v>
      </c>
      <c r="BI29" s="8">
        <v>32</v>
      </c>
      <c r="BJ29" s="14">
        <f>IF(ISTEXT(Table2[[#This Row],[j.cam]]),Table2[[#This Row],[j]],Table2[[#This Row],[j.cam]])</f>
        <v>32</v>
      </c>
      <c r="BK29" s="9">
        <v>33</v>
      </c>
      <c r="BL29" s="15">
        <f>IF(ISTEXT(Table2[[#This Row],[k.cam]]), Table2[[#This Row],[k]], Table2[[#This Row],[k.cam]])</f>
        <v>33</v>
      </c>
      <c r="BM29" s="4" t="s">
        <v>24</v>
      </c>
      <c r="BN29" s="8" t="s">
        <v>24</v>
      </c>
      <c r="BO29" s="4">
        <v>5</v>
      </c>
      <c r="BP29" s="4">
        <f>Table2[[#This Row],[final_obs_date]]-Table2[[#This Row],[i]]</f>
        <v>8</v>
      </c>
      <c r="BQ29" s="4" t="b">
        <f>Table2[[#This Row],[final_obs_date2]]&gt;Table2[[#This Row],[estHD]]+3</f>
        <v>0</v>
      </c>
      <c r="BR29" s="4" t="s">
        <v>66</v>
      </c>
      <c r="BS29" s="4" t="s">
        <v>28</v>
      </c>
      <c r="BT29" s="79" t="s">
        <v>1024</v>
      </c>
      <c r="BU29" s="26" t="s">
        <v>73</v>
      </c>
      <c r="BV29" s="79" t="s">
        <v>1443</v>
      </c>
      <c r="BW29" s="49"/>
      <c r="BX29" s="47"/>
      <c r="BY29" s="36" t="s">
        <v>506</v>
      </c>
    </row>
    <row r="30" spans="1:77" ht="15" hidden="1" thickBot="1" x14ac:dyDescent="0.4">
      <c r="A30" s="62">
        <v>10031</v>
      </c>
      <c r="B30" s="2" t="s">
        <v>35</v>
      </c>
      <c r="C30" s="44">
        <v>2019</v>
      </c>
      <c r="D30" s="3">
        <v>29.76174</v>
      </c>
      <c r="E30" s="3">
        <v>-93.136480000000006</v>
      </c>
      <c r="F30" s="3" t="s">
        <v>24</v>
      </c>
      <c r="G30" s="3" t="s">
        <v>24</v>
      </c>
      <c r="H30" s="3" t="s">
        <v>462</v>
      </c>
      <c r="I30" s="43"/>
      <c r="J30" s="55">
        <v>43</v>
      </c>
      <c r="K30" s="4">
        <v>43</v>
      </c>
      <c r="L30" s="22">
        <f>IF(ISNUMBER(Table2[[#This Row],[estHD]]),ABS(Table2[[#This Row],[HD]]-Table2[[#This Row],[estHD]]),"NA")</f>
        <v>0</v>
      </c>
      <c r="M30" s="4" t="b">
        <f>Table2[[#This Row],[HD]]=Table2[[#This Row],[estHD]]</f>
        <v>1</v>
      </c>
      <c r="N30" s="4" t="str">
        <f>IF(ISNUMBER([1]!Table2[[#This Row],[hatch_date]]),[1]!Table2[[#This Row],[hatch_date]]-19,"NA")</f>
        <v>NA</v>
      </c>
      <c r="O30" s="31">
        <v>24</v>
      </c>
      <c r="P30" s="23">
        <f>IF(ISNUMBER(Table2[[#This Row],[nest_age1]]),ABS(Table2[[#This Row],[nest_age1]]-Table2[[#This Row],[nest_age_feb]]),"NA")</f>
        <v>0</v>
      </c>
      <c r="Q30" s="24">
        <f>IF(ISNUMBER(Table2[[#This Row],[final_obs_int2]]),ABS(Table2[[#This Row],[final_obs_int2]]-Table2[[#This Row],[final_obs_int_feb]]), "NA")</f>
        <v>0</v>
      </c>
      <c r="R30" s="24"/>
      <c r="S30" s="57" t="s">
        <v>88</v>
      </c>
      <c r="T30" s="57" t="str">
        <f>Table2[[#This Row],[camera_old]]</f>
        <v>N</v>
      </c>
      <c r="U30" s="24"/>
      <c r="V30" s="16" t="s">
        <v>24</v>
      </c>
      <c r="W30" s="16">
        <v>9</v>
      </c>
      <c r="X30" s="145">
        <v>1</v>
      </c>
      <c r="Y30" s="147" t="s">
        <v>65</v>
      </c>
      <c r="Z30" s="146" t="s">
        <v>65</v>
      </c>
      <c r="AA30" s="4" t="str">
        <f>Table2[[#This Row],[field_fate]]</f>
        <v>Ca</v>
      </c>
      <c r="AB30" s="4" t="str">
        <f>Table2[[#This Row],[field_fate2]]</f>
        <v>Ca</v>
      </c>
      <c r="AC30" s="4" t="str">
        <f>Table2[[#This Row],[field_fate3]]</f>
        <v>Ca</v>
      </c>
      <c r="AD30" s="4" t="str">
        <f>Table2[[#This Row],[field_fate4]]</f>
        <v>Ca</v>
      </c>
      <c r="AE30" s="4" t="str">
        <f>Table2[[#This Row],[field_fate5]]</f>
        <v>Ca</v>
      </c>
      <c r="AF30" s="4" t="str">
        <f>Table2[[#This Row],[field_fate5]]</f>
        <v>Ca</v>
      </c>
      <c r="AG30" s="4" t="str">
        <f>Table2[[#This Row],[field_fate5]]</f>
        <v>Ca</v>
      </c>
      <c r="AH30" s="4" t="str">
        <f>Table2[[#This Row],[field_fate2]]</f>
        <v>Ca</v>
      </c>
      <c r="AI30" s="4" t="str">
        <f>Table2[[#This Row],[field_fate8]]</f>
        <v>Ca</v>
      </c>
      <c r="AJ30" s="4" t="str">
        <f>Table2[[#This Row],[field_fate10]]</f>
        <v>Ca</v>
      </c>
      <c r="AK30" s="4" t="b">
        <f>Table2[[#This Row],[field_fate_feb]]=Table2[[#This Row],[field_fate10]]</f>
        <v>1</v>
      </c>
      <c r="AL30" s="43" t="s">
        <v>24</v>
      </c>
      <c r="AM30" s="43" t="b">
        <f>Table2[[#This Row],[cam_fate2]]="NA"</f>
        <v>1</v>
      </c>
      <c r="AN30" s="19" t="str">
        <f>Table2[[#This Row],[cam_fate1]]</f>
        <v>NA</v>
      </c>
      <c r="AO30" s="2" t="s">
        <v>65</v>
      </c>
      <c r="AP30" s="5" t="str">
        <f>Table2[[#This Row],[final_fate1]]</f>
        <v>Ca</v>
      </c>
      <c r="AQ30" s="6">
        <v>9</v>
      </c>
      <c r="AR30" s="7">
        <v>9</v>
      </c>
      <c r="AS30" s="7">
        <f>Table2[[#This Row],[final_obs_date]]-Table2[[#This Row],[init_date]]</f>
        <v>9</v>
      </c>
      <c r="AT30" s="7">
        <f>(Table2[[#This Row],[final_obs_date2]]-Table2[[#This Row],[estHD]])+16</f>
        <v>6</v>
      </c>
      <c r="AU30" s="38">
        <v>1</v>
      </c>
      <c r="AV30" s="33">
        <v>1</v>
      </c>
      <c r="AW30" s="33">
        <f>Table2[[#This Row],[final_obs_date2]]-Table2[[#This Row],[pen_obs_date]]</f>
        <v>33</v>
      </c>
      <c r="AX30" s="67">
        <v>33</v>
      </c>
      <c r="AY30" s="6">
        <f>Table2[[#This Row],[final_obs_date]]</f>
        <v>33</v>
      </c>
      <c r="AZ30" s="6"/>
      <c r="BA30" s="91" t="s">
        <v>47</v>
      </c>
      <c r="BB30" s="6" t="b">
        <f>Table2[[#This Row],[final_obs_date]]&lt;(Table2[[#This Row],[estHD]]-2)</f>
        <v>1</v>
      </c>
      <c r="BC30" s="24">
        <f>IF(Table2[[#This Row],[field_fate]]="H",1,0)</f>
        <v>0</v>
      </c>
      <c r="BD30" s="16">
        <f>IF(Table2[[#This Row],[cam_fate2]]="H",1,0)</f>
        <v>0</v>
      </c>
      <c r="BE30" s="6" t="b">
        <f>NOT(Table2[[#This Row],[HF_C]]=Table2[[#This Row],[HF]])</f>
        <v>0</v>
      </c>
      <c r="BF30" s="6" t="b">
        <f>NOT(Table2[[#This Row],[cam_fate2]]=Table2[[#This Row],[field_fate3]])</f>
        <v>1</v>
      </c>
      <c r="BG30" s="6" t="b">
        <f>OR(Table2[[#This Row],[field_fate3]]="U",Table2[[#This Row],[field_fate3]]="U-H")</f>
        <v>0</v>
      </c>
      <c r="BH30" s="8">
        <v>25</v>
      </c>
      <c r="BI30" s="8">
        <v>32</v>
      </c>
      <c r="BJ30" s="14">
        <f>IF(ISTEXT(Table2[[#This Row],[j.cam]]),Table2[[#This Row],[j]],Table2[[#This Row],[j.cam]])</f>
        <v>32</v>
      </c>
      <c r="BK30" s="9">
        <v>33</v>
      </c>
      <c r="BL30" s="15">
        <f>IF(ISTEXT(Table2[[#This Row],[k.cam]]), Table2[[#This Row],[k]], Table2[[#This Row],[k.cam]])</f>
        <v>33</v>
      </c>
      <c r="BM30" s="4" t="s">
        <v>24</v>
      </c>
      <c r="BN30" s="8" t="s">
        <v>24</v>
      </c>
      <c r="BO30" s="4">
        <v>5</v>
      </c>
      <c r="BP30" s="4">
        <f>Table2[[#This Row],[final_obs_date]]-Table2[[#This Row],[i]]</f>
        <v>8</v>
      </c>
      <c r="BQ30" s="4" t="b">
        <f>Table2[[#This Row],[final_obs_date2]]&gt;Table2[[#This Row],[estHD]]+3</f>
        <v>0</v>
      </c>
      <c r="BR30" s="4" t="s">
        <v>66</v>
      </c>
      <c r="BS30" s="4" t="s">
        <v>28</v>
      </c>
      <c r="BT30" s="79" t="s">
        <v>1024</v>
      </c>
      <c r="BU30" s="26" t="s">
        <v>73</v>
      </c>
      <c r="BV30" s="79" t="s">
        <v>1443</v>
      </c>
      <c r="BW30" s="49"/>
      <c r="BX30" s="47"/>
      <c r="BY30" s="36" t="s">
        <v>506</v>
      </c>
    </row>
    <row r="31" spans="1:77" ht="15" hidden="1" thickBot="1" x14ac:dyDescent="0.4">
      <c r="A31" s="62">
        <v>10032</v>
      </c>
      <c r="B31" s="2" t="s">
        <v>35</v>
      </c>
      <c r="C31" s="44">
        <v>2019</v>
      </c>
      <c r="D31" s="3">
        <v>29.761859999999999</v>
      </c>
      <c r="E31" s="3">
        <v>-93.136809999999997</v>
      </c>
      <c r="F31" s="3" t="s">
        <v>24</v>
      </c>
      <c r="G31" s="3" t="s">
        <v>24</v>
      </c>
      <c r="H31" s="3" t="s">
        <v>462</v>
      </c>
      <c r="I31" s="43"/>
      <c r="J31" s="55">
        <v>45</v>
      </c>
      <c r="K31" s="4">
        <v>45</v>
      </c>
      <c r="L31" s="22">
        <f>IF(ISNUMBER(Table2[[#This Row],[estHD]]),ABS(Table2[[#This Row],[HD]]-Table2[[#This Row],[estHD]]),"NA")</f>
        <v>0</v>
      </c>
      <c r="M31" s="4" t="b">
        <f>Table2[[#This Row],[HD]]=Table2[[#This Row],[estHD]]</f>
        <v>1</v>
      </c>
      <c r="N31" s="4" t="str">
        <f>IF(ISNUMBER([1]!Table2[[#This Row],[hatch_date]]),[1]!Table2[[#This Row],[hatch_date]]-19,"NA")</f>
        <v>NA</v>
      </c>
      <c r="O31" s="31">
        <v>26</v>
      </c>
      <c r="P31" s="23">
        <f>IF(ISNUMBER(Table2[[#This Row],[nest_age1]]),ABS(Table2[[#This Row],[nest_age1]]-Table2[[#This Row],[nest_age_feb]]),"NA")</f>
        <v>0</v>
      </c>
      <c r="Q31" s="24">
        <f>IF(ISNUMBER(Table2[[#This Row],[final_obs_int2]]),ABS(Table2[[#This Row],[final_obs_int2]]-Table2[[#This Row],[final_obs_int_feb]]), "NA")</f>
        <v>0</v>
      </c>
      <c r="R31" s="24"/>
      <c r="S31" s="57" t="s">
        <v>88</v>
      </c>
      <c r="T31" s="57" t="str">
        <f>Table2[[#This Row],[camera_old]]</f>
        <v>N</v>
      </c>
      <c r="U31" s="24"/>
      <c r="V31" s="16" t="s">
        <v>24</v>
      </c>
      <c r="W31" s="16">
        <v>11</v>
      </c>
      <c r="X31" s="145">
        <v>3</v>
      </c>
      <c r="Y31" s="147" t="s">
        <v>65</v>
      </c>
      <c r="Z31" s="146" t="s">
        <v>65</v>
      </c>
      <c r="AA31" s="4" t="str">
        <f>Table2[[#This Row],[field_fate]]</f>
        <v>Ca</v>
      </c>
      <c r="AB31" s="4" t="str">
        <f>Table2[[#This Row],[field_fate2]]</f>
        <v>Ca</v>
      </c>
      <c r="AC31" s="4" t="str">
        <f>Table2[[#This Row],[field_fate3]]</f>
        <v>Ca</v>
      </c>
      <c r="AD31" s="4" t="str">
        <f>Table2[[#This Row],[field_fate4]]</f>
        <v>Ca</v>
      </c>
      <c r="AE31" s="4" t="str">
        <f>Table2[[#This Row],[field_fate5]]</f>
        <v>Ca</v>
      </c>
      <c r="AF31" s="4" t="str">
        <f>Table2[[#This Row],[field_fate5]]</f>
        <v>Ca</v>
      </c>
      <c r="AG31" s="4" t="str">
        <f>Table2[[#This Row],[field_fate5]]</f>
        <v>Ca</v>
      </c>
      <c r="AH31" s="4" t="str">
        <f>Table2[[#This Row],[field_fate2]]</f>
        <v>Ca</v>
      </c>
      <c r="AI31" s="4" t="str">
        <f>Table2[[#This Row],[field_fate8]]</f>
        <v>Ca</v>
      </c>
      <c r="AJ31" s="4" t="str">
        <f>Table2[[#This Row],[field_fate10]]</f>
        <v>Ca</v>
      </c>
      <c r="AK31" s="4" t="b">
        <f>Table2[[#This Row],[field_fate_feb]]=Table2[[#This Row],[field_fate10]]</f>
        <v>1</v>
      </c>
      <c r="AL31" s="43" t="s">
        <v>24</v>
      </c>
      <c r="AM31" s="43" t="b">
        <f>Table2[[#This Row],[cam_fate2]]="NA"</f>
        <v>1</v>
      </c>
      <c r="AN31" s="19" t="str">
        <f>Table2[[#This Row],[cam_fate1]]</f>
        <v>NA</v>
      </c>
      <c r="AO31" s="2" t="s">
        <v>65</v>
      </c>
      <c r="AP31" s="5" t="str">
        <f>Table2[[#This Row],[final_fate1]]</f>
        <v>Ca</v>
      </c>
      <c r="AQ31" s="6">
        <v>11</v>
      </c>
      <c r="AR31" s="7">
        <v>11</v>
      </c>
      <c r="AS31" s="7">
        <f>Table2[[#This Row],[final_obs_date]]-Table2[[#This Row],[init_date]]</f>
        <v>11</v>
      </c>
      <c r="AT31" s="7">
        <f>(Table2[[#This Row],[final_obs_date2]]-Table2[[#This Row],[estHD]])+16</f>
        <v>8</v>
      </c>
      <c r="AU31" s="38">
        <v>3</v>
      </c>
      <c r="AV31" s="33">
        <v>3</v>
      </c>
      <c r="AW31" s="33">
        <f>Table2[[#This Row],[final_obs_date2]]-Table2[[#This Row],[pen_obs_date]]</f>
        <v>37</v>
      </c>
      <c r="AX31" s="67">
        <v>37</v>
      </c>
      <c r="AY31" s="6">
        <f>Table2[[#This Row],[final_obs_date]]</f>
        <v>37</v>
      </c>
      <c r="AZ31" s="6"/>
      <c r="BA31" s="91" t="s">
        <v>47</v>
      </c>
      <c r="BB31" s="6" t="b">
        <f>Table2[[#This Row],[final_obs_date]]&lt;(Table2[[#This Row],[estHD]]-2)</f>
        <v>1</v>
      </c>
      <c r="BC31" s="24">
        <f>IF(Table2[[#This Row],[field_fate]]="H",1,0)</f>
        <v>0</v>
      </c>
      <c r="BD31" s="16">
        <f>IF(Table2[[#This Row],[cam_fate2]]="H",1,0)</f>
        <v>0</v>
      </c>
      <c r="BE31" s="6" t="b">
        <f>NOT(Table2[[#This Row],[HF_C]]=Table2[[#This Row],[HF]])</f>
        <v>0</v>
      </c>
      <c r="BF31" s="6" t="b">
        <f>NOT(Table2[[#This Row],[cam_fate2]]=Table2[[#This Row],[field_fate3]])</f>
        <v>1</v>
      </c>
      <c r="BG31" s="6" t="b">
        <f>OR(Table2[[#This Row],[field_fate3]]="U",Table2[[#This Row],[field_fate3]]="U-H")</f>
        <v>0</v>
      </c>
      <c r="BH31" s="8">
        <v>25</v>
      </c>
      <c r="BI31" s="8">
        <v>34</v>
      </c>
      <c r="BJ31" s="14">
        <f>IF(ISTEXT(Table2[[#This Row],[j.cam]]),Table2[[#This Row],[j]],Table2[[#This Row],[j.cam]])</f>
        <v>34</v>
      </c>
      <c r="BK31" s="9">
        <v>37</v>
      </c>
      <c r="BL31" s="15">
        <f>IF(ISTEXT(Table2[[#This Row],[k.cam]]), Table2[[#This Row],[k]], Table2[[#This Row],[k.cam]])</f>
        <v>37</v>
      </c>
      <c r="BM31" s="4" t="s">
        <v>24</v>
      </c>
      <c r="BN31" s="8" t="s">
        <v>24</v>
      </c>
      <c r="BO31" s="4">
        <v>5</v>
      </c>
      <c r="BP31" s="4">
        <f>Table2[[#This Row],[final_obs_date]]-Table2[[#This Row],[i]]</f>
        <v>12</v>
      </c>
      <c r="BQ31" s="4" t="b">
        <f>Table2[[#This Row],[final_obs_date2]]&gt;Table2[[#This Row],[estHD]]+3</f>
        <v>0</v>
      </c>
      <c r="BR31" s="4" t="s">
        <v>66</v>
      </c>
      <c r="BS31" s="4" t="s">
        <v>28</v>
      </c>
      <c r="BT31" s="79" t="s">
        <v>1025</v>
      </c>
      <c r="BU31" s="26" t="s">
        <v>74</v>
      </c>
      <c r="BV31" s="79" t="s">
        <v>1444</v>
      </c>
      <c r="BW31" s="49"/>
      <c r="BX31" s="47"/>
      <c r="BY31" s="36" t="s">
        <v>507</v>
      </c>
    </row>
    <row r="32" spans="1:77" ht="15" hidden="1" thickBot="1" x14ac:dyDescent="0.4">
      <c r="A32" s="62">
        <v>10033</v>
      </c>
      <c r="B32" s="2" t="s">
        <v>35</v>
      </c>
      <c r="C32" s="44">
        <v>2019</v>
      </c>
      <c r="D32" s="3">
        <v>29.761990000000001</v>
      </c>
      <c r="E32" s="3">
        <v>-93.137259999999998</v>
      </c>
      <c r="F32" s="3" t="s">
        <v>24</v>
      </c>
      <c r="G32" s="3" t="s">
        <v>24</v>
      </c>
      <c r="H32" s="3" t="s">
        <v>462</v>
      </c>
      <c r="I32" s="43"/>
      <c r="J32" s="116">
        <v>45</v>
      </c>
      <c r="K32" s="4">
        <v>45</v>
      </c>
      <c r="L32" s="22">
        <f>IF(ISNUMBER(Table2[[#This Row],[estHD]]),ABS(Table2[[#This Row],[HD]]-Table2[[#This Row],[estHD]]),"NA")</f>
        <v>0</v>
      </c>
      <c r="M32" s="4" t="b">
        <f>Table2[[#This Row],[HD]]=Table2[[#This Row],[estHD]]</f>
        <v>1</v>
      </c>
      <c r="N32" s="4" t="str">
        <f>IF(ISNUMBER([1]!Table2[[#This Row],[hatch_date]]),[1]!Table2[[#This Row],[hatch_date]]-19,"NA")</f>
        <v>NA</v>
      </c>
      <c r="O32" s="31">
        <v>26</v>
      </c>
      <c r="P32" s="23">
        <f>IF(ISNUMBER(Table2[[#This Row],[nest_age1]]),ABS(Table2[[#This Row],[nest_age1]]-Table2[[#This Row],[nest_age_feb]]),"NA")</f>
        <v>0</v>
      </c>
      <c r="Q32" s="24">
        <f>IF(ISNUMBER(Table2[[#This Row],[final_obs_int2]]),ABS(Table2[[#This Row],[final_obs_int2]]-Table2[[#This Row],[final_obs_int_feb]]), "NA")</f>
        <v>0</v>
      </c>
      <c r="R32" s="24"/>
      <c r="S32" s="20" t="s">
        <v>75</v>
      </c>
      <c r="T32" s="20" t="str">
        <f>Table2[[#This Row],[camera_old]]</f>
        <v>Y</v>
      </c>
      <c r="U32" s="22" t="s">
        <v>88</v>
      </c>
      <c r="V32" s="16" t="s">
        <v>24</v>
      </c>
      <c r="W32" s="16">
        <v>8</v>
      </c>
      <c r="X32" s="145">
        <v>2</v>
      </c>
      <c r="Y32" s="147" t="s">
        <v>65</v>
      </c>
      <c r="Z32" s="146" t="s">
        <v>65</v>
      </c>
      <c r="AA32" s="4" t="str">
        <f>Table2[[#This Row],[field_fate]]</f>
        <v>Ca</v>
      </c>
      <c r="AB32" s="4" t="str">
        <f>Table2[[#This Row],[field_fate2]]</f>
        <v>Ca</v>
      </c>
      <c r="AC32" s="94" t="str">
        <f>Table2[[#This Row],[field_fate3]]</f>
        <v>Ca</v>
      </c>
      <c r="AD32" s="94" t="str">
        <f>Table2[[#This Row],[field_fate4]]</f>
        <v>Ca</v>
      </c>
      <c r="AE32" s="94" t="str">
        <f>Table2[[#This Row],[field_fate5]]</f>
        <v>Ca</v>
      </c>
      <c r="AF32" s="94" t="str">
        <f>Table2[[#This Row],[field_fate5]]</f>
        <v>Ca</v>
      </c>
      <c r="AG32" s="94" t="str">
        <f>Table2[[#This Row],[field_fate5]]</f>
        <v>Ca</v>
      </c>
      <c r="AH32" s="94" t="str">
        <f>Table2[[#This Row],[field_fate2]]</f>
        <v>Ca</v>
      </c>
      <c r="AI32" s="94" t="str">
        <f>Table2[[#This Row],[field_fate8]]</f>
        <v>Ca</v>
      </c>
      <c r="AJ32" s="94" t="str">
        <f>Table2[[#This Row],[field_fate10]]</f>
        <v>Ca</v>
      </c>
      <c r="AK32" s="94" t="b">
        <f>Table2[[#This Row],[field_fate_feb]]=Table2[[#This Row],[field_fate10]]</f>
        <v>1</v>
      </c>
      <c r="AL32" s="43" t="s">
        <v>65</v>
      </c>
      <c r="AM32" s="160" t="b">
        <f>Table2[[#This Row],[cam_fate2]]="NA"</f>
        <v>0</v>
      </c>
      <c r="AN32" s="19" t="str">
        <f>Table2[[#This Row],[cam_fate1]]</f>
        <v>Ca</v>
      </c>
      <c r="AO32" s="2" t="s">
        <v>65</v>
      </c>
      <c r="AP32" s="5" t="str">
        <f>Table2[[#This Row],[final_fate1]]</f>
        <v>Ca</v>
      </c>
      <c r="AQ32" s="6">
        <v>8</v>
      </c>
      <c r="AR32" s="72">
        <v>8</v>
      </c>
      <c r="AS32" s="155">
        <f>Table2[[#This Row],[final_obs_date]]-Table2[[#This Row],[init_date]]</f>
        <v>8</v>
      </c>
      <c r="AT32" s="155">
        <f>(Table2[[#This Row],[final_obs_date2]]-Table2[[#This Row],[estHD]])+19</f>
        <v>8</v>
      </c>
      <c r="AU32" s="38">
        <v>2</v>
      </c>
      <c r="AV32" s="33">
        <v>2</v>
      </c>
      <c r="AW32" s="33">
        <f>Table2[[#This Row],[final_obs_date2]]-Table2[[#This Row],[pen_obs_date]]</f>
        <v>2</v>
      </c>
      <c r="AX32" s="67">
        <v>34</v>
      </c>
      <c r="AY32" s="157">
        <f>Table2[[#This Row],[final_obs_date]]</f>
        <v>34</v>
      </c>
      <c r="AZ32" s="6">
        <v>32</v>
      </c>
      <c r="BA32" s="92" t="s">
        <v>47</v>
      </c>
      <c r="BB32" s="6" t="b">
        <f>Table2[[#This Row],[final_obs_date]]&lt;(Table2[[#This Row],[estHD]]-2)</f>
        <v>1</v>
      </c>
      <c r="BC32" s="32">
        <f>IF(Table2[[#This Row],[field_fate]]="H",1,0)</f>
        <v>0</v>
      </c>
      <c r="BD32" s="16">
        <f>IF(Table2[[#This Row],[cam_fate2]]="H",1,0)</f>
        <v>0</v>
      </c>
      <c r="BE32" s="6" t="b">
        <f>NOT(Table2[[#This Row],[HF_C]]=Table2[[#This Row],[HF]])</f>
        <v>0</v>
      </c>
      <c r="BF32" s="38" t="b">
        <f>NOT(Table2[[#This Row],[cam_fate2]]=Table2[[#This Row],[field_fate3]])</f>
        <v>0</v>
      </c>
      <c r="BG32" s="38" t="b">
        <f>OR(Table2[[#This Row],[field_fate3]]="U",Table2[[#This Row],[field_fate3]]="U-H")</f>
        <v>0</v>
      </c>
      <c r="BH32" s="8">
        <v>25</v>
      </c>
      <c r="BI32" s="8">
        <v>32</v>
      </c>
      <c r="BJ32" s="14">
        <f>IF(ISTEXT(Table2[[#This Row],[j.cam]]),Table2[[#This Row],[j]],Table2[[#This Row],[j.cam]])</f>
        <v>32</v>
      </c>
      <c r="BK32" s="8">
        <v>34</v>
      </c>
      <c r="BL32" s="14">
        <f>IF(ISTEXT(Table2[[#This Row],[k.cam]]), Table2[[#This Row],[k]], Table2[[#This Row],[k.cam]])</f>
        <v>34</v>
      </c>
      <c r="BM32" s="4" t="s">
        <v>24</v>
      </c>
      <c r="BN32" s="8" t="s">
        <v>24</v>
      </c>
      <c r="BO32" s="4">
        <v>5</v>
      </c>
      <c r="BP32" s="4">
        <f>Table2[[#This Row],[final_obs_date]]-Table2[[#This Row],[i]]</f>
        <v>9</v>
      </c>
      <c r="BQ32" s="4" t="b">
        <f>Table2[[#This Row],[final_obs_date2]]&gt;Table2[[#This Row],[estHD]]+3</f>
        <v>0</v>
      </c>
      <c r="BR32" s="3" t="s">
        <v>66</v>
      </c>
      <c r="BS32" s="3" t="s">
        <v>28</v>
      </c>
      <c r="BT32" s="125" t="s">
        <v>1026</v>
      </c>
      <c r="BU32" s="4" t="s">
        <v>76</v>
      </c>
      <c r="BV32" s="79" t="s">
        <v>1445</v>
      </c>
      <c r="BW32" s="69"/>
      <c r="BX32" s="36"/>
      <c r="BY32" s="36" t="s">
        <v>506</v>
      </c>
    </row>
    <row r="33" spans="1:77" ht="15" hidden="1" thickBot="1" x14ac:dyDescent="0.4">
      <c r="A33" s="62">
        <v>10034</v>
      </c>
      <c r="B33" s="2" t="s">
        <v>35</v>
      </c>
      <c r="C33" s="44">
        <v>2019</v>
      </c>
      <c r="D33" s="3">
        <v>29.761949999999999</v>
      </c>
      <c r="E33" s="3">
        <v>-93.1374</v>
      </c>
      <c r="F33" s="3" t="s">
        <v>24</v>
      </c>
      <c r="G33" s="3" t="s">
        <v>24</v>
      </c>
      <c r="H33" s="3" t="s">
        <v>462</v>
      </c>
      <c r="I33" s="43"/>
      <c r="J33" s="55">
        <v>45</v>
      </c>
      <c r="K33" s="4">
        <v>45</v>
      </c>
      <c r="L33" s="22">
        <f>IF(ISNUMBER(Table2[[#This Row],[estHD]]),ABS(Table2[[#This Row],[HD]]-Table2[[#This Row],[estHD]]),"NA")</f>
        <v>0</v>
      </c>
      <c r="M33" s="4" t="b">
        <f>Table2[[#This Row],[HD]]=Table2[[#This Row],[estHD]]</f>
        <v>1</v>
      </c>
      <c r="N33" s="4" t="str">
        <f>IF(ISNUMBER([1]!Table2[[#This Row],[hatch_date]]),[1]!Table2[[#This Row],[hatch_date]]-19,"NA")</f>
        <v>NA</v>
      </c>
      <c r="O33" s="31">
        <v>26</v>
      </c>
      <c r="P33" s="23">
        <f>IF(ISNUMBER(Table2[[#This Row],[nest_age1]]),ABS(Table2[[#This Row],[nest_age1]]-Table2[[#This Row],[nest_age_feb]]),"NA")</f>
        <v>0</v>
      </c>
      <c r="Q33" s="24">
        <f>IF(ISNUMBER(Table2[[#This Row],[final_obs_int2]]),ABS(Table2[[#This Row],[final_obs_int2]]-Table2[[#This Row],[final_obs_int_feb]]), "NA")</f>
        <v>0</v>
      </c>
      <c r="R33" s="24"/>
      <c r="S33" s="57" t="s">
        <v>88</v>
      </c>
      <c r="T33" s="57" t="str">
        <f>Table2[[#This Row],[camera_old]]</f>
        <v>N</v>
      </c>
      <c r="U33" s="24"/>
      <c r="V33" s="16" t="s">
        <v>24</v>
      </c>
      <c r="W33" s="16">
        <v>8</v>
      </c>
      <c r="X33" s="145">
        <v>2</v>
      </c>
      <c r="Y33" s="147" t="s">
        <v>65</v>
      </c>
      <c r="Z33" s="146" t="s">
        <v>65</v>
      </c>
      <c r="AA33" s="4" t="str">
        <f>Table2[[#This Row],[field_fate]]</f>
        <v>Ca</v>
      </c>
      <c r="AB33" s="4" t="str">
        <f>Table2[[#This Row],[field_fate2]]</f>
        <v>Ca</v>
      </c>
      <c r="AC33" s="4" t="str">
        <f>Table2[[#This Row],[field_fate3]]</f>
        <v>Ca</v>
      </c>
      <c r="AD33" s="4" t="str">
        <f>Table2[[#This Row],[field_fate4]]</f>
        <v>Ca</v>
      </c>
      <c r="AE33" s="4" t="str">
        <f>Table2[[#This Row],[field_fate5]]</f>
        <v>Ca</v>
      </c>
      <c r="AF33" s="4" t="str">
        <f>Table2[[#This Row],[field_fate5]]</f>
        <v>Ca</v>
      </c>
      <c r="AG33" s="4" t="str">
        <f>Table2[[#This Row],[field_fate5]]</f>
        <v>Ca</v>
      </c>
      <c r="AH33" s="4" t="str">
        <f>Table2[[#This Row],[field_fate2]]</f>
        <v>Ca</v>
      </c>
      <c r="AI33" s="4" t="str">
        <f>Table2[[#This Row],[field_fate8]]</f>
        <v>Ca</v>
      </c>
      <c r="AJ33" s="4" t="str">
        <f>Table2[[#This Row],[field_fate10]]</f>
        <v>Ca</v>
      </c>
      <c r="AK33" s="4" t="b">
        <f>Table2[[#This Row],[field_fate_feb]]=Table2[[#This Row],[field_fate10]]</f>
        <v>1</v>
      </c>
      <c r="AL33" s="43" t="s">
        <v>24</v>
      </c>
      <c r="AM33" s="43" t="b">
        <f>Table2[[#This Row],[cam_fate2]]="NA"</f>
        <v>1</v>
      </c>
      <c r="AN33" s="19" t="str">
        <f>Table2[[#This Row],[cam_fate1]]</f>
        <v>NA</v>
      </c>
      <c r="AO33" s="2" t="s">
        <v>65</v>
      </c>
      <c r="AP33" s="5" t="str">
        <f>Table2[[#This Row],[final_fate1]]</f>
        <v>Ca</v>
      </c>
      <c r="AQ33" s="6">
        <v>8</v>
      </c>
      <c r="AR33" s="7">
        <v>8</v>
      </c>
      <c r="AS33" s="7">
        <f>Table2[[#This Row],[final_obs_date]]-Table2[[#This Row],[init_date]]</f>
        <v>8</v>
      </c>
      <c r="AT33" s="7">
        <f>(Table2[[#This Row],[final_obs_date2]]-Table2[[#This Row],[estHD]])+16</f>
        <v>5</v>
      </c>
      <c r="AU33" s="38">
        <v>2</v>
      </c>
      <c r="AV33" s="33">
        <v>2</v>
      </c>
      <c r="AW33" s="33">
        <f>Table2[[#This Row],[final_obs_date2]]-Table2[[#This Row],[pen_obs_date]]</f>
        <v>34</v>
      </c>
      <c r="AX33" s="67">
        <v>34</v>
      </c>
      <c r="AY33" s="6">
        <f>Table2[[#This Row],[final_obs_date]]</f>
        <v>34</v>
      </c>
      <c r="AZ33" s="6"/>
      <c r="BA33" s="91" t="s">
        <v>47</v>
      </c>
      <c r="BB33" s="6" t="b">
        <f>Table2[[#This Row],[final_obs_date]]&lt;(Table2[[#This Row],[estHD]]-2)</f>
        <v>1</v>
      </c>
      <c r="BC33" s="24">
        <f>IF(Table2[[#This Row],[field_fate]]="H",1,0)</f>
        <v>0</v>
      </c>
      <c r="BD33" s="16">
        <f>IF(Table2[[#This Row],[cam_fate2]]="H",1,0)</f>
        <v>0</v>
      </c>
      <c r="BE33" s="6" t="b">
        <f>NOT(Table2[[#This Row],[HF_C]]=Table2[[#This Row],[HF]])</f>
        <v>0</v>
      </c>
      <c r="BF33" s="6" t="b">
        <f>NOT(Table2[[#This Row],[cam_fate2]]=Table2[[#This Row],[field_fate3]])</f>
        <v>1</v>
      </c>
      <c r="BG33" s="38" t="b">
        <f>OR(Table2[[#This Row],[field_fate3]]="U",Table2[[#This Row],[field_fate3]]="U-H")</f>
        <v>0</v>
      </c>
      <c r="BH33" s="8">
        <v>25</v>
      </c>
      <c r="BI33" s="8">
        <v>32</v>
      </c>
      <c r="BJ33" s="14">
        <f>IF(ISTEXT(Table2[[#This Row],[j.cam]]),Table2[[#This Row],[j]],Table2[[#This Row],[j.cam]])</f>
        <v>32</v>
      </c>
      <c r="BK33" s="9">
        <v>34</v>
      </c>
      <c r="BL33" s="15">
        <f>IF(ISTEXT(Table2[[#This Row],[k.cam]]), Table2[[#This Row],[k]], Table2[[#This Row],[k.cam]])</f>
        <v>34</v>
      </c>
      <c r="BM33" s="4" t="s">
        <v>24</v>
      </c>
      <c r="BN33" s="8" t="s">
        <v>24</v>
      </c>
      <c r="BO33" s="4">
        <v>5</v>
      </c>
      <c r="BP33" s="4">
        <f>Table2[[#This Row],[final_obs_date]]-Table2[[#This Row],[i]]</f>
        <v>9</v>
      </c>
      <c r="BQ33" s="4" t="b">
        <f>Table2[[#This Row],[final_obs_date2]]&gt;Table2[[#This Row],[estHD]]+3</f>
        <v>0</v>
      </c>
      <c r="BR33" s="4" t="s">
        <v>66</v>
      </c>
      <c r="BS33" s="4" t="s">
        <v>28</v>
      </c>
      <c r="BT33" s="79" t="s">
        <v>1026</v>
      </c>
      <c r="BU33" s="26" t="s">
        <v>77</v>
      </c>
      <c r="BV33" s="79" t="s">
        <v>1445</v>
      </c>
      <c r="BW33" s="49"/>
      <c r="BX33" s="47"/>
      <c r="BY33" s="36" t="s">
        <v>506</v>
      </c>
    </row>
    <row r="34" spans="1:77" ht="15" hidden="1" thickBot="1" x14ac:dyDescent="0.4">
      <c r="A34" s="62">
        <v>10035</v>
      </c>
      <c r="B34" s="2" t="s">
        <v>35</v>
      </c>
      <c r="C34" s="44">
        <v>2019</v>
      </c>
      <c r="D34" s="3">
        <v>29.762029999999999</v>
      </c>
      <c r="E34" s="3">
        <v>-93.137540000000001</v>
      </c>
      <c r="F34" s="3" t="s">
        <v>24</v>
      </c>
      <c r="G34" s="3" t="s">
        <v>24</v>
      </c>
      <c r="H34" s="3" t="s">
        <v>462</v>
      </c>
      <c r="I34" s="43"/>
      <c r="J34" s="55">
        <v>43</v>
      </c>
      <c r="K34" s="4">
        <v>45</v>
      </c>
      <c r="L34" s="22">
        <f>IF(ISNUMBER(Table2[[#This Row],[estHD]]),ABS(Table2[[#This Row],[HD]]-Table2[[#This Row],[estHD]]),"NA")</f>
        <v>2</v>
      </c>
      <c r="M34" s="4" t="b">
        <f>Table2[[#This Row],[HD]]=Table2[[#This Row],[estHD]]</f>
        <v>0</v>
      </c>
      <c r="N34" s="4" t="str">
        <f>IF(ISNUMBER([1]!Table2[[#This Row],[hatch_date]]),[1]!Table2[[#This Row],[hatch_date]]-19,"NA")</f>
        <v>NA</v>
      </c>
      <c r="O34" s="31">
        <v>26</v>
      </c>
      <c r="P34" s="23">
        <f>IF(ISNUMBER(Table2[[#This Row],[nest_age1]]),ABS(Table2[[#This Row],[nest_age1]]-Table2[[#This Row],[nest_age_feb]]),"NA")</f>
        <v>2</v>
      </c>
      <c r="Q34" s="24">
        <f>IF(ISNUMBER(Table2[[#This Row],[final_obs_int2]]),ABS(Table2[[#This Row],[final_obs_int2]]-Table2[[#This Row],[final_obs_int_feb]]), "NA")</f>
        <v>0</v>
      </c>
      <c r="R34" s="24"/>
      <c r="S34" s="57" t="s">
        <v>88</v>
      </c>
      <c r="T34" s="57" t="str">
        <f>Table2[[#This Row],[camera_old]]</f>
        <v>N</v>
      </c>
      <c r="U34" s="24"/>
      <c r="V34" s="16" t="s">
        <v>24</v>
      </c>
      <c r="W34" s="16">
        <v>21</v>
      </c>
      <c r="X34" s="145">
        <v>2</v>
      </c>
      <c r="Y34" s="147" t="s">
        <v>37</v>
      </c>
      <c r="Z34" s="146" t="s">
        <v>37</v>
      </c>
      <c r="AA34" s="4" t="str">
        <f>Table2[[#This Row],[field_fate]]</f>
        <v>H</v>
      </c>
      <c r="AB34" s="4" t="str">
        <f>Table2[[#This Row],[field_fate2]]</f>
        <v>H</v>
      </c>
      <c r="AC34" s="4" t="str">
        <f>Table2[[#This Row],[field_fate3]]</f>
        <v>H</v>
      </c>
      <c r="AD34" s="4" t="str">
        <f>Table2[[#This Row],[field_fate4]]</f>
        <v>H</v>
      </c>
      <c r="AE34" s="4" t="str">
        <f>Table2[[#This Row],[field_fate5]]</f>
        <v>H</v>
      </c>
      <c r="AF34" s="4" t="str">
        <f>Table2[[#This Row],[field_fate5]]</f>
        <v>H</v>
      </c>
      <c r="AG34" s="4" t="str">
        <f>Table2[[#This Row],[field_fate5]]</f>
        <v>H</v>
      </c>
      <c r="AH34" s="4" t="str">
        <f>Table2[[#This Row],[field_fate2]]</f>
        <v>H</v>
      </c>
      <c r="AI34" s="4" t="str">
        <f>Table2[[#This Row],[field_fate8]]</f>
        <v>H</v>
      </c>
      <c r="AJ34" s="4" t="str">
        <f>Table2[[#This Row],[field_fate10]]</f>
        <v>H</v>
      </c>
      <c r="AK34" s="4" t="b">
        <f>Table2[[#This Row],[field_fate_feb]]=Table2[[#This Row],[field_fate10]]</f>
        <v>1</v>
      </c>
      <c r="AL34" s="43" t="s">
        <v>24</v>
      </c>
      <c r="AM34" s="43" t="b">
        <f>Table2[[#This Row],[cam_fate2]]="NA"</f>
        <v>1</v>
      </c>
      <c r="AN34" s="19" t="str">
        <f>Table2[[#This Row],[cam_fate1]]</f>
        <v>NA</v>
      </c>
      <c r="AO34" s="2" t="s">
        <v>37</v>
      </c>
      <c r="AP34" s="5" t="str">
        <f>Table2[[#This Row],[final_fate1]]</f>
        <v>H</v>
      </c>
      <c r="AQ34" s="6">
        <v>19</v>
      </c>
      <c r="AR34" s="7">
        <v>21</v>
      </c>
      <c r="AS34" s="7">
        <f>Table2[[#This Row],[final_obs_date]]-Table2[[#This Row],[init_date]]</f>
        <v>19</v>
      </c>
      <c r="AT34" s="7">
        <f>(Table2[[#This Row],[final_obs_date2]]-Table2[[#This Row],[estHD]])+16</f>
        <v>18</v>
      </c>
      <c r="AU34" s="38">
        <v>2</v>
      </c>
      <c r="AV34" s="33">
        <v>2</v>
      </c>
      <c r="AW34" s="33">
        <f>Table2[[#This Row],[final_obs_date2]]-Table2[[#This Row],[pen_obs_date]]</f>
        <v>45</v>
      </c>
      <c r="AX34" s="67">
        <v>45</v>
      </c>
      <c r="AY34" s="6">
        <f>Table2[[#This Row],[final_obs_date]]</f>
        <v>45</v>
      </c>
      <c r="AZ34" s="6"/>
      <c r="BA34" s="91" t="s">
        <v>47</v>
      </c>
      <c r="BB34" s="6" t="b">
        <f>Table2[[#This Row],[final_obs_date]]&lt;(Table2[[#This Row],[estHD]]-2)</f>
        <v>0</v>
      </c>
      <c r="BC34" s="24">
        <f>IF(Table2[[#This Row],[field_fate]]="H",1,0)</f>
        <v>1</v>
      </c>
      <c r="BD34" s="16">
        <f>IF(Table2[[#This Row],[cam_fate2]]="H",1,0)</f>
        <v>0</v>
      </c>
      <c r="BE34" s="6" t="b">
        <f>NOT(Table2[[#This Row],[HF_C]]=Table2[[#This Row],[HF]])</f>
        <v>1</v>
      </c>
      <c r="BF34" s="6" t="b">
        <f>NOT(Table2[[#This Row],[cam_fate2]]=Table2[[#This Row],[field_fate3]])</f>
        <v>1</v>
      </c>
      <c r="BG34" s="6" t="b">
        <f>OR(Table2[[#This Row],[field_fate3]]="U",Table2[[#This Row],[field_fate3]]="U-H")</f>
        <v>0</v>
      </c>
      <c r="BH34" s="8">
        <v>25</v>
      </c>
      <c r="BI34" s="8">
        <v>45</v>
      </c>
      <c r="BJ34" s="14">
        <f>IF(ISTEXT(Table2[[#This Row],[j.cam]]),Table2[[#This Row],[j]],Table2[[#This Row],[j.cam]])</f>
        <v>45</v>
      </c>
      <c r="BK34" s="9">
        <v>45</v>
      </c>
      <c r="BL34" s="15">
        <f>IF(ISTEXT(Table2[[#This Row],[k.cam]]), Table2[[#This Row],[k]], Table2[[#This Row],[k.cam]])</f>
        <v>45</v>
      </c>
      <c r="BM34" s="4" t="s">
        <v>24</v>
      </c>
      <c r="BN34" s="8" t="s">
        <v>24</v>
      </c>
      <c r="BO34" s="4">
        <v>8</v>
      </c>
      <c r="BP34" s="4">
        <f>Table2[[#This Row],[final_obs_date]]-Table2[[#This Row],[i]]</f>
        <v>20</v>
      </c>
      <c r="BQ34" s="4" t="b">
        <f>Table2[[#This Row],[final_obs_date2]]&gt;Table2[[#This Row],[estHD]]+3</f>
        <v>0</v>
      </c>
      <c r="BR34" s="4" t="s">
        <v>27</v>
      </c>
      <c r="BS34" s="4" t="s">
        <v>44</v>
      </c>
      <c r="BT34" s="79" t="s">
        <v>1027</v>
      </c>
      <c r="BU34" s="26" t="s">
        <v>78</v>
      </c>
      <c r="BV34" s="79" t="s">
        <v>1446</v>
      </c>
      <c r="BW34" s="49"/>
      <c r="BX34" s="47"/>
      <c r="BY34" s="36" t="s">
        <v>508</v>
      </c>
    </row>
    <row r="35" spans="1:77" ht="15" hidden="1" thickBot="1" x14ac:dyDescent="0.4">
      <c r="A35" s="62">
        <v>10036</v>
      </c>
      <c r="B35" s="2" t="s">
        <v>35</v>
      </c>
      <c r="C35" s="44">
        <v>2019</v>
      </c>
      <c r="D35" s="3">
        <v>29.762060000000002</v>
      </c>
      <c r="E35" s="3">
        <v>-93.137690000000006</v>
      </c>
      <c r="F35" s="3" t="s">
        <v>24</v>
      </c>
      <c r="G35" s="3" t="s">
        <v>24</v>
      </c>
      <c r="H35" s="3" t="s">
        <v>462</v>
      </c>
      <c r="I35" s="43"/>
      <c r="J35" s="55">
        <v>45</v>
      </c>
      <c r="K35" s="4">
        <v>48</v>
      </c>
      <c r="L35" s="22">
        <f>IF(ISNUMBER(Table2[[#This Row],[estHD]]),ABS(Table2[[#This Row],[HD]]-Table2[[#This Row],[estHD]]),"NA")</f>
        <v>3</v>
      </c>
      <c r="M35" s="4" t="b">
        <f>Table2[[#This Row],[HD]]=Table2[[#This Row],[estHD]]</f>
        <v>0</v>
      </c>
      <c r="N35" s="4" t="str">
        <f>IF(ISNUMBER([1]!Table2[[#This Row],[hatch_date]]),[1]!Table2[[#This Row],[hatch_date]]-19,"NA")</f>
        <v>NA</v>
      </c>
      <c r="O35" s="31">
        <v>29</v>
      </c>
      <c r="P35" s="23">
        <f>IF(ISNUMBER(Table2[[#This Row],[nest_age1]]),ABS(Table2[[#This Row],[nest_age1]]-Table2[[#This Row],[nest_age_feb]]),"NA")</f>
        <v>3</v>
      </c>
      <c r="Q35" s="24">
        <f>IF(ISNUMBER(Table2[[#This Row],[final_obs_int2]]),ABS(Table2[[#This Row],[final_obs_int2]]-Table2[[#This Row],[final_obs_int_feb]]), "NA")</f>
        <v>0</v>
      </c>
      <c r="R35" s="24"/>
      <c r="S35" s="57" t="s">
        <v>88</v>
      </c>
      <c r="T35" s="57" t="str">
        <f>Table2[[#This Row],[camera_old]]</f>
        <v>N</v>
      </c>
      <c r="U35" s="24"/>
      <c r="V35" s="16" t="s">
        <v>24</v>
      </c>
      <c r="W35" s="16">
        <v>22</v>
      </c>
      <c r="X35" s="145">
        <v>2</v>
      </c>
      <c r="Y35" s="147" t="s">
        <v>37</v>
      </c>
      <c r="Z35" s="146" t="s">
        <v>37</v>
      </c>
      <c r="AA35" s="4" t="str">
        <f>Table2[[#This Row],[field_fate]]</f>
        <v>H</v>
      </c>
      <c r="AB35" s="4" t="str">
        <f>Table2[[#This Row],[field_fate2]]</f>
        <v>H</v>
      </c>
      <c r="AC35" s="4" t="str">
        <f>Table2[[#This Row],[field_fate3]]</f>
        <v>H</v>
      </c>
      <c r="AD35" s="4" t="str">
        <f>Table2[[#This Row],[field_fate4]]</f>
        <v>H</v>
      </c>
      <c r="AE35" s="4" t="str">
        <f>Table2[[#This Row],[field_fate5]]</f>
        <v>H</v>
      </c>
      <c r="AF35" s="4" t="str">
        <f>Table2[[#This Row],[field_fate5]]</f>
        <v>H</v>
      </c>
      <c r="AG35" s="4" t="str">
        <f>Table2[[#This Row],[field_fate5]]</f>
        <v>H</v>
      </c>
      <c r="AH35" s="4" t="str">
        <f>Table2[[#This Row],[field_fate2]]</f>
        <v>H</v>
      </c>
      <c r="AI35" s="4" t="str">
        <f>Table2[[#This Row],[field_fate8]]</f>
        <v>H</v>
      </c>
      <c r="AJ35" s="4" t="str">
        <f>Table2[[#This Row],[field_fate10]]</f>
        <v>H</v>
      </c>
      <c r="AK35" s="4" t="b">
        <f>Table2[[#This Row],[field_fate_feb]]=Table2[[#This Row],[field_fate10]]</f>
        <v>1</v>
      </c>
      <c r="AL35" s="43" t="s">
        <v>24</v>
      </c>
      <c r="AM35" s="43" t="b">
        <f>Table2[[#This Row],[cam_fate2]]="NA"</f>
        <v>1</v>
      </c>
      <c r="AN35" s="19" t="str">
        <f>Table2[[#This Row],[cam_fate1]]</f>
        <v>NA</v>
      </c>
      <c r="AO35" s="2" t="s">
        <v>37</v>
      </c>
      <c r="AP35" s="5" t="str">
        <f>Table2[[#This Row],[final_fate1]]</f>
        <v>H</v>
      </c>
      <c r="AQ35" s="6">
        <v>19</v>
      </c>
      <c r="AR35" s="7">
        <v>22</v>
      </c>
      <c r="AS35" s="7">
        <f>Table2[[#This Row],[final_obs_date]]-Table2[[#This Row],[init_date]]</f>
        <v>19</v>
      </c>
      <c r="AT35" s="7">
        <f>(Table2[[#This Row],[final_obs_date2]]-Table2[[#This Row],[estHD]])+16</f>
        <v>19</v>
      </c>
      <c r="AU35" s="38">
        <v>2</v>
      </c>
      <c r="AV35" s="33">
        <v>2</v>
      </c>
      <c r="AW35" s="33">
        <f>Table2[[#This Row],[final_obs_date2]]-Table2[[#This Row],[pen_obs_date]]</f>
        <v>48</v>
      </c>
      <c r="AX35" s="67">
        <v>48</v>
      </c>
      <c r="AY35" s="6">
        <f>Table2[[#This Row],[final_obs_date]]</f>
        <v>48</v>
      </c>
      <c r="AZ35" s="6"/>
      <c r="BA35" s="91" t="s">
        <v>47</v>
      </c>
      <c r="BB35" s="6" t="b">
        <f>Table2[[#This Row],[final_obs_date]]&lt;(Table2[[#This Row],[estHD]]-2)</f>
        <v>0</v>
      </c>
      <c r="BC35" s="24">
        <f>IF(Table2[[#This Row],[field_fate]]="H",1,0)</f>
        <v>1</v>
      </c>
      <c r="BD35" s="16">
        <f>IF(Table2[[#This Row],[cam_fate2]]="H",1,0)</f>
        <v>0</v>
      </c>
      <c r="BE35" s="6" t="b">
        <f>NOT(Table2[[#This Row],[HF_C]]=Table2[[#This Row],[HF]])</f>
        <v>1</v>
      </c>
      <c r="BF35" s="6" t="b">
        <f>NOT(Table2[[#This Row],[cam_fate2]]=Table2[[#This Row],[field_fate3]])</f>
        <v>1</v>
      </c>
      <c r="BG35" s="6" t="b">
        <f>OR(Table2[[#This Row],[field_fate3]]="U",Table2[[#This Row],[field_fate3]]="U-H")</f>
        <v>0</v>
      </c>
      <c r="BH35" s="8">
        <v>25</v>
      </c>
      <c r="BI35" s="8">
        <v>48</v>
      </c>
      <c r="BJ35" s="14">
        <f>IF(ISTEXT(Table2[[#This Row],[j.cam]]),Table2[[#This Row],[j]],Table2[[#This Row],[j.cam]])</f>
        <v>48</v>
      </c>
      <c r="BK35" s="9">
        <v>48</v>
      </c>
      <c r="BL35" s="15">
        <f>IF(ISTEXT(Table2[[#This Row],[k.cam]]), Table2[[#This Row],[k]], Table2[[#This Row],[k.cam]])</f>
        <v>48</v>
      </c>
      <c r="BM35" s="4" t="s">
        <v>24</v>
      </c>
      <c r="BN35" s="8" t="s">
        <v>24</v>
      </c>
      <c r="BO35" s="4">
        <v>10</v>
      </c>
      <c r="BP35" s="4">
        <f>Table2[[#This Row],[final_obs_date]]-Table2[[#This Row],[i]]</f>
        <v>23</v>
      </c>
      <c r="BQ35" s="4" t="b">
        <f>Table2[[#This Row],[final_obs_date2]]&gt;Table2[[#This Row],[estHD]]+3</f>
        <v>0</v>
      </c>
      <c r="BR35" s="4" t="s">
        <v>27</v>
      </c>
      <c r="BS35" s="4" t="s">
        <v>79</v>
      </c>
      <c r="BT35" s="79" t="s">
        <v>1028</v>
      </c>
      <c r="BU35" s="26" t="s">
        <v>80</v>
      </c>
      <c r="BV35" s="79" t="s">
        <v>1447</v>
      </c>
      <c r="BW35" s="49"/>
      <c r="BX35" s="47"/>
      <c r="BY35" s="36" t="s">
        <v>24</v>
      </c>
    </row>
    <row r="36" spans="1:77" ht="15" hidden="1" thickBot="1" x14ac:dyDescent="0.4">
      <c r="A36" s="62">
        <v>10037</v>
      </c>
      <c r="B36" s="2" t="s">
        <v>35</v>
      </c>
      <c r="C36" s="44">
        <v>2019</v>
      </c>
      <c r="D36" s="3">
        <v>29.7621</v>
      </c>
      <c r="E36" s="3">
        <v>-93.138080000000002</v>
      </c>
      <c r="F36" s="3" t="s">
        <v>24</v>
      </c>
      <c r="G36" s="3" t="s">
        <v>24</v>
      </c>
      <c r="H36" s="3" t="s">
        <v>462</v>
      </c>
      <c r="I36" s="43"/>
      <c r="J36" s="55">
        <v>42</v>
      </c>
      <c r="K36" s="4">
        <v>42</v>
      </c>
      <c r="L36" s="22">
        <f>IF(ISNUMBER(Table2[[#This Row],[estHD]]),ABS(Table2[[#This Row],[HD]]-Table2[[#This Row],[estHD]]),"NA")</f>
        <v>0</v>
      </c>
      <c r="M36" s="4" t="b">
        <f>Table2[[#This Row],[HD]]=Table2[[#This Row],[estHD]]</f>
        <v>1</v>
      </c>
      <c r="N36" s="4" t="str">
        <f>IF(ISNUMBER([1]!Table2[[#This Row],[hatch_date]]),[1]!Table2[[#This Row],[hatch_date]]-19,"NA")</f>
        <v>NA</v>
      </c>
      <c r="O36" s="31">
        <v>23</v>
      </c>
      <c r="P36" s="23">
        <f>IF(ISNUMBER(Table2[[#This Row],[nest_age1]]),ABS(Table2[[#This Row],[nest_age1]]-Table2[[#This Row],[nest_age_feb]]),"NA")</f>
        <v>0</v>
      </c>
      <c r="Q36" s="24">
        <f>IF(ISNUMBER(Table2[[#This Row],[final_obs_int2]]),ABS(Table2[[#This Row],[final_obs_int2]]-Table2[[#This Row],[final_obs_int_feb]]), "NA")</f>
        <v>0</v>
      </c>
      <c r="R36" s="24"/>
      <c r="S36" s="57" t="s">
        <v>88</v>
      </c>
      <c r="T36" s="57" t="str">
        <f>Table2[[#This Row],[camera_old]]</f>
        <v>N</v>
      </c>
      <c r="U36" s="24"/>
      <c r="V36" s="16" t="s">
        <v>24</v>
      </c>
      <c r="W36" s="16">
        <v>11</v>
      </c>
      <c r="X36" s="145">
        <v>2</v>
      </c>
      <c r="Y36" s="147" t="s">
        <v>65</v>
      </c>
      <c r="Z36" s="146" t="s">
        <v>65</v>
      </c>
      <c r="AA36" s="4" t="str">
        <f>Table2[[#This Row],[field_fate]]</f>
        <v>Ca</v>
      </c>
      <c r="AB36" s="4" t="str">
        <f>Table2[[#This Row],[field_fate2]]</f>
        <v>Ca</v>
      </c>
      <c r="AC36" s="4" t="str">
        <f>Table2[[#This Row],[field_fate3]]</f>
        <v>Ca</v>
      </c>
      <c r="AD36" s="4" t="str">
        <f>Table2[[#This Row],[field_fate4]]</f>
        <v>Ca</v>
      </c>
      <c r="AE36" s="4" t="str">
        <f>Table2[[#This Row],[field_fate5]]</f>
        <v>Ca</v>
      </c>
      <c r="AF36" s="4" t="str">
        <f>Table2[[#This Row],[field_fate5]]</f>
        <v>Ca</v>
      </c>
      <c r="AG36" s="4" t="str">
        <f>Table2[[#This Row],[field_fate5]]</f>
        <v>Ca</v>
      </c>
      <c r="AH36" s="4" t="str">
        <f>Table2[[#This Row],[field_fate2]]</f>
        <v>Ca</v>
      </c>
      <c r="AI36" s="4" t="str">
        <f>Table2[[#This Row],[field_fate8]]</f>
        <v>Ca</v>
      </c>
      <c r="AJ36" s="4" t="str">
        <f>Table2[[#This Row],[field_fate10]]</f>
        <v>Ca</v>
      </c>
      <c r="AK36" s="4" t="b">
        <f>Table2[[#This Row],[field_fate_feb]]=Table2[[#This Row],[field_fate10]]</f>
        <v>1</v>
      </c>
      <c r="AL36" s="43" t="s">
        <v>24</v>
      </c>
      <c r="AM36" s="43" t="b">
        <f>Table2[[#This Row],[cam_fate2]]="NA"</f>
        <v>1</v>
      </c>
      <c r="AN36" s="19" t="str">
        <f>Table2[[#This Row],[cam_fate1]]</f>
        <v>NA</v>
      </c>
      <c r="AO36" s="2" t="s">
        <v>65</v>
      </c>
      <c r="AP36" s="5" t="str">
        <f>Table2[[#This Row],[final_fate1]]</f>
        <v>Ca</v>
      </c>
      <c r="AQ36" s="6">
        <v>11</v>
      </c>
      <c r="AR36" s="7">
        <v>11</v>
      </c>
      <c r="AS36" s="7">
        <f>Table2[[#This Row],[final_obs_date]]-Table2[[#This Row],[init_date]]</f>
        <v>11</v>
      </c>
      <c r="AT36" s="7">
        <f>(Table2[[#This Row],[final_obs_date2]]-Table2[[#This Row],[estHD]])+16</f>
        <v>8</v>
      </c>
      <c r="AU36" s="38">
        <v>2</v>
      </c>
      <c r="AV36" s="33">
        <v>2</v>
      </c>
      <c r="AW36" s="33">
        <f>Table2[[#This Row],[final_obs_date2]]-Table2[[#This Row],[pen_obs_date]]</f>
        <v>34</v>
      </c>
      <c r="AX36" s="67">
        <v>34</v>
      </c>
      <c r="AY36" s="6">
        <f>Table2[[#This Row],[final_obs_date]]</f>
        <v>34</v>
      </c>
      <c r="AZ36" s="6"/>
      <c r="BA36" s="91" t="s">
        <v>47</v>
      </c>
      <c r="BB36" s="6" t="b">
        <f>Table2[[#This Row],[final_obs_date]]&lt;(Table2[[#This Row],[estHD]]-2)</f>
        <v>1</v>
      </c>
      <c r="BC36" s="24">
        <f>IF(Table2[[#This Row],[field_fate]]="H",1,0)</f>
        <v>0</v>
      </c>
      <c r="BD36" s="16">
        <f>IF(Table2[[#This Row],[cam_fate2]]="H",1,0)</f>
        <v>0</v>
      </c>
      <c r="BE36" s="6" t="b">
        <f>NOT(Table2[[#This Row],[HF_C]]=Table2[[#This Row],[HF]])</f>
        <v>0</v>
      </c>
      <c r="BF36" s="6" t="b">
        <f>NOT(Table2[[#This Row],[cam_fate2]]=Table2[[#This Row],[field_fate3]])</f>
        <v>1</v>
      </c>
      <c r="BG36" s="6" t="b">
        <f>OR(Table2[[#This Row],[field_fate3]]="U",Table2[[#This Row],[field_fate3]]="U-H")</f>
        <v>0</v>
      </c>
      <c r="BH36" s="8">
        <v>25</v>
      </c>
      <c r="BI36" s="8">
        <v>32</v>
      </c>
      <c r="BJ36" s="14">
        <f>IF(ISTEXT(Table2[[#This Row],[j.cam]]),Table2[[#This Row],[j]],Table2[[#This Row],[j.cam]])</f>
        <v>32</v>
      </c>
      <c r="BK36" s="9">
        <v>34</v>
      </c>
      <c r="BL36" s="15">
        <f>IF(ISTEXT(Table2[[#This Row],[k.cam]]), Table2[[#This Row],[k]], Table2[[#This Row],[k.cam]])</f>
        <v>34</v>
      </c>
      <c r="BM36" s="4" t="s">
        <v>24</v>
      </c>
      <c r="BN36" s="8" t="s">
        <v>24</v>
      </c>
      <c r="BO36" s="4">
        <v>5</v>
      </c>
      <c r="BP36" s="4">
        <f>Table2[[#This Row],[final_obs_date]]-Table2[[#This Row],[i]]</f>
        <v>9</v>
      </c>
      <c r="BQ36" s="4" t="b">
        <f>Table2[[#This Row],[final_obs_date2]]&gt;Table2[[#This Row],[estHD]]+3</f>
        <v>0</v>
      </c>
      <c r="BR36" s="4" t="s">
        <v>66</v>
      </c>
      <c r="BS36" s="4" t="s">
        <v>28</v>
      </c>
      <c r="BT36" s="79" t="s">
        <v>1026</v>
      </c>
      <c r="BU36" s="26" t="s">
        <v>73</v>
      </c>
      <c r="BV36" s="79" t="s">
        <v>1445</v>
      </c>
      <c r="BW36" s="49"/>
      <c r="BX36" s="47"/>
      <c r="BY36" s="36" t="s">
        <v>506</v>
      </c>
    </row>
    <row r="37" spans="1:77" ht="15" hidden="1" thickBot="1" x14ac:dyDescent="0.4">
      <c r="A37" s="62">
        <v>10038</v>
      </c>
      <c r="B37" s="2" t="s">
        <v>35</v>
      </c>
      <c r="C37" s="44">
        <v>2019</v>
      </c>
      <c r="D37" s="3">
        <v>29.762419999999999</v>
      </c>
      <c r="E37" s="3">
        <v>-93.139330000000001</v>
      </c>
      <c r="F37" s="3" t="s">
        <v>24</v>
      </c>
      <c r="G37" s="3" t="s">
        <v>24</v>
      </c>
      <c r="H37" s="3" t="s">
        <v>26</v>
      </c>
      <c r="I37" s="43"/>
      <c r="J37" s="55">
        <v>40</v>
      </c>
      <c r="K37" s="4">
        <v>40</v>
      </c>
      <c r="L37" s="22">
        <f>IF(ISNUMBER(Table2[[#This Row],[estHD]]),ABS(Table2[[#This Row],[HD]]-Table2[[#This Row],[estHD]]),"NA")</f>
        <v>0</v>
      </c>
      <c r="M37" s="4" t="b">
        <f>Table2[[#This Row],[HD]]=Table2[[#This Row],[estHD]]</f>
        <v>1</v>
      </c>
      <c r="N37" s="4" t="str">
        <f>IF(ISNUMBER([1]!Table2[[#This Row],[hatch_date]]),[1]!Table2[[#This Row],[hatch_date]]-19,"NA")</f>
        <v>NA</v>
      </c>
      <c r="O37" s="31">
        <v>21</v>
      </c>
      <c r="P37" s="23">
        <f>IF(ISNUMBER(Table2[[#This Row],[nest_age1]]),ABS(Table2[[#This Row],[nest_age1]]-Table2[[#This Row],[nest_age_feb]]),"NA")</f>
        <v>0</v>
      </c>
      <c r="Q37" s="24">
        <f>IF(ISNUMBER(Table2[[#This Row],[final_obs_int2]]),ABS(Table2[[#This Row],[final_obs_int2]]-Table2[[#This Row],[final_obs_int_feb]]), "NA")</f>
        <v>0</v>
      </c>
      <c r="R37" s="24"/>
      <c r="S37" s="57" t="s">
        <v>88</v>
      </c>
      <c r="T37" s="57" t="str">
        <f>Table2[[#This Row],[camera_old]]</f>
        <v>N</v>
      </c>
      <c r="U37" s="24"/>
      <c r="V37" s="16" t="s">
        <v>24</v>
      </c>
      <c r="W37" s="16">
        <v>22</v>
      </c>
      <c r="X37" s="145">
        <v>4</v>
      </c>
      <c r="Y37" s="147" t="s">
        <v>65</v>
      </c>
      <c r="Z37" s="146" t="s">
        <v>65</v>
      </c>
      <c r="AA37" s="4" t="str">
        <f>Table2[[#This Row],[field_fate]]</f>
        <v>Ca</v>
      </c>
      <c r="AB37" s="4" t="str">
        <f>Table2[[#This Row],[field_fate2]]</f>
        <v>Ca</v>
      </c>
      <c r="AC37" s="4" t="str">
        <f>Table2[[#This Row],[field_fate3]]</f>
        <v>Ca</v>
      </c>
      <c r="AD37" s="4" t="str">
        <f>Table2[[#This Row],[field_fate4]]</f>
        <v>Ca</v>
      </c>
      <c r="AE37" s="4" t="str">
        <f>Table2[[#This Row],[field_fate5]]</f>
        <v>Ca</v>
      </c>
      <c r="AF37" s="4" t="str">
        <f>Table2[[#This Row],[field_fate5]]</f>
        <v>Ca</v>
      </c>
      <c r="AG37" s="4" t="str">
        <f>Table2[[#This Row],[field_fate5]]</f>
        <v>Ca</v>
      </c>
      <c r="AH37" s="4" t="str">
        <f>Table2[[#This Row],[field_fate2]]</f>
        <v>Ca</v>
      </c>
      <c r="AI37" s="4" t="str">
        <f>Table2[[#This Row],[field_fate8]]</f>
        <v>Ca</v>
      </c>
      <c r="AJ37" s="4" t="str">
        <f>Table2[[#This Row],[field_fate10]]</f>
        <v>Ca</v>
      </c>
      <c r="AK37" s="4" t="b">
        <f>Table2[[#This Row],[field_fate_feb]]=Table2[[#This Row],[field_fate10]]</f>
        <v>1</v>
      </c>
      <c r="AL37" s="43" t="s">
        <v>24</v>
      </c>
      <c r="AM37" s="43" t="b">
        <f>Table2[[#This Row],[cam_fate2]]="NA"</f>
        <v>1</v>
      </c>
      <c r="AN37" s="19" t="str">
        <f>Table2[[#This Row],[cam_fate1]]</f>
        <v>NA</v>
      </c>
      <c r="AO37" s="2" t="s">
        <v>65</v>
      </c>
      <c r="AP37" s="5" t="str">
        <f>Table2[[#This Row],[final_fate1]]</f>
        <v>Ca</v>
      </c>
      <c r="AQ37" s="6">
        <v>22</v>
      </c>
      <c r="AR37" s="7">
        <v>22</v>
      </c>
      <c r="AS37" s="7">
        <f>Table2[[#This Row],[final_obs_date]]-Table2[[#This Row],[init_date]]</f>
        <v>22</v>
      </c>
      <c r="AT37" s="7">
        <f>(Table2[[#This Row],[final_obs_date2]]-Table2[[#This Row],[estHD]])+16</f>
        <v>19</v>
      </c>
      <c r="AU37" s="38">
        <v>4</v>
      </c>
      <c r="AV37" s="33">
        <v>4</v>
      </c>
      <c r="AW37" s="33">
        <f>Table2[[#This Row],[final_obs_date2]]-Table2[[#This Row],[pen_obs_date]]</f>
        <v>43</v>
      </c>
      <c r="AX37" s="67">
        <v>43</v>
      </c>
      <c r="AY37" s="6">
        <f>Table2[[#This Row],[final_obs_date]]</f>
        <v>43</v>
      </c>
      <c r="AZ37" s="6"/>
      <c r="BA37" s="91" t="s">
        <v>47</v>
      </c>
      <c r="BB37" s="6" t="b">
        <f>Table2[[#This Row],[final_obs_date]]&lt;(Table2[[#This Row],[estHD]]-2)</f>
        <v>0</v>
      </c>
      <c r="BC37" s="24">
        <f>IF(Table2[[#This Row],[field_fate]]="H",1,0)</f>
        <v>0</v>
      </c>
      <c r="BD37" s="16">
        <f>IF(Table2[[#This Row],[cam_fate2]]="H",1,0)</f>
        <v>0</v>
      </c>
      <c r="BE37" s="6" t="b">
        <f>NOT(Table2[[#This Row],[HF_C]]=Table2[[#This Row],[HF]])</f>
        <v>0</v>
      </c>
      <c r="BF37" s="6" t="b">
        <f>NOT(Table2[[#This Row],[cam_fate2]]=Table2[[#This Row],[field_fate3]])</f>
        <v>1</v>
      </c>
      <c r="BG37" s="6" t="b">
        <f>OR(Table2[[#This Row],[field_fate3]]="U",Table2[[#This Row],[field_fate3]]="U-H")</f>
        <v>0</v>
      </c>
      <c r="BH37" s="8">
        <v>25</v>
      </c>
      <c r="BI37" s="8">
        <v>39</v>
      </c>
      <c r="BJ37" s="14">
        <f>IF(ISTEXT(Table2[[#This Row],[j.cam]]),Table2[[#This Row],[j]],Table2[[#This Row],[j.cam]])</f>
        <v>39</v>
      </c>
      <c r="BK37" s="9">
        <v>43</v>
      </c>
      <c r="BL37" s="15">
        <f>IF(ISTEXT(Table2[[#This Row],[k.cam]]), Table2[[#This Row],[k]], Table2[[#This Row],[k.cam]])</f>
        <v>43</v>
      </c>
      <c r="BM37" s="4" t="s">
        <v>24</v>
      </c>
      <c r="BN37" s="8" t="s">
        <v>24</v>
      </c>
      <c r="BO37" s="4">
        <v>7</v>
      </c>
      <c r="BP37" s="4">
        <f>Table2[[#This Row],[final_obs_date]]-Table2[[#This Row],[i]]</f>
        <v>18</v>
      </c>
      <c r="BQ37" s="4" t="b">
        <f>Table2[[#This Row],[final_obs_date2]]&gt;Table2[[#This Row],[estHD]]+3</f>
        <v>0</v>
      </c>
      <c r="BR37" s="4" t="s">
        <v>27</v>
      </c>
      <c r="BS37" s="4" t="s">
        <v>45</v>
      </c>
      <c r="BT37" s="79" t="s">
        <v>1029</v>
      </c>
      <c r="BU37" s="26" t="s">
        <v>81</v>
      </c>
      <c r="BV37" s="79" t="s">
        <v>1448</v>
      </c>
      <c r="BW37" s="49"/>
      <c r="BX37" s="47"/>
      <c r="BY37" s="36" t="s">
        <v>509</v>
      </c>
    </row>
    <row r="38" spans="1:77" ht="15" hidden="1" thickBot="1" x14ac:dyDescent="0.4">
      <c r="A38" s="62">
        <v>10039</v>
      </c>
      <c r="B38" s="2" t="s">
        <v>35</v>
      </c>
      <c r="C38" s="44">
        <v>2019</v>
      </c>
      <c r="D38" s="3">
        <v>29.7624</v>
      </c>
      <c r="E38" s="3">
        <v>-93.13937</v>
      </c>
      <c r="F38" s="3" t="s">
        <v>24</v>
      </c>
      <c r="G38" s="3" t="s">
        <v>24</v>
      </c>
      <c r="H38" s="3" t="s">
        <v>26</v>
      </c>
      <c r="I38" s="43"/>
      <c r="J38" s="55">
        <v>45</v>
      </c>
      <c r="K38" s="4">
        <v>45</v>
      </c>
      <c r="L38" s="22">
        <f>IF(ISNUMBER(Table2[[#This Row],[estHD]]),ABS(Table2[[#This Row],[HD]]-Table2[[#This Row],[estHD]]),"NA")</f>
        <v>0</v>
      </c>
      <c r="M38" s="4" t="b">
        <f>Table2[[#This Row],[HD]]=Table2[[#This Row],[estHD]]</f>
        <v>1</v>
      </c>
      <c r="N38" s="4" t="str">
        <f>IF(ISNUMBER([1]!Table2[[#This Row],[hatch_date]]),[1]!Table2[[#This Row],[hatch_date]]-19,"NA")</f>
        <v>NA</v>
      </c>
      <c r="O38" s="31">
        <v>26</v>
      </c>
      <c r="P38" s="23">
        <f>IF(ISNUMBER(Table2[[#This Row],[nest_age1]]),ABS(Table2[[#This Row],[nest_age1]]-Table2[[#This Row],[nest_age_feb]]),"NA")</f>
        <v>0</v>
      </c>
      <c r="Q38" s="24">
        <f>IF(ISNUMBER(Table2[[#This Row],[final_obs_int2]]),ABS(Table2[[#This Row],[final_obs_int2]]-Table2[[#This Row],[final_obs_int_feb]]), "NA")</f>
        <v>0</v>
      </c>
      <c r="R38" s="24"/>
      <c r="S38" s="57" t="s">
        <v>88</v>
      </c>
      <c r="T38" s="57" t="str">
        <f>Table2[[#This Row],[camera_old]]</f>
        <v>N</v>
      </c>
      <c r="U38" s="24"/>
      <c r="V38" s="16" t="s">
        <v>24</v>
      </c>
      <c r="W38" s="16">
        <v>6</v>
      </c>
      <c r="X38" s="145">
        <v>3</v>
      </c>
      <c r="Y38" s="147" t="s">
        <v>48</v>
      </c>
      <c r="Z38" s="146" t="s">
        <v>48</v>
      </c>
      <c r="AA38" s="4" t="str">
        <f>Table2[[#This Row],[field_fate]]</f>
        <v>F</v>
      </c>
      <c r="AB38" s="4" t="str">
        <f>Table2[[#This Row],[field_fate2]]</f>
        <v>F</v>
      </c>
      <c r="AC38" s="4" t="str">
        <f>Table2[[#This Row],[field_fate3]]</f>
        <v>F</v>
      </c>
      <c r="AD38" s="4" t="str">
        <f>Table2[[#This Row],[field_fate4]]</f>
        <v>F</v>
      </c>
      <c r="AE38" s="4" t="str">
        <f>Table2[[#This Row],[field_fate5]]</f>
        <v>F</v>
      </c>
      <c r="AF38" s="4" t="str">
        <f>Table2[[#This Row],[field_fate5]]</f>
        <v>F</v>
      </c>
      <c r="AG38" s="4" t="str">
        <f>Table2[[#This Row],[field_fate5]]</f>
        <v>F</v>
      </c>
      <c r="AH38" s="4" t="str">
        <f>Table2[[#This Row],[field_fate2]]</f>
        <v>F</v>
      </c>
      <c r="AI38" s="4" t="str">
        <f>Table2[[#This Row],[field_fate8]]</f>
        <v>F</v>
      </c>
      <c r="AJ38" s="4" t="str">
        <f>Table2[[#This Row],[field_fate10]]</f>
        <v>F</v>
      </c>
      <c r="AK38" s="4" t="b">
        <f>Table2[[#This Row],[field_fate_feb]]=Table2[[#This Row],[field_fate10]]</f>
        <v>1</v>
      </c>
      <c r="AL38" s="43" t="s">
        <v>24</v>
      </c>
      <c r="AM38" s="43" t="b">
        <f>Table2[[#This Row],[cam_fate2]]="NA"</f>
        <v>1</v>
      </c>
      <c r="AN38" s="19" t="str">
        <f>Table2[[#This Row],[cam_fate1]]</f>
        <v>NA</v>
      </c>
      <c r="AO38" s="2" t="s">
        <v>48</v>
      </c>
      <c r="AP38" s="5" t="str">
        <f>Table2[[#This Row],[final_fate1]]</f>
        <v>F</v>
      </c>
      <c r="AQ38" s="6">
        <v>6</v>
      </c>
      <c r="AR38" s="7">
        <v>6</v>
      </c>
      <c r="AS38" s="7">
        <f>Table2[[#This Row],[final_obs_date]]-Table2[[#This Row],[init_date]]</f>
        <v>6</v>
      </c>
      <c r="AT38" s="7">
        <f>(Table2[[#This Row],[final_obs_date2]]-Table2[[#This Row],[estHD]])+16</f>
        <v>3</v>
      </c>
      <c r="AU38" s="38">
        <v>3</v>
      </c>
      <c r="AV38" s="33">
        <v>3</v>
      </c>
      <c r="AW38" s="33">
        <f>Table2[[#This Row],[final_obs_date2]]-Table2[[#This Row],[pen_obs_date]]</f>
        <v>32</v>
      </c>
      <c r="AX38" s="67">
        <v>32</v>
      </c>
      <c r="AY38" s="6">
        <f>Table2[[#This Row],[final_obs_date]]</f>
        <v>32</v>
      </c>
      <c r="AZ38" s="6"/>
      <c r="BA38" s="91" t="s">
        <v>47</v>
      </c>
      <c r="BB38" s="6" t="b">
        <f>Table2[[#This Row],[final_obs_date]]&lt;(Table2[[#This Row],[estHD]]-2)</f>
        <v>1</v>
      </c>
      <c r="BC38" s="24">
        <f>IF(Table2[[#This Row],[field_fate]]="H",1,0)</f>
        <v>0</v>
      </c>
      <c r="BD38" s="16">
        <f>IF(Table2[[#This Row],[cam_fate2]]="H",1,0)</f>
        <v>0</v>
      </c>
      <c r="BE38" s="6" t="b">
        <f>NOT(Table2[[#This Row],[HF_C]]=Table2[[#This Row],[HF]])</f>
        <v>0</v>
      </c>
      <c r="BF38" s="6" t="b">
        <f>NOT(Table2[[#This Row],[cam_fate2]]=Table2[[#This Row],[field_fate3]])</f>
        <v>1</v>
      </c>
      <c r="BG38" s="6" t="b">
        <f>OR(Table2[[#This Row],[field_fate3]]="U",Table2[[#This Row],[field_fate3]]="U-H")</f>
        <v>0</v>
      </c>
      <c r="BH38" s="8">
        <v>25</v>
      </c>
      <c r="BI38" s="8">
        <v>29</v>
      </c>
      <c r="BJ38" s="14">
        <f>IF(ISTEXT(Table2[[#This Row],[j.cam]]),Table2[[#This Row],[j]],Table2[[#This Row],[j.cam]])</f>
        <v>29</v>
      </c>
      <c r="BK38" s="9">
        <v>32</v>
      </c>
      <c r="BL38" s="15">
        <f>IF(ISTEXT(Table2[[#This Row],[k.cam]]), Table2[[#This Row],[k]], Table2[[#This Row],[k.cam]])</f>
        <v>32</v>
      </c>
      <c r="BM38" s="4" t="s">
        <v>24</v>
      </c>
      <c r="BN38" s="8" t="s">
        <v>24</v>
      </c>
      <c r="BO38" s="4">
        <v>4</v>
      </c>
      <c r="BP38" s="4">
        <f>Table2[[#This Row],[final_obs_date]]-Table2[[#This Row],[i]]</f>
        <v>7</v>
      </c>
      <c r="BQ38" s="4" t="b">
        <f>Table2[[#This Row],[final_obs_date2]]&gt;Table2[[#This Row],[estHD]]+3</f>
        <v>0</v>
      </c>
      <c r="BR38" s="4" t="s">
        <v>27</v>
      </c>
      <c r="BS38" s="4" t="s">
        <v>28</v>
      </c>
      <c r="BT38" s="79" t="s">
        <v>1030</v>
      </c>
      <c r="BU38" s="26" t="s">
        <v>82</v>
      </c>
      <c r="BV38" s="79" t="s">
        <v>1449</v>
      </c>
      <c r="BW38" s="49"/>
      <c r="BX38" s="47"/>
      <c r="BY38" s="36" t="s">
        <v>24</v>
      </c>
    </row>
    <row r="39" spans="1:77" ht="15" hidden="1" thickBot="1" x14ac:dyDescent="0.4">
      <c r="A39" s="62">
        <v>10040</v>
      </c>
      <c r="B39" s="2" t="s">
        <v>35</v>
      </c>
      <c r="C39" s="44">
        <v>2019</v>
      </c>
      <c r="D39" s="3">
        <v>29.76239</v>
      </c>
      <c r="E39" s="3">
        <v>-93.139669999999995</v>
      </c>
      <c r="F39" s="3" t="s">
        <v>24</v>
      </c>
      <c r="G39" s="3" t="s">
        <v>24</v>
      </c>
      <c r="H39" s="3" t="s">
        <v>26</v>
      </c>
      <c r="I39" s="43"/>
      <c r="J39" s="55">
        <v>40</v>
      </c>
      <c r="K39" s="4">
        <v>40</v>
      </c>
      <c r="L39" s="22">
        <f>IF(ISNUMBER(Table2[[#This Row],[estHD]]),ABS(Table2[[#This Row],[HD]]-Table2[[#This Row],[estHD]]),"NA")</f>
        <v>0</v>
      </c>
      <c r="M39" s="4" t="b">
        <f>Table2[[#This Row],[HD]]=Table2[[#This Row],[estHD]]</f>
        <v>1</v>
      </c>
      <c r="N39" s="4" t="str">
        <f>IF(ISNUMBER([1]!Table2[[#This Row],[hatch_date]]),[1]!Table2[[#This Row],[hatch_date]]-19,"NA")</f>
        <v>NA</v>
      </c>
      <c r="O39" s="31">
        <v>21</v>
      </c>
      <c r="P39" s="23">
        <f>IF(ISNUMBER(Table2[[#This Row],[nest_age1]]),ABS(Table2[[#This Row],[nest_age1]]-Table2[[#This Row],[nest_age_feb]]),"NA")</f>
        <v>0</v>
      </c>
      <c r="Q39" s="24">
        <f>IF(ISNUMBER(Table2[[#This Row],[final_obs_int2]]),ABS(Table2[[#This Row],[final_obs_int2]]-Table2[[#This Row],[final_obs_int_feb]]), "NA")</f>
        <v>0</v>
      </c>
      <c r="R39" s="24"/>
      <c r="S39" s="57" t="s">
        <v>88</v>
      </c>
      <c r="T39" s="57" t="str">
        <f>Table2[[#This Row],[camera_old]]</f>
        <v>N</v>
      </c>
      <c r="U39" s="24"/>
      <c r="V39" s="16" t="s">
        <v>24</v>
      </c>
      <c r="W39" s="16">
        <v>11</v>
      </c>
      <c r="X39" s="145">
        <v>3</v>
      </c>
      <c r="Y39" s="147" t="s">
        <v>65</v>
      </c>
      <c r="Z39" s="146" t="s">
        <v>65</v>
      </c>
      <c r="AA39" s="4" t="str">
        <f>Table2[[#This Row],[field_fate]]</f>
        <v>Ca</v>
      </c>
      <c r="AB39" s="4" t="str">
        <f>Table2[[#This Row],[field_fate2]]</f>
        <v>Ca</v>
      </c>
      <c r="AC39" s="4" t="str">
        <f>Table2[[#This Row],[field_fate3]]</f>
        <v>Ca</v>
      </c>
      <c r="AD39" s="4" t="str">
        <f>Table2[[#This Row],[field_fate4]]</f>
        <v>Ca</v>
      </c>
      <c r="AE39" s="4" t="str">
        <f>Table2[[#This Row],[field_fate5]]</f>
        <v>Ca</v>
      </c>
      <c r="AF39" s="4" t="str">
        <f>Table2[[#This Row],[field_fate5]]</f>
        <v>Ca</v>
      </c>
      <c r="AG39" s="4" t="str">
        <f>Table2[[#This Row],[field_fate5]]</f>
        <v>Ca</v>
      </c>
      <c r="AH39" s="4" t="str">
        <f>Table2[[#This Row],[field_fate2]]</f>
        <v>Ca</v>
      </c>
      <c r="AI39" s="4" t="str">
        <f>Table2[[#This Row],[field_fate8]]</f>
        <v>Ca</v>
      </c>
      <c r="AJ39" s="4" t="str">
        <f>Table2[[#This Row],[field_fate10]]</f>
        <v>Ca</v>
      </c>
      <c r="AK39" s="4" t="b">
        <f>Table2[[#This Row],[field_fate_feb]]=Table2[[#This Row],[field_fate10]]</f>
        <v>1</v>
      </c>
      <c r="AL39" s="43" t="s">
        <v>24</v>
      </c>
      <c r="AM39" s="43" t="b">
        <f>Table2[[#This Row],[cam_fate2]]="NA"</f>
        <v>1</v>
      </c>
      <c r="AN39" s="19" t="str">
        <f>Table2[[#This Row],[cam_fate1]]</f>
        <v>NA</v>
      </c>
      <c r="AO39" s="2" t="s">
        <v>65</v>
      </c>
      <c r="AP39" s="5" t="str">
        <f>Table2[[#This Row],[final_fate1]]</f>
        <v>Ca</v>
      </c>
      <c r="AQ39" s="6">
        <v>11</v>
      </c>
      <c r="AR39" s="7">
        <v>11</v>
      </c>
      <c r="AS39" s="7">
        <f>Table2[[#This Row],[final_obs_date]]-Table2[[#This Row],[init_date]]</f>
        <v>11</v>
      </c>
      <c r="AT39" s="7">
        <f>(Table2[[#This Row],[final_obs_date2]]-Table2[[#This Row],[estHD]])+16</f>
        <v>8</v>
      </c>
      <c r="AU39" s="38">
        <v>3</v>
      </c>
      <c r="AV39" s="33">
        <v>3</v>
      </c>
      <c r="AW39" s="33">
        <f>Table2[[#This Row],[final_obs_date2]]-Table2[[#This Row],[pen_obs_date]]</f>
        <v>32</v>
      </c>
      <c r="AX39" s="67">
        <v>32</v>
      </c>
      <c r="AY39" s="6">
        <f>Table2[[#This Row],[final_obs_date]]</f>
        <v>32</v>
      </c>
      <c r="AZ39" s="6"/>
      <c r="BA39" s="91" t="s">
        <v>47</v>
      </c>
      <c r="BB39" s="6" t="b">
        <f>Table2[[#This Row],[final_obs_date]]&lt;(Table2[[#This Row],[estHD]]-2)</f>
        <v>1</v>
      </c>
      <c r="BC39" s="24">
        <f>IF(Table2[[#This Row],[field_fate]]="H",1,0)</f>
        <v>0</v>
      </c>
      <c r="BD39" s="16">
        <f>IF(Table2[[#This Row],[cam_fate2]]="H",1,0)</f>
        <v>0</v>
      </c>
      <c r="BE39" s="6" t="b">
        <f>NOT(Table2[[#This Row],[HF_C]]=Table2[[#This Row],[HF]])</f>
        <v>0</v>
      </c>
      <c r="BF39" s="6" t="b">
        <f>NOT(Table2[[#This Row],[cam_fate2]]=Table2[[#This Row],[field_fate3]])</f>
        <v>1</v>
      </c>
      <c r="BG39" s="6" t="b">
        <f>OR(Table2[[#This Row],[field_fate3]]="U",Table2[[#This Row],[field_fate3]]="U-H")</f>
        <v>0</v>
      </c>
      <c r="BH39" s="8">
        <v>25</v>
      </c>
      <c r="BI39" s="8">
        <v>29</v>
      </c>
      <c r="BJ39" s="14">
        <f>IF(ISTEXT(Table2[[#This Row],[j.cam]]),Table2[[#This Row],[j]],Table2[[#This Row],[j.cam]])</f>
        <v>29</v>
      </c>
      <c r="BK39" s="9">
        <v>32</v>
      </c>
      <c r="BL39" s="15">
        <f>IF(ISTEXT(Table2[[#This Row],[k.cam]]), Table2[[#This Row],[k]], Table2[[#This Row],[k.cam]])</f>
        <v>32</v>
      </c>
      <c r="BM39" s="4" t="s">
        <v>24</v>
      </c>
      <c r="BN39" s="8" t="s">
        <v>24</v>
      </c>
      <c r="BO39" s="4">
        <v>4</v>
      </c>
      <c r="BP39" s="4">
        <f>Table2[[#This Row],[final_obs_date]]-Table2[[#This Row],[i]]</f>
        <v>7</v>
      </c>
      <c r="BQ39" s="4" t="b">
        <f>Table2[[#This Row],[final_obs_date2]]&gt;Table2[[#This Row],[estHD]]+3</f>
        <v>0</v>
      </c>
      <c r="BR39" s="4" t="s">
        <v>27</v>
      </c>
      <c r="BS39" s="4" t="s">
        <v>28</v>
      </c>
      <c r="BT39" s="79" t="s">
        <v>1030</v>
      </c>
      <c r="BU39" s="26" t="s">
        <v>83</v>
      </c>
      <c r="BV39" s="79" t="s">
        <v>1449</v>
      </c>
      <c r="BW39" s="49"/>
      <c r="BX39" s="47"/>
      <c r="BY39" s="36" t="s">
        <v>24</v>
      </c>
    </row>
    <row r="40" spans="1:77" ht="15" hidden="1" thickBot="1" x14ac:dyDescent="0.4">
      <c r="A40" s="62">
        <v>10041</v>
      </c>
      <c r="B40" s="2" t="s">
        <v>35</v>
      </c>
      <c r="C40" s="44">
        <v>2019</v>
      </c>
      <c r="D40" s="3">
        <v>29.762429999999998</v>
      </c>
      <c r="E40" s="3">
        <v>-93.139759999999995</v>
      </c>
      <c r="F40" s="3" t="s">
        <v>24</v>
      </c>
      <c r="G40" s="3" t="s">
        <v>24</v>
      </c>
      <c r="H40" s="3" t="s">
        <v>26</v>
      </c>
      <c r="I40" s="43"/>
      <c r="J40" s="55">
        <v>45</v>
      </c>
      <c r="K40" s="4">
        <v>45</v>
      </c>
      <c r="L40" s="22">
        <f>IF(ISNUMBER(Table2[[#This Row],[estHD]]),ABS(Table2[[#This Row],[HD]]-Table2[[#This Row],[estHD]]),"NA")</f>
        <v>0</v>
      </c>
      <c r="M40" s="4" t="b">
        <f>Table2[[#This Row],[HD]]=Table2[[#This Row],[estHD]]</f>
        <v>1</v>
      </c>
      <c r="N40" s="4" t="str">
        <f>IF(ISNUMBER([1]!Table2[[#This Row],[hatch_date]]),[1]!Table2[[#This Row],[hatch_date]]-19,"NA")</f>
        <v>NA</v>
      </c>
      <c r="O40" s="31">
        <v>26</v>
      </c>
      <c r="P40" s="23">
        <f>IF(ISNUMBER(Table2[[#This Row],[nest_age1]]),ABS(Table2[[#This Row],[nest_age1]]-Table2[[#This Row],[nest_age_feb]]),"NA")</f>
        <v>0</v>
      </c>
      <c r="Q40" s="24">
        <f>IF(ISNUMBER(Table2[[#This Row],[final_obs_int2]]),ABS(Table2[[#This Row],[final_obs_int2]]-Table2[[#This Row],[final_obs_int_feb]]), "NA")</f>
        <v>0</v>
      </c>
      <c r="R40" s="24"/>
      <c r="S40" s="57" t="s">
        <v>88</v>
      </c>
      <c r="T40" s="57" t="str">
        <f>Table2[[#This Row],[camera_old]]</f>
        <v>N</v>
      </c>
      <c r="U40" s="24"/>
      <c r="V40" s="16" t="s">
        <v>24</v>
      </c>
      <c r="W40" s="16">
        <v>6</v>
      </c>
      <c r="X40" s="145">
        <v>3</v>
      </c>
      <c r="Y40" s="147" t="s">
        <v>65</v>
      </c>
      <c r="Z40" s="146" t="s">
        <v>65</v>
      </c>
      <c r="AA40" s="4" t="str">
        <f>Table2[[#This Row],[field_fate]]</f>
        <v>Ca</v>
      </c>
      <c r="AB40" s="4" t="str">
        <f>Table2[[#This Row],[field_fate2]]</f>
        <v>Ca</v>
      </c>
      <c r="AC40" s="4" t="str">
        <f>Table2[[#This Row],[field_fate3]]</f>
        <v>Ca</v>
      </c>
      <c r="AD40" s="4" t="str">
        <f>Table2[[#This Row],[field_fate4]]</f>
        <v>Ca</v>
      </c>
      <c r="AE40" s="4" t="str">
        <f>Table2[[#This Row],[field_fate5]]</f>
        <v>Ca</v>
      </c>
      <c r="AF40" s="4" t="str">
        <f>Table2[[#This Row],[field_fate5]]</f>
        <v>Ca</v>
      </c>
      <c r="AG40" s="4" t="str">
        <f>Table2[[#This Row],[field_fate5]]</f>
        <v>Ca</v>
      </c>
      <c r="AH40" s="4" t="str">
        <f>Table2[[#This Row],[field_fate2]]</f>
        <v>Ca</v>
      </c>
      <c r="AI40" s="4" t="str">
        <f>Table2[[#This Row],[field_fate8]]</f>
        <v>Ca</v>
      </c>
      <c r="AJ40" s="4" t="str">
        <f>Table2[[#This Row],[field_fate10]]</f>
        <v>Ca</v>
      </c>
      <c r="AK40" s="4" t="b">
        <f>Table2[[#This Row],[field_fate_feb]]=Table2[[#This Row],[field_fate10]]</f>
        <v>1</v>
      </c>
      <c r="AL40" s="43" t="s">
        <v>24</v>
      </c>
      <c r="AM40" s="43" t="b">
        <f>Table2[[#This Row],[cam_fate2]]="NA"</f>
        <v>1</v>
      </c>
      <c r="AN40" s="19" t="str">
        <f>Table2[[#This Row],[cam_fate1]]</f>
        <v>NA</v>
      </c>
      <c r="AO40" s="2" t="s">
        <v>65</v>
      </c>
      <c r="AP40" s="5" t="str">
        <f>Table2[[#This Row],[final_fate1]]</f>
        <v>Ca</v>
      </c>
      <c r="AQ40" s="6">
        <v>6</v>
      </c>
      <c r="AR40" s="7">
        <v>6</v>
      </c>
      <c r="AS40" s="7">
        <f>Table2[[#This Row],[final_obs_date]]-Table2[[#This Row],[init_date]]</f>
        <v>6</v>
      </c>
      <c r="AT40" s="7">
        <f>(Table2[[#This Row],[final_obs_date2]]-Table2[[#This Row],[estHD]])+16</f>
        <v>3</v>
      </c>
      <c r="AU40" s="38">
        <v>3</v>
      </c>
      <c r="AV40" s="33">
        <v>3</v>
      </c>
      <c r="AW40" s="33">
        <f>Table2[[#This Row],[final_obs_date2]]-Table2[[#This Row],[pen_obs_date]]</f>
        <v>32</v>
      </c>
      <c r="AX40" s="67">
        <v>32</v>
      </c>
      <c r="AY40" s="6">
        <f>Table2[[#This Row],[final_obs_date]]</f>
        <v>32</v>
      </c>
      <c r="AZ40" s="6"/>
      <c r="BA40" s="91" t="s">
        <v>47</v>
      </c>
      <c r="BB40" s="6" t="b">
        <f>Table2[[#This Row],[final_obs_date]]&lt;(Table2[[#This Row],[estHD]]-2)</f>
        <v>1</v>
      </c>
      <c r="BC40" s="24">
        <f>IF(Table2[[#This Row],[field_fate]]="H",1,0)</f>
        <v>0</v>
      </c>
      <c r="BD40" s="16">
        <f>IF(Table2[[#This Row],[cam_fate2]]="H",1,0)</f>
        <v>0</v>
      </c>
      <c r="BE40" s="6" t="b">
        <f>NOT(Table2[[#This Row],[HF_C]]=Table2[[#This Row],[HF]])</f>
        <v>0</v>
      </c>
      <c r="BF40" s="6" t="b">
        <f>NOT(Table2[[#This Row],[cam_fate2]]=Table2[[#This Row],[field_fate3]])</f>
        <v>1</v>
      </c>
      <c r="BG40" s="6" t="b">
        <f>OR(Table2[[#This Row],[field_fate3]]="U",Table2[[#This Row],[field_fate3]]="U-H")</f>
        <v>0</v>
      </c>
      <c r="BH40" s="8">
        <v>25</v>
      </c>
      <c r="BI40" s="8">
        <v>29</v>
      </c>
      <c r="BJ40" s="14">
        <f>IF(ISTEXT(Table2[[#This Row],[j.cam]]),Table2[[#This Row],[j]],Table2[[#This Row],[j.cam]])</f>
        <v>29</v>
      </c>
      <c r="BK40" s="9">
        <v>32</v>
      </c>
      <c r="BL40" s="15">
        <f>IF(ISTEXT(Table2[[#This Row],[k.cam]]), Table2[[#This Row],[k]], Table2[[#This Row],[k.cam]])</f>
        <v>32</v>
      </c>
      <c r="BM40" s="4" t="s">
        <v>24</v>
      </c>
      <c r="BN40" s="8" t="s">
        <v>24</v>
      </c>
      <c r="BO40" s="4">
        <v>4</v>
      </c>
      <c r="BP40" s="4">
        <f>Table2[[#This Row],[final_obs_date]]-Table2[[#This Row],[i]]</f>
        <v>7</v>
      </c>
      <c r="BQ40" s="4" t="b">
        <f>Table2[[#This Row],[final_obs_date2]]&gt;Table2[[#This Row],[estHD]]+3</f>
        <v>0</v>
      </c>
      <c r="BR40" s="4" t="s">
        <v>33</v>
      </c>
      <c r="BS40" s="4" t="s">
        <v>28</v>
      </c>
      <c r="BT40" s="79" t="s">
        <v>1030</v>
      </c>
      <c r="BU40" s="26" t="s">
        <v>84</v>
      </c>
      <c r="BV40" s="79" t="s">
        <v>1449</v>
      </c>
      <c r="BW40" s="49"/>
      <c r="BX40" s="47"/>
      <c r="BY40" s="36" t="s">
        <v>24</v>
      </c>
    </row>
    <row r="41" spans="1:77" ht="15" hidden="1" thickBot="1" x14ac:dyDescent="0.4">
      <c r="A41" s="62">
        <v>10042</v>
      </c>
      <c r="B41" s="2" t="s">
        <v>35</v>
      </c>
      <c r="C41" s="44">
        <v>2019</v>
      </c>
      <c r="D41" s="3">
        <v>29.76249</v>
      </c>
      <c r="E41" s="3">
        <v>-93.139920000000004</v>
      </c>
      <c r="F41" s="3" t="s">
        <v>24</v>
      </c>
      <c r="G41" s="3" t="s">
        <v>24</v>
      </c>
      <c r="H41" s="3" t="s">
        <v>26</v>
      </c>
      <c r="I41" s="43"/>
      <c r="J41" s="55">
        <v>45</v>
      </c>
      <c r="K41" s="4">
        <v>45</v>
      </c>
      <c r="L41" s="22">
        <f>IF(ISNUMBER(Table2[[#This Row],[estHD]]),ABS(Table2[[#This Row],[HD]]-Table2[[#This Row],[estHD]]),"NA")</f>
        <v>0</v>
      </c>
      <c r="M41" s="4" t="b">
        <f>Table2[[#This Row],[HD]]=Table2[[#This Row],[estHD]]</f>
        <v>1</v>
      </c>
      <c r="N41" s="4" t="str">
        <f>IF(ISNUMBER([1]!Table2[[#This Row],[hatch_date]]),[1]!Table2[[#This Row],[hatch_date]]-19,"NA")</f>
        <v>NA</v>
      </c>
      <c r="O41" s="31">
        <v>26</v>
      </c>
      <c r="P41" s="23">
        <f>IF(ISNUMBER(Table2[[#This Row],[nest_age1]]),ABS(Table2[[#This Row],[nest_age1]]-Table2[[#This Row],[nest_age_feb]]),"NA")</f>
        <v>0</v>
      </c>
      <c r="Q41" s="24">
        <f>IF(ISNUMBER(Table2[[#This Row],[final_obs_int2]]),ABS(Table2[[#This Row],[final_obs_int2]]-Table2[[#This Row],[final_obs_int_feb]]), "NA")</f>
        <v>0</v>
      </c>
      <c r="R41" s="24"/>
      <c r="S41" s="57" t="s">
        <v>88</v>
      </c>
      <c r="T41" s="57" t="str">
        <f>Table2[[#This Row],[camera_old]]</f>
        <v>N</v>
      </c>
      <c r="U41" s="24"/>
      <c r="V41" s="16" t="s">
        <v>24</v>
      </c>
      <c r="W41" s="16">
        <v>6</v>
      </c>
      <c r="X41" s="145">
        <v>3</v>
      </c>
      <c r="Y41" s="147" t="s">
        <v>65</v>
      </c>
      <c r="Z41" s="146" t="s">
        <v>65</v>
      </c>
      <c r="AA41" s="4" t="str">
        <f>Table2[[#This Row],[field_fate]]</f>
        <v>Ca</v>
      </c>
      <c r="AB41" s="4" t="str">
        <f>Table2[[#This Row],[field_fate2]]</f>
        <v>Ca</v>
      </c>
      <c r="AC41" s="4" t="str">
        <f>Table2[[#This Row],[field_fate3]]</f>
        <v>Ca</v>
      </c>
      <c r="AD41" s="4" t="str">
        <f>Table2[[#This Row],[field_fate4]]</f>
        <v>Ca</v>
      </c>
      <c r="AE41" s="4" t="str">
        <f>Table2[[#This Row],[field_fate5]]</f>
        <v>Ca</v>
      </c>
      <c r="AF41" s="4" t="str">
        <f>Table2[[#This Row],[field_fate5]]</f>
        <v>Ca</v>
      </c>
      <c r="AG41" s="4" t="str">
        <f>Table2[[#This Row],[field_fate5]]</f>
        <v>Ca</v>
      </c>
      <c r="AH41" s="4" t="str">
        <f>Table2[[#This Row],[field_fate2]]</f>
        <v>Ca</v>
      </c>
      <c r="AI41" s="4" t="str">
        <f>Table2[[#This Row],[field_fate8]]</f>
        <v>Ca</v>
      </c>
      <c r="AJ41" s="4" t="str">
        <f>Table2[[#This Row],[field_fate10]]</f>
        <v>Ca</v>
      </c>
      <c r="AK41" s="4" t="b">
        <f>Table2[[#This Row],[field_fate_feb]]=Table2[[#This Row],[field_fate10]]</f>
        <v>1</v>
      </c>
      <c r="AL41" s="43" t="s">
        <v>24</v>
      </c>
      <c r="AM41" s="43" t="b">
        <f>Table2[[#This Row],[cam_fate2]]="NA"</f>
        <v>1</v>
      </c>
      <c r="AN41" s="19" t="str">
        <f>Table2[[#This Row],[cam_fate1]]</f>
        <v>NA</v>
      </c>
      <c r="AO41" s="2" t="s">
        <v>65</v>
      </c>
      <c r="AP41" s="5" t="str">
        <f>Table2[[#This Row],[final_fate1]]</f>
        <v>Ca</v>
      </c>
      <c r="AQ41" s="6">
        <v>6</v>
      </c>
      <c r="AR41" s="7">
        <v>6</v>
      </c>
      <c r="AS41" s="7">
        <f>Table2[[#This Row],[final_obs_date]]-Table2[[#This Row],[init_date]]</f>
        <v>6</v>
      </c>
      <c r="AT41" s="7">
        <f>(Table2[[#This Row],[final_obs_date2]]-Table2[[#This Row],[estHD]])+16</f>
        <v>3</v>
      </c>
      <c r="AU41" s="38">
        <v>3</v>
      </c>
      <c r="AV41" s="33">
        <v>3</v>
      </c>
      <c r="AW41" s="33">
        <f>Table2[[#This Row],[final_obs_date2]]-Table2[[#This Row],[pen_obs_date]]</f>
        <v>32</v>
      </c>
      <c r="AX41" s="67">
        <v>32</v>
      </c>
      <c r="AY41" s="6">
        <f>Table2[[#This Row],[final_obs_date]]</f>
        <v>32</v>
      </c>
      <c r="AZ41" s="6"/>
      <c r="BA41" s="91" t="s">
        <v>47</v>
      </c>
      <c r="BB41" s="6" t="b">
        <f>Table2[[#This Row],[final_obs_date]]&lt;(Table2[[#This Row],[estHD]]-2)</f>
        <v>1</v>
      </c>
      <c r="BC41" s="24">
        <f>IF(Table2[[#This Row],[field_fate]]="H",1,0)</f>
        <v>0</v>
      </c>
      <c r="BD41" s="16">
        <f>IF(Table2[[#This Row],[cam_fate2]]="H",1,0)</f>
        <v>0</v>
      </c>
      <c r="BE41" s="6" t="b">
        <f>NOT(Table2[[#This Row],[HF_C]]=Table2[[#This Row],[HF]])</f>
        <v>0</v>
      </c>
      <c r="BF41" s="6" t="b">
        <f>NOT(Table2[[#This Row],[cam_fate2]]=Table2[[#This Row],[field_fate3]])</f>
        <v>1</v>
      </c>
      <c r="BG41" s="6" t="b">
        <f>OR(Table2[[#This Row],[field_fate3]]="U",Table2[[#This Row],[field_fate3]]="U-H")</f>
        <v>0</v>
      </c>
      <c r="BH41" s="8">
        <v>25</v>
      </c>
      <c r="BI41" s="8">
        <v>29</v>
      </c>
      <c r="BJ41" s="14">
        <f>IF(ISTEXT(Table2[[#This Row],[j.cam]]),Table2[[#This Row],[j]],Table2[[#This Row],[j.cam]])</f>
        <v>29</v>
      </c>
      <c r="BK41" s="9">
        <v>32</v>
      </c>
      <c r="BL41" s="15">
        <f>IF(ISTEXT(Table2[[#This Row],[k.cam]]), Table2[[#This Row],[k]], Table2[[#This Row],[k.cam]])</f>
        <v>32</v>
      </c>
      <c r="BM41" s="4" t="s">
        <v>24</v>
      </c>
      <c r="BN41" s="8" t="s">
        <v>24</v>
      </c>
      <c r="BO41" s="4">
        <v>3</v>
      </c>
      <c r="BP41" s="4">
        <f>Table2[[#This Row],[final_obs_date]]-Table2[[#This Row],[i]]</f>
        <v>7</v>
      </c>
      <c r="BQ41" s="4" t="b">
        <f>Table2[[#This Row],[final_obs_date2]]&gt;Table2[[#This Row],[estHD]]+3</f>
        <v>0</v>
      </c>
      <c r="BR41" s="4" t="s">
        <v>58</v>
      </c>
      <c r="BS41" s="4" t="s">
        <v>28</v>
      </c>
      <c r="BT41" s="79" t="s">
        <v>1031</v>
      </c>
      <c r="BU41" s="26" t="s">
        <v>85</v>
      </c>
      <c r="BV41" s="79" t="s">
        <v>1450</v>
      </c>
      <c r="BW41" s="49"/>
      <c r="BX41" s="47"/>
      <c r="BY41" s="36" t="s">
        <v>24</v>
      </c>
    </row>
    <row r="42" spans="1:77" ht="15" hidden="1" thickBot="1" x14ac:dyDescent="0.4">
      <c r="A42" s="62">
        <v>10043</v>
      </c>
      <c r="B42" s="2" t="s">
        <v>35</v>
      </c>
      <c r="C42" s="44">
        <v>2019</v>
      </c>
      <c r="D42" s="3">
        <v>29.762609999999999</v>
      </c>
      <c r="E42" s="3">
        <v>-93.140240000000006</v>
      </c>
      <c r="F42" s="3" t="s">
        <v>24</v>
      </c>
      <c r="G42" s="3" t="s">
        <v>24</v>
      </c>
      <c r="H42" s="3" t="s">
        <v>26</v>
      </c>
      <c r="I42" s="43"/>
      <c r="J42" s="55">
        <v>37</v>
      </c>
      <c r="K42" s="4">
        <v>37</v>
      </c>
      <c r="L42" s="22">
        <f>IF(ISNUMBER(Table2[[#This Row],[estHD]]),ABS(Table2[[#This Row],[HD]]-Table2[[#This Row],[estHD]]),"NA")</f>
        <v>0</v>
      </c>
      <c r="M42" s="4" t="b">
        <f>Table2[[#This Row],[HD]]=Table2[[#This Row],[estHD]]</f>
        <v>1</v>
      </c>
      <c r="N42" s="4" t="str">
        <f>IF(ISNUMBER([1]!Table2[[#This Row],[hatch_date]]),[1]!Table2[[#This Row],[hatch_date]]-19,"NA")</f>
        <v>NA</v>
      </c>
      <c r="O42" s="31">
        <v>18</v>
      </c>
      <c r="P42" s="23">
        <f>IF(ISNUMBER(Table2[[#This Row],[nest_age1]]),ABS(Table2[[#This Row],[nest_age1]]-Table2[[#This Row],[nest_age_feb]]),"NA")</f>
        <v>0</v>
      </c>
      <c r="Q42" s="24">
        <f>IF(ISNUMBER(Table2[[#This Row],[final_obs_int2]]),ABS(Table2[[#This Row],[final_obs_int2]]-Table2[[#This Row],[final_obs_int_feb]]), "NA")</f>
        <v>0</v>
      </c>
      <c r="R42" s="24"/>
      <c r="S42" s="57" t="s">
        <v>88</v>
      </c>
      <c r="T42" s="57" t="str">
        <f>Table2[[#This Row],[camera_old]]</f>
        <v>N</v>
      </c>
      <c r="U42" s="24"/>
      <c r="V42" s="16" t="s">
        <v>24</v>
      </c>
      <c r="W42" s="16">
        <v>11</v>
      </c>
      <c r="X42" s="145">
        <v>4</v>
      </c>
      <c r="Y42" s="147" t="s">
        <v>65</v>
      </c>
      <c r="Z42" s="146" t="s">
        <v>65</v>
      </c>
      <c r="AA42" s="4" t="str">
        <f>Table2[[#This Row],[field_fate]]</f>
        <v>Ca</v>
      </c>
      <c r="AB42" s="4" t="str">
        <f>Table2[[#This Row],[field_fate2]]</f>
        <v>Ca</v>
      </c>
      <c r="AC42" s="4" t="str">
        <f>Table2[[#This Row],[field_fate3]]</f>
        <v>Ca</v>
      </c>
      <c r="AD42" s="4" t="str">
        <f>Table2[[#This Row],[field_fate4]]</f>
        <v>Ca</v>
      </c>
      <c r="AE42" s="4" t="str">
        <f>Table2[[#This Row],[field_fate5]]</f>
        <v>Ca</v>
      </c>
      <c r="AF42" s="4" t="str">
        <f>Table2[[#This Row],[field_fate5]]</f>
        <v>Ca</v>
      </c>
      <c r="AG42" s="4" t="str">
        <f>Table2[[#This Row],[field_fate5]]</f>
        <v>Ca</v>
      </c>
      <c r="AH42" s="4" t="str">
        <f>Table2[[#This Row],[field_fate2]]</f>
        <v>Ca</v>
      </c>
      <c r="AI42" s="4" t="str">
        <f>Table2[[#This Row],[field_fate8]]</f>
        <v>Ca</v>
      </c>
      <c r="AJ42" s="4" t="str">
        <f>Table2[[#This Row],[field_fate10]]</f>
        <v>Ca</v>
      </c>
      <c r="AK42" s="4" t="b">
        <f>Table2[[#This Row],[field_fate_feb]]=Table2[[#This Row],[field_fate10]]</f>
        <v>1</v>
      </c>
      <c r="AL42" s="43" t="s">
        <v>24</v>
      </c>
      <c r="AM42" s="43" t="b">
        <f>Table2[[#This Row],[cam_fate2]]="NA"</f>
        <v>1</v>
      </c>
      <c r="AN42" s="19" t="str">
        <f>Table2[[#This Row],[cam_fate1]]</f>
        <v>NA</v>
      </c>
      <c r="AO42" s="2" t="s">
        <v>65</v>
      </c>
      <c r="AP42" s="5" t="str">
        <f>Table2[[#This Row],[final_fate1]]</f>
        <v>Ca</v>
      </c>
      <c r="AQ42" s="6">
        <v>11</v>
      </c>
      <c r="AR42" s="7">
        <v>11</v>
      </c>
      <c r="AS42" s="7">
        <f>Table2[[#This Row],[final_obs_date]]-Table2[[#This Row],[init_date]]</f>
        <v>11</v>
      </c>
      <c r="AT42" s="7">
        <f>(Table2[[#This Row],[final_obs_date2]]-Table2[[#This Row],[estHD]])+16</f>
        <v>8</v>
      </c>
      <c r="AU42" s="38">
        <v>4</v>
      </c>
      <c r="AV42" s="33">
        <v>4</v>
      </c>
      <c r="AW42" s="33">
        <f>Table2[[#This Row],[final_obs_date2]]-Table2[[#This Row],[pen_obs_date]]</f>
        <v>29</v>
      </c>
      <c r="AX42" s="67">
        <v>29</v>
      </c>
      <c r="AY42" s="6">
        <f>Table2[[#This Row],[final_obs_date]]</f>
        <v>29</v>
      </c>
      <c r="AZ42" s="6"/>
      <c r="BA42" s="91" t="s">
        <v>47</v>
      </c>
      <c r="BB42" s="6" t="b">
        <f>Table2[[#This Row],[final_obs_date]]&lt;(Table2[[#This Row],[estHD]]-2)</f>
        <v>1</v>
      </c>
      <c r="BC42" s="24">
        <f>IF(Table2[[#This Row],[field_fate]]="H",1,0)</f>
        <v>0</v>
      </c>
      <c r="BD42" s="16">
        <f>IF(Table2[[#This Row],[cam_fate2]]="H",1,0)</f>
        <v>0</v>
      </c>
      <c r="BE42" s="6" t="b">
        <f>NOT(Table2[[#This Row],[HF_C]]=Table2[[#This Row],[HF]])</f>
        <v>0</v>
      </c>
      <c r="BF42" s="6" t="b">
        <f>NOT(Table2[[#This Row],[cam_fate2]]=Table2[[#This Row],[field_fate3]])</f>
        <v>1</v>
      </c>
      <c r="BG42" s="6" t="b">
        <f>OR(Table2[[#This Row],[field_fate3]]="U",Table2[[#This Row],[field_fate3]]="U-H")</f>
        <v>0</v>
      </c>
      <c r="BH42" s="8">
        <v>25</v>
      </c>
      <c r="BI42" s="8">
        <v>25</v>
      </c>
      <c r="BJ42" s="14">
        <f>IF(ISTEXT(Table2[[#This Row],[j.cam]]),Table2[[#This Row],[j]],Table2[[#This Row],[j.cam]])</f>
        <v>25</v>
      </c>
      <c r="BK42" s="9">
        <v>29</v>
      </c>
      <c r="BL42" s="15">
        <f>IF(ISTEXT(Table2[[#This Row],[k.cam]]), Table2[[#This Row],[k]], Table2[[#This Row],[k.cam]])</f>
        <v>29</v>
      </c>
      <c r="BM42" s="4" t="s">
        <v>24</v>
      </c>
      <c r="BN42" s="8" t="s">
        <v>24</v>
      </c>
      <c r="BO42" s="4">
        <v>2</v>
      </c>
      <c r="BP42" s="4">
        <f>Table2[[#This Row],[final_obs_date]]-Table2[[#This Row],[i]]</f>
        <v>4</v>
      </c>
      <c r="BQ42" s="4" t="b">
        <f>Table2[[#This Row],[final_obs_date2]]&gt;Table2[[#This Row],[estHD]]+3</f>
        <v>0</v>
      </c>
      <c r="BR42" s="4" t="s">
        <v>27</v>
      </c>
      <c r="BS42" s="4" t="s">
        <v>58</v>
      </c>
      <c r="BT42" s="79" t="s">
        <v>1032</v>
      </c>
      <c r="BU42" s="26" t="s">
        <v>86</v>
      </c>
      <c r="BV42" s="79" t="s">
        <v>1429</v>
      </c>
      <c r="BW42" s="49"/>
      <c r="BX42" s="47"/>
      <c r="BY42" s="36" t="s">
        <v>510</v>
      </c>
    </row>
    <row r="43" spans="1:77" ht="15" hidden="1" thickBot="1" x14ac:dyDescent="0.4">
      <c r="A43" s="62">
        <v>10044</v>
      </c>
      <c r="B43" s="2" t="s">
        <v>35</v>
      </c>
      <c r="C43" s="44">
        <v>2019</v>
      </c>
      <c r="D43" s="3">
        <v>29.762619999999998</v>
      </c>
      <c r="E43" s="3">
        <v>-93.140320000000003</v>
      </c>
      <c r="F43" s="3" t="s">
        <v>24</v>
      </c>
      <c r="G43" s="3" t="s">
        <v>24</v>
      </c>
      <c r="H43" s="3" t="s">
        <v>26</v>
      </c>
      <c r="I43" s="43"/>
      <c r="J43" s="55">
        <v>40</v>
      </c>
      <c r="K43" s="4">
        <v>40</v>
      </c>
      <c r="L43" s="22">
        <f>IF(ISNUMBER(Table2[[#This Row],[estHD]]),ABS(Table2[[#This Row],[HD]]-Table2[[#This Row],[estHD]]),"NA")</f>
        <v>0</v>
      </c>
      <c r="M43" s="4" t="b">
        <f>Table2[[#This Row],[HD]]=Table2[[#This Row],[estHD]]</f>
        <v>1</v>
      </c>
      <c r="N43" s="4" t="str">
        <f>IF(ISNUMBER([1]!Table2[[#This Row],[hatch_date]]),[1]!Table2[[#This Row],[hatch_date]]-19,"NA")</f>
        <v>NA</v>
      </c>
      <c r="O43" s="31">
        <v>21</v>
      </c>
      <c r="P43" s="23">
        <f>IF(ISNUMBER(Table2[[#This Row],[nest_age1]]),ABS(Table2[[#This Row],[nest_age1]]-Table2[[#This Row],[nest_age_feb]]),"NA")</f>
        <v>0</v>
      </c>
      <c r="Q43" s="24">
        <f>IF(ISNUMBER(Table2[[#This Row],[final_obs_int2]]),ABS(Table2[[#This Row],[final_obs_int2]]-Table2[[#This Row],[final_obs_int_feb]]), "NA")</f>
        <v>0</v>
      </c>
      <c r="R43" s="24"/>
      <c r="S43" s="57" t="s">
        <v>88</v>
      </c>
      <c r="T43" s="57" t="str">
        <f>Table2[[#This Row],[camera_old]]</f>
        <v>N</v>
      </c>
      <c r="U43" s="24"/>
      <c r="V43" s="16" t="s">
        <v>24</v>
      </c>
      <c r="W43" s="16">
        <v>8</v>
      </c>
      <c r="X43" s="145">
        <v>4</v>
      </c>
      <c r="Y43" s="147" t="s">
        <v>65</v>
      </c>
      <c r="Z43" s="146" t="s">
        <v>65</v>
      </c>
      <c r="AA43" s="4" t="str">
        <f>Table2[[#This Row],[field_fate]]</f>
        <v>Ca</v>
      </c>
      <c r="AB43" s="4" t="str">
        <f>Table2[[#This Row],[field_fate2]]</f>
        <v>Ca</v>
      </c>
      <c r="AC43" s="4" t="str">
        <f>Table2[[#This Row],[field_fate3]]</f>
        <v>Ca</v>
      </c>
      <c r="AD43" s="4" t="str">
        <f>Table2[[#This Row],[field_fate4]]</f>
        <v>Ca</v>
      </c>
      <c r="AE43" s="4" t="str">
        <f>Table2[[#This Row],[field_fate5]]</f>
        <v>Ca</v>
      </c>
      <c r="AF43" s="4" t="str">
        <f>Table2[[#This Row],[field_fate5]]</f>
        <v>Ca</v>
      </c>
      <c r="AG43" s="4" t="str">
        <f>Table2[[#This Row],[field_fate5]]</f>
        <v>Ca</v>
      </c>
      <c r="AH43" s="4" t="str">
        <f>Table2[[#This Row],[field_fate2]]</f>
        <v>Ca</v>
      </c>
      <c r="AI43" s="4" t="str">
        <f>Table2[[#This Row],[field_fate8]]</f>
        <v>Ca</v>
      </c>
      <c r="AJ43" s="4" t="str">
        <f>Table2[[#This Row],[field_fate10]]</f>
        <v>Ca</v>
      </c>
      <c r="AK43" s="4" t="b">
        <f>Table2[[#This Row],[field_fate_feb]]=Table2[[#This Row],[field_fate10]]</f>
        <v>1</v>
      </c>
      <c r="AL43" s="43" t="s">
        <v>24</v>
      </c>
      <c r="AM43" s="43" t="b">
        <f>Table2[[#This Row],[cam_fate2]]="NA"</f>
        <v>1</v>
      </c>
      <c r="AN43" s="19" t="str">
        <f>Table2[[#This Row],[cam_fate1]]</f>
        <v>NA</v>
      </c>
      <c r="AO43" s="2" t="s">
        <v>65</v>
      </c>
      <c r="AP43" s="5" t="str">
        <f>Table2[[#This Row],[final_fate1]]</f>
        <v>Ca</v>
      </c>
      <c r="AQ43" s="6">
        <v>8</v>
      </c>
      <c r="AR43" s="7">
        <v>8</v>
      </c>
      <c r="AS43" s="7">
        <f>Table2[[#This Row],[final_obs_date]]-Table2[[#This Row],[init_date]]</f>
        <v>8</v>
      </c>
      <c r="AT43" s="7">
        <f>(Table2[[#This Row],[final_obs_date2]]-Table2[[#This Row],[estHD]])+16</f>
        <v>5</v>
      </c>
      <c r="AU43" s="38">
        <v>4</v>
      </c>
      <c r="AV43" s="33">
        <v>4</v>
      </c>
      <c r="AW43" s="33">
        <f>Table2[[#This Row],[final_obs_date2]]-Table2[[#This Row],[pen_obs_date]]</f>
        <v>29</v>
      </c>
      <c r="AX43" s="67">
        <v>29</v>
      </c>
      <c r="AY43" s="6">
        <f>Table2[[#This Row],[final_obs_date]]</f>
        <v>29</v>
      </c>
      <c r="AZ43" s="6"/>
      <c r="BA43" s="91" t="s">
        <v>47</v>
      </c>
      <c r="BB43" s="6" t="b">
        <f>Table2[[#This Row],[final_obs_date]]&lt;(Table2[[#This Row],[estHD]]-2)</f>
        <v>1</v>
      </c>
      <c r="BC43" s="24">
        <f>IF(Table2[[#This Row],[field_fate]]="H",1,0)</f>
        <v>0</v>
      </c>
      <c r="BD43" s="16">
        <f>IF(Table2[[#This Row],[cam_fate2]]="H",1,0)</f>
        <v>0</v>
      </c>
      <c r="BE43" s="6" t="b">
        <f>NOT(Table2[[#This Row],[HF_C]]=Table2[[#This Row],[HF]])</f>
        <v>0</v>
      </c>
      <c r="BF43" s="6" t="b">
        <f>NOT(Table2[[#This Row],[cam_fate2]]=Table2[[#This Row],[field_fate3]])</f>
        <v>1</v>
      </c>
      <c r="BG43" s="6" t="b">
        <f>OR(Table2[[#This Row],[field_fate3]]="U",Table2[[#This Row],[field_fate3]]="U-H")</f>
        <v>0</v>
      </c>
      <c r="BH43" s="8">
        <v>25</v>
      </c>
      <c r="BI43" s="8">
        <v>25</v>
      </c>
      <c r="BJ43" s="14">
        <f>IF(ISTEXT(Table2[[#This Row],[j.cam]]),Table2[[#This Row],[j]],Table2[[#This Row],[j.cam]])</f>
        <v>25</v>
      </c>
      <c r="BK43" s="9">
        <v>29</v>
      </c>
      <c r="BL43" s="15">
        <f>IF(ISTEXT(Table2[[#This Row],[k.cam]]), Table2[[#This Row],[k]], Table2[[#This Row],[k.cam]])</f>
        <v>29</v>
      </c>
      <c r="BM43" s="4" t="s">
        <v>24</v>
      </c>
      <c r="BN43" s="8" t="s">
        <v>24</v>
      </c>
      <c r="BO43" s="4">
        <v>2</v>
      </c>
      <c r="BP43" s="4">
        <f>Table2[[#This Row],[final_obs_date]]-Table2[[#This Row],[i]]</f>
        <v>4</v>
      </c>
      <c r="BQ43" s="4" t="b">
        <f>Table2[[#This Row],[final_obs_date2]]&gt;Table2[[#This Row],[estHD]]+3</f>
        <v>0</v>
      </c>
      <c r="BR43" s="4" t="s">
        <v>33</v>
      </c>
      <c r="BS43" s="4" t="s">
        <v>45</v>
      </c>
      <c r="BT43" s="79" t="s">
        <v>1032</v>
      </c>
      <c r="BU43" s="26" t="s">
        <v>87</v>
      </c>
      <c r="BV43" s="79" t="s">
        <v>1429</v>
      </c>
      <c r="BW43" s="49"/>
      <c r="BX43" s="47"/>
      <c r="BY43" s="36" t="s">
        <v>511</v>
      </c>
    </row>
    <row r="44" spans="1:77" ht="15" hidden="1" thickBot="1" x14ac:dyDescent="0.4">
      <c r="A44" s="62">
        <v>10045</v>
      </c>
      <c r="B44" s="2" t="s">
        <v>35</v>
      </c>
      <c r="C44" s="44">
        <v>2019</v>
      </c>
      <c r="D44" s="3">
        <v>29.762619999999998</v>
      </c>
      <c r="E44" s="3">
        <v>-93.140410000000003</v>
      </c>
      <c r="F44" s="3" t="s">
        <v>24</v>
      </c>
      <c r="G44" s="3" t="s">
        <v>24</v>
      </c>
      <c r="H44" s="3" t="s">
        <v>26</v>
      </c>
      <c r="I44" s="43"/>
      <c r="J44" s="55">
        <v>42</v>
      </c>
      <c r="K44" s="4">
        <v>42</v>
      </c>
      <c r="L44" s="22">
        <f>IF(ISNUMBER(Table2[[#This Row],[estHD]]),ABS(Table2[[#This Row],[HD]]-Table2[[#This Row],[estHD]]),"NA")</f>
        <v>0</v>
      </c>
      <c r="M44" s="4" t="b">
        <f>Table2[[#This Row],[HD]]=Table2[[#This Row],[estHD]]</f>
        <v>1</v>
      </c>
      <c r="N44" s="4" t="str">
        <f>IF(ISNUMBER([1]!Table2[[#This Row],[hatch_date]]),[1]!Table2[[#This Row],[hatch_date]]-19,"NA")</f>
        <v>NA</v>
      </c>
      <c r="O44" s="31">
        <v>23</v>
      </c>
      <c r="P44" s="23">
        <f>IF(ISNUMBER(Table2[[#This Row],[nest_age1]]),ABS(Table2[[#This Row],[nest_age1]]-Table2[[#This Row],[nest_age_feb]]),"NA")</f>
        <v>0</v>
      </c>
      <c r="Q44" s="24">
        <f>IF(ISNUMBER(Table2[[#This Row],[final_obs_int2]]),ABS(Table2[[#This Row],[final_obs_int2]]-Table2[[#This Row],[final_obs_int_feb]]), "NA")</f>
        <v>0</v>
      </c>
      <c r="R44" s="24"/>
      <c r="S44" s="57" t="s">
        <v>88</v>
      </c>
      <c r="T44" s="57" t="str">
        <f>Table2[[#This Row],[camera_old]]</f>
        <v>N</v>
      </c>
      <c r="U44" s="24"/>
      <c r="V44" s="16" t="s">
        <v>24</v>
      </c>
      <c r="W44" s="16">
        <v>6</v>
      </c>
      <c r="X44" s="145">
        <v>4</v>
      </c>
      <c r="Y44" s="147" t="s">
        <v>65</v>
      </c>
      <c r="Z44" s="146" t="s">
        <v>65</v>
      </c>
      <c r="AA44" s="4" t="str">
        <f>Table2[[#This Row],[field_fate]]</f>
        <v>Ca</v>
      </c>
      <c r="AB44" s="4" t="str">
        <f>Table2[[#This Row],[field_fate2]]</f>
        <v>Ca</v>
      </c>
      <c r="AC44" s="4" t="str">
        <f>Table2[[#This Row],[field_fate3]]</f>
        <v>Ca</v>
      </c>
      <c r="AD44" s="4" t="str">
        <f>Table2[[#This Row],[field_fate4]]</f>
        <v>Ca</v>
      </c>
      <c r="AE44" s="4" t="str">
        <f>Table2[[#This Row],[field_fate5]]</f>
        <v>Ca</v>
      </c>
      <c r="AF44" s="4" t="str">
        <f>Table2[[#This Row],[field_fate5]]</f>
        <v>Ca</v>
      </c>
      <c r="AG44" s="4" t="str">
        <f>Table2[[#This Row],[field_fate5]]</f>
        <v>Ca</v>
      </c>
      <c r="AH44" s="4" t="str">
        <f>Table2[[#This Row],[field_fate2]]</f>
        <v>Ca</v>
      </c>
      <c r="AI44" s="4" t="str">
        <f>Table2[[#This Row],[field_fate8]]</f>
        <v>Ca</v>
      </c>
      <c r="AJ44" s="4" t="str">
        <f>Table2[[#This Row],[field_fate10]]</f>
        <v>Ca</v>
      </c>
      <c r="AK44" s="4" t="b">
        <f>Table2[[#This Row],[field_fate_feb]]=Table2[[#This Row],[field_fate10]]</f>
        <v>1</v>
      </c>
      <c r="AL44" s="43" t="s">
        <v>24</v>
      </c>
      <c r="AM44" s="43" t="b">
        <f>Table2[[#This Row],[cam_fate2]]="NA"</f>
        <v>1</v>
      </c>
      <c r="AN44" s="19" t="str">
        <f>Table2[[#This Row],[cam_fate1]]</f>
        <v>NA</v>
      </c>
      <c r="AO44" s="2" t="s">
        <v>65</v>
      </c>
      <c r="AP44" s="5" t="str">
        <f>Table2[[#This Row],[final_fate1]]</f>
        <v>Ca</v>
      </c>
      <c r="AQ44" s="6">
        <v>6</v>
      </c>
      <c r="AR44" s="7">
        <v>6</v>
      </c>
      <c r="AS44" s="7">
        <f>Table2[[#This Row],[final_obs_date]]-Table2[[#This Row],[init_date]]</f>
        <v>6</v>
      </c>
      <c r="AT44" s="7">
        <f>(Table2[[#This Row],[final_obs_date2]]-Table2[[#This Row],[estHD]])+16</f>
        <v>3</v>
      </c>
      <c r="AU44" s="38">
        <v>4</v>
      </c>
      <c r="AV44" s="33">
        <v>4</v>
      </c>
      <c r="AW44" s="33">
        <f>Table2[[#This Row],[final_obs_date2]]-Table2[[#This Row],[pen_obs_date]]</f>
        <v>29</v>
      </c>
      <c r="AX44" s="67">
        <v>29</v>
      </c>
      <c r="AY44" s="6">
        <f>Table2[[#This Row],[final_obs_date]]</f>
        <v>29</v>
      </c>
      <c r="AZ44" s="6"/>
      <c r="BA44" s="91" t="s">
        <v>47</v>
      </c>
      <c r="BB44" s="6" t="b">
        <f>Table2[[#This Row],[final_obs_date]]&lt;(Table2[[#This Row],[estHD]]-2)</f>
        <v>1</v>
      </c>
      <c r="BC44" s="24">
        <f>IF(Table2[[#This Row],[field_fate]]="H",1,0)</f>
        <v>0</v>
      </c>
      <c r="BD44" s="16">
        <f>IF(Table2[[#This Row],[cam_fate2]]="H",1,0)</f>
        <v>0</v>
      </c>
      <c r="BE44" s="6" t="b">
        <f>NOT(Table2[[#This Row],[HF_C]]=Table2[[#This Row],[HF]])</f>
        <v>0</v>
      </c>
      <c r="BF44" s="6" t="b">
        <f>NOT(Table2[[#This Row],[cam_fate2]]=Table2[[#This Row],[field_fate3]])</f>
        <v>1</v>
      </c>
      <c r="BG44" s="6" t="b">
        <f>OR(Table2[[#This Row],[field_fate3]]="U",Table2[[#This Row],[field_fate3]]="U-H")</f>
        <v>0</v>
      </c>
      <c r="BH44" s="8">
        <v>25</v>
      </c>
      <c r="BI44" s="8">
        <v>25</v>
      </c>
      <c r="BJ44" s="14">
        <f>IF(ISTEXT(Table2[[#This Row],[j.cam]]),Table2[[#This Row],[j]],Table2[[#This Row],[j.cam]])</f>
        <v>25</v>
      </c>
      <c r="BK44" s="9">
        <v>29</v>
      </c>
      <c r="BL44" s="15">
        <f>IF(ISTEXT(Table2[[#This Row],[k.cam]]), Table2[[#This Row],[k]], Table2[[#This Row],[k.cam]])</f>
        <v>29</v>
      </c>
      <c r="BM44" s="4" t="s">
        <v>24</v>
      </c>
      <c r="BN44" s="8" t="s">
        <v>24</v>
      </c>
      <c r="BO44" s="4">
        <v>2</v>
      </c>
      <c r="BP44" s="4">
        <f>Table2[[#This Row],[final_obs_date]]-Table2[[#This Row],[i]]</f>
        <v>4</v>
      </c>
      <c r="BQ44" s="4" t="b">
        <f>Table2[[#This Row],[final_obs_date2]]&gt;Table2[[#This Row],[estHD]]+3</f>
        <v>0</v>
      </c>
      <c r="BR44" s="4" t="s">
        <v>33</v>
      </c>
      <c r="BS44" s="4" t="s">
        <v>45</v>
      </c>
      <c r="BT44" s="79" t="s">
        <v>1032</v>
      </c>
      <c r="BU44" s="26" t="s">
        <v>87</v>
      </c>
      <c r="BV44" s="79" t="s">
        <v>1429</v>
      </c>
      <c r="BW44" s="49"/>
      <c r="BX44" s="47"/>
      <c r="BY44" s="36" t="s">
        <v>511</v>
      </c>
    </row>
    <row r="45" spans="1:77" ht="15" hidden="1" thickBot="1" x14ac:dyDescent="0.4">
      <c r="A45" s="62">
        <v>10046</v>
      </c>
      <c r="B45" s="2" t="s">
        <v>35</v>
      </c>
      <c r="C45" s="44">
        <v>2019</v>
      </c>
      <c r="D45" s="3">
        <v>29.76352</v>
      </c>
      <c r="E45" s="3">
        <v>-93.144880000000001</v>
      </c>
      <c r="F45" s="3">
        <v>0</v>
      </c>
      <c r="G45" s="3">
        <v>0</v>
      </c>
      <c r="H45" s="3" t="s">
        <v>26</v>
      </c>
      <c r="I45" s="43"/>
      <c r="J45" s="55">
        <v>42</v>
      </c>
      <c r="K45" s="4">
        <v>42</v>
      </c>
      <c r="L45" s="22">
        <f>IF(ISNUMBER(Table2[[#This Row],[estHD]]),ABS(Table2[[#This Row],[HD]]-Table2[[#This Row],[estHD]]),"NA")</f>
        <v>0</v>
      </c>
      <c r="M45" s="4" t="b">
        <f>Table2[[#This Row],[HD]]=Table2[[#This Row],[estHD]]</f>
        <v>1</v>
      </c>
      <c r="N45" s="4" t="str">
        <f>IF(ISNUMBER([1]!Table2[[#This Row],[hatch_date]]),[1]!Table2[[#This Row],[hatch_date]]-19,"NA")</f>
        <v>NA</v>
      </c>
      <c r="O45" s="31">
        <v>23</v>
      </c>
      <c r="P45" s="23">
        <f>IF(ISNUMBER(Table2[[#This Row],[nest_age1]]),ABS(Table2[[#This Row],[nest_age1]]-Table2[[#This Row],[nest_age_feb]]),"NA")</f>
        <v>0</v>
      </c>
      <c r="Q45" s="24">
        <f>IF(ISNUMBER(Table2[[#This Row],[final_obs_int2]]),ABS(Table2[[#This Row],[final_obs_int2]]-Table2[[#This Row],[final_obs_int_feb]]), "NA")</f>
        <v>0</v>
      </c>
      <c r="R45" s="24"/>
      <c r="S45" s="57" t="s">
        <v>88</v>
      </c>
      <c r="T45" s="57" t="str">
        <f>Table2[[#This Row],[camera_old]]</f>
        <v>N</v>
      </c>
      <c r="U45" s="24"/>
      <c r="V45" s="16" t="s">
        <v>24</v>
      </c>
      <c r="W45" s="16">
        <v>6</v>
      </c>
      <c r="X45" s="145">
        <v>4</v>
      </c>
      <c r="Y45" s="147" t="s">
        <v>25</v>
      </c>
      <c r="Z45" s="146" t="s">
        <v>25</v>
      </c>
      <c r="AA45" s="4" t="str">
        <f>Table2[[#This Row],[field_fate]]</f>
        <v>S</v>
      </c>
      <c r="AB45" s="4" t="str">
        <f>Table2[[#This Row],[field_fate2]]</f>
        <v>S</v>
      </c>
      <c r="AC45" s="4" t="str">
        <f>Table2[[#This Row],[field_fate3]]</f>
        <v>S</v>
      </c>
      <c r="AD45" s="4" t="str">
        <f>Table2[[#This Row],[field_fate4]]</f>
        <v>S</v>
      </c>
      <c r="AE45" s="4" t="str">
        <f>Table2[[#This Row],[field_fate5]]</f>
        <v>S</v>
      </c>
      <c r="AF45" s="4" t="str">
        <f>Table2[[#This Row],[field_fate5]]</f>
        <v>S</v>
      </c>
      <c r="AG45" s="4" t="str">
        <f>Table2[[#This Row],[field_fate5]]</f>
        <v>S</v>
      </c>
      <c r="AH45" s="4" t="str">
        <f>Table2[[#This Row],[field_fate2]]</f>
        <v>S</v>
      </c>
      <c r="AI45" s="4" t="str">
        <f>Table2[[#This Row],[field_fate8]]</f>
        <v>S</v>
      </c>
      <c r="AJ45" s="4" t="str">
        <f>Table2[[#This Row],[field_fate10]]</f>
        <v>S</v>
      </c>
      <c r="AK45" s="4" t="b">
        <f>Table2[[#This Row],[field_fate_feb]]=Table2[[#This Row],[field_fate10]]</f>
        <v>1</v>
      </c>
      <c r="AL45" s="43" t="s">
        <v>24</v>
      </c>
      <c r="AM45" s="43" t="b">
        <f>Table2[[#This Row],[cam_fate2]]="NA"</f>
        <v>1</v>
      </c>
      <c r="AN45" s="19" t="str">
        <f>Table2[[#This Row],[cam_fate1]]</f>
        <v>NA</v>
      </c>
      <c r="AO45" s="2" t="s">
        <v>25</v>
      </c>
      <c r="AP45" s="5" t="str">
        <f>Table2[[#This Row],[final_fate1]]</f>
        <v>S</v>
      </c>
      <c r="AQ45" s="6">
        <v>6</v>
      </c>
      <c r="AR45" s="7">
        <v>6</v>
      </c>
      <c r="AS45" s="7">
        <f>Table2[[#This Row],[final_obs_date]]-Table2[[#This Row],[init_date]]</f>
        <v>6</v>
      </c>
      <c r="AT45" s="7">
        <f>(Table2[[#This Row],[final_obs_date2]]-Table2[[#This Row],[estHD]])+16</f>
        <v>3</v>
      </c>
      <c r="AU45" s="38">
        <v>4</v>
      </c>
      <c r="AV45" s="33">
        <v>4</v>
      </c>
      <c r="AW45" s="33">
        <f>Table2[[#This Row],[final_obs_date2]]-Table2[[#This Row],[pen_obs_date]]</f>
        <v>29</v>
      </c>
      <c r="AX45" s="67">
        <v>29</v>
      </c>
      <c r="AY45" s="6">
        <f>Table2[[#This Row],[final_obs_date]]</f>
        <v>29</v>
      </c>
      <c r="AZ45" s="6"/>
      <c r="BA45" s="91" t="s">
        <v>47</v>
      </c>
      <c r="BB45" s="6" t="b">
        <f>Table2[[#This Row],[final_obs_date]]&lt;(Table2[[#This Row],[estHD]]-2)</f>
        <v>1</v>
      </c>
      <c r="BC45" s="24">
        <f>IF(Table2[[#This Row],[field_fate]]="H",1,0)</f>
        <v>0</v>
      </c>
      <c r="BD45" s="16">
        <f>IF(Table2[[#This Row],[cam_fate2]]="H",1,0)</f>
        <v>0</v>
      </c>
      <c r="BE45" s="6" t="b">
        <f>NOT(Table2[[#This Row],[HF_C]]=Table2[[#This Row],[HF]])</f>
        <v>0</v>
      </c>
      <c r="BF45" s="6" t="b">
        <f>NOT(Table2[[#This Row],[cam_fate2]]=Table2[[#This Row],[field_fate3]])</f>
        <v>1</v>
      </c>
      <c r="BG45" s="6" t="b">
        <f>OR(Table2[[#This Row],[field_fate3]]="U",Table2[[#This Row],[field_fate3]]="U-H")</f>
        <v>0</v>
      </c>
      <c r="BH45" s="8">
        <v>25</v>
      </c>
      <c r="BI45" s="8">
        <v>25</v>
      </c>
      <c r="BJ45" s="14">
        <f>IF(ISTEXT(Table2[[#This Row],[j.cam]]),Table2[[#This Row],[j]],Table2[[#This Row],[j.cam]])</f>
        <v>25</v>
      </c>
      <c r="BK45" s="9">
        <v>29</v>
      </c>
      <c r="BL45" s="15">
        <f>IF(ISTEXT(Table2[[#This Row],[k.cam]]), Table2[[#This Row],[k]], Table2[[#This Row],[k.cam]])</f>
        <v>29</v>
      </c>
      <c r="BM45" s="4" t="s">
        <v>24</v>
      </c>
      <c r="BN45" s="8" t="s">
        <v>24</v>
      </c>
      <c r="BO45" s="4">
        <v>2</v>
      </c>
      <c r="BP45" s="4">
        <f>Table2[[#This Row],[final_obs_date]]-Table2[[#This Row],[i]]</f>
        <v>4</v>
      </c>
      <c r="BQ45" s="4" t="b">
        <f>Table2[[#This Row],[final_obs_date2]]&gt;Table2[[#This Row],[estHD]]+3</f>
        <v>0</v>
      </c>
      <c r="BR45" s="4" t="s">
        <v>33</v>
      </c>
      <c r="BS45" s="4" t="s">
        <v>28</v>
      </c>
      <c r="BT45" s="79" t="s">
        <v>1032</v>
      </c>
      <c r="BU45" s="26" t="s">
        <v>34</v>
      </c>
      <c r="BV45" s="79" t="s">
        <v>1429</v>
      </c>
      <c r="BW45" s="49"/>
      <c r="BX45" s="47"/>
      <c r="BY45" s="36" t="s">
        <v>512</v>
      </c>
    </row>
    <row r="46" spans="1:77" ht="15" hidden="1" thickBot="1" x14ac:dyDescent="0.4">
      <c r="A46" s="62">
        <v>10047</v>
      </c>
      <c r="B46" s="2" t="s">
        <v>35</v>
      </c>
      <c r="C46" s="44">
        <v>2019</v>
      </c>
      <c r="D46" s="3">
        <v>29.763750000000002</v>
      </c>
      <c r="E46" s="3">
        <v>-93.145319999999998</v>
      </c>
      <c r="F46" s="3" t="s">
        <v>24</v>
      </c>
      <c r="G46" s="3" t="s">
        <v>24</v>
      </c>
      <c r="H46" s="3" t="s">
        <v>26</v>
      </c>
      <c r="I46" s="43"/>
      <c r="J46" s="55">
        <v>45</v>
      </c>
      <c r="K46" s="4">
        <v>45</v>
      </c>
      <c r="L46" s="22">
        <f>IF(ISNUMBER(Table2[[#This Row],[estHD]]),ABS(Table2[[#This Row],[HD]]-Table2[[#This Row],[estHD]]),"NA")</f>
        <v>0</v>
      </c>
      <c r="M46" s="4" t="b">
        <f>Table2[[#This Row],[HD]]=Table2[[#This Row],[estHD]]</f>
        <v>1</v>
      </c>
      <c r="N46" s="4" t="str">
        <f>IF(ISNUMBER([1]!Table2[[#This Row],[hatch_date]]),[1]!Table2[[#This Row],[hatch_date]]-19,"NA")</f>
        <v>NA</v>
      </c>
      <c r="O46" s="31">
        <v>26</v>
      </c>
      <c r="P46" s="23">
        <f>IF(ISNUMBER(Table2[[#This Row],[nest_age1]]),ABS(Table2[[#This Row],[nest_age1]]-Table2[[#This Row],[nest_age_feb]]),"NA")</f>
        <v>0</v>
      </c>
      <c r="Q46" s="24">
        <f>IF(ISNUMBER(Table2[[#This Row],[final_obs_int2]]),ABS(Table2[[#This Row],[final_obs_int2]]-Table2[[#This Row],[final_obs_int_feb]]), "NA")</f>
        <v>0</v>
      </c>
      <c r="R46" s="24"/>
      <c r="S46" s="57" t="s">
        <v>88</v>
      </c>
      <c r="T46" s="57" t="str">
        <f>Table2[[#This Row],[camera_old]]</f>
        <v>N</v>
      </c>
      <c r="U46" s="24"/>
      <c r="V46" s="16" t="s">
        <v>37</v>
      </c>
      <c r="W46" s="16">
        <v>13</v>
      </c>
      <c r="X46" s="145">
        <v>6</v>
      </c>
      <c r="Y46" s="147" t="s">
        <v>65</v>
      </c>
      <c r="Z46" s="146" t="s">
        <v>65</v>
      </c>
      <c r="AA46" s="4" t="str">
        <f>Table2[[#This Row],[field_fate]]</f>
        <v>Ca</v>
      </c>
      <c r="AB46" s="4" t="str">
        <f>Table2[[#This Row],[field_fate2]]</f>
        <v>Ca</v>
      </c>
      <c r="AC46" s="4" t="str">
        <f>Table2[[#This Row],[field_fate3]]</f>
        <v>Ca</v>
      </c>
      <c r="AD46" s="4" t="str">
        <f>Table2[[#This Row],[field_fate4]]</f>
        <v>Ca</v>
      </c>
      <c r="AE46" s="4" t="str">
        <f>Table2[[#This Row],[field_fate5]]</f>
        <v>Ca</v>
      </c>
      <c r="AF46" s="4" t="str">
        <f>Table2[[#This Row],[field_fate5]]</f>
        <v>Ca</v>
      </c>
      <c r="AG46" s="4" t="str">
        <f>Table2[[#This Row],[field_fate5]]</f>
        <v>Ca</v>
      </c>
      <c r="AH46" s="4" t="str">
        <f>Table2[[#This Row],[field_fate2]]</f>
        <v>Ca</v>
      </c>
      <c r="AI46" s="4" t="str">
        <f>Table2[[#This Row],[field_fate8]]</f>
        <v>Ca</v>
      </c>
      <c r="AJ46" s="4" t="str">
        <f>Table2[[#This Row],[field_fate10]]</f>
        <v>Ca</v>
      </c>
      <c r="AK46" s="4" t="b">
        <f>Table2[[#This Row],[field_fate_feb]]=Table2[[#This Row],[field_fate10]]</f>
        <v>1</v>
      </c>
      <c r="AL46" s="43" t="s">
        <v>24</v>
      </c>
      <c r="AM46" s="43" t="b">
        <f>Table2[[#This Row],[cam_fate2]]="NA"</f>
        <v>1</v>
      </c>
      <c r="AN46" s="19" t="str">
        <f>Table2[[#This Row],[cam_fate1]]</f>
        <v>NA</v>
      </c>
      <c r="AO46" s="2" t="s">
        <v>65</v>
      </c>
      <c r="AP46" s="5" t="str">
        <f>Table2[[#This Row],[final_fate1]]</f>
        <v>Ca</v>
      </c>
      <c r="AQ46" s="6">
        <v>13</v>
      </c>
      <c r="AR46" s="7">
        <v>13</v>
      </c>
      <c r="AS46" s="7">
        <f>Table2[[#This Row],[final_obs_date]]-Table2[[#This Row],[init_date]]</f>
        <v>13</v>
      </c>
      <c r="AT46" s="7">
        <f>(Table2[[#This Row],[final_obs_date2]]-Table2[[#This Row],[estHD]])+16</f>
        <v>10</v>
      </c>
      <c r="AU46" s="38">
        <v>6</v>
      </c>
      <c r="AV46" s="33">
        <v>6</v>
      </c>
      <c r="AW46" s="33">
        <f>Table2[[#This Row],[final_obs_date2]]-Table2[[#This Row],[pen_obs_date]]</f>
        <v>39</v>
      </c>
      <c r="AX46" s="67">
        <v>39</v>
      </c>
      <c r="AY46" s="6">
        <f>Table2[[#This Row],[final_obs_date]]</f>
        <v>39</v>
      </c>
      <c r="AZ46" s="6"/>
      <c r="BA46" s="91" t="s">
        <v>47</v>
      </c>
      <c r="BB46" s="6" t="b">
        <f>Table2[[#This Row],[final_obs_date]]&lt;(Table2[[#This Row],[estHD]]-2)</f>
        <v>1</v>
      </c>
      <c r="BC46" s="24">
        <f>IF(Table2[[#This Row],[field_fate]]="H",1,0)</f>
        <v>0</v>
      </c>
      <c r="BD46" s="16">
        <f>IF(Table2[[#This Row],[cam_fate2]]="H",1,0)</f>
        <v>0</v>
      </c>
      <c r="BE46" s="6" t="b">
        <f>NOT(Table2[[#This Row],[HF_C]]=Table2[[#This Row],[HF]])</f>
        <v>0</v>
      </c>
      <c r="BF46" s="6" t="b">
        <f>NOT(Table2[[#This Row],[cam_fate2]]=Table2[[#This Row],[field_fate3]])</f>
        <v>1</v>
      </c>
      <c r="BG46" s="6" t="b">
        <f>OR(Table2[[#This Row],[field_fate3]]="U",Table2[[#This Row],[field_fate3]]="U-H")</f>
        <v>0</v>
      </c>
      <c r="BH46" s="8">
        <v>25</v>
      </c>
      <c r="BI46" s="8">
        <v>33</v>
      </c>
      <c r="BJ46" s="14">
        <f>IF(ISTEXT(Table2[[#This Row],[j.cam]]),Table2[[#This Row],[j]],Table2[[#This Row],[j.cam]])</f>
        <v>33</v>
      </c>
      <c r="BK46" s="9">
        <v>39</v>
      </c>
      <c r="BL46" s="15">
        <f>IF(ISTEXT(Table2[[#This Row],[k.cam]]), Table2[[#This Row],[k]], Table2[[#This Row],[k.cam]])</f>
        <v>39</v>
      </c>
      <c r="BM46" s="4" t="s">
        <v>24</v>
      </c>
      <c r="BN46" s="8" t="s">
        <v>24</v>
      </c>
      <c r="BO46" s="4">
        <v>4</v>
      </c>
      <c r="BP46" s="4">
        <f>Table2[[#This Row],[final_obs_date]]-Table2[[#This Row],[i]]</f>
        <v>14</v>
      </c>
      <c r="BQ46" s="4" t="b">
        <f>Table2[[#This Row],[final_obs_date2]]&gt;Table2[[#This Row],[estHD]]+3</f>
        <v>0</v>
      </c>
      <c r="BR46" s="4" t="s">
        <v>27</v>
      </c>
      <c r="BS46" s="4" t="s">
        <v>45</v>
      </c>
      <c r="BT46" s="79" t="s">
        <v>1033</v>
      </c>
      <c r="BU46" s="26" t="s">
        <v>89</v>
      </c>
      <c r="BV46" s="79" t="s">
        <v>1451</v>
      </c>
      <c r="BW46" s="49"/>
      <c r="BX46" s="47"/>
      <c r="BY46" s="36" t="s">
        <v>513</v>
      </c>
    </row>
    <row r="47" spans="1:77" ht="20.5" hidden="1" thickBot="1" x14ac:dyDescent="0.4">
      <c r="A47" s="62">
        <v>10048</v>
      </c>
      <c r="B47" s="2" t="s">
        <v>35</v>
      </c>
      <c r="C47" s="44">
        <v>2019</v>
      </c>
      <c r="D47" s="3">
        <v>29.763770000000001</v>
      </c>
      <c r="E47" s="3">
        <v>-93.14546</v>
      </c>
      <c r="F47" s="3" t="s">
        <v>24</v>
      </c>
      <c r="G47" s="3" t="s">
        <v>24</v>
      </c>
      <c r="H47" s="3" t="s">
        <v>26</v>
      </c>
      <c r="I47" s="43"/>
      <c r="J47" s="116">
        <v>45</v>
      </c>
      <c r="K47" s="4">
        <v>45</v>
      </c>
      <c r="L47" s="22">
        <f>IF(ISNUMBER(Table2[[#This Row],[estHD]]),ABS(Table2[[#This Row],[HD]]-Table2[[#This Row],[estHD]]),"NA")</f>
        <v>0</v>
      </c>
      <c r="M47" s="4" t="b">
        <f>Table2[[#This Row],[HD]]=Table2[[#This Row],[estHD]]</f>
        <v>1</v>
      </c>
      <c r="N47" s="4">
        <f>IF(ISNUMBER(Table2[[#This Row],[HD]]),Table2[[#This Row],[HD]]-19,"NA")</f>
        <v>26</v>
      </c>
      <c r="O47" s="31">
        <v>26</v>
      </c>
      <c r="P47" s="23" t="e">
        <f>IF(ISNUMBER(Table2[[#This Row],[nest_age1]]),ABS(Table2[[#This Row],[nest_age1]]-Table2[[#This Row],[nest_age_feb]]),"NA")</f>
        <v>#VALUE!</v>
      </c>
      <c r="Q47" s="24">
        <f>IF(ISNUMBER(Table2[[#This Row],[final_obs_int2]]),ABS(Table2[[#This Row],[final_obs_int2]]-Table2[[#This Row],[final_obs_int_feb]]), "NA")</f>
        <v>0</v>
      </c>
      <c r="R47" s="24"/>
      <c r="S47" s="20" t="s">
        <v>75</v>
      </c>
      <c r="T47" s="20" t="str">
        <f>Table2[[#This Row],[camera_old]]</f>
        <v>Y</v>
      </c>
      <c r="U47" s="22" t="s">
        <v>88</v>
      </c>
      <c r="V47" s="16" t="s">
        <v>24</v>
      </c>
      <c r="W47" s="16" t="s">
        <v>24</v>
      </c>
      <c r="X47" s="145">
        <v>5</v>
      </c>
      <c r="Y47" s="147" t="s">
        <v>90</v>
      </c>
      <c r="Z47" s="146" t="s">
        <v>90</v>
      </c>
      <c r="AA47" s="4" t="str">
        <f>Table2[[#This Row],[field_fate]]</f>
        <v>U</v>
      </c>
      <c r="AB47" s="65" t="str">
        <f>Table2[[#This Row],[field_fate2]]</f>
        <v>U</v>
      </c>
      <c r="AC47" s="106" t="str">
        <f>Table2[[#This Row],[field_fate3]]</f>
        <v>U</v>
      </c>
      <c r="AD47" s="140" t="str">
        <f>Table2[[#This Row],[field_fate4]]</f>
        <v>U</v>
      </c>
      <c r="AE47" s="134" t="str">
        <f>Table2[[#This Row],[field_fate5]]</f>
        <v>U</v>
      </c>
      <c r="AF47" s="93" t="str">
        <f>Table2[[#This Row],[field_fate5]]</f>
        <v>U</v>
      </c>
      <c r="AG47" s="93" t="str">
        <f>Table2[[#This Row],[field_fate5]]</f>
        <v>U</v>
      </c>
      <c r="AH47" s="93" t="str">
        <f>Table2[[#This Row],[field_fate2]]</f>
        <v>U</v>
      </c>
      <c r="AI47" s="93" t="str">
        <f>Table2[[#This Row],[field_fate8]]</f>
        <v>U</v>
      </c>
      <c r="AJ47" s="93" t="str">
        <f>Table2[[#This Row],[field_fate10]]</f>
        <v>U</v>
      </c>
      <c r="AK47" s="93" t="b">
        <f>Table2[[#This Row],[field_fate_feb]]=Table2[[#This Row],[field_fate10]]</f>
        <v>1</v>
      </c>
      <c r="AL47" s="43" t="s">
        <v>91</v>
      </c>
      <c r="AM47" s="160" t="b">
        <f>Table2[[#This Row],[cam_fate2]]="NA"</f>
        <v>0</v>
      </c>
      <c r="AN47" s="19" t="str">
        <f>Table2[[#This Row],[cam_fate1]]</f>
        <v>Hu</v>
      </c>
      <c r="AO47" s="2" t="s">
        <v>91</v>
      </c>
      <c r="AP47" s="5" t="str">
        <f>Table2[[#This Row],[final_fate1]]</f>
        <v>Hu</v>
      </c>
      <c r="AQ47" s="6">
        <v>22</v>
      </c>
      <c r="AR47" s="72">
        <v>22</v>
      </c>
      <c r="AS47" s="155">
        <f>Table2[[#This Row],[final_obs_date]]-Table2[[#This Row],[init_date]]</f>
        <v>22</v>
      </c>
      <c r="AT47" s="155">
        <f>(Table2[[#This Row],[final_obs_date2]]-Table2[[#This Row],[estHD]])+19</f>
        <v>22</v>
      </c>
      <c r="AU47" s="38">
        <v>5</v>
      </c>
      <c r="AV47" s="33">
        <v>5</v>
      </c>
      <c r="AW47" s="33">
        <f>Table2[[#This Row],[final_obs_date2]]-Table2[[#This Row],[pen_obs_date]]</f>
        <v>5</v>
      </c>
      <c r="AX47" s="67">
        <v>48</v>
      </c>
      <c r="AY47" s="157">
        <f>Table2[[#This Row],[final_obs_date]]</f>
        <v>48</v>
      </c>
      <c r="AZ47" s="6">
        <v>43</v>
      </c>
      <c r="BA47" s="92" t="s">
        <v>47</v>
      </c>
      <c r="BB47" s="6" t="b">
        <f>Table2[[#This Row],[final_obs_date]]&lt;(Table2[[#This Row],[estHD]]-2)</f>
        <v>0</v>
      </c>
      <c r="BC47" s="32">
        <v>7</v>
      </c>
      <c r="BD47" s="16">
        <f>IF(Table2[[#This Row],[cam_fate2]]="H",1,0)</f>
        <v>0</v>
      </c>
      <c r="BE47" s="6" t="b">
        <f>NOT(Table2[[#This Row],[HF_C]]=Table2[[#This Row],[HF]])</f>
        <v>1</v>
      </c>
      <c r="BF47" s="38" t="b">
        <f>NOT(Table2[[#This Row],[cam_fate2]]=Table2[[#This Row],[field_fate3]])</f>
        <v>1</v>
      </c>
      <c r="BG47" s="38" t="b">
        <f>OR(Table2[[#This Row],[field_fate3]]="U",Table2[[#This Row],[field_fate3]]="U-H")</f>
        <v>1</v>
      </c>
      <c r="BH47" s="8">
        <v>26</v>
      </c>
      <c r="BI47" s="8">
        <v>43</v>
      </c>
      <c r="BJ47" s="14">
        <f>IF(ISTEXT(Table2[[#This Row],[j.cam]]),Table2[[#This Row],[j]],Table2[[#This Row],[j.cam]])</f>
        <v>43</v>
      </c>
      <c r="BK47" s="8">
        <v>48</v>
      </c>
      <c r="BL47" s="14">
        <f>IF(ISTEXT(Table2[[#This Row],[k.cam]]), Table2[[#This Row],[k]], Table2[[#This Row],[k.cam]])</f>
        <v>48</v>
      </c>
      <c r="BM47" s="4" t="s">
        <v>24</v>
      </c>
      <c r="BN47" s="8" t="s">
        <v>24</v>
      </c>
      <c r="BO47" s="4">
        <v>6</v>
      </c>
      <c r="BP47" s="4">
        <f>Table2[[#This Row],[final_obs_date]]-Table2[[#This Row],[i]]</f>
        <v>22</v>
      </c>
      <c r="BQ47" s="4" t="b">
        <f>Table2[[#This Row],[final_obs_date2]]&gt;Table2[[#This Row],[estHD]]+3</f>
        <v>0</v>
      </c>
      <c r="BR47" s="3" t="s">
        <v>33</v>
      </c>
      <c r="BS47" s="3" t="s">
        <v>92</v>
      </c>
      <c r="BT47" s="125" t="s">
        <v>1034</v>
      </c>
      <c r="BU47" s="4" t="s">
        <v>93</v>
      </c>
      <c r="BV47" s="79" t="s">
        <v>1452</v>
      </c>
      <c r="BW47" s="69"/>
      <c r="BX47" s="36" t="s">
        <v>920</v>
      </c>
      <c r="BY47" s="47" t="s">
        <v>514</v>
      </c>
    </row>
    <row r="48" spans="1:77" ht="15" hidden="1" thickBot="1" x14ac:dyDescent="0.4">
      <c r="A48" s="62">
        <v>10049</v>
      </c>
      <c r="B48" s="2" t="s">
        <v>35</v>
      </c>
      <c r="C48" s="44">
        <v>2019</v>
      </c>
      <c r="D48" s="3">
        <v>29.763809999999999</v>
      </c>
      <c r="E48" s="3">
        <v>-93.145690000000002</v>
      </c>
      <c r="F48" s="3" t="s">
        <v>24</v>
      </c>
      <c r="G48" s="3" t="s">
        <v>24</v>
      </c>
      <c r="H48" s="3" t="s">
        <v>26</v>
      </c>
      <c r="I48" s="43"/>
      <c r="J48" s="55">
        <v>40</v>
      </c>
      <c r="K48" s="4">
        <v>40</v>
      </c>
      <c r="L48" s="22">
        <f>IF(ISNUMBER(Table2[[#This Row],[estHD]]),ABS(Table2[[#This Row],[HD]]-Table2[[#This Row],[estHD]]),"NA")</f>
        <v>0</v>
      </c>
      <c r="M48" s="4" t="b">
        <f>Table2[[#This Row],[HD]]=Table2[[#This Row],[estHD]]</f>
        <v>1</v>
      </c>
      <c r="N48" s="4" t="str">
        <f>IF(ISNUMBER([1]!Table2[[#This Row],[hatch_date]]),[1]!Table2[[#This Row],[hatch_date]]-19,"NA")</f>
        <v>NA</v>
      </c>
      <c r="O48" s="31">
        <v>21</v>
      </c>
      <c r="P48" s="23" t="e">
        <f>IF(ISNUMBER(Table2[[#This Row],[nest_age1]]),ABS(Table2[[#This Row],[nest_age1]]-Table2[[#This Row],[nest_age_feb]]),"NA")</f>
        <v>#VALUE!</v>
      </c>
      <c r="Q48" s="24">
        <f>IF(ISNUMBER(Table2[[#This Row],[final_obs_int2]]),ABS(Table2[[#This Row],[final_obs_int2]]-Table2[[#This Row],[final_obs_int_feb]]), "NA")</f>
        <v>0</v>
      </c>
      <c r="R48" s="24"/>
      <c r="S48" s="57" t="s">
        <v>88</v>
      </c>
      <c r="T48" s="57" t="str">
        <f>Table2[[#This Row],[camera_old]]</f>
        <v>N</v>
      </c>
      <c r="U48" s="24"/>
      <c r="V48" s="16" t="s">
        <v>24</v>
      </c>
      <c r="W48" s="16" t="s">
        <v>24</v>
      </c>
      <c r="X48" s="145">
        <v>5</v>
      </c>
      <c r="Y48" s="147" t="s">
        <v>94</v>
      </c>
      <c r="Z48" s="146" t="s">
        <v>94</v>
      </c>
      <c r="AA48" s="4" t="str">
        <f>Table2[[#This Row],[field_fate]]</f>
        <v>U-F</v>
      </c>
      <c r="AB48" s="4" t="str">
        <f>Table2[[#This Row],[field_fate2]]</f>
        <v>U-F</v>
      </c>
      <c r="AC48" s="4" t="str">
        <f>Table2[[#This Row],[field_fate3]]</f>
        <v>U-F</v>
      </c>
      <c r="AD48" s="4" t="str">
        <f>Table2[[#This Row],[field_fate4]]</f>
        <v>U-F</v>
      </c>
      <c r="AE48" s="4" t="str">
        <f>Table2[[#This Row],[field_fate5]]</f>
        <v>U-F</v>
      </c>
      <c r="AF48" s="4" t="str">
        <f>Table2[[#This Row],[field_fate5]]</f>
        <v>U-F</v>
      </c>
      <c r="AG48" s="4" t="str">
        <f>Table2[[#This Row],[field_fate5]]</f>
        <v>U-F</v>
      </c>
      <c r="AH48" s="4" t="str">
        <f>Table2[[#This Row],[field_fate2]]</f>
        <v>U-F</v>
      </c>
      <c r="AI48" s="4" t="str">
        <f>Table2[[#This Row],[field_fate8]]</f>
        <v>U-F</v>
      </c>
      <c r="AJ48" s="4" t="str">
        <f>Table2[[#This Row],[field_fate10]]</f>
        <v>U-F</v>
      </c>
      <c r="AK48" s="4" t="b">
        <f>Table2[[#This Row],[field_fate_feb]]=Table2[[#This Row],[field_fate10]]</f>
        <v>1</v>
      </c>
      <c r="AL48" s="43" t="s">
        <v>24</v>
      </c>
      <c r="AM48" s="43" t="b">
        <f>Table2[[#This Row],[cam_fate2]]="NA"</f>
        <v>1</v>
      </c>
      <c r="AN48" s="19" t="str">
        <f>Table2[[#This Row],[cam_fate1]]</f>
        <v>NA</v>
      </c>
      <c r="AO48" s="2" t="s">
        <v>94</v>
      </c>
      <c r="AP48" s="5" t="str">
        <f>Table2[[#This Row],[final_fate1]]</f>
        <v>U-F</v>
      </c>
      <c r="AQ48" s="6">
        <v>27</v>
      </c>
      <c r="AR48" s="7">
        <v>27</v>
      </c>
      <c r="AS48" s="7">
        <f>Table2[[#This Row],[final_obs_date]]-Table2[[#This Row],[init_date]]</f>
        <v>27</v>
      </c>
      <c r="AT48" s="7">
        <f>(Table2[[#This Row],[final_obs_date2]]-Table2[[#This Row],[estHD]])+16</f>
        <v>24</v>
      </c>
      <c r="AU48" s="38">
        <v>5</v>
      </c>
      <c r="AV48" s="33">
        <v>5</v>
      </c>
      <c r="AW48" s="33">
        <f>Table2[[#This Row],[final_obs_date2]]-Table2[[#This Row],[pen_obs_date]]</f>
        <v>48</v>
      </c>
      <c r="AX48" s="67">
        <v>48</v>
      </c>
      <c r="AY48" s="6">
        <f>Table2[[#This Row],[final_obs_date]]</f>
        <v>48</v>
      </c>
      <c r="AZ48" s="6"/>
      <c r="BA48" s="91" t="s">
        <v>47</v>
      </c>
      <c r="BB48" s="6" t="b">
        <f>Table2[[#This Row],[final_obs_date]]&lt;(Table2[[#This Row],[estHD]]-2)</f>
        <v>0</v>
      </c>
      <c r="BC48" s="24">
        <f>IF(Table2[[#This Row],[field_fate]]="H",1,0)</f>
        <v>0</v>
      </c>
      <c r="BD48" s="16">
        <f>IF(Table2[[#This Row],[cam_fate2]]="H",1,0)</f>
        <v>0</v>
      </c>
      <c r="BE48" s="6" t="b">
        <f>NOT(Table2[[#This Row],[HF_C]]=Table2[[#This Row],[HF]])</f>
        <v>0</v>
      </c>
      <c r="BF48" s="6" t="b">
        <f>NOT(Table2[[#This Row],[cam_fate2]]=Table2[[#This Row],[field_fate3]])</f>
        <v>1</v>
      </c>
      <c r="BG48" s="6" t="b">
        <f>OR(Table2[[#This Row],[field_fate3]]="U",Table2[[#This Row],[field_fate3]]="U-H")</f>
        <v>0</v>
      </c>
      <c r="BH48" s="8">
        <v>26</v>
      </c>
      <c r="BI48" s="8">
        <v>43</v>
      </c>
      <c r="BJ48" s="14">
        <f>IF(ISTEXT(Table2[[#This Row],[j.cam]]),Table2[[#This Row],[j]],Table2[[#This Row],[j.cam]])</f>
        <v>43</v>
      </c>
      <c r="BK48" s="9">
        <v>48</v>
      </c>
      <c r="BL48" s="15">
        <f>IF(ISTEXT(Table2[[#This Row],[k.cam]]), Table2[[#This Row],[k]], Table2[[#This Row],[k.cam]])</f>
        <v>48</v>
      </c>
      <c r="BM48" s="4" t="s">
        <v>24</v>
      </c>
      <c r="BN48" s="8" t="s">
        <v>24</v>
      </c>
      <c r="BO48" s="4">
        <v>7</v>
      </c>
      <c r="BP48" s="4">
        <f>Table2[[#This Row],[final_obs_date]]-Table2[[#This Row],[i]]</f>
        <v>22</v>
      </c>
      <c r="BQ48" s="4" t="b">
        <f>Table2[[#This Row],[final_obs_date2]]&gt;Table2[[#This Row],[estHD]]+3</f>
        <v>1</v>
      </c>
      <c r="BR48" s="4" t="s">
        <v>58</v>
      </c>
      <c r="BS48" s="4" t="s">
        <v>92</v>
      </c>
      <c r="BT48" s="79" t="s">
        <v>1035</v>
      </c>
      <c r="BU48" s="26" t="s">
        <v>95</v>
      </c>
      <c r="BV48" s="79" t="s">
        <v>1453</v>
      </c>
      <c r="BW48" s="49"/>
      <c r="BX48" s="47"/>
      <c r="BY48" s="36" t="s">
        <v>515</v>
      </c>
    </row>
    <row r="49" spans="1:77" ht="15" hidden="1" thickBot="1" x14ac:dyDescent="0.4">
      <c r="A49" s="62">
        <v>10050</v>
      </c>
      <c r="B49" s="2" t="s">
        <v>35</v>
      </c>
      <c r="C49" s="44">
        <v>2019</v>
      </c>
      <c r="D49" s="3">
        <v>29.763829999999999</v>
      </c>
      <c r="E49" s="3">
        <v>-93.145759999999996</v>
      </c>
      <c r="F49" s="3" t="s">
        <v>24</v>
      </c>
      <c r="G49" s="3" t="s">
        <v>24</v>
      </c>
      <c r="H49" s="3" t="s">
        <v>26</v>
      </c>
      <c r="I49" s="43"/>
      <c r="J49" s="55">
        <v>44</v>
      </c>
      <c r="K49" s="4">
        <v>44</v>
      </c>
      <c r="L49" s="22">
        <f>IF(ISNUMBER(Table2[[#This Row],[estHD]]),ABS(Table2[[#This Row],[HD]]-Table2[[#This Row],[estHD]]),"NA")</f>
        <v>0</v>
      </c>
      <c r="M49" s="4" t="b">
        <f>Table2[[#This Row],[HD]]=Table2[[#This Row],[estHD]]</f>
        <v>1</v>
      </c>
      <c r="N49" s="4" t="str">
        <f>IF(ISNUMBER([1]!Table2[[#This Row],[hatch_date]]),[1]!Table2[[#This Row],[hatch_date]]-19,"NA")</f>
        <v>NA</v>
      </c>
      <c r="O49" s="31">
        <v>25</v>
      </c>
      <c r="P49" s="23">
        <f>IF(ISNUMBER(Table2[[#This Row],[nest_age1]]),ABS(Table2[[#This Row],[nest_age1]]-Table2[[#This Row],[nest_age_feb]]),"NA")</f>
        <v>0</v>
      </c>
      <c r="Q49" s="24">
        <f>IF(ISNUMBER(Table2[[#This Row],[final_obs_int2]]),ABS(Table2[[#This Row],[final_obs_int2]]-Table2[[#This Row],[final_obs_int_feb]]), "NA")</f>
        <v>0</v>
      </c>
      <c r="R49" s="24"/>
      <c r="S49" s="57" t="s">
        <v>88</v>
      </c>
      <c r="T49" s="57" t="str">
        <f>Table2[[#This Row],[camera_old]]</f>
        <v>N</v>
      </c>
      <c r="U49" s="24"/>
      <c r="V49" s="16" t="s">
        <v>24</v>
      </c>
      <c r="W49" s="16">
        <v>4</v>
      </c>
      <c r="X49" s="145">
        <v>4</v>
      </c>
      <c r="Y49" s="147" t="s">
        <v>36</v>
      </c>
      <c r="Z49" s="146" t="s">
        <v>36</v>
      </c>
      <c r="AA49" s="4" t="str">
        <f>Table2[[#This Row],[field_fate]]</f>
        <v>A</v>
      </c>
      <c r="AB49" s="4" t="str">
        <f>Table2[[#This Row],[field_fate2]]</f>
        <v>A</v>
      </c>
      <c r="AC49" s="4" t="str">
        <f>Table2[[#This Row],[field_fate3]]</f>
        <v>A</v>
      </c>
      <c r="AD49" s="4" t="str">
        <f>Table2[[#This Row],[field_fate4]]</f>
        <v>A</v>
      </c>
      <c r="AE49" s="4" t="str">
        <f>Table2[[#This Row],[field_fate5]]</f>
        <v>A</v>
      </c>
      <c r="AF49" s="4" t="str">
        <f>Table2[[#This Row],[field_fate5]]</f>
        <v>A</v>
      </c>
      <c r="AG49" s="4" t="str">
        <f>Table2[[#This Row],[field_fate5]]</f>
        <v>A</v>
      </c>
      <c r="AH49" s="4" t="str">
        <f>Table2[[#This Row],[field_fate2]]</f>
        <v>A</v>
      </c>
      <c r="AI49" s="4" t="str">
        <f>Table2[[#This Row],[field_fate8]]</f>
        <v>A</v>
      </c>
      <c r="AJ49" s="4" t="str">
        <f>Table2[[#This Row],[field_fate10]]</f>
        <v>A</v>
      </c>
      <c r="AK49" s="4" t="b">
        <f>Table2[[#This Row],[field_fate_feb]]=Table2[[#This Row],[field_fate10]]</f>
        <v>1</v>
      </c>
      <c r="AL49" s="43" t="s">
        <v>24</v>
      </c>
      <c r="AM49" s="43" t="b">
        <f>Table2[[#This Row],[cam_fate2]]="NA"</f>
        <v>1</v>
      </c>
      <c r="AN49" s="19" t="str">
        <f>Table2[[#This Row],[cam_fate1]]</f>
        <v>NA</v>
      </c>
      <c r="AO49" s="2" t="s">
        <v>36</v>
      </c>
      <c r="AP49" s="5" t="str">
        <f>Table2[[#This Row],[final_fate1]]</f>
        <v>A</v>
      </c>
      <c r="AQ49" s="6">
        <v>4</v>
      </c>
      <c r="AR49" s="7">
        <v>4</v>
      </c>
      <c r="AS49" s="7">
        <f>Table2[[#This Row],[final_obs_date]]-Table2[[#This Row],[init_date]]</f>
        <v>4</v>
      </c>
      <c r="AT49" s="7">
        <f>(Table2[[#This Row],[final_obs_date2]]-Table2[[#This Row],[estHD]])+16</f>
        <v>1</v>
      </c>
      <c r="AU49" s="38">
        <v>4</v>
      </c>
      <c r="AV49" s="33">
        <v>4</v>
      </c>
      <c r="AW49" s="33">
        <f>Table2[[#This Row],[final_obs_date2]]-Table2[[#This Row],[pen_obs_date]]</f>
        <v>29</v>
      </c>
      <c r="AX49" s="67">
        <v>29</v>
      </c>
      <c r="AY49" s="6">
        <f>Table2[[#This Row],[final_obs_date]]</f>
        <v>29</v>
      </c>
      <c r="AZ49" s="6"/>
      <c r="BA49" s="91" t="s">
        <v>47</v>
      </c>
      <c r="BB49" s="6" t="b">
        <f>Table2[[#This Row],[final_obs_date]]&lt;(Table2[[#This Row],[estHD]]-2)</f>
        <v>1</v>
      </c>
      <c r="BC49" s="24">
        <f>IF(Table2[[#This Row],[field_fate]]="H",1,0)</f>
        <v>0</v>
      </c>
      <c r="BD49" s="16">
        <f>IF(Table2[[#This Row],[cam_fate2]]="H",1,0)</f>
        <v>0</v>
      </c>
      <c r="BE49" s="6" t="b">
        <f>NOT(Table2[[#This Row],[HF_C]]=Table2[[#This Row],[HF]])</f>
        <v>0</v>
      </c>
      <c r="BF49" s="6" t="b">
        <f>NOT(Table2[[#This Row],[cam_fate2]]=Table2[[#This Row],[field_fate3]])</f>
        <v>1</v>
      </c>
      <c r="BG49" s="6" t="b">
        <f>OR(Table2[[#This Row],[field_fate3]]="U",Table2[[#This Row],[field_fate3]]="U-H")</f>
        <v>0</v>
      </c>
      <c r="BH49" s="8">
        <v>25</v>
      </c>
      <c r="BI49" s="8">
        <v>25</v>
      </c>
      <c r="BJ49" s="14">
        <f>IF(ISTEXT(Table2[[#This Row],[j.cam]]),Table2[[#This Row],[j]],Table2[[#This Row],[j.cam]])</f>
        <v>25</v>
      </c>
      <c r="BK49" s="9">
        <v>29</v>
      </c>
      <c r="BL49" s="15">
        <f>IF(ISTEXT(Table2[[#This Row],[k.cam]]), Table2[[#This Row],[k]], Table2[[#This Row],[k.cam]])</f>
        <v>29</v>
      </c>
      <c r="BM49" s="4" t="s">
        <v>24</v>
      </c>
      <c r="BN49" s="8" t="s">
        <v>24</v>
      </c>
      <c r="BO49" s="4">
        <v>2</v>
      </c>
      <c r="BP49" s="4">
        <f>Table2[[#This Row],[final_obs_date]]-Table2[[#This Row],[i]]</f>
        <v>4</v>
      </c>
      <c r="BQ49" s="4" t="b">
        <f>Table2[[#This Row],[final_obs_date2]]&gt;Table2[[#This Row],[estHD]]+3</f>
        <v>0</v>
      </c>
      <c r="BR49" s="4" t="s">
        <v>58</v>
      </c>
      <c r="BS49" s="4" t="s">
        <v>28</v>
      </c>
      <c r="BT49" s="79" t="s">
        <v>1032</v>
      </c>
      <c r="BU49" s="26" t="s">
        <v>59</v>
      </c>
      <c r="BV49" s="79" t="s">
        <v>1429</v>
      </c>
      <c r="BW49" s="49"/>
      <c r="BX49" s="47"/>
      <c r="BY49" s="36" t="s">
        <v>511</v>
      </c>
    </row>
    <row r="50" spans="1:77" ht="15" hidden="1" thickBot="1" x14ac:dyDescent="0.4">
      <c r="A50" s="62">
        <v>10051</v>
      </c>
      <c r="B50" s="2" t="s">
        <v>35</v>
      </c>
      <c r="C50" s="44">
        <v>2019</v>
      </c>
      <c r="D50" s="3">
        <v>29.763860000000001</v>
      </c>
      <c r="E50" s="3">
        <v>-93.145799999999994</v>
      </c>
      <c r="F50" s="3" t="s">
        <v>24</v>
      </c>
      <c r="G50" s="3" t="s">
        <v>24</v>
      </c>
      <c r="H50" s="3" t="s">
        <v>26</v>
      </c>
      <c r="I50" s="43"/>
      <c r="J50" s="55">
        <v>43</v>
      </c>
      <c r="K50" s="4">
        <v>43</v>
      </c>
      <c r="L50" s="22">
        <f>IF(ISNUMBER(Table2[[#This Row],[estHD]]),ABS(Table2[[#This Row],[HD]]-Table2[[#This Row],[estHD]]),"NA")</f>
        <v>0</v>
      </c>
      <c r="M50" s="4" t="b">
        <f>Table2[[#This Row],[HD]]=Table2[[#This Row],[estHD]]</f>
        <v>1</v>
      </c>
      <c r="N50" s="4" t="str">
        <f>IF(ISNUMBER([1]!Table2[[#This Row],[hatch_date]]),[1]!Table2[[#This Row],[hatch_date]]-19,"NA")</f>
        <v>NA</v>
      </c>
      <c r="O50" s="31">
        <v>24</v>
      </c>
      <c r="P50" s="23">
        <f>IF(ISNUMBER(Table2[[#This Row],[nest_age1]]),ABS(Table2[[#This Row],[nest_age1]]-Table2[[#This Row],[nest_age_feb]]),"NA")</f>
        <v>0</v>
      </c>
      <c r="Q50" s="24">
        <f>IF(ISNUMBER(Table2[[#This Row],[final_obs_int2]]),ABS(Table2[[#This Row],[final_obs_int2]]-Table2[[#This Row],[final_obs_int_feb]]), "NA")</f>
        <v>0</v>
      </c>
      <c r="R50" s="24"/>
      <c r="S50" s="57" t="s">
        <v>88</v>
      </c>
      <c r="T50" s="57" t="str">
        <f>Table2[[#This Row],[camera_old]]</f>
        <v>N</v>
      </c>
      <c r="U50" s="24"/>
      <c r="V50" s="16" t="s">
        <v>24</v>
      </c>
      <c r="W50" s="16">
        <v>9</v>
      </c>
      <c r="X50" s="145">
        <v>4</v>
      </c>
      <c r="Y50" s="147" t="s">
        <v>48</v>
      </c>
      <c r="Z50" s="146" t="s">
        <v>48</v>
      </c>
      <c r="AA50" s="4" t="str">
        <f>Table2[[#This Row],[field_fate]]</f>
        <v>F</v>
      </c>
      <c r="AB50" s="4" t="str">
        <f>Table2[[#This Row],[field_fate2]]</f>
        <v>F</v>
      </c>
      <c r="AC50" s="4" t="str">
        <f>Table2[[#This Row],[field_fate3]]</f>
        <v>F</v>
      </c>
      <c r="AD50" s="4" t="str">
        <f>Table2[[#This Row],[field_fate4]]</f>
        <v>F</v>
      </c>
      <c r="AE50" s="4" t="str">
        <f>Table2[[#This Row],[field_fate5]]</f>
        <v>F</v>
      </c>
      <c r="AF50" s="4" t="str">
        <f>Table2[[#This Row],[field_fate5]]</f>
        <v>F</v>
      </c>
      <c r="AG50" s="4" t="str">
        <f>Table2[[#This Row],[field_fate5]]</f>
        <v>F</v>
      </c>
      <c r="AH50" s="4" t="str">
        <f>Table2[[#This Row],[field_fate2]]</f>
        <v>F</v>
      </c>
      <c r="AI50" s="4" t="str">
        <f>Table2[[#This Row],[field_fate8]]</f>
        <v>F</v>
      </c>
      <c r="AJ50" s="4" t="str">
        <f>Table2[[#This Row],[field_fate10]]</f>
        <v>F</v>
      </c>
      <c r="AK50" s="4" t="b">
        <f>Table2[[#This Row],[field_fate_feb]]=Table2[[#This Row],[field_fate10]]</f>
        <v>1</v>
      </c>
      <c r="AL50" s="43" t="s">
        <v>24</v>
      </c>
      <c r="AM50" s="43" t="b">
        <f>Table2[[#This Row],[cam_fate2]]="NA"</f>
        <v>1</v>
      </c>
      <c r="AN50" s="19" t="str">
        <f>Table2[[#This Row],[cam_fate1]]</f>
        <v>NA</v>
      </c>
      <c r="AO50" s="2" t="s">
        <v>48</v>
      </c>
      <c r="AP50" s="5" t="str">
        <f>Table2[[#This Row],[final_fate1]]</f>
        <v>F</v>
      </c>
      <c r="AQ50" s="6">
        <v>9</v>
      </c>
      <c r="AR50" s="7">
        <v>9</v>
      </c>
      <c r="AS50" s="7">
        <f>Table2[[#This Row],[final_obs_date]]-Table2[[#This Row],[init_date]]</f>
        <v>9</v>
      </c>
      <c r="AT50" s="7">
        <f>(Table2[[#This Row],[final_obs_date2]]-Table2[[#This Row],[estHD]])+16</f>
        <v>6</v>
      </c>
      <c r="AU50" s="38">
        <v>4</v>
      </c>
      <c r="AV50" s="33">
        <v>4</v>
      </c>
      <c r="AW50" s="33">
        <f>Table2[[#This Row],[final_obs_date2]]-Table2[[#This Row],[pen_obs_date]]</f>
        <v>33</v>
      </c>
      <c r="AX50" s="67">
        <v>33</v>
      </c>
      <c r="AY50" s="6">
        <f>Table2[[#This Row],[final_obs_date]]</f>
        <v>33</v>
      </c>
      <c r="AZ50" s="6"/>
      <c r="BA50" s="91" t="s">
        <v>47</v>
      </c>
      <c r="BB50" s="6" t="b">
        <f>Table2[[#This Row],[final_obs_date]]&lt;(Table2[[#This Row],[estHD]]-2)</f>
        <v>1</v>
      </c>
      <c r="BC50" s="24">
        <f>IF(Table2[[#This Row],[field_fate]]="H",1,0)</f>
        <v>0</v>
      </c>
      <c r="BD50" s="16">
        <f>IF(Table2[[#This Row],[cam_fate2]]="H",1,0)</f>
        <v>0</v>
      </c>
      <c r="BE50" s="6" t="b">
        <f>NOT(Table2[[#This Row],[HF_C]]=Table2[[#This Row],[HF]])</f>
        <v>0</v>
      </c>
      <c r="BF50" s="6" t="b">
        <f>NOT(Table2[[#This Row],[cam_fate2]]=Table2[[#This Row],[field_fate3]])</f>
        <v>1</v>
      </c>
      <c r="BG50" s="6" t="b">
        <f>OR(Table2[[#This Row],[field_fate3]]="U",Table2[[#This Row],[field_fate3]]="U-H")</f>
        <v>0</v>
      </c>
      <c r="BH50" s="8">
        <v>25</v>
      </c>
      <c r="BI50" s="8">
        <v>29</v>
      </c>
      <c r="BJ50" s="14">
        <f>IF(ISTEXT(Table2[[#This Row],[j.cam]]),Table2[[#This Row],[j]],Table2[[#This Row],[j.cam]])</f>
        <v>29</v>
      </c>
      <c r="BK50" s="9">
        <v>33</v>
      </c>
      <c r="BL50" s="15">
        <f>IF(ISTEXT(Table2[[#This Row],[k.cam]]), Table2[[#This Row],[k]], Table2[[#This Row],[k.cam]])</f>
        <v>33</v>
      </c>
      <c r="BM50" s="4" t="s">
        <v>24</v>
      </c>
      <c r="BN50" s="8" t="s">
        <v>24</v>
      </c>
      <c r="BO50" s="4">
        <v>3</v>
      </c>
      <c r="BP50" s="4">
        <f>Table2[[#This Row],[final_obs_date]]-Table2[[#This Row],[i]]</f>
        <v>8</v>
      </c>
      <c r="BQ50" s="4" t="b">
        <f>Table2[[#This Row],[final_obs_date2]]&gt;Table2[[#This Row],[estHD]]+3</f>
        <v>0</v>
      </c>
      <c r="BR50" s="4" t="s">
        <v>27</v>
      </c>
      <c r="BS50" s="4" t="s">
        <v>28</v>
      </c>
      <c r="BT50" s="79" t="s">
        <v>1036</v>
      </c>
      <c r="BU50" s="26" t="s">
        <v>96</v>
      </c>
      <c r="BV50" s="79" t="s">
        <v>1454</v>
      </c>
      <c r="BW50" s="49"/>
      <c r="BX50" s="47"/>
      <c r="BY50" s="36" t="s">
        <v>516</v>
      </c>
    </row>
    <row r="51" spans="1:77" ht="15" hidden="1" thickBot="1" x14ac:dyDescent="0.4">
      <c r="A51" s="62">
        <v>10052</v>
      </c>
      <c r="B51" s="2" t="s">
        <v>35</v>
      </c>
      <c r="C51" s="44">
        <v>2019</v>
      </c>
      <c r="D51" s="3">
        <v>29.764040000000001</v>
      </c>
      <c r="E51" s="3">
        <v>-93.146739999999994</v>
      </c>
      <c r="F51" s="3" t="s">
        <v>24</v>
      </c>
      <c r="G51" s="3" t="s">
        <v>24</v>
      </c>
      <c r="H51" s="3" t="s">
        <v>26</v>
      </c>
      <c r="I51" s="43"/>
      <c r="J51" s="55">
        <v>40</v>
      </c>
      <c r="K51" s="4">
        <v>40</v>
      </c>
      <c r="L51" s="22">
        <f>IF(ISNUMBER(Table2[[#This Row],[estHD]]),ABS(Table2[[#This Row],[HD]]-Table2[[#This Row],[estHD]]),"NA")</f>
        <v>0</v>
      </c>
      <c r="M51" s="4" t="b">
        <f>Table2[[#This Row],[HD]]=Table2[[#This Row],[estHD]]</f>
        <v>1</v>
      </c>
      <c r="N51" s="4" t="str">
        <f>IF(ISNUMBER([1]!Table2[[#This Row],[hatch_date]]),[1]!Table2[[#This Row],[hatch_date]]-19,"NA")</f>
        <v>NA</v>
      </c>
      <c r="O51" s="31">
        <v>21</v>
      </c>
      <c r="P51" s="23">
        <f>IF(ISNUMBER(Table2[[#This Row],[nest_age1]]),ABS(Table2[[#This Row],[nest_age1]]-Table2[[#This Row],[nest_age_feb]]),"NA")</f>
        <v>0</v>
      </c>
      <c r="Q51" s="24">
        <f>IF(ISNUMBER(Table2[[#This Row],[final_obs_int2]]),ABS(Table2[[#This Row],[final_obs_int2]]-Table2[[#This Row],[final_obs_int_feb]]), "NA")</f>
        <v>0</v>
      </c>
      <c r="R51" s="24"/>
      <c r="S51" s="57" t="s">
        <v>88</v>
      </c>
      <c r="T51" s="57" t="str">
        <f>Table2[[#This Row],[camera_old]]</f>
        <v>N</v>
      </c>
      <c r="U51" s="24"/>
      <c r="V51" s="16" t="s">
        <v>24</v>
      </c>
      <c r="W51" s="16">
        <v>12</v>
      </c>
      <c r="X51" s="145">
        <v>4</v>
      </c>
      <c r="Y51" s="147" t="s">
        <v>48</v>
      </c>
      <c r="Z51" s="146" t="s">
        <v>48</v>
      </c>
      <c r="AA51" s="4" t="str">
        <f>Table2[[#This Row],[field_fate]]</f>
        <v>F</v>
      </c>
      <c r="AB51" s="4" t="str">
        <f>Table2[[#This Row],[field_fate2]]</f>
        <v>F</v>
      </c>
      <c r="AC51" s="4" t="str">
        <f>Table2[[#This Row],[field_fate3]]</f>
        <v>F</v>
      </c>
      <c r="AD51" s="4" t="str">
        <f>Table2[[#This Row],[field_fate4]]</f>
        <v>F</v>
      </c>
      <c r="AE51" s="4" t="str">
        <f>Table2[[#This Row],[field_fate5]]</f>
        <v>F</v>
      </c>
      <c r="AF51" s="4" t="str">
        <f>Table2[[#This Row],[field_fate5]]</f>
        <v>F</v>
      </c>
      <c r="AG51" s="4" t="str">
        <f>Table2[[#This Row],[field_fate5]]</f>
        <v>F</v>
      </c>
      <c r="AH51" s="4" t="str">
        <f>Table2[[#This Row],[field_fate2]]</f>
        <v>F</v>
      </c>
      <c r="AI51" s="4" t="str">
        <f>Table2[[#This Row],[field_fate8]]</f>
        <v>F</v>
      </c>
      <c r="AJ51" s="4" t="str">
        <f>Table2[[#This Row],[field_fate10]]</f>
        <v>F</v>
      </c>
      <c r="AK51" s="4" t="b">
        <f>Table2[[#This Row],[field_fate_feb]]=Table2[[#This Row],[field_fate10]]</f>
        <v>1</v>
      </c>
      <c r="AL51" s="43" t="s">
        <v>24</v>
      </c>
      <c r="AM51" s="43" t="b">
        <f>Table2[[#This Row],[cam_fate2]]="NA"</f>
        <v>1</v>
      </c>
      <c r="AN51" s="19" t="str">
        <f>Table2[[#This Row],[cam_fate1]]</f>
        <v>NA</v>
      </c>
      <c r="AO51" s="2" t="s">
        <v>48</v>
      </c>
      <c r="AP51" s="5" t="str">
        <f>Table2[[#This Row],[final_fate1]]</f>
        <v>F</v>
      </c>
      <c r="AQ51" s="6">
        <v>12</v>
      </c>
      <c r="AR51" s="7">
        <v>12</v>
      </c>
      <c r="AS51" s="7">
        <f>Table2[[#This Row],[final_obs_date]]-Table2[[#This Row],[init_date]]</f>
        <v>12</v>
      </c>
      <c r="AT51" s="7">
        <f>(Table2[[#This Row],[final_obs_date2]]-Table2[[#This Row],[estHD]])+16</f>
        <v>9</v>
      </c>
      <c r="AU51" s="38">
        <v>4</v>
      </c>
      <c r="AV51" s="33">
        <v>4</v>
      </c>
      <c r="AW51" s="33">
        <f>Table2[[#This Row],[final_obs_date2]]-Table2[[#This Row],[pen_obs_date]]</f>
        <v>33</v>
      </c>
      <c r="AX51" s="67">
        <v>33</v>
      </c>
      <c r="AY51" s="6">
        <f>Table2[[#This Row],[final_obs_date]]</f>
        <v>33</v>
      </c>
      <c r="AZ51" s="6"/>
      <c r="BA51" s="91" t="s">
        <v>47</v>
      </c>
      <c r="BB51" s="6" t="b">
        <f>Table2[[#This Row],[final_obs_date]]&lt;(Table2[[#This Row],[estHD]]-2)</f>
        <v>1</v>
      </c>
      <c r="BC51" s="24">
        <f>IF(Table2[[#This Row],[field_fate]]="H",1,0)</f>
        <v>0</v>
      </c>
      <c r="BD51" s="16">
        <f>IF(Table2[[#This Row],[cam_fate2]]="H",1,0)</f>
        <v>0</v>
      </c>
      <c r="BE51" s="6" t="b">
        <f>NOT(Table2[[#This Row],[HF_C]]=Table2[[#This Row],[HF]])</f>
        <v>0</v>
      </c>
      <c r="BF51" s="6" t="b">
        <f>NOT(Table2[[#This Row],[cam_fate2]]=Table2[[#This Row],[field_fate3]])</f>
        <v>1</v>
      </c>
      <c r="BG51" s="6" t="b">
        <f>OR(Table2[[#This Row],[field_fate3]]="U",Table2[[#This Row],[field_fate3]]="U-H")</f>
        <v>0</v>
      </c>
      <c r="BH51" s="8">
        <v>25</v>
      </c>
      <c r="BI51" s="8">
        <v>29</v>
      </c>
      <c r="BJ51" s="14">
        <f>IF(ISTEXT(Table2[[#This Row],[j.cam]]),Table2[[#This Row],[j]],Table2[[#This Row],[j.cam]])</f>
        <v>29</v>
      </c>
      <c r="BK51" s="9">
        <v>33</v>
      </c>
      <c r="BL51" s="15">
        <f>IF(ISTEXT(Table2[[#This Row],[k.cam]]), Table2[[#This Row],[k]], Table2[[#This Row],[k.cam]])</f>
        <v>33</v>
      </c>
      <c r="BM51" s="4" t="s">
        <v>24</v>
      </c>
      <c r="BN51" s="8" t="s">
        <v>24</v>
      </c>
      <c r="BO51" s="4">
        <v>3</v>
      </c>
      <c r="BP51" s="4">
        <f>Table2[[#This Row],[final_obs_date]]-Table2[[#This Row],[i]]</f>
        <v>8</v>
      </c>
      <c r="BQ51" s="4" t="b">
        <f>Table2[[#This Row],[final_obs_date2]]&gt;Table2[[#This Row],[estHD]]+3</f>
        <v>0</v>
      </c>
      <c r="BR51" s="4" t="s">
        <v>27</v>
      </c>
      <c r="BS51" s="4" t="s">
        <v>28</v>
      </c>
      <c r="BT51" s="79" t="s">
        <v>1036</v>
      </c>
      <c r="BU51" s="26" t="s">
        <v>97</v>
      </c>
      <c r="BV51" s="79" t="s">
        <v>1454</v>
      </c>
      <c r="BW51" s="49"/>
      <c r="BX51" s="47"/>
      <c r="BY51" s="36" t="s">
        <v>516</v>
      </c>
    </row>
    <row r="52" spans="1:77" ht="15" hidden="1" thickBot="1" x14ac:dyDescent="0.4">
      <c r="A52" s="62">
        <v>10053</v>
      </c>
      <c r="B52" s="2" t="s">
        <v>35</v>
      </c>
      <c r="C52" s="44">
        <v>2019</v>
      </c>
      <c r="D52" s="3">
        <v>29.764089999999999</v>
      </c>
      <c r="E52" s="3">
        <v>-93.146950000000004</v>
      </c>
      <c r="F52" s="3" t="s">
        <v>24</v>
      </c>
      <c r="G52" s="3" t="s">
        <v>24</v>
      </c>
      <c r="H52" s="3" t="s">
        <v>26</v>
      </c>
      <c r="I52" s="43"/>
      <c r="J52" s="55">
        <v>40</v>
      </c>
      <c r="K52" s="4">
        <v>40</v>
      </c>
      <c r="L52" s="22">
        <f>IF(ISNUMBER(Table2[[#This Row],[estHD]]),ABS(Table2[[#This Row],[HD]]-Table2[[#This Row],[estHD]]),"NA")</f>
        <v>0</v>
      </c>
      <c r="M52" s="4" t="b">
        <f>Table2[[#This Row],[HD]]=Table2[[#This Row],[estHD]]</f>
        <v>1</v>
      </c>
      <c r="N52" s="4" t="str">
        <f>IF(ISNUMBER([1]!Table2[[#This Row],[hatch_date]]),[1]!Table2[[#This Row],[hatch_date]]-19,"NA")</f>
        <v>NA</v>
      </c>
      <c r="O52" s="31">
        <v>21</v>
      </c>
      <c r="P52" s="23">
        <f>IF(ISNUMBER(Table2[[#This Row],[nest_age1]]),ABS(Table2[[#This Row],[nest_age1]]-Table2[[#This Row],[nest_age_feb]]),"NA")</f>
        <v>0</v>
      </c>
      <c r="Q52" s="24">
        <f>IF(ISNUMBER(Table2[[#This Row],[final_obs_int2]]),ABS(Table2[[#This Row],[final_obs_int2]]-Table2[[#This Row],[final_obs_int_feb]]), "NA")</f>
        <v>0</v>
      </c>
      <c r="R52" s="24"/>
      <c r="S52" s="57" t="s">
        <v>88</v>
      </c>
      <c r="T52" s="57" t="str">
        <f>Table2[[#This Row],[camera_old]]</f>
        <v>N</v>
      </c>
      <c r="U52" s="24"/>
      <c r="V52" s="16" t="s">
        <v>24</v>
      </c>
      <c r="W52" s="16">
        <v>12</v>
      </c>
      <c r="X52" s="145">
        <v>4</v>
      </c>
      <c r="Y52" s="147" t="s">
        <v>65</v>
      </c>
      <c r="Z52" s="146" t="s">
        <v>65</v>
      </c>
      <c r="AA52" s="4" t="str">
        <f>Table2[[#This Row],[field_fate]]</f>
        <v>Ca</v>
      </c>
      <c r="AB52" s="4" t="str">
        <f>Table2[[#This Row],[field_fate2]]</f>
        <v>Ca</v>
      </c>
      <c r="AC52" s="4" t="str">
        <f>Table2[[#This Row],[field_fate3]]</f>
        <v>Ca</v>
      </c>
      <c r="AD52" s="4" t="str">
        <f>Table2[[#This Row],[field_fate4]]</f>
        <v>Ca</v>
      </c>
      <c r="AE52" s="4" t="str">
        <f>Table2[[#This Row],[field_fate5]]</f>
        <v>Ca</v>
      </c>
      <c r="AF52" s="4" t="str">
        <f>Table2[[#This Row],[field_fate5]]</f>
        <v>Ca</v>
      </c>
      <c r="AG52" s="4" t="str">
        <f>Table2[[#This Row],[field_fate5]]</f>
        <v>Ca</v>
      </c>
      <c r="AH52" s="4" t="str">
        <f>Table2[[#This Row],[field_fate2]]</f>
        <v>Ca</v>
      </c>
      <c r="AI52" s="4" t="str">
        <f>Table2[[#This Row],[field_fate8]]</f>
        <v>Ca</v>
      </c>
      <c r="AJ52" s="4" t="str">
        <f>Table2[[#This Row],[field_fate10]]</f>
        <v>Ca</v>
      </c>
      <c r="AK52" s="4" t="b">
        <f>Table2[[#This Row],[field_fate_feb]]=Table2[[#This Row],[field_fate10]]</f>
        <v>1</v>
      </c>
      <c r="AL52" s="43" t="s">
        <v>24</v>
      </c>
      <c r="AM52" s="43" t="b">
        <f>Table2[[#This Row],[cam_fate2]]="NA"</f>
        <v>1</v>
      </c>
      <c r="AN52" s="19" t="str">
        <f>Table2[[#This Row],[cam_fate1]]</f>
        <v>NA</v>
      </c>
      <c r="AO52" s="2" t="s">
        <v>65</v>
      </c>
      <c r="AP52" s="5" t="str">
        <f>Table2[[#This Row],[final_fate1]]</f>
        <v>Ca</v>
      </c>
      <c r="AQ52" s="6">
        <v>12</v>
      </c>
      <c r="AR52" s="7">
        <v>12</v>
      </c>
      <c r="AS52" s="7">
        <f>Table2[[#This Row],[final_obs_date]]-Table2[[#This Row],[init_date]]</f>
        <v>12</v>
      </c>
      <c r="AT52" s="7">
        <f>(Table2[[#This Row],[final_obs_date2]]-Table2[[#This Row],[estHD]])+16</f>
        <v>9</v>
      </c>
      <c r="AU52" s="38">
        <v>4</v>
      </c>
      <c r="AV52" s="33">
        <v>4</v>
      </c>
      <c r="AW52" s="33">
        <f>Table2[[#This Row],[final_obs_date2]]-Table2[[#This Row],[pen_obs_date]]</f>
        <v>33</v>
      </c>
      <c r="AX52" s="67">
        <v>33</v>
      </c>
      <c r="AY52" s="6">
        <f>Table2[[#This Row],[final_obs_date]]</f>
        <v>33</v>
      </c>
      <c r="AZ52" s="6"/>
      <c r="BA52" s="91" t="s">
        <v>47</v>
      </c>
      <c r="BB52" s="6" t="b">
        <f>Table2[[#This Row],[final_obs_date]]&lt;(Table2[[#This Row],[estHD]]-2)</f>
        <v>1</v>
      </c>
      <c r="BC52" s="24">
        <f>IF(Table2[[#This Row],[field_fate]]="H",1,0)</f>
        <v>0</v>
      </c>
      <c r="BD52" s="16">
        <f>IF(Table2[[#This Row],[cam_fate2]]="H",1,0)</f>
        <v>0</v>
      </c>
      <c r="BE52" s="6" t="b">
        <f>NOT(Table2[[#This Row],[HF_C]]=Table2[[#This Row],[HF]])</f>
        <v>0</v>
      </c>
      <c r="BF52" s="6" t="b">
        <f>NOT(Table2[[#This Row],[cam_fate2]]=Table2[[#This Row],[field_fate3]])</f>
        <v>1</v>
      </c>
      <c r="BG52" s="6" t="b">
        <f>OR(Table2[[#This Row],[field_fate3]]="U",Table2[[#This Row],[field_fate3]]="U-H")</f>
        <v>0</v>
      </c>
      <c r="BH52" s="8">
        <v>25</v>
      </c>
      <c r="BI52" s="8">
        <v>29</v>
      </c>
      <c r="BJ52" s="14">
        <f>IF(ISTEXT(Table2[[#This Row],[j.cam]]),Table2[[#This Row],[j]],Table2[[#This Row],[j.cam]])</f>
        <v>29</v>
      </c>
      <c r="BK52" s="9">
        <v>33</v>
      </c>
      <c r="BL52" s="15">
        <f>IF(ISTEXT(Table2[[#This Row],[k.cam]]), Table2[[#This Row],[k]], Table2[[#This Row],[k.cam]])</f>
        <v>33</v>
      </c>
      <c r="BM52" s="4" t="s">
        <v>24</v>
      </c>
      <c r="BN52" s="8" t="s">
        <v>24</v>
      </c>
      <c r="BO52" s="4">
        <v>3</v>
      </c>
      <c r="BP52" s="4">
        <f>Table2[[#This Row],[final_obs_date]]-Table2[[#This Row],[i]]</f>
        <v>8</v>
      </c>
      <c r="BQ52" s="4" t="b">
        <f>Table2[[#This Row],[final_obs_date2]]&gt;Table2[[#This Row],[estHD]]+3</f>
        <v>0</v>
      </c>
      <c r="BR52" s="4" t="s">
        <v>33</v>
      </c>
      <c r="BS52" s="4" t="s">
        <v>28</v>
      </c>
      <c r="BT52" s="79" t="s">
        <v>1036</v>
      </c>
      <c r="BU52" s="26" t="s">
        <v>64</v>
      </c>
      <c r="BV52" s="79" t="s">
        <v>1454</v>
      </c>
      <c r="BW52" s="49"/>
      <c r="BX52" s="47"/>
      <c r="BY52" s="36" t="s">
        <v>517</v>
      </c>
    </row>
    <row r="53" spans="1:77" ht="15" hidden="1" thickBot="1" x14ac:dyDescent="0.4">
      <c r="A53" s="62">
        <v>10054</v>
      </c>
      <c r="B53" s="2" t="s">
        <v>35</v>
      </c>
      <c r="C53" s="44">
        <v>2019</v>
      </c>
      <c r="D53" s="3">
        <v>29.764330000000001</v>
      </c>
      <c r="E53" s="3">
        <v>-93.148210000000006</v>
      </c>
      <c r="F53" s="3" t="s">
        <v>24</v>
      </c>
      <c r="G53" s="3" t="s">
        <v>24</v>
      </c>
      <c r="H53" s="3" t="s">
        <v>26</v>
      </c>
      <c r="I53" s="43"/>
      <c r="J53" s="55">
        <v>43</v>
      </c>
      <c r="K53" s="4">
        <v>43</v>
      </c>
      <c r="L53" s="22">
        <f>IF(ISNUMBER(Table2[[#This Row],[estHD]]),ABS(Table2[[#This Row],[HD]]-Table2[[#This Row],[estHD]]),"NA")</f>
        <v>0</v>
      </c>
      <c r="M53" s="4" t="b">
        <f>Table2[[#This Row],[HD]]=Table2[[#This Row],[estHD]]</f>
        <v>1</v>
      </c>
      <c r="N53" s="4" t="str">
        <f>IF(ISNUMBER([1]!Table2[[#This Row],[hatch_date]]),[1]!Table2[[#This Row],[hatch_date]]-19,"NA")</f>
        <v>NA</v>
      </c>
      <c r="O53" s="31">
        <v>24</v>
      </c>
      <c r="P53" s="23">
        <f>IF(ISNUMBER(Table2[[#This Row],[nest_age1]]),ABS(Table2[[#This Row],[nest_age1]]-Table2[[#This Row],[nest_age_feb]]),"NA")</f>
        <v>0</v>
      </c>
      <c r="Q53" s="24">
        <f>IF(ISNUMBER(Table2[[#This Row],[final_obs_int2]]),ABS(Table2[[#This Row],[final_obs_int2]]-Table2[[#This Row],[final_obs_int_feb]]), "NA")</f>
        <v>0</v>
      </c>
      <c r="R53" s="24"/>
      <c r="S53" s="57" t="s">
        <v>88</v>
      </c>
      <c r="T53" s="57" t="str">
        <f>Table2[[#This Row],[camera_old]]</f>
        <v>N</v>
      </c>
      <c r="U53" s="24"/>
      <c r="V53" s="16" t="s">
        <v>24</v>
      </c>
      <c r="W53" s="16">
        <v>9</v>
      </c>
      <c r="X53" s="145">
        <v>4</v>
      </c>
      <c r="Y53" s="147" t="s">
        <v>31</v>
      </c>
      <c r="Z53" s="146" t="s">
        <v>31</v>
      </c>
      <c r="AA53" s="4" t="str">
        <f>Table2[[#This Row],[field_fate]]</f>
        <v>D</v>
      </c>
      <c r="AB53" s="4" t="str">
        <f>Table2[[#This Row],[field_fate2]]</f>
        <v>D</v>
      </c>
      <c r="AC53" s="4" t="str">
        <f>Table2[[#This Row],[field_fate3]]</f>
        <v>D</v>
      </c>
      <c r="AD53" s="4" t="str">
        <f>Table2[[#This Row],[field_fate4]]</f>
        <v>D</v>
      </c>
      <c r="AE53" s="4" t="str">
        <f>Table2[[#This Row],[field_fate5]]</f>
        <v>D</v>
      </c>
      <c r="AF53" s="4" t="str">
        <f>Table2[[#This Row],[field_fate5]]</f>
        <v>D</v>
      </c>
      <c r="AG53" s="4" t="str">
        <f>Table2[[#This Row],[field_fate5]]</f>
        <v>D</v>
      </c>
      <c r="AH53" s="4" t="str">
        <f>Table2[[#This Row],[field_fate2]]</f>
        <v>D</v>
      </c>
      <c r="AI53" s="4" t="str">
        <f>Table2[[#This Row],[field_fate8]]</f>
        <v>D</v>
      </c>
      <c r="AJ53" s="4" t="str">
        <f>Table2[[#This Row],[field_fate10]]</f>
        <v>D</v>
      </c>
      <c r="AK53" s="4" t="b">
        <f>Table2[[#This Row],[field_fate_feb]]=Table2[[#This Row],[field_fate10]]</f>
        <v>1</v>
      </c>
      <c r="AL53" s="43" t="s">
        <v>24</v>
      </c>
      <c r="AM53" s="43" t="b">
        <f>Table2[[#This Row],[cam_fate2]]="NA"</f>
        <v>1</v>
      </c>
      <c r="AN53" s="19" t="str">
        <f>Table2[[#This Row],[cam_fate1]]</f>
        <v>NA</v>
      </c>
      <c r="AO53" s="2" t="s">
        <v>31</v>
      </c>
      <c r="AP53" s="5" t="str">
        <f>Table2[[#This Row],[final_fate1]]</f>
        <v>D</v>
      </c>
      <c r="AQ53" s="6">
        <v>9</v>
      </c>
      <c r="AR53" s="7">
        <v>9</v>
      </c>
      <c r="AS53" s="7">
        <f>Table2[[#This Row],[final_obs_date]]-Table2[[#This Row],[init_date]]</f>
        <v>9</v>
      </c>
      <c r="AT53" s="7">
        <f>(Table2[[#This Row],[final_obs_date2]]-Table2[[#This Row],[estHD]])+16</f>
        <v>6</v>
      </c>
      <c r="AU53" s="38">
        <v>4</v>
      </c>
      <c r="AV53" s="33">
        <v>4</v>
      </c>
      <c r="AW53" s="33">
        <f>Table2[[#This Row],[final_obs_date2]]-Table2[[#This Row],[pen_obs_date]]</f>
        <v>33</v>
      </c>
      <c r="AX53" s="67">
        <v>33</v>
      </c>
      <c r="AY53" s="6">
        <f>Table2[[#This Row],[final_obs_date]]</f>
        <v>33</v>
      </c>
      <c r="AZ53" s="6"/>
      <c r="BA53" s="91" t="s">
        <v>47</v>
      </c>
      <c r="BB53" s="6" t="b">
        <f>Table2[[#This Row],[final_obs_date]]&lt;(Table2[[#This Row],[estHD]]-2)</f>
        <v>1</v>
      </c>
      <c r="BC53" s="24">
        <f>IF(Table2[[#This Row],[field_fate]]="H",1,0)</f>
        <v>0</v>
      </c>
      <c r="BD53" s="16">
        <f>IF(Table2[[#This Row],[cam_fate2]]="H",1,0)</f>
        <v>0</v>
      </c>
      <c r="BE53" s="6" t="b">
        <f>NOT(Table2[[#This Row],[HF_C]]=Table2[[#This Row],[HF]])</f>
        <v>0</v>
      </c>
      <c r="BF53" s="6" t="b">
        <f>NOT(Table2[[#This Row],[cam_fate2]]=Table2[[#This Row],[field_fate3]])</f>
        <v>1</v>
      </c>
      <c r="BG53" s="6" t="b">
        <f>OR(Table2[[#This Row],[field_fate3]]="U",Table2[[#This Row],[field_fate3]]="U-H")</f>
        <v>0</v>
      </c>
      <c r="BH53" s="8">
        <v>25</v>
      </c>
      <c r="BI53" s="8">
        <v>29</v>
      </c>
      <c r="BJ53" s="14">
        <f>IF(ISTEXT(Table2[[#This Row],[j.cam]]),Table2[[#This Row],[j]],Table2[[#This Row],[j.cam]])</f>
        <v>29</v>
      </c>
      <c r="BK53" s="9">
        <v>33</v>
      </c>
      <c r="BL53" s="15">
        <f>IF(ISTEXT(Table2[[#This Row],[k.cam]]), Table2[[#This Row],[k]], Table2[[#This Row],[k.cam]])</f>
        <v>33</v>
      </c>
      <c r="BM53" s="4" t="s">
        <v>24</v>
      </c>
      <c r="BN53" s="8" t="s">
        <v>24</v>
      </c>
      <c r="BO53" s="4">
        <v>3</v>
      </c>
      <c r="BP53" s="4">
        <f>Table2[[#This Row],[final_obs_date]]-Table2[[#This Row],[i]]</f>
        <v>8</v>
      </c>
      <c r="BQ53" s="4" t="b">
        <f>Table2[[#This Row],[final_obs_date2]]&gt;Table2[[#This Row],[estHD]]+3</f>
        <v>0</v>
      </c>
      <c r="BR53" s="4" t="s">
        <v>33</v>
      </c>
      <c r="BS53" s="4" t="s">
        <v>28</v>
      </c>
      <c r="BT53" s="79" t="s">
        <v>1036</v>
      </c>
      <c r="BU53" s="26" t="s">
        <v>64</v>
      </c>
      <c r="BV53" s="79" t="s">
        <v>1454</v>
      </c>
      <c r="BW53" s="49"/>
      <c r="BX53" s="47"/>
      <c r="BY53" s="36" t="s">
        <v>518</v>
      </c>
    </row>
    <row r="54" spans="1:77" ht="15" hidden="1" thickBot="1" x14ac:dyDescent="0.4">
      <c r="A54" s="62">
        <v>10055</v>
      </c>
      <c r="B54" s="2" t="s">
        <v>35</v>
      </c>
      <c r="C54" s="44">
        <v>2019</v>
      </c>
      <c r="D54" s="3">
        <v>29.764530000000001</v>
      </c>
      <c r="E54" s="3">
        <v>-93.148960000000002</v>
      </c>
      <c r="F54" s="3" t="s">
        <v>24</v>
      </c>
      <c r="G54" s="3" t="s">
        <v>24</v>
      </c>
      <c r="H54" s="3" t="s">
        <v>26</v>
      </c>
      <c r="I54" s="43"/>
      <c r="J54" s="55">
        <v>40</v>
      </c>
      <c r="K54" s="4">
        <v>40</v>
      </c>
      <c r="L54" s="22">
        <f>IF(ISNUMBER(Table2[[#This Row],[estHD]]),ABS(Table2[[#This Row],[HD]]-Table2[[#This Row],[estHD]]),"NA")</f>
        <v>0</v>
      </c>
      <c r="M54" s="4" t="b">
        <f>Table2[[#This Row],[HD]]=Table2[[#This Row],[estHD]]</f>
        <v>1</v>
      </c>
      <c r="N54" s="4" t="str">
        <f>IF(ISNUMBER([1]!Table2[[#This Row],[hatch_date]]),[1]!Table2[[#This Row],[hatch_date]]-19,"NA")</f>
        <v>NA</v>
      </c>
      <c r="O54" s="31">
        <v>21</v>
      </c>
      <c r="P54" s="23">
        <f>IF(ISNUMBER(Table2[[#This Row],[nest_age1]]),ABS(Table2[[#This Row],[nest_age1]]-Table2[[#This Row],[nest_age_feb]]),"NA")</f>
        <v>0</v>
      </c>
      <c r="Q54" s="24">
        <f>IF(ISNUMBER(Table2[[#This Row],[final_obs_int2]]),ABS(Table2[[#This Row],[final_obs_int2]]-Table2[[#This Row],[final_obs_int_feb]]), "NA")</f>
        <v>0</v>
      </c>
      <c r="R54" s="24"/>
      <c r="S54" s="57" t="s">
        <v>88</v>
      </c>
      <c r="T54" s="57" t="str">
        <f>Table2[[#This Row],[camera_old]]</f>
        <v>N</v>
      </c>
      <c r="U54" s="24"/>
      <c r="V54" s="16" t="s">
        <v>24</v>
      </c>
      <c r="W54" s="16">
        <v>12</v>
      </c>
      <c r="X54" s="145">
        <v>4</v>
      </c>
      <c r="Y54" s="147" t="s">
        <v>31</v>
      </c>
      <c r="Z54" s="146" t="s">
        <v>31</v>
      </c>
      <c r="AA54" s="4" t="str">
        <f>Table2[[#This Row],[field_fate]]</f>
        <v>D</v>
      </c>
      <c r="AB54" s="4" t="str">
        <f>Table2[[#This Row],[field_fate2]]</f>
        <v>D</v>
      </c>
      <c r="AC54" s="4" t="str">
        <f>Table2[[#This Row],[field_fate3]]</f>
        <v>D</v>
      </c>
      <c r="AD54" s="4" t="str">
        <f>Table2[[#This Row],[field_fate4]]</f>
        <v>D</v>
      </c>
      <c r="AE54" s="4" t="str">
        <f>Table2[[#This Row],[field_fate5]]</f>
        <v>D</v>
      </c>
      <c r="AF54" s="4" t="str">
        <f>Table2[[#This Row],[field_fate5]]</f>
        <v>D</v>
      </c>
      <c r="AG54" s="4" t="str">
        <f>Table2[[#This Row],[field_fate5]]</f>
        <v>D</v>
      </c>
      <c r="AH54" s="4" t="str">
        <f>Table2[[#This Row],[field_fate2]]</f>
        <v>D</v>
      </c>
      <c r="AI54" s="4" t="str">
        <f>Table2[[#This Row],[field_fate8]]</f>
        <v>D</v>
      </c>
      <c r="AJ54" s="4" t="str">
        <f>Table2[[#This Row],[field_fate10]]</f>
        <v>D</v>
      </c>
      <c r="AK54" s="4" t="b">
        <f>Table2[[#This Row],[field_fate_feb]]=Table2[[#This Row],[field_fate10]]</f>
        <v>1</v>
      </c>
      <c r="AL54" s="43" t="s">
        <v>24</v>
      </c>
      <c r="AM54" s="43" t="b">
        <f>Table2[[#This Row],[cam_fate2]]="NA"</f>
        <v>1</v>
      </c>
      <c r="AN54" s="19" t="str">
        <f>Table2[[#This Row],[cam_fate1]]</f>
        <v>NA</v>
      </c>
      <c r="AO54" s="2" t="s">
        <v>31</v>
      </c>
      <c r="AP54" s="5" t="str">
        <f>Table2[[#This Row],[final_fate1]]</f>
        <v>D</v>
      </c>
      <c r="AQ54" s="6">
        <v>12</v>
      </c>
      <c r="AR54" s="7">
        <v>12</v>
      </c>
      <c r="AS54" s="7">
        <f>Table2[[#This Row],[final_obs_date]]-Table2[[#This Row],[init_date]]</f>
        <v>12</v>
      </c>
      <c r="AT54" s="7">
        <f>(Table2[[#This Row],[final_obs_date2]]-Table2[[#This Row],[estHD]])+16</f>
        <v>9</v>
      </c>
      <c r="AU54" s="38">
        <v>4</v>
      </c>
      <c r="AV54" s="33">
        <v>4</v>
      </c>
      <c r="AW54" s="33">
        <f>Table2[[#This Row],[final_obs_date2]]-Table2[[#This Row],[pen_obs_date]]</f>
        <v>33</v>
      </c>
      <c r="AX54" s="67">
        <v>33</v>
      </c>
      <c r="AY54" s="6">
        <f>Table2[[#This Row],[final_obs_date]]</f>
        <v>33</v>
      </c>
      <c r="AZ54" s="6"/>
      <c r="BA54" s="91" t="s">
        <v>47</v>
      </c>
      <c r="BB54" s="6" t="b">
        <f>Table2[[#This Row],[final_obs_date]]&lt;(Table2[[#This Row],[estHD]]-2)</f>
        <v>1</v>
      </c>
      <c r="BC54" s="24">
        <f>IF(Table2[[#This Row],[field_fate]]="H",1,0)</f>
        <v>0</v>
      </c>
      <c r="BD54" s="16">
        <f>IF(Table2[[#This Row],[cam_fate2]]="H",1,0)</f>
        <v>0</v>
      </c>
      <c r="BE54" s="6" t="b">
        <f>NOT(Table2[[#This Row],[HF_C]]=Table2[[#This Row],[HF]])</f>
        <v>0</v>
      </c>
      <c r="BF54" s="6" t="b">
        <f>NOT(Table2[[#This Row],[cam_fate2]]=Table2[[#This Row],[field_fate3]])</f>
        <v>1</v>
      </c>
      <c r="BG54" s="6" t="b">
        <f>OR(Table2[[#This Row],[field_fate3]]="U",Table2[[#This Row],[field_fate3]]="U-H")</f>
        <v>0</v>
      </c>
      <c r="BH54" s="8">
        <v>25</v>
      </c>
      <c r="BI54" s="8">
        <v>29</v>
      </c>
      <c r="BJ54" s="14">
        <f>IF(ISTEXT(Table2[[#This Row],[j.cam]]),Table2[[#This Row],[j]],Table2[[#This Row],[j.cam]])</f>
        <v>29</v>
      </c>
      <c r="BK54" s="9">
        <v>33</v>
      </c>
      <c r="BL54" s="15">
        <f>IF(ISTEXT(Table2[[#This Row],[k.cam]]), Table2[[#This Row],[k]], Table2[[#This Row],[k.cam]])</f>
        <v>33</v>
      </c>
      <c r="BM54" s="4" t="s">
        <v>24</v>
      </c>
      <c r="BN54" s="8" t="s">
        <v>24</v>
      </c>
      <c r="BO54" s="4">
        <v>3</v>
      </c>
      <c r="BP54" s="4">
        <f>Table2[[#This Row],[final_obs_date]]-Table2[[#This Row],[i]]</f>
        <v>8</v>
      </c>
      <c r="BQ54" s="4" t="b">
        <f>Table2[[#This Row],[final_obs_date2]]&gt;Table2[[#This Row],[estHD]]+3</f>
        <v>0</v>
      </c>
      <c r="BR54" s="4" t="s">
        <v>27</v>
      </c>
      <c r="BS54" s="4" t="s">
        <v>28</v>
      </c>
      <c r="BT54" s="79" t="s">
        <v>1036</v>
      </c>
      <c r="BU54" s="26" t="s">
        <v>97</v>
      </c>
      <c r="BV54" s="79" t="s">
        <v>1454</v>
      </c>
      <c r="BW54" s="49"/>
      <c r="BX54" s="47"/>
      <c r="BY54" s="36" t="s">
        <v>518</v>
      </c>
    </row>
    <row r="55" spans="1:77" ht="15" hidden="1" thickBot="1" x14ac:dyDescent="0.4">
      <c r="A55" s="62">
        <v>10056</v>
      </c>
      <c r="B55" s="2" t="s">
        <v>35</v>
      </c>
      <c r="C55" s="44">
        <v>2019</v>
      </c>
      <c r="D55" s="3">
        <v>29.76455</v>
      </c>
      <c r="E55" s="3">
        <v>-93.149060000000006</v>
      </c>
      <c r="F55" s="3" t="s">
        <v>24</v>
      </c>
      <c r="G55" s="3" t="s">
        <v>24</v>
      </c>
      <c r="H55" s="3" t="s">
        <v>26</v>
      </c>
      <c r="I55" s="43"/>
      <c r="J55" s="55">
        <v>44</v>
      </c>
      <c r="K55" s="4">
        <v>44</v>
      </c>
      <c r="L55" s="22">
        <f>IF(ISNUMBER(Table2[[#This Row],[estHD]]),ABS(Table2[[#This Row],[HD]]-Table2[[#This Row],[estHD]]),"NA")</f>
        <v>0</v>
      </c>
      <c r="M55" s="4" t="b">
        <f>Table2[[#This Row],[HD]]=Table2[[#This Row],[estHD]]</f>
        <v>1</v>
      </c>
      <c r="N55" s="4" t="str">
        <f>IF(ISNUMBER([1]!Table2[[#This Row],[hatch_date]]),[1]!Table2[[#This Row],[hatch_date]]-19,"NA")</f>
        <v>NA</v>
      </c>
      <c r="O55" s="31">
        <v>25</v>
      </c>
      <c r="P55" s="23">
        <f>IF(ISNUMBER(Table2[[#This Row],[nest_age1]]),ABS(Table2[[#This Row],[nest_age1]]-Table2[[#This Row],[nest_age_feb]]),"NA")</f>
        <v>0</v>
      </c>
      <c r="Q55" s="24">
        <f>IF(ISNUMBER(Table2[[#This Row],[final_obs_int2]]),ABS(Table2[[#This Row],[final_obs_int2]]-Table2[[#This Row],[final_obs_int_feb]]), "NA")</f>
        <v>0</v>
      </c>
      <c r="R55" s="24"/>
      <c r="S55" s="57" t="s">
        <v>88</v>
      </c>
      <c r="T55" s="57" t="str">
        <f>Table2[[#This Row],[camera_old]]</f>
        <v>N</v>
      </c>
      <c r="U55" s="24"/>
      <c r="V55" s="16" t="s">
        <v>24</v>
      </c>
      <c r="W55" s="16">
        <v>8</v>
      </c>
      <c r="X55" s="145">
        <v>4</v>
      </c>
      <c r="Y55" s="147" t="s">
        <v>31</v>
      </c>
      <c r="Z55" s="146" t="s">
        <v>31</v>
      </c>
      <c r="AA55" s="4" t="str">
        <f>Table2[[#This Row],[field_fate]]</f>
        <v>D</v>
      </c>
      <c r="AB55" s="4" t="str">
        <f>Table2[[#This Row],[field_fate2]]</f>
        <v>D</v>
      </c>
      <c r="AC55" s="4" t="str">
        <f>Table2[[#This Row],[field_fate3]]</f>
        <v>D</v>
      </c>
      <c r="AD55" s="4" t="str">
        <f>Table2[[#This Row],[field_fate4]]</f>
        <v>D</v>
      </c>
      <c r="AE55" s="4" t="str">
        <f>Table2[[#This Row],[field_fate5]]</f>
        <v>D</v>
      </c>
      <c r="AF55" s="4" t="str">
        <f>Table2[[#This Row],[field_fate5]]</f>
        <v>D</v>
      </c>
      <c r="AG55" s="4" t="str">
        <f>Table2[[#This Row],[field_fate5]]</f>
        <v>D</v>
      </c>
      <c r="AH55" s="4" t="str">
        <f>Table2[[#This Row],[field_fate2]]</f>
        <v>D</v>
      </c>
      <c r="AI55" s="4" t="str">
        <f>Table2[[#This Row],[field_fate8]]</f>
        <v>D</v>
      </c>
      <c r="AJ55" s="4" t="str">
        <f>Table2[[#This Row],[field_fate10]]</f>
        <v>D</v>
      </c>
      <c r="AK55" s="4" t="b">
        <f>Table2[[#This Row],[field_fate_feb]]=Table2[[#This Row],[field_fate10]]</f>
        <v>1</v>
      </c>
      <c r="AL55" s="43" t="s">
        <v>24</v>
      </c>
      <c r="AM55" s="43" t="b">
        <f>Table2[[#This Row],[cam_fate2]]="NA"</f>
        <v>1</v>
      </c>
      <c r="AN55" s="19" t="str">
        <f>Table2[[#This Row],[cam_fate1]]</f>
        <v>NA</v>
      </c>
      <c r="AO55" s="2" t="s">
        <v>31</v>
      </c>
      <c r="AP55" s="5" t="str">
        <f>Table2[[#This Row],[final_fate1]]</f>
        <v>D</v>
      </c>
      <c r="AQ55" s="6">
        <v>8</v>
      </c>
      <c r="AR55" s="7">
        <v>8</v>
      </c>
      <c r="AS55" s="7">
        <f>Table2[[#This Row],[final_obs_date]]-Table2[[#This Row],[init_date]]</f>
        <v>8</v>
      </c>
      <c r="AT55" s="7">
        <f>(Table2[[#This Row],[final_obs_date2]]-Table2[[#This Row],[estHD]])+16</f>
        <v>5</v>
      </c>
      <c r="AU55" s="38">
        <v>4</v>
      </c>
      <c r="AV55" s="33">
        <v>4</v>
      </c>
      <c r="AW55" s="33">
        <f>Table2[[#This Row],[final_obs_date2]]-Table2[[#This Row],[pen_obs_date]]</f>
        <v>33</v>
      </c>
      <c r="AX55" s="67">
        <v>33</v>
      </c>
      <c r="AY55" s="6">
        <f>Table2[[#This Row],[final_obs_date]]</f>
        <v>33</v>
      </c>
      <c r="AZ55" s="6"/>
      <c r="BA55" s="91" t="s">
        <v>47</v>
      </c>
      <c r="BB55" s="6" t="b">
        <f>Table2[[#This Row],[final_obs_date]]&lt;(Table2[[#This Row],[estHD]]-2)</f>
        <v>1</v>
      </c>
      <c r="BC55" s="24">
        <f>IF(Table2[[#This Row],[field_fate]]="H",1,0)</f>
        <v>0</v>
      </c>
      <c r="BD55" s="16">
        <f>IF(Table2[[#This Row],[cam_fate2]]="H",1,0)</f>
        <v>0</v>
      </c>
      <c r="BE55" s="6" t="b">
        <f>NOT(Table2[[#This Row],[HF_C]]=Table2[[#This Row],[HF]])</f>
        <v>0</v>
      </c>
      <c r="BF55" s="6" t="b">
        <f>NOT(Table2[[#This Row],[cam_fate2]]=Table2[[#This Row],[field_fate3]])</f>
        <v>1</v>
      </c>
      <c r="BG55" s="6" t="b">
        <f>OR(Table2[[#This Row],[field_fate3]]="U",Table2[[#This Row],[field_fate3]]="U-H")</f>
        <v>0</v>
      </c>
      <c r="BH55" s="8">
        <v>25</v>
      </c>
      <c r="BI55" s="8">
        <v>29</v>
      </c>
      <c r="BJ55" s="14">
        <f>IF(ISTEXT(Table2[[#This Row],[j.cam]]),Table2[[#This Row],[j]],Table2[[#This Row],[j.cam]])</f>
        <v>29</v>
      </c>
      <c r="BK55" s="9">
        <v>33</v>
      </c>
      <c r="BL55" s="15">
        <f>IF(ISTEXT(Table2[[#This Row],[k.cam]]), Table2[[#This Row],[k]], Table2[[#This Row],[k.cam]])</f>
        <v>33</v>
      </c>
      <c r="BM55" s="4" t="s">
        <v>24</v>
      </c>
      <c r="BN55" s="8" t="s">
        <v>24</v>
      </c>
      <c r="BO55" s="4">
        <v>3</v>
      </c>
      <c r="BP55" s="4">
        <f>Table2[[#This Row],[final_obs_date]]-Table2[[#This Row],[i]]</f>
        <v>8</v>
      </c>
      <c r="BQ55" s="4" t="b">
        <f>Table2[[#This Row],[final_obs_date2]]&gt;Table2[[#This Row],[estHD]]+3</f>
        <v>0</v>
      </c>
      <c r="BR55" s="4" t="s">
        <v>58</v>
      </c>
      <c r="BS55" s="4" t="s">
        <v>28</v>
      </c>
      <c r="BT55" s="79" t="s">
        <v>1036</v>
      </c>
      <c r="BU55" s="26" t="s">
        <v>85</v>
      </c>
      <c r="BV55" s="79" t="s">
        <v>1454</v>
      </c>
      <c r="BW55" s="49"/>
      <c r="BX55" s="47"/>
      <c r="BY55" s="36" t="s">
        <v>519</v>
      </c>
    </row>
    <row r="56" spans="1:77" ht="15" hidden="1" thickBot="1" x14ac:dyDescent="0.4">
      <c r="A56" s="62">
        <v>10057</v>
      </c>
      <c r="B56" s="2" t="s">
        <v>30</v>
      </c>
      <c r="C56" s="44">
        <v>2019</v>
      </c>
      <c r="D56" s="3">
        <v>29.636189999999999</v>
      </c>
      <c r="E56" s="3">
        <v>-92.768870000000007</v>
      </c>
      <c r="F56" s="3" t="s">
        <v>24</v>
      </c>
      <c r="G56" s="3" t="s">
        <v>24</v>
      </c>
      <c r="H56" s="3" t="s">
        <v>462</v>
      </c>
      <c r="I56" s="43"/>
      <c r="J56" s="55">
        <v>41</v>
      </c>
      <c r="K56" s="4">
        <v>41</v>
      </c>
      <c r="L56" s="22">
        <f>IF(ISNUMBER(Table2[[#This Row],[estHD]]),ABS(Table2[[#This Row],[HD]]-Table2[[#This Row],[estHD]]),"NA")</f>
        <v>0</v>
      </c>
      <c r="M56" s="4" t="b">
        <f>Table2[[#This Row],[HD]]=Table2[[#This Row],[estHD]]</f>
        <v>1</v>
      </c>
      <c r="N56" s="4" t="str">
        <f>IF(ISNUMBER([1]!Table2[[#This Row],[hatch_date]]),[1]!Table2[[#This Row],[hatch_date]]-19,"NA")</f>
        <v>NA</v>
      </c>
      <c r="O56" s="31">
        <v>22</v>
      </c>
      <c r="P56" s="23">
        <f>IF(ISNUMBER(Table2[[#This Row],[nest_age1]]),ABS(Table2[[#This Row],[nest_age1]]-Table2[[#This Row],[nest_age_feb]]),"NA")</f>
        <v>0</v>
      </c>
      <c r="Q56" s="24">
        <f>IF(ISNUMBER(Table2[[#This Row],[final_obs_int2]]),ABS(Table2[[#This Row],[final_obs_int2]]-Table2[[#This Row],[final_obs_int_feb]]), "NA")</f>
        <v>0</v>
      </c>
      <c r="R56" s="24"/>
      <c r="S56" s="57" t="s">
        <v>88</v>
      </c>
      <c r="T56" s="57" t="str">
        <f>Table2[[#This Row],[camera_old]]</f>
        <v>N</v>
      </c>
      <c r="U56" s="24"/>
      <c r="V56" s="16" t="s">
        <v>24</v>
      </c>
      <c r="W56" s="16">
        <v>11</v>
      </c>
      <c r="X56" s="145">
        <v>5</v>
      </c>
      <c r="Y56" s="147" t="s">
        <v>25</v>
      </c>
      <c r="Z56" s="146" t="s">
        <v>25</v>
      </c>
      <c r="AA56" s="4" t="str">
        <f>Table2[[#This Row],[field_fate]]</f>
        <v>S</v>
      </c>
      <c r="AB56" s="4" t="str">
        <f>Table2[[#This Row],[field_fate2]]</f>
        <v>S</v>
      </c>
      <c r="AC56" s="4" t="str">
        <f>Table2[[#This Row],[field_fate3]]</f>
        <v>S</v>
      </c>
      <c r="AD56" s="4" t="str">
        <f>Table2[[#This Row],[field_fate4]]</f>
        <v>S</v>
      </c>
      <c r="AE56" s="4" t="str">
        <f>Table2[[#This Row],[field_fate5]]</f>
        <v>S</v>
      </c>
      <c r="AF56" s="4" t="str">
        <f>Table2[[#This Row],[field_fate5]]</f>
        <v>S</v>
      </c>
      <c r="AG56" s="4" t="str">
        <f>Table2[[#This Row],[field_fate5]]</f>
        <v>S</v>
      </c>
      <c r="AH56" s="4" t="str">
        <f>Table2[[#This Row],[field_fate2]]</f>
        <v>S</v>
      </c>
      <c r="AI56" s="4" t="str">
        <f>Table2[[#This Row],[field_fate8]]</f>
        <v>S</v>
      </c>
      <c r="AJ56" s="4" t="str">
        <f>Table2[[#This Row],[field_fate10]]</f>
        <v>S</v>
      </c>
      <c r="AK56" s="4" t="b">
        <f>Table2[[#This Row],[field_fate_feb]]=Table2[[#This Row],[field_fate10]]</f>
        <v>1</v>
      </c>
      <c r="AL56" s="43" t="s">
        <v>24</v>
      </c>
      <c r="AM56" s="43" t="b">
        <f>Table2[[#This Row],[cam_fate2]]="NA"</f>
        <v>1</v>
      </c>
      <c r="AN56" s="19" t="str">
        <f>Table2[[#This Row],[cam_fate1]]</f>
        <v>NA</v>
      </c>
      <c r="AO56" s="2" t="s">
        <v>25</v>
      </c>
      <c r="AP56" s="5" t="str">
        <f>Table2[[#This Row],[final_fate1]]</f>
        <v>S</v>
      </c>
      <c r="AQ56" s="6">
        <v>11</v>
      </c>
      <c r="AR56" s="7">
        <v>11</v>
      </c>
      <c r="AS56" s="7">
        <f>Table2[[#This Row],[final_obs_date]]-Table2[[#This Row],[init_date]]</f>
        <v>11</v>
      </c>
      <c r="AT56" s="7">
        <f>(Table2[[#This Row],[final_obs_date2]]-Table2[[#This Row],[estHD]])+16</f>
        <v>8</v>
      </c>
      <c r="AU56" s="38">
        <v>5</v>
      </c>
      <c r="AV56" s="33">
        <v>5</v>
      </c>
      <c r="AW56" s="33">
        <f>Table2[[#This Row],[final_obs_date2]]-Table2[[#This Row],[pen_obs_date]]</f>
        <v>33</v>
      </c>
      <c r="AX56" s="67">
        <v>33</v>
      </c>
      <c r="AY56" s="6">
        <f>Table2[[#This Row],[final_obs_date]]</f>
        <v>33</v>
      </c>
      <c r="AZ56" s="6"/>
      <c r="BA56" s="91" t="s">
        <v>47</v>
      </c>
      <c r="BB56" s="6" t="b">
        <f>Table2[[#This Row],[final_obs_date]]&lt;(Table2[[#This Row],[estHD]]-2)</f>
        <v>1</v>
      </c>
      <c r="BC56" s="24">
        <f>IF(Table2[[#This Row],[field_fate]]="H",1,0)</f>
        <v>0</v>
      </c>
      <c r="BD56" s="16">
        <f>IF(Table2[[#This Row],[cam_fate2]]="H",1,0)</f>
        <v>0</v>
      </c>
      <c r="BE56" s="6" t="b">
        <f>NOT(Table2[[#This Row],[HF_C]]=Table2[[#This Row],[HF]])</f>
        <v>0</v>
      </c>
      <c r="BF56" s="6" t="b">
        <f>NOT(Table2[[#This Row],[cam_fate2]]=Table2[[#This Row],[field_fate3]])</f>
        <v>1</v>
      </c>
      <c r="BG56" s="6" t="b">
        <f>OR(Table2[[#This Row],[field_fate3]]="U",Table2[[#This Row],[field_fate3]]="U-H")</f>
        <v>0</v>
      </c>
      <c r="BH56" s="8">
        <v>26</v>
      </c>
      <c r="BI56" s="8">
        <v>28</v>
      </c>
      <c r="BJ56" s="14">
        <f>IF(ISTEXT(Table2[[#This Row],[j.cam]]),Table2[[#This Row],[j]],Table2[[#This Row],[j.cam]])</f>
        <v>28</v>
      </c>
      <c r="BK56" s="9">
        <v>33</v>
      </c>
      <c r="BL56" s="15">
        <f>IF(ISTEXT(Table2[[#This Row],[k.cam]]), Table2[[#This Row],[k]], Table2[[#This Row],[k.cam]])</f>
        <v>33</v>
      </c>
      <c r="BM56" s="4" t="s">
        <v>24</v>
      </c>
      <c r="BN56" s="8" t="s">
        <v>24</v>
      </c>
      <c r="BO56" s="4">
        <v>3</v>
      </c>
      <c r="BP56" s="4">
        <f>Table2[[#This Row],[final_obs_date]]-Table2[[#This Row],[i]]</f>
        <v>7</v>
      </c>
      <c r="BQ56" s="4" t="b">
        <f>Table2[[#This Row],[final_obs_date2]]&gt;Table2[[#This Row],[estHD]]+3</f>
        <v>0</v>
      </c>
      <c r="BR56" s="4" t="s">
        <v>27</v>
      </c>
      <c r="BS56" s="4" t="s">
        <v>28</v>
      </c>
      <c r="BT56" s="79" t="s">
        <v>1037</v>
      </c>
      <c r="BU56" s="26" t="s">
        <v>97</v>
      </c>
      <c r="BV56" s="79" t="s">
        <v>1455</v>
      </c>
      <c r="BW56" s="49"/>
      <c r="BX56" s="47"/>
      <c r="BY56" s="36" t="s">
        <v>503</v>
      </c>
    </row>
    <row r="57" spans="1:77" ht="15" hidden="1" thickBot="1" x14ac:dyDescent="0.4">
      <c r="A57" s="62">
        <v>10058</v>
      </c>
      <c r="B57" s="2" t="s">
        <v>30</v>
      </c>
      <c r="C57" s="44">
        <v>2019</v>
      </c>
      <c r="D57" s="3">
        <v>29.636220000000002</v>
      </c>
      <c r="E57" s="3">
        <v>-92.769180000000006</v>
      </c>
      <c r="F57" s="3" t="s">
        <v>24</v>
      </c>
      <c r="G57" s="3" t="s">
        <v>24</v>
      </c>
      <c r="H57" s="3" t="s">
        <v>462</v>
      </c>
      <c r="I57" s="43"/>
      <c r="J57" s="55">
        <v>41</v>
      </c>
      <c r="K57" s="4">
        <v>41</v>
      </c>
      <c r="L57" s="22">
        <f>IF(ISNUMBER(Table2[[#This Row],[estHD]]),ABS(Table2[[#This Row],[HD]]-Table2[[#This Row],[estHD]]),"NA")</f>
        <v>0</v>
      </c>
      <c r="M57" s="4" t="b">
        <f>Table2[[#This Row],[HD]]=Table2[[#This Row],[estHD]]</f>
        <v>1</v>
      </c>
      <c r="N57" s="4" t="str">
        <f>IF(ISNUMBER([1]!Table2[[#This Row],[hatch_date]]),[1]!Table2[[#This Row],[hatch_date]]-19,"NA")</f>
        <v>NA</v>
      </c>
      <c r="O57" s="31">
        <v>22</v>
      </c>
      <c r="P57" s="23">
        <f>IF(ISNUMBER(Table2[[#This Row],[nest_age1]]),ABS(Table2[[#This Row],[nest_age1]]-Table2[[#This Row],[nest_age_feb]]),"NA")</f>
        <v>0</v>
      </c>
      <c r="Q57" s="24">
        <f>IF(ISNUMBER(Table2[[#This Row],[final_obs_int2]]),ABS(Table2[[#This Row],[final_obs_int2]]-Table2[[#This Row],[final_obs_int_feb]]), "NA")</f>
        <v>0</v>
      </c>
      <c r="R57" s="24"/>
      <c r="S57" s="57" t="s">
        <v>88</v>
      </c>
      <c r="T57" s="57" t="str">
        <f>Table2[[#This Row],[camera_old]]</f>
        <v>N</v>
      </c>
      <c r="U57" s="24"/>
      <c r="V57" s="16" t="s">
        <v>24</v>
      </c>
      <c r="W57" s="16">
        <v>11</v>
      </c>
      <c r="X57" s="145">
        <v>5</v>
      </c>
      <c r="Y57" s="147" t="s">
        <v>25</v>
      </c>
      <c r="Z57" s="146" t="s">
        <v>25</v>
      </c>
      <c r="AA57" s="4" t="str">
        <f>Table2[[#This Row],[field_fate]]</f>
        <v>S</v>
      </c>
      <c r="AB57" s="4" t="str">
        <f>Table2[[#This Row],[field_fate2]]</f>
        <v>S</v>
      </c>
      <c r="AC57" s="4" t="str">
        <f>Table2[[#This Row],[field_fate3]]</f>
        <v>S</v>
      </c>
      <c r="AD57" s="4" t="str">
        <f>Table2[[#This Row],[field_fate4]]</f>
        <v>S</v>
      </c>
      <c r="AE57" s="4" t="str">
        <f>Table2[[#This Row],[field_fate5]]</f>
        <v>S</v>
      </c>
      <c r="AF57" s="4" t="str">
        <f>Table2[[#This Row],[field_fate5]]</f>
        <v>S</v>
      </c>
      <c r="AG57" s="4" t="str">
        <f>Table2[[#This Row],[field_fate5]]</f>
        <v>S</v>
      </c>
      <c r="AH57" s="4" t="str">
        <f>Table2[[#This Row],[field_fate2]]</f>
        <v>S</v>
      </c>
      <c r="AI57" s="4" t="str">
        <f>Table2[[#This Row],[field_fate8]]</f>
        <v>S</v>
      </c>
      <c r="AJ57" s="4" t="str">
        <f>Table2[[#This Row],[field_fate10]]</f>
        <v>S</v>
      </c>
      <c r="AK57" s="4" t="b">
        <f>Table2[[#This Row],[field_fate_feb]]=Table2[[#This Row],[field_fate10]]</f>
        <v>1</v>
      </c>
      <c r="AL57" s="43" t="s">
        <v>24</v>
      </c>
      <c r="AM57" s="43" t="b">
        <f>Table2[[#This Row],[cam_fate2]]="NA"</f>
        <v>1</v>
      </c>
      <c r="AN57" s="19" t="str">
        <f>Table2[[#This Row],[cam_fate1]]</f>
        <v>NA</v>
      </c>
      <c r="AO57" s="2" t="s">
        <v>25</v>
      </c>
      <c r="AP57" s="5" t="str">
        <f>Table2[[#This Row],[final_fate1]]</f>
        <v>S</v>
      </c>
      <c r="AQ57" s="6">
        <v>11</v>
      </c>
      <c r="AR57" s="7">
        <v>11</v>
      </c>
      <c r="AS57" s="7">
        <f>Table2[[#This Row],[final_obs_date]]-Table2[[#This Row],[init_date]]</f>
        <v>11</v>
      </c>
      <c r="AT57" s="7">
        <f>(Table2[[#This Row],[final_obs_date2]]-Table2[[#This Row],[estHD]])+16</f>
        <v>8</v>
      </c>
      <c r="AU57" s="38">
        <v>5</v>
      </c>
      <c r="AV57" s="33">
        <v>5</v>
      </c>
      <c r="AW57" s="33">
        <f>Table2[[#This Row],[final_obs_date2]]-Table2[[#This Row],[pen_obs_date]]</f>
        <v>33</v>
      </c>
      <c r="AX57" s="67">
        <v>33</v>
      </c>
      <c r="AY57" s="6">
        <f>Table2[[#This Row],[final_obs_date]]</f>
        <v>33</v>
      </c>
      <c r="AZ57" s="6"/>
      <c r="BA57" s="91" t="s">
        <v>47</v>
      </c>
      <c r="BB57" s="6" t="b">
        <f>Table2[[#This Row],[final_obs_date]]&lt;(Table2[[#This Row],[estHD]]-2)</f>
        <v>1</v>
      </c>
      <c r="BC57" s="24">
        <f>IF(Table2[[#This Row],[field_fate]]="H",1,0)</f>
        <v>0</v>
      </c>
      <c r="BD57" s="16">
        <f>IF(Table2[[#This Row],[cam_fate2]]="H",1,0)</f>
        <v>0</v>
      </c>
      <c r="BE57" s="6" t="b">
        <f>NOT(Table2[[#This Row],[HF_C]]=Table2[[#This Row],[HF]])</f>
        <v>0</v>
      </c>
      <c r="BF57" s="6" t="b">
        <f>NOT(Table2[[#This Row],[cam_fate2]]=Table2[[#This Row],[field_fate3]])</f>
        <v>1</v>
      </c>
      <c r="BG57" s="6" t="b">
        <f>OR(Table2[[#This Row],[field_fate3]]="U",Table2[[#This Row],[field_fate3]]="U-H")</f>
        <v>0</v>
      </c>
      <c r="BH57" s="8">
        <v>26</v>
      </c>
      <c r="BI57" s="8">
        <v>28</v>
      </c>
      <c r="BJ57" s="14">
        <f>IF(ISTEXT(Table2[[#This Row],[j.cam]]),Table2[[#This Row],[j]],Table2[[#This Row],[j.cam]])</f>
        <v>28</v>
      </c>
      <c r="BK57" s="9">
        <v>33</v>
      </c>
      <c r="BL57" s="15">
        <f>IF(ISTEXT(Table2[[#This Row],[k.cam]]), Table2[[#This Row],[k]], Table2[[#This Row],[k.cam]])</f>
        <v>33</v>
      </c>
      <c r="BM57" s="4" t="s">
        <v>24</v>
      </c>
      <c r="BN57" s="8" t="s">
        <v>24</v>
      </c>
      <c r="BO57" s="4">
        <v>3</v>
      </c>
      <c r="BP57" s="4">
        <f>Table2[[#This Row],[final_obs_date]]-Table2[[#This Row],[i]]</f>
        <v>7</v>
      </c>
      <c r="BQ57" s="4" t="b">
        <f>Table2[[#This Row],[final_obs_date2]]&gt;Table2[[#This Row],[estHD]]+3</f>
        <v>0</v>
      </c>
      <c r="BR57" s="4" t="s">
        <v>33</v>
      </c>
      <c r="BS57" s="4" t="s">
        <v>28</v>
      </c>
      <c r="BT57" s="79" t="s">
        <v>1037</v>
      </c>
      <c r="BU57" s="26" t="s">
        <v>64</v>
      </c>
      <c r="BV57" s="79" t="s">
        <v>1455</v>
      </c>
      <c r="BW57" s="49"/>
      <c r="BX57" s="47"/>
      <c r="BY57" s="36" t="s">
        <v>503</v>
      </c>
    </row>
    <row r="58" spans="1:77" ht="15" hidden="1" thickBot="1" x14ac:dyDescent="0.4">
      <c r="A58" s="62">
        <v>10059</v>
      </c>
      <c r="B58" s="2" t="s">
        <v>30</v>
      </c>
      <c r="C58" s="44">
        <v>2019</v>
      </c>
      <c r="D58" s="3">
        <v>29.63626</v>
      </c>
      <c r="E58" s="3">
        <v>-92.76952</v>
      </c>
      <c r="F58" s="3" t="s">
        <v>24</v>
      </c>
      <c r="G58" s="3" t="s">
        <v>24</v>
      </c>
      <c r="H58" s="3" t="s">
        <v>462</v>
      </c>
      <c r="I58" s="43"/>
      <c r="J58" s="55">
        <v>46</v>
      </c>
      <c r="K58" s="4">
        <v>46</v>
      </c>
      <c r="L58" s="22">
        <f>IF(ISNUMBER(Table2[[#This Row],[estHD]]),ABS(Table2[[#This Row],[HD]]-Table2[[#This Row],[estHD]]),"NA")</f>
        <v>0</v>
      </c>
      <c r="M58" s="4" t="b">
        <f>Table2[[#This Row],[HD]]=Table2[[#This Row],[estHD]]</f>
        <v>1</v>
      </c>
      <c r="N58" s="4" t="str">
        <f>IF(ISNUMBER([1]!Table2[[#This Row],[hatch_date]]),[1]!Table2[[#This Row],[hatch_date]]-19,"NA")</f>
        <v>NA</v>
      </c>
      <c r="O58" s="31">
        <v>27</v>
      </c>
      <c r="P58" s="23">
        <f>IF(ISNUMBER(Table2[[#This Row],[nest_age1]]),ABS(Table2[[#This Row],[nest_age1]]-Table2[[#This Row],[nest_age_feb]]),"NA")</f>
        <v>0</v>
      </c>
      <c r="Q58" s="24">
        <f>IF(ISNUMBER(Table2[[#This Row],[final_obs_int2]]),ABS(Table2[[#This Row],[final_obs_int2]]-Table2[[#This Row],[final_obs_int_feb]]), "NA")</f>
        <v>0</v>
      </c>
      <c r="R58" s="24"/>
      <c r="S58" s="57" t="s">
        <v>88</v>
      </c>
      <c r="T58" s="57" t="str">
        <f>Table2[[#This Row],[camera_old]]</f>
        <v>N</v>
      </c>
      <c r="U58" s="24"/>
      <c r="V58" s="16" t="s">
        <v>24</v>
      </c>
      <c r="W58" s="16">
        <v>6</v>
      </c>
      <c r="X58" s="145">
        <v>5</v>
      </c>
      <c r="Y58" s="147" t="s">
        <v>25</v>
      </c>
      <c r="Z58" s="146" t="s">
        <v>25</v>
      </c>
      <c r="AA58" s="4" t="str">
        <f>Table2[[#This Row],[field_fate]]</f>
        <v>S</v>
      </c>
      <c r="AB58" s="4" t="str">
        <f>Table2[[#This Row],[field_fate2]]</f>
        <v>S</v>
      </c>
      <c r="AC58" s="4" t="str">
        <f>Table2[[#This Row],[field_fate3]]</f>
        <v>S</v>
      </c>
      <c r="AD58" s="4" t="str">
        <f>Table2[[#This Row],[field_fate4]]</f>
        <v>S</v>
      </c>
      <c r="AE58" s="4" t="str">
        <f>Table2[[#This Row],[field_fate5]]</f>
        <v>S</v>
      </c>
      <c r="AF58" s="4" t="str">
        <f>Table2[[#This Row],[field_fate5]]</f>
        <v>S</v>
      </c>
      <c r="AG58" s="4" t="str">
        <f>Table2[[#This Row],[field_fate5]]</f>
        <v>S</v>
      </c>
      <c r="AH58" s="4" t="str">
        <f>Table2[[#This Row],[field_fate2]]</f>
        <v>S</v>
      </c>
      <c r="AI58" s="4" t="str">
        <f>Table2[[#This Row],[field_fate8]]</f>
        <v>S</v>
      </c>
      <c r="AJ58" s="4" t="str">
        <f>Table2[[#This Row],[field_fate10]]</f>
        <v>S</v>
      </c>
      <c r="AK58" s="4" t="b">
        <f>Table2[[#This Row],[field_fate_feb]]=Table2[[#This Row],[field_fate10]]</f>
        <v>1</v>
      </c>
      <c r="AL58" s="43" t="s">
        <v>24</v>
      </c>
      <c r="AM58" s="43" t="b">
        <f>Table2[[#This Row],[cam_fate2]]="NA"</f>
        <v>1</v>
      </c>
      <c r="AN58" s="19" t="str">
        <f>Table2[[#This Row],[cam_fate1]]</f>
        <v>NA</v>
      </c>
      <c r="AO58" s="2" t="s">
        <v>25</v>
      </c>
      <c r="AP58" s="5" t="str">
        <f>Table2[[#This Row],[final_fate1]]</f>
        <v>S</v>
      </c>
      <c r="AQ58" s="6">
        <v>6</v>
      </c>
      <c r="AR58" s="7">
        <v>6</v>
      </c>
      <c r="AS58" s="7">
        <f>Table2[[#This Row],[final_obs_date]]-Table2[[#This Row],[init_date]]</f>
        <v>6</v>
      </c>
      <c r="AT58" s="7">
        <f>(Table2[[#This Row],[final_obs_date2]]-Table2[[#This Row],[estHD]])+16</f>
        <v>3</v>
      </c>
      <c r="AU58" s="38">
        <v>5</v>
      </c>
      <c r="AV58" s="33">
        <v>5</v>
      </c>
      <c r="AW58" s="33">
        <f>Table2[[#This Row],[final_obs_date2]]-Table2[[#This Row],[pen_obs_date]]</f>
        <v>33</v>
      </c>
      <c r="AX58" s="67">
        <v>33</v>
      </c>
      <c r="AY58" s="6">
        <f>Table2[[#This Row],[final_obs_date]]</f>
        <v>33</v>
      </c>
      <c r="AZ58" s="6"/>
      <c r="BA58" s="91" t="s">
        <v>47</v>
      </c>
      <c r="BB58" s="6" t="b">
        <f>Table2[[#This Row],[final_obs_date]]&lt;(Table2[[#This Row],[estHD]]-2)</f>
        <v>1</v>
      </c>
      <c r="BC58" s="24">
        <f>IF(Table2[[#This Row],[field_fate]]="H",1,0)</f>
        <v>0</v>
      </c>
      <c r="BD58" s="16">
        <f>IF(Table2[[#This Row],[cam_fate2]]="H",1,0)</f>
        <v>0</v>
      </c>
      <c r="BE58" s="6" t="b">
        <f>NOT(Table2[[#This Row],[HF_C]]=Table2[[#This Row],[HF]])</f>
        <v>0</v>
      </c>
      <c r="BF58" s="6" t="b">
        <f>NOT(Table2[[#This Row],[cam_fate2]]=Table2[[#This Row],[field_fate3]])</f>
        <v>1</v>
      </c>
      <c r="BG58" s="6" t="b">
        <f>OR(Table2[[#This Row],[field_fate3]]="U",Table2[[#This Row],[field_fate3]]="U-H")</f>
        <v>0</v>
      </c>
      <c r="BH58" s="8">
        <v>26</v>
      </c>
      <c r="BI58" s="8">
        <v>28</v>
      </c>
      <c r="BJ58" s="14">
        <f>IF(ISTEXT(Table2[[#This Row],[j.cam]]),Table2[[#This Row],[j]],Table2[[#This Row],[j.cam]])</f>
        <v>28</v>
      </c>
      <c r="BK58" s="9">
        <v>33</v>
      </c>
      <c r="BL58" s="15">
        <f>IF(ISTEXT(Table2[[#This Row],[k.cam]]), Table2[[#This Row],[k]], Table2[[#This Row],[k.cam]])</f>
        <v>33</v>
      </c>
      <c r="BM58" s="4" t="s">
        <v>24</v>
      </c>
      <c r="BN58" s="8" t="s">
        <v>24</v>
      </c>
      <c r="BO58" s="4">
        <v>3</v>
      </c>
      <c r="BP58" s="4">
        <f>Table2[[#This Row],[final_obs_date]]-Table2[[#This Row],[i]]</f>
        <v>7</v>
      </c>
      <c r="BQ58" s="4" t="b">
        <f>Table2[[#This Row],[final_obs_date2]]&gt;Table2[[#This Row],[estHD]]+3</f>
        <v>0</v>
      </c>
      <c r="BR58" s="4" t="s">
        <v>27</v>
      </c>
      <c r="BS58" s="4" t="s">
        <v>28</v>
      </c>
      <c r="BT58" s="79" t="s">
        <v>1037</v>
      </c>
      <c r="BU58" s="26" t="s">
        <v>96</v>
      </c>
      <c r="BV58" s="79" t="s">
        <v>1455</v>
      </c>
      <c r="BW58" s="49"/>
      <c r="BX58" s="47"/>
      <c r="BY58" s="36" t="s">
        <v>503</v>
      </c>
    </row>
    <row r="59" spans="1:77" ht="15" hidden="1" thickBot="1" x14ac:dyDescent="0.4">
      <c r="A59" s="62">
        <v>10060</v>
      </c>
      <c r="B59" s="2" t="s">
        <v>30</v>
      </c>
      <c r="C59" s="44">
        <v>2019</v>
      </c>
      <c r="D59" s="3">
        <v>29.636369999999999</v>
      </c>
      <c r="E59" s="3">
        <v>-92.771019999999993</v>
      </c>
      <c r="F59" s="3" t="s">
        <v>24</v>
      </c>
      <c r="G59" s="3" t="s">
        <v>24</v>
      </c>
      <c r="H59" s="3" t="s">
        <v>462</v>
      </c>
      <c r="I59" s="43"/>
      <c r="J59" s="55">
        <v>45</v>
      </c>
      <c r="K59" s="4">
        <v>45</v>
      </c>
      <c r="L59" s="22">
        <f>IF(ISNUMBER(Table2[[#This Row],[estHD]]),ABS(Table2[[#This Row],[HD]]-Table2[[#This Row],[estHD]]),"NA")</f>
        <v>0</v>
      </c>
      <c r="M59" s="4" t="b">
        <f>Table2[[#This Row],[HD]]=Table2[[#This Row],[estHD]]</f>
        <v>1</v>
      </c>
      <c r="N59" s="4" t="str">
        <f>IF(ISNUMBER([1]!Table2[[#This Row],[hatch_date]]), [1]!Table2[[#This Row],[hatch_date]]-28, "NA")</f>
        <v>NA</v>
      </c>
      <c r="O59" s="31">
        <v>17</v>
      </c>
      <c r="P59" s="23">
        <f>IF(ISNUMBER(Table2[[#This Row],[nest_age1]]),ABS(Table2[[#This Row],[nest_age1]]-Table2[[#This Row],[nest_age_feb]]),"NA")</f>
        <v>0</v>
      </c>
      <c r="Q59" s="24">
        <f>IF(ISNUMBER(Table2[[#This Row],[final_obs_int2]]),ABS(Table2[[#This Row],[final_obs_int2]]-Table2[[#This Row],[final_obs_int_feb]]), "NA")</f>
        <v>0</v>
      </c>
      <c r="R59" s="24"/>
      <c r="S59" s="57" t="s">
        <v>88</v>
      </c>
      <c r="T59" s="57" t="str">
        <f>Table2[[#This Row],[camera_old]]</f>
        <v>N</v>
      </c>
      <c r="U59" s="24"/>
      <c r="V59" s="16" t="s">
        <v>24</v>
      </c>
      <c r="W59" s="16">
        <v>16</v>
      </c>
      <c r="X59" s="145">
        <v>5</v>
      </c>
      <c r="Y59" s="147" t="s">
        <v>25</v>
      </c>
      <c r="Z59" s="146" t="s">
        <v>25</v>
      </c>
      <c r="AA59" s="4" t="str">
        <f>Table2[[#This Row],[field_fate]]</f>
        <v>S</v>
      </c>
      <c r="AB59" s="4" t="str">
        <f>Table2[[#This Row],[field_fate2]]</f>
        <v>S</v>
      </c>
      <c r="AC59" s="4" t="str">
        <f>Table2[[#This Row],[field_fate3]]</f>
        <v>S</v>
      </c>
      <c r="AD59" s="4" t="str">
        <f>Table2[[#This Row],[field_fate4]]</f>
        <v>S</v>
      </c>
      <c r="AE59" s="4" t="str">
        <f>Table2[[#This Row],[field_fate5]]</f>
        <v>S</v>
      </c>
      <c r="AF59" s="4" t="str">
        <f>Table2[[#This Row],[field_fate5]]</f>
        <v>S</v>
      </c>
      <c r="AG59" s="4" t="str">
        <f>Table2[[#This Row],[field_fate5]]</f>
        <v>S</v>
      </c>
      <c r="AH59" s="4" t="str">
        <f>Table2[[#This Row],[field_fate2]]</f>
        <v>S</v>
      </c>
      <c r="AI59" s="4" t="str">
        <f>Table2[[#This Row],[field_fate8]]</f>
        <v>S</v>
      </c>
      <c r="AJ59" s="4" t="str">
        <f>Table2[[#This Row],[field_fate10]]</f>
        <v>S</v>
      </c>
      <c r="AK59" s="4" t="b">
        <f>Table2[[#This Row],[field_fate_feb]]=Table2[[#This Row],[field_fate10]]</f>
        <v>1</v>
      </c>
      <c r="AL59" s="43" t="s">
        <v>24</v>
      </c>
      <c r="AM59" s="43" t="b">
        <f>Table2[[#This Row],[cam_fate2]]="NA"</f>
        <v>1</v>
      </c>
      <c r="AN59" s="19" t="str">
        <f>Table2[[#This Row],[cam_fate1]]</f>
        <v>NA</v>
      </c>
      <c r="AO59" s="2" t="s">
        <v>25</v>
      </c>
      <c r="AP59" s="5" t="str">
        <f>Table2[[#This Row],[final_fate1]]</f>
        <v>S</v>
      </c>
      <c r="AQ59" s="6">
        <v>16</v>
      </c>
      <c r="AR59" s="7">
        <v>16</v>
      </c>
      <c r="AS59" s="7">
        <f>Table2[[#This Row],[final_obs_date]]-Table2[[#This Row],[init_date]]</f>
        <v>16</v>
      </c>
      <c r="AT59" s="7">
        <f>(Table2[[#This Row],[final_obs_date2]]-Table2[[#This Row],[estHD]])+16</f>
        <v>4</v>
      </c>
      <c r="AU59" s="38">
        <v>5</v>
      </c>
      <c r="AV59" s="33">
        <v>5</v>
      </c>
      <c r="AW59" s="33">
        <f>Table2[[#This Row],[final_obs_date2]]-Table2[[#This Row],[pen_obs_date]]</f>
        <v>33</v>
      </c>
      <c r="AX59" s="67">
        <v>33</v>
      </c>
      <c r="AY59" s="6">
        <f>Table2[[#This Row],[final_obs_date]]</f>
        <v>33</v>
      </c>
      <c r="AZ59" s="6"/>
      <c r="BA59" s="91" t="s">
        <v>23</v>
      </c>
      <c r="BB59" s="6" t="b">
        <f>Table2[[#This Row],[final_obs_date]]&lt;(Table2[[#This Row],[estHD]]-2)</f>
        <v>1</v>
      </c>
      <c r="BC59" s="24">
        <f>IF(Table2[[#This Row],[field_fate]]="H",1,0)</f>
        <v>0</v>
      </c>
      <c r="BD59" s="16">
        <f>IF(Table2[[#This Row],[cam_fate2]]="H",1,0)</f>
        <v>0</v>
      </c>
      <c r="BE59" s="6" t="b">
        <f>NOT(Table2[[#This Row],[HF_C]]=Table2[[#This Row],[HF]])</f>
        <v>0</v>
      </c>
      <c r="BF59" s="6" t="b">
        <f>NOT(Table2[[#This Row],[cam_fate2]]=Table2[[#This Row],[field_fate3]])</f>
        <v>1</v>
      </c>
      <c r="BG59" s="6" t="b">
        <f>OR(Table2[[#This Row],[field_fate3]]="U",Table2[[#This Row],[field_fate3]]="U-H")</f>
        <v>0</v>
      </c>
      <c r="BH59" s="8">
        <v>26</v>
      </c>
      <c r="BI59" s="8">
        <v>28</v>
      </c>
      <c r="BJ59" s="14">
        <f>IF(ISTEXT(Table2[[#This Row],[j.cam]]),Table2[[#This Row],[j]],Table2[[#This Row],[j.cam]])</f>
        <v>28</v>
      </c>
      <c r="BK59" s="9">
        <v>33</v>
      </c>
      <c r="BL59" s="15">
        <f>IF(ISTEXT(Table2[[#This Row],[k.cam]]), Table2[[#This Row],[k]], Table2[[#This Row],[k.cam]])</f>
        <v>33</v>
      </c>
      <c r="BM59" s="4" t="s">
        <v>24</v>
      </c>
      <c r="BN59" s="8" t="s">
        <v>24</v>
      </c>
      <c r="BO59" s="4">
        <v>3</v>
      </c>
      <c r="BP59" s="4">
        <f>Table2[[#This Row],[final_obs_date]]-Table2[[#This Row],[i]]</f>
        <v>7</v>
      </c>
      <c r="BQ59" s="4" t="b">
        <f>Table2[[#This Row],[final_obs_date2]]&gt;Table2[[#This Row],[estHD]]+3</f>
        <v>0</v>
      </c>
      <c r="BR59" s="4" t="s">
        <v>27</v>
      </c>
      <c r="BS59" s="4" t="s">
        <v>28</v>
      </c>
      <c r="BT59" s="79" t="s">
        <v>1037</v>
      </c>
      <c r="BU59" s="26" t="s">
        <v>97</v>
      </c>
      <c r="BV59" s="79" t="s">
        <v>1455</v>
      </c>
      <c r="BW59" s="49"/>
      <c r="BX59" s="47"/>
      <c r="BY59" s="36" t="s">
        <v>503</v>
      </c>
    </row>
    <row r="60" spans="1:77" ht="15" hidden="1" thickBot="1" x14ac:dyDescent="0.4">
      <c r="A60" s="62">
        <v>10061</v>
      </c>
      <c r="B60" s="2" t="s">
        <v>30</v>
      </c>
      <c r="C60" s="44">
        <v>2019</v>
      </c>
      <c r="D60" s="3">
        <v>29.63636</v>
      </c>
      <c r="E60" s="3">
        <v>-92.771019999999993</v>
      </c>
      <c r="F60" s="3" t="s">
        <v>24</v>
      </c>
      <c r="G60" s="3" t="s">
        <v>24</v>
      </c>
      <c r="H60" s="3" t="s">
        <v>462</v>
      </c>
      <c r="I60" s="43"/>
      <c r="J60" s="55">
        <v>46</v>
      </c>
      <c r="K60" s="4">
        <v>46</v>
      </c>
      <c r="L60" s="22">
        <f>IF(ISNUMBER(Table2[[#This Row],[estHD]]),ABS(Table2[[#This Row],[HD]]-Table2[[#This Row],[estHD]]),"NA")</f>
        <v>0</v>
      </c>
      <c r="M60" s="4" t="b">
        <f>Table2[[#This Row],[HD]]=Table2[[#This Row],[estHD]]</f>
        <v>1</v>
      </c>
      <c r="N60" s="4" t="str">
        <f>IF(ISNUMBER([1]!Table2[[#This Row],[hatch_date]]),[1]!Table2[[#This Row],[hatch_date]]-19,"NA")</f>
        <v>NA</v>
      </c>
      <c r="O60" s="31">
        <v>27</v>
      </c>
      <c r="P60" s="23">
        <f>IF(ISNUMBER(Table2[[#This Row],[nest_age1]]),ABS(Table2[[#This Row],[nest_age1]]-Table2[[#This Row],[nest_age_feb]]),"NA")</f>
        <v>0</v>
      </c>
      <c r="Q60" s="24">
        <f>IF(ISNUMBER(Table2[[#This Row],[final_obs_int2]]),ABS(Table2[[#This Row],[final_obs_int2]]-Table2[[#This Row],[final_obs_int_feb]]), "NA")</f>
        <v>0</v>
      </c>
      <c r="R60" s="24"/>
      <c r="S60" s="57" t="s">
        <v>88</v>
      </c>
      <c r="T60" s="57" t="str">
        <f>Table2[[#This Row],[camera_old]]</f>
        <v>N</v>
      </c>
      <c r="U60" s="24"/>
      <c r="V60" s="16" t="s">
        <v>24</v>
      </c>
      <c r="W60" s="16">
        <v>6</v>
      </c>
      <c r="X60" s="145">
        <v>5</v>
      </c>
      <c r="Y60" s="147" t="s">
        <v>25</v>
      </c>
      <c r="Z60" s="146" t="s">
        <v>25</v>
      </c>
      <c r="AA60" s="4" t="str">
        <f>Table2[[#This Row],[field_fate]]</f>
        <v>S</v>
      </c>
      <c r="AB60" s="4" t="str">
        <f>Table2[[#This Row],[field_fate2]]</f>
        <v>S</v>
      </c>
      <c r="AC60" s="4" t="str">
        <f>Table2[[#This Row],[field_fate3]]</f>
        <v>S</v>
      </c>
      <c r="AD60" s="4" t="str">
        <f>Table2[[#This Row],[field_fate4]]</f>
        <v>S</v>
      </c>
      <c r="AE60" s="4" t="str">
        <f>Table2[[#This Row],[field_fate5]]</f>
        <v>S</v>
      </c>
      <c r="AF60" s="4" t="str">
        <f>Table2[[#This Row],[field_fate5]]</f>
        <v>S</v>
      </c>
      <c r="AG60" s="4" t="str">
        <f>Table2[[#This Row],[field_fate5]]</f>
        <v>S</v>
      </c>
      <c r="AH60" s="4" t="str">
        <f>Table2[[#This Row],[field_fate2]]</f>
        <v>S</v>
      </c>
      <c r="AI60" s="4" t="str">
        <f>Table2[[#This Row],[field_fate8]]</f>
        <v>S</v>
      </c>
      <c r="AJ60" s="4" t="str">
        <f>Table2[[#This Row],[field_fate10]]</f>
        <v>S</v>
      </c>
      <c r="AK60" s="4" t="b">
        <f>Table2[[#This Row],[field_fate_feb]]=Table2[[#This Row],[field_fate10]]</f>
        <v>1</v>
      </c>
      <c r="AL60" s="43" t="s">
        <v>24</v>
      </c>
      <c r="AM60" s="43" t="b">
        <f>Table2[[#This Row],[cam_fate2]]="NA"</f>
        <v>1</v>
      </c>
      <c r="AN60" s="19" t="str">
        <f>Table2[[#This Row],[cam_fate1]]</f>
        <v>NA</v>
      </c>
      <c r="AO60" s="2" t="s">
        <v>25</v>
      </c>
      <c r="AP60" s="5" t="str">
        <f>Table2[[#This Row],[final_fate1]]</f>
        <v>S</v>
      </c>
      <c r="AQ60" s="6">
        <v>6</v>
      </c>
      <c r="AR60" s="7">
        <v>6</v>
      </c>
      <c r="AS60" s="7">
        <f>Table2[[#This Row],[final_obs_date]]-Table2[[#This Row],[init_date]]</f>
        <v>6</v>
      </c>
      <c r="AT60" s="7">
        <f>(Table2[[#This Row],[final_obs_date2]]-Table2[[#This Row],[estHD]])+16</f>
        <v>3</v>
      </c>
      <c r="AU60" s="38">
        <v>5</v>
      </c>
      <c r="AV60" s="33">
        <v>5</v>
      </c>
      <c r="AW60" s="33">
        <f>Table2[[#This Row],[final_obs_date2]]-Table2[[#This Row],[pen_obs_date]]</f>
        <v>33</v>
      </c>
      <c r="AX60" s="67">
        <v>33</v>
      </c>
      <c r="AY60" s="6">
        <f>Table2[[#This Row],[final_obs_date]]</f>
        <v>33</v>
      </c>
      <c r="AZ60" s="6"/>
      <c r="BA60" s="91" t="s">
        <v>47</v>
      </c>
      <c r="BB60" s="6" t="b">
        <f>Table2[[#This Row],[final_obs_date]]&lt;(Table2[[#This Row],[estHD]]-2)</f>
        <v>1</v>
      </c>
      <c r="BC60" s="24">
        <f>IF(Table2[[#This Row],[field_fate]]="H",1,0)</f>
        <v>0</v>
      </c>
      <c r="BD60" s="16">
        <f>IF(Table2[[#This Row],[cam_fate2]]="H",1,0)</f>
        <v>0</v>
      </c>
      <c r="BE60" s="6" t="b">
        <f>NOT(Table2[[#This Row],[HF_C]]=Table2[[#This Row],[HF]])</f>
        <v>0</v>
      </c>
      <c r="BF60" s="6" t="b">
        <f>NOT(Table2[[#This Row],[cam_fate2]]=Table2[[#This Row],[field_fate3]])</f>
        <v>1</v>
      </c>
      <c r="BG60" s="6" t="b">
        <f>OR(Table2[[#This Row],[field_fate3]]="U",Table2[[#This Row],[field_fate3]]="U-H")</f>
        <v>0</v>
      </c>
      <c r="BH60" s="8">
        <v>26</v>
      </c>
      <c r="BI60" s="8">
        <v>28</v>
      </c>
      <c r="BJ60" s="14">
        <f>IF(ISTEXT(Table2[[#This Row],[j.cam]]),Table2[[#This Row],[j]],Table2[[#This Row],[j.cam]])</f>
        <v>28</v>
      </c>
      <c r="BK60" s="9">
        <v>33</v>
      </c>
      <c r="BL60" s="15">
        <f>IF(ISTEXT(Table2[[#This Row],[k.cam]]), Table2[[#This Row],[k]], Table2[[#This Row],[k.cam]])</f>
        <v>33</v>
      </c>
      <c r="BM60" s="4" t="s">
        <v>24</v>
      </c>
      <c r="BN60" s="8" t="s">
        <v>24</v>
      </c>
      <c r="BO60" s="4">
        <v>3</v>
      </c>
      <c r="BP60" s="4">
        <f>Table2[[#This Row],[final_obs_date]]-Table2[[#This Row],[i]]</f>
        <v>7</v>
      </c>
      <c r="BQ60" s="4" t="b">
        <f>Table2[[#This Row],[final_obs_date2]]&gt;Table2[[#This Row],[estHD]]+3</f>
        <v>0</v>
      </c>
      <c r="BR60" s="4" t="s">
        <v>27</v>
      </c>
      <c r="BS60" s="4" t="s">
        <v>28</v>
      </c>
      <c r="BT60" s="79" t="s">
        <v>1037</v>
      </c>
      <c r="BU60" s="26" t="s">
        <v>96</v>
      </c>
      <c r="BV60" s="79" t="s">
        <v>1455</v>
      </c>
      <c r="BW60" s="49"/>
      <c r="BX60" s="47"/>
      <c r="BY60" s="36" t="s">
        <v>503</v>
      </c>
    </row>
    <row r="61" spans="1:77" ht="15" hidden="1" thickBot="1" x14ac:dyDescent="0.4">
      <c r="A61" s="62">
        <v>10062</v>
      </c>
      <c r="B61" s="2" t="s">
        <v>30</v>
      </c>
      <c r="C61" s="44">
        <v>2019</v>
      </c>
      <c r="D61" s="3">
        <v>29.636330000000001</v>
      </c>
      <c r="E61" s="3">
        <v>-92.770420000000001</v>
      </c>
      <c r="F61" s="3" t="s">
        <v>24</v>
      </c>
      <c r="G61" s="3" t="s">
        <v>24</v>
      </c>
      <c r="H61" s="3" t="s">
        <v>462</v>
      </c>
      <c r="I61" s="43"/>
      <c r="J61" s="55">
        <v>41</v>
      </c>
      <c r="K61" s="4">
        <v>41</v>
      </c>
      <c r="L61" s="22">
        <f>IF(ISNUMBER(Table2[[#This Row],[estHD]]),ABS(Table2[[#This Row],[HD]]-Table2[[#This Row],[estHD]]),"NA")</f>
        <v>0</v>
      </c>
      <c r="M61" s="4" t="b">
        <f>Table2[[#This Row],[HD]]=Table2[[#This Row],[estHD]]</f>
        <v>1</v>
      </c>
      <c r="N61" s="4" t="str">
        <f>IF(ISNUMBER([1]!Table2[[#This Row],[hatch_date]]),[1]!Table2[[#This Row],[hatch_date]]-19,"NA")</f>
        <v>NA</v>
      </c>
      <c r="O61" s="31">
        <v>22</v>
      </c>
      <c r="P61" s="23">
        <f>IF(ISNUMBER(Table2[[#This Row],[nest_age1]]),ABS(Table2[[#This Row],[nest_age1]]-Table2[[#This Row],[nest_age_feb]]),"NA")</f>
        <v>0</v>
      </c>
      <c r="Q61" s="24">
        <f>IF(ISNUMBER(Table2[[#This Row],[final_obs_int2]]),ABS(Table2[[#This Row],[final_obs_int2]]-Table2[[#This Row],[final_obs_int_feb]]), "NA")</f>
        <v>0</v>
      </c>
      <c r="R61" s="24"/>
      <c r="S61" s="57" t="s">
        <v>88</v>
      </c>
      <c r="T61" s="57" t="str">
        <f>Table2[[#This Row],[camera_old]]</f>
        <v>N</v>
      </c>
      <c r="U61" s="24"/>
      <c r="V61" s="16" t="s">
        <v>24</v>
      </c>
      <c r="W61" s="16">
        <v>11</v>
      </c>
      <c r="X61" s="145">
        <v>5</v>
      </c>
      <c r="Y61" s="147" t="s">
        <v>25</v>
      </c>
      <c r="Z61" s="146" t="s">
        <v>25</v>
      </c>
      <c r="AA61" s="4" t="str">
        <f>Table2[[#This Row],[field_fate]]</f>
        <v>S</v>
      </c>
      <c r="AB61" s="4" t="str">
        <f>Table2[[#This Row],[field_fate2]]</f>
        <v>S</v>
      </c>
      <c r="AC61" s="4" t="str">
        <f>Table2[[#This Row],[field_fate3]]</f>
        <v>S</v>
      </c>
      <c r="AD61" s="4" t="str">
        <f>Table2[[#This Row],[field_fate4]]</f>
        <v>S</v>
      </c>
      <c r="AE61" s="4" t="str">
        <f>Table2[[#This Row],[field_fate5]]</f>
        <v>S</v>
      </c>
      <c r="AF61" s="4" t="str">
        <f>Table2[[#This Row],[field_fate5]]</f>
        <v>S</v>
      </c>
      <c r="AG61" s="4" t="str">
        <f>Table2[[#This Row],[field_fate5]]</f>
        <v>S</v>
      </c>
      <c r="AH61" s="4" t="str">
        <f>Table2[[#This Row],[field_fate2]]</f>
        <v>S</v>
      </c>
      <c r="AI61" s="4" t="str">
        <f>Table2[[#This Row],[field_fate8]]</f>
        <v>S</v>
      </c>
      <c r="AJ61" s="4" t="str">
        <f>Table2[[#This Row],[field_fate10]]</f>
        <v>S</v>
      </c>
      <c r="AK61" s="4" t="b">
        <f>Table2[[#This Row],[field_fate_feb]]=Table2[[#This Row],[field_fate10]]</f>
        <v>1</v>
      </c>
      <c r="AL61" s="43" t="s">
        <v>24</v>
      </c>
      <c r="AM61" s="43" t="b">
        <f>Table2[[#This Row],[cam_fate2]]="NA"</f>
        <v>1</v>
      </c>
      <c r="AN61" s="19" t="str">
        <f>Table2[[#This Row],[cam_fate1]]</f>
        <v>NA</v>
      </c>
      <c r="AO61" s="2" t="s">
        <v>25</v>
      </c>
      <c r="AP61" s="5" t="str">
        <f>Table2[[#This Row],[final_fate1]]</f>
        <v>S</v>
      </c>
      <c r="AQ61" s="6">
        <v>11</v>
      </c>
      <c r="AR61" s="7">
        <v>11</v>
      </c>
      <c r="AS61" s="7">
        <f>Table2[[#This Row],[final_obs_date]]-Table2[[#This Row],[init_date]]</f>
        <v>11</v>
      </c>
      <c r="AT61" s="7">
        <f>(Table2[[#This Row],[final_obs_date2]]-Table2[[#This Row],[estHD]])+16</f>
        <v>8</v>
      </c>
      <c r="AU61" s="38">
        <v>5</v>
      </c>
      <c r="AV61" s="33">
        <v>5</v>
      </c>
      <c r="AW61" s="33">
        <f>Table2[[#This Row],[final_obs_date2]]-Table2[[#This Row],[pen_obs_date]]</f>
        <v>33</v>
      </c>
      <c r="AX61" s="67">
        <v>33</v>
      </c>
      <c r="AY61" s="6">
        <f>Table2[[#This Row],[final_obs_date]]</f>
        <v>33</v>
      </c>
      <c r="AZ61" s="6"/>
      <c r="BA61" s="91" t="s">
        <v>47</v>
      </c>
      <c r="BB61" s="6" t="b">
        <f>Table2[[#This Row],[final_obs_date]]&lt;(Table2[[#This Row],[estHD]]-2)</f>
        <v>1</v>
      </c>
      <c r="BC61" s="24">
        <f>IF(Table2[[#This Row],[field_fate]]="H",1,0)</f>
        <v>0</v>
      </c>
      <c r="BD61" s="16">
        <f>IF(Table2[[#This Row],[cam_fate2]]="H",1,0)</f>
        <v>0</v>
      </c>
      <c r="BE61" s="6" t="b">
        <f>NOT(Table2[[#This Row],[HF_C]]=Table2[[#This Row],[HF]])</f>
        <v>0</v>
      </c>
      <c r="BF61" s="6" t="b">
        <f>NOT(Table2[[#This Row],[cam_fate2]]=Table2[[#This Row],[field_fate3]])</f>
        <v>1</v>
      </c>
      <c r="BG61" s="6" t="b">
        <f>OR(Table2[[#This Row],[field_fate3]]="U",Table2[[#This Row],[field_fate3]]="U-H")</f>
        <v>0</v>
      </c>
      <c r="BH61" s="8">
        <v>26</v>
      </c>
      <c r="BI61" s="8">
        <v>28</v>
      </c>
      <c r="BJ61" s="14">
        <f>IF(ISTEXT(Table2[[#This Row],[j.cam]]),Table2[[#This Row],[j]],Table2[[#This Row],[j.cam]])</f>
        <v>28</v>
      </c>
      <c r="BK61" s="9">
        <v>33</v>
      </c>
      <c r="BL61" s="15">
        <f>IF(ISTEXT(Table2[[#This Row],[k.cam]]), Table2[[#This Row],[k]], Table2[[#This Row],[k.cam]])</f>
        <v>33</v>
      </c>
      <c r="BM61" s="4" t="s">
        <v>24</v>
      </c>
      <c r="BN61" s="8" t="s">
        <v>24</v>
      </c>
      <c r="BO61" s="4">
        <v>3</v>
      </c>
      <c r="BP61" s="4">
        <f>Table2[[#This Row],[final_obs_date]]-Table2[[#This Row],[i]]</f>
        <v>7</v>
      </c>
      <c r="BQ61" s="4" t="b">
        <f>Table2[[#This Row],[final_obs_date2]]&gt;Table2[[#This Row],[estHD]]+3</f>
        <v>0</v>
      </c>
      <c r="BR61" s="4" t="s">
        <v>27</v>
      </c>
      <c r="BS61" s="4" t="s">
        <v>28</v>
      </c>
      <c r="BT61" s="79" t="s">
        <v>1037</v>
      </c>
      <c r="BU61" s="26" t="s">
        <v>97</v>
      </c>
      <c r="BV61" s="79" t="s">
        <v>1455</v>
      </c>
      <c r="BW61" s="49"/>
      <c r="BX61" s="47"/>
      <c r="BY61" s="36" t="s">
        <v>503</v>
      </c>
    </row>
    <row r="62" spans="1:77" ht="15" hidden="1" thickBot="1" x14ac:dyDescent="0.4">
      <c r="A62" s="62">
        <v>10063</v>
      </c>
      <c r="B62" s="2" t="s">
        <v>30</v>
      </c>
      <c r="C62" s="44">
        <v>2019</v>
      </c>
      <c r="D62" s="3">
        <v>29.636320000000001</v>
      </c>
      <c r="E62" s="3">
        <v>-92.770449999999997</v>
      </c>
      <c r="F62" s="3" t="s">
        <v>24</v>
      </c>
      <c r="G62" s="3" t="s">
        <v>24</v>
      </c>
      <c r="H62" s="3" t="s">
        <v>462</v>
      </c>
      <c r="I62" s="43"/>
      <c r="J62" s="55">
        <v>41</v>
      </c>
      <c r="K62" s="4">
        <v>41</v>
      </c>
      <c r="L62" s="22">
        <f>IF(ISNUMBER(Table2[[#This Row],[estHD]]),ABS(Table2[[#This Row],[HD]]-Table2[[#This Row],[estHD]]),"NA")</f>
        <v>0</v>
      </c>
      <c r="M62" s="4" t="b">
        <f>Table2[[#This Row],[HD]]=Table2[[#This Row],[estHD]]</f>
        <v>1</v>
      </c>
      <c r="N62" s="4" t="str">
        <f>IF(ISNUMBER([1]!Table2[[#This Row],[hatch_date]]),[1]!Table2[[#This Row],[hatch_date]]-19,"NA")</f>
        <v>NA</v>
      </c>
      <c r="O62" s="31">
        <v>22</v>
      </c>
      <c r="P62" s="23">
        <f>IF(ISNUMBER(Table2[[#This Row],[nest_age1]]),ABS(Table2[[#This Row],[nest_age1]]-Table2[[#This Row],[nest_age_feb]]),"NA")</f>
        <v>0</v>
      </c>
      <c r="Q62" s="24">
        <f>IF(ISNUMBER(Table2[[#This Row],[final_obs_int2]]),ABS(Table2[[#This Row],[final_obs_int2]]-Table2[[#This Row],[final_obs_int_feb]]), "NA")</f>
        <v>0</v>
      </c>
      <c r="R62" s="24"/>
      <c r="S62" s="57" t="s">
        <v>88</v>
      </c>
      <c r="T62" s="57" t="str">
        <f>Table2[[#This Row],[camera_old]]</f>
        <v>N</v>
      </c>
      <c r="U62" s="24"/>
      <c r="V62" s="16" t="s">
        <v>24</v>
      </c>
      <c r="W62" s="16">
        <v>11</v>
      </c>
      <c r="X62" s="145">
        <v>5</v>
      </c>
      <c r="Y62" s="147" t="s">
        <v>25</v>
      </c>
      <c r="Z62" s="146" t="s">
        <v>25</v>
      </c>
      <c r="AA62" s="4" t="str">
        <f>Table2[[#This Row],[field_fate]]</f>
        <v>S</v>
      </c>
      <c r="AB62" s="4" t="str">
        <f>Table2[[#This Row],[field_fate2]]</f>
        <v>S</v>
      </c>
      <c r="AC62" s="4" t="str">
        <f>Table2[[#This Row],[field_fate3]]</f>
        <v>S</v>
      </c>
      <c r="AD62" s="4" t="str">
        <f>Table2[[#This Row],[field_fate4]]</f>
        <v>S</v>
      </c>
      <c r="AE62" s="4" t="str">
        <f>Table2[[#This Row],[field_fate5]]</f>
        <v>S</v>
      </c>
      <c r="AF62" s="4" t="str">
        <f>Table2[[#This Row],[field_fate5]]</f>
        <v>S</v>
      </c>
      <c r="AG62" s="4" t="str">
        <f>Table2[[#This Row],[field_fate5]]</f>
        <v>S</v>
      </c>
      <c r="AH62" s="4" t="str">
        <f>Table2[[#This Row],[field_fate2]]</f>
        <v>S</v>
      </c>
      <c r="AI62" s="4" t="str">
        <f>Table2[[#This Row],[field_fate8]]</f>
        <v>S</v>
      </c>
      <c r="AJ62" s="4" t="str">
        <f>Table2[[#This Row],[field_fate10]]</f>
        <v>S</v>
      </c>
      <c r="AK62" s="4" t="b">
        <f>Table2[[#This Row],[field_fate_feb]]=Table2[[#This Row],[field_fate10]]</f>
        <v>1</v>
      </c>
      <c r="AL62" s="43" t="s">
        <v>24</v>
      </c>
      <c r="AM62" s="43" t="b">
        <f>Table2[[#This Row],[cam_fate2]]="NA"</f>
        <v>1</v>
      </c>
      <c r="AN62" s="19" t="str">
        <f>Table2[[#This Row],[cam_fate1]]</f>
        <v>NA</v>
      </c>
      <c r="AO62" s="2" t="s">
        <v>25</v>
      </c>
      <c r="AP62" s="5" t="str">
        <f>Table2[[#This Row],[final_fate1]]</f>
        <v>S</v>
      </c>
      <c r="AQ62" s="6">
        <v>11</v>
      </c>
      <c r="AR62" s="7">
        <v>11</v>
      </c>
      <c r="AS62" s="7">
        <f>Table2[[#This Row],[final_obs_date]]-Table2[[#This Row],[init_date]]</f>
        <v>11</v>
      </c>
      <c r="AT62" s="7">
        <f>(Table2[[#This Row],[final_obs_date2]]-Table2[[#This Row],[estHD]])+16</f>
        <v>8</v>
      </c>
      <c r="AU62" s="38">
        <v>5</v>
      </c>
      <c r="AV62" s="33">
        <v>5</v>
      </c>
      <c r="AW62" s="33">
        <f>Table2[[#This Row],[final_obs_date2]]-Table2[[#This Row],[pen_obs_date]]</f>
        <v>33</v>
      </c>
      <c r="AX62" s="67">
        <v>33</v>
      </c>
      <c r="AY62" s="6">
        <f>Table2[[#This Row],[final_obs_date]]</f>
        <v>33</v>
      </c>
      <c r="AZ62" s="6"/>
      <c r="BA62" s="91" t="s">
        <v>47</v>
      </c>
      <c r="BB62" s="6" t="b">
        <f>Table2[[#This Row],[final_obs_date]]&lt;(Table2[[#This Row],[estHD]]-2)</f>
        <v>1</v>
      </c>
      <c r="BC62" s="24">
        <f>IF(Table2[[#This Row],[field_fate]]="H",1,0)</f>
        <v>0</v>
      </c>
      <c r="BD62" s="16">
        <f>IF(Table2[[#This Row],[cam_fate2]]="H",1,0)</f>
        <v>0</v>
      </c>
      <c r="BE62" s="6" t="b">
        <f>NOT(Table2[[#This Row],[HF_C]]=Table2[[#This Row],[HF]])</f>
        <v>0</v>
      </c>
      <c r="BF62" s="6" t="b">
        <f>NOT(Table2[[#This Row],[cam_fate2]]=Table2[[#This Row],[field_fate3]])</f>
        <v>1</v>
      </c>
      <c r="BG62" s="6" t="b">
        <f>OR(Table2[[#This Row],[field_fate3]]="U",Table2[[#This Row],[field_fate3]]="U-H")</f>
        <v>0</v>
      </c>
      <c r="BH62" s="8">
        <v>26</v>
      </c>
      <c r="BI62" s="8">
        <v>28</v>
      </c>
      <c r="BJ62" s="14">
        <f>IF(ISTEXT(Table2[[#This Row],[j.cam]]),Table2[[#This Row],[j]],Table2[[#This Row],[j.cam]])</f>
        <v>28</v>
      </c>
      <c r="BK62" s="9">
        <v>33</v>
      </c>
      <c r="BL62" s="15">
        <f>IF(ISTEXT(Table2[[#This Row],[k.cam]]), Table2[[#This Row],[k]], Table2[[#This Row],[k.cam]])</f>
        <v>33</v>
      </c>
      <c r="BM62" s="4" t="s">
        <v>24</v>
      </c>
      <c r="BN62" s="8" t="s">
        <v>24</v>
      </c>
      <c r="BO62" s="4">
        <v>3</v>
      </c>
      <c r="BP62" s="4">
        <f>Table2[[#This Row],[final_obs_date]]-Table2[[#This Row],[i]]</f>
        <v>7</v>
      </c>
      <c r="BQ62" s="4" t="b">
        <f>Table2[[#This Row],[final_obs_date2]]&gt;Table2[[#This Row],[estHD]]+3</f>
        <v>0</v>
      </c>
      <c r="BR62" s="4" t="s">
        <v>27</v>
      </c>
      <c r="BS62" s="4" t="s">
        <v>28</v>
      </c>
      <c r="BT62" s="79" t="s">
        <v>1037</v>
      </c>
      <c r="BU62" s="26" t="s">
        <v>97</v>
      </c>
      <c r="BV62" s="79" t="s">
        <v>1455</v>
      </c>
      <c r="BW62" s="49"/>
      <c r="BX62" s="47"/>
      <c r="BY62" s="36" t="s">
        <v>503</v>
      </c>
    </row>
    <row r="63" spans="1:77" ht="15" hidden="1" thickBot="1" x14ac:dyDescent="0.4">
      <c r="A63" s="62">
        <v>10064</v>
      </c>
      <c r="B63" s="2" t="s">
        <v>30</v>
      </c>
      <c r="C63" s="44">
        <v>2019</v>
      </c>
      <c r="D63" s="3">
        <v>29.636209999999998</v>
      </c>
      <c r="E63" s="3">
        <v>-92.770259999999993</v>
      </c>
      <c r="F63" s="3" t="s">
        <v>24</v>
      </c>
      <c r="G63" s="3" t="s">
        <v>24</v>
      </c>
      <c r="H63" s="3" t="s">
        <v>462</v>
      </c>
      <c r="I63" s="43"/>
      <c r="J63" s="55">
        <v>47</v>
      </c>
      <c r="K63" s="4">
        <v>47</v>
      </c>
      <c r="L63" s="22">
        <f>IF(ISNUMBER(Table2[[#This Row],[estHD]]),ABS(Table2[[#This Row],[HD]]-Table2[[#This Row],[estHD]]),"NA")</f>
        <v>0</v>
      </c>
      <c r="M63" s="4" t="b">
        <f>Table2[[#This Row],[HD]]=Table2[[#This Row],[estHD]]</f>
        <v>1</v>
      </c>
      <c r="N63" s="4" t="str">
        <f>IF(ISNUMBER([1]!Table2[[#This Row],[hatch_date]]),[1]!Table2[[#This Row],[hatch_date]]-19,"NA")</f>
        <v>NA</v>
      </c>
      <c r="O63" s="31">
        <v>28</v>
      </c>
      <c r="P63" s="23">
        <f>IF(ISNUMBER(Table2[[#This Row],[nest_age1]]),ABS(Table2[[#This Row],[nest_age1]]-Table2[[#This Row],[nest_age_feb]]),"NA")</f>
        <v>0</v>
      </c>
      <c r="Q63" s="24">
        <f>IF(ISNUMBER(Table2[[#This Row],[final_obs_int2]]),ABS(Table2[[#This Row],[final_obs_int2]]-Table2[[#This Row],[final_obs_int_feb]]), "NA")</f>
        <v>0</v>
      </c>
      <c r="R63" s="24"/>
      <c r="S63" s="57" t="s">
        <v>88</v>
      </c>
      <c r="T63" s="57" t="str">
        <f>Table2[[#This Row],[camera_old]]</f>
        <v>N</v>
      </c>
      <c r="U63" s="24"/>
      <c r="V63" s="16" t="s">
        <v>24</v>
      </c>
      <c r="W63" s="16">
        <v>0</v>
      </c>
      <c r="X63" s="145">
        <v>2</v>
      </c>
      <c r="Y63" s="147" t="s">
        <v>25</v>
      </c>
      <c r="Z63" s="146" t="s">
        <v>25</v>
      </c>
      <c r="AA63" s="4" t="str">
        <f>Table2[[#This Row],[field_fate]]</f>
        <v>S</v>
      </c>
      <c r="AB63" s="4" t="str">
        <f>Table2[[#This Row],[field_fate2]]</f>
        <v>S</v>
      </c>
      <c r="AC63" s="4" t="str">
        <f>Table2[[#This Row],[field_fate3]]</f>
        <v>S</v>
      </c>
      <c r="AD63" s="4" t="str">
        <f>Table2[[#This Row],[field_fate4]]</f>
        <v>S</v>
      </c>
      <c r="AE63" s="4" t="str">
        <f>Table2[[#This Row],[field_fate5]]</f>
        <v>S</v>
      </c>
      <c r="AF63" s="4" t="str">
        <f>Table2[[#This Row],[field_fate5]]</f>
        <v>S</v>
      </c>
      <c r="AG63" s="4" t="str">
        <f>Table2[[#This Row],[field_fate5]]</f>
        <v>S</v>
      </c>
      <c r="AH63" s="4" t="str">
        <f>Table2[[#This Row],[field_fate2]]</f>
        <v>S</v>
      </c>
      <c r="AI63" s="4" t="str">
        <f>Table2[[#This Row],[field_fate8]]</f>
        <v>S</v>
      </c>
      <c r="AJ63" s="4" t="str">
        <f>Table2[[#This Row],[field_fate10]]</f>
        <v>S</v>
      </c>
      <c r="AK63" s="4" t="b">
        <f>Table2[[#This Row],[field_fate_feb]]=Table2[[#This Row],[field_fate10]]</f>
        <v>1</v>
      </c>
      <c r="AL63" s="43" t="s">
        <v>24</v>
      </c>
      <c r="AM63" s="43" t="b">
        <f>Table2[[#This Row],[cam_fate2]]="NA"</f>
        <v>1</v>
      </c>
      <c r="AN63" s="19" t="str">
        <f>Table2[[#This Row],[cam_fate1]]</f>
        <v>NA</v>
      </c>
      <c r="AO63" s="2" t="s">
        <v>25</v>
      </c>
      <c r="AP63" s="5" t="str">
        <f>Table2[[#This Row],[final_fate1]]</f>
        <v>S</v>
      </c>
      <c r="AQ63" s="6">
        <v>0</v>
      </c>
      <c r="AR63" s="7">
        <v>0</v>
      </c>
      <c r="AS63" s="7">
        <f>Table2[[#This Row],[final_obs_date]]-Table2[[#This Row],[init_date]]</f>
        <v>0</v>
      </c>
      <c r="AT63" s="7">
        <f>(Table2[[#This Row],[final_obs_date2]]-Table2[[#This Row],[estHD]])+16</f>
        <v>-3</v>
      </c>
      <c r="AU63" s="38">
        <v>2</v>
      </c>
      <c r="AV63" s="33">
        <v>2</v>
      </c>
      <c r="AW63" s="33">
        <f>Table2[[#This Row],[final_obs_date2]]-Table2[[#This Row],[pen_obs_date]]</f>
        <v>28</v>
      </c>
      <c r="AX63" s="67">
        <v>28</v>
      </c>
      <c r="AY63" s="6">
        <f>Table2[[#This Row],[final_obs_date]]</f>
        <v>28</v>
      </c>
      <c r="AZ63" s="6"/>
      <c r="BA63" s="91" t="s">
        <v>47</v>
      </c>
      <c r="BB63" s="6" t="b">
        <f>Table2[[#This Row],[final_obs_date]]&lt;(Table2[[#This Row],[estHD]]-2)</f>
        <v>1</v>
      </c>
      <c r="BC63" s="24">
        <f>IF(Table2[[#This Row],[field_fate]]="H",1,0)</f>
        <v>0</v>
      </c>
      <c r="BD63" s="16">
        <f>IF(Table2[[#This Row],[cam_fate2]]="H",1,0)</f>
        <v>0</v>
      </c>
      <c r="BE63" s="6" t="b">
        <f>NOT(Table2[[#This Row],[HF_C]]=Table2[[#This Row],[HF]])</f>
        <v>0</v>
      </c>
      <c r="BF63" s="6" t="b">
        <f>NOT(Table2[[#This Row],[cam_fate2]]=Table2[[#This Row],[field_fate3]])</f>
        <v>1</v>
      </c>
      <c r="BG63" s="6" t="b">
        <f>OR(Table2[[#This Row],[field_fate3]]="U",Table2[[#This Row],[field_fate3]]="U-H")</f>
        <v>0</v>
      </c>
      <c r="BH63" s="8">
        <v>26</v>
      </c>
      <c r="BI63" s="8">
        <v>26</v>
      </c>
      <c r="BJ63" s="14">
        <f>IF(ISTEXT(Table2[[#This Row],[j.cam]]),Table2[[#This Row],[j]],Table2[[#This Row],[j.cam]])</f>
        <v>26</v>
      </c>
      <c r="BK63" s="9">
        <v>28</v>
      </c>
      <c r="BL63" s="15">
        <f>IF(ISTEXT(Table2[[#This Row],[k.cam]]), Table2[[#This Row],[k]], Table2[[#This Row],[k.cam]])</f>
        <v>28</v>
      </c>
      <c r="BM63" s="4" t="s">
        <v>24</v>
      </c>
      <c r="BN63" s="8" t="s">
        <v>24</v>
      </c>
      <c r="BO63" s="4">
        <v>2</v>
      </c>
      <c r="BP63" s="4">
        <f>Table2[[#This Row],[final_obs_date]]-Table2[[#This Row],[i]]</f>
        <v>2</v>
      </c>
      <c r="BQ63" s="4" t="b">
        <f>Table2[[#This Row],[final_obs_date2]]&gt;Table2[[#This Row],[estHD]]+3</f>
        <v>0</v>
      </c>
      <c r="BR63" s="4" t="s">
        <v>58</v>
      </c>
      <c r="BS63" s="4" t="s">
        <v>28</v>
      </c>
      <c r="BT63" s="79" t="s">
        <v>1038</v>
      </c>
      <c r="BU63" s="26" t="s">
        <v>59</v>
      </c>
      <c r="BV63" s="79" t="s">
        <v>1456</v>
      </c>
      <c r="BW63" s="49"/>
      <c r="BX63" s="47"/>
      <c r="BY63" s="36" t="s">
        <v>512</v>
      </c>
    </row>
    <row r="64" spans="1:77" ht="15" hidden="1" thickBot="1" x14ac:dyDescent="0.4">
      <c r="A64" s="62">
        <v>10065</v>
      </c>
      <c r="B64" s="2" t="s">
        <v>30</v>
      </c>
      <c r="C64" s="44">
        <v>2019</v>
      </c>
      <c r="D64" s="3">
        <v>29.63627</v>
      </c>
      <c r="E64" s="3">
        <v>-92.770300000000006</v>
      </c>
      <c r="F64" s="3" t="s">
        <v>24</v>
      </c>
      <c r="G64" s="3" t="s">
        <v>24</v>
      </c>
      <c r="H64" s="3" t="s">
        <v>462</v>
      </c>
      <c r="I64" s="43"/>
      <c r="J64" s="55">
        <v>46</v>
      </c>
      <c r="K64" s="4">
        <v>46</v>
      </c>
      <c r="L64" s="22">
        <f>IF(ISNUMBER(Table2[[#This Row],[estHD]]),ABS(Table2[[#This Row],[HD]]-Table2[[#This Row],[estHD]]),"NA")</f>
        <v>0</v>
      </c>
      <c r="M64" s="4" t="b">
        <f>Table2[[#This Row],[HD]]=Table2[[#This Row],[estHD]]</f>
        <v>1</v>
      </c>
      <c r="N64" s="4" t="str">
        <f>IF(ISNUMBER([1]!Table2[[#This Row],[hatch_date]]),[1]!Table2[[#This Row],[hatch_date]]-19,"NA")</f>
        <v>NA</v>
      </c>
      <c r="O64" s="31">
        <v>27</v>
      </c>
      <c r="P64" s="23">
        <f>IF(ISNUMBER(Table2[[#This Row],[nest_age1]]),ABS(Table2[[#This Row],[nest_age1]]-Table2[[#This Row],[nest_age_feb]]),"NA")</f>
        <v>0</v>
      </c>
      <c r="Q64" s="24">
        <f>IF(ISNUMBER(Table2[[#This Row],[final_obs_int2]]),ABS(Table2[[#This Row],[final_obs_int2]]-Table2[[#This Row],[final_obs_int_feb]]), "NA")</f>
        <v>0</v>
      </c>
      <c r="R64" s="24"/>
      <c r="S64" s="57" t="s">
        <v>88</v>
      </c>
      <c r="T64" s="57" t="str">
        <f>Table2[[#This Row],[camera_old]]</f>
        <v>N</v>
      </c>
      <c r="U64" s="24"/>
      <c r="V64" s="16" t="s">
        <v>24</v>
      </c>
      <c r="W64" s="16">
        <v>6</v>
      </c>
      <c r="X64" s="145">
        <v>5</v>
      </c>
      <c r="Y64" s="147" t="s">
        <v>25</v>
      </c>
      <c r="Z64" s="146" t="s">
        <v>25</v>
      </c>
      <c r="AA64" s="4" t="str">
        <f>Table2[[#This Row],[field_fate]]</f>
        <v>S</v>
      </c>
      <c r="AB64" s="4" t="str">
        <f>Table2[[#This Row],[field_fate2]]</f>
        <v>S</v>
      </c>
      <c r="AC64" s="4" t="str">
        <f>Table2[[#This Row],[field_fate3]]</f>
        <v>S</v>
      </c>
      <c r="AD64" s="4" t="str">
        <f>Table2[[#This Row],[field_fate4]]</f>
        <v>S</v>
      </c>
      <c r="AE64" s="4" t="str">
        <f>Table2[[#This Row],[field_fate5]]</f>
        <v>S</v>
      </c>
      <c r="AF64" s="4" t="str">
        <f>Table2[[#This Row],[field_fate5]]</f>
        <v>S</v>
      </c>
      <c r="AG64" s="4" t="str">
        <f>Table2[[#This Row],[field_fate5]]</f>
        <v>S</v>
      </c>
      <c r="AH64" s="4" t="str">
        <f>Table2[[#This Row],[field_fate2]]</f>
        <v>S</v>
      </c>
      <c r="AI64" s="4" t="str">
        <f>Table2[[#This Row],[field_fate8]]</f>
        <v>S</v>
      </c>
      <c r="AJ64" s="4" t="str">
        <f>Table2[[#This Row],[field_fate10]]</f>
        <v>S</v>
      </c>
      <c r="AK64" s="4" t="b">
        <f>Table2[[#This Row],[field_fate_feb]]=Table2[[#This Row],[field_fate10]]</f>
        <v>1</v>
      </c>
      <c r="AL64" s="43" t="s">
        <v>24</v>
      </c>
      <c r="AM64" s="43" t="b">
        <f>Table2[[#This Row],[cam_fate2]]="NA"</f>
        <v>1</v>
      </c>
      <c r="AN64" s="19" t="str">
        <f>Table2[[#This Row],[cam_fate1]]</f>
        <v>NA</v>
      </c>
      <c r="AO64" s="2" t="s">
        <v>25</v>
      </c>
      <c r="AP64" s="5" t="str">
        <f>Table2[[#This Row],[final_fate1]]</f>
        <v>S</v>
      </c>
      <c r="AQ64" s="6">
        <v>6</v>
      </c>
      <c r="AR64" s="7">
        <v>6</v>
      </c>
      <c r="AS64" s="7">
        <f>Table2[[#This Row],[final_obs_date]]-Table2[[#This Row],[init_date]]</f>
        <v>6</v>
      </c>
      <c r="AT64" s="7">
        <f>(Table2[[#This Row],[final_obs_date2]]-Table2[[#This Row],[estHD]])+16</f>
        <v>3</v>
      </c>
      <c r="AU64" s="38">
        <v>5</v>
      </c>
      <c r="AV64" s="33">
        <v>5</v>
      </c>
      <c r="AW64" s="33">
        <f>Table2[[#This Row],[final_obs_date2]]-Table2[[#This Row],[pen_obs_date]]</f>
        <v>33</v>
      </c>
      <c r="AX64" s="67">
        <v>33</v>
      </c>
      <c r="AY64" s="6">
        <f>Table2[[#This Row],[final_obs_date]]</f>
        <v>33</v>
      </c>
      <c r="AZ64" s="6"/>
      <c r="BA64" s="91" t="s">
        <v>47</v>
      </c>
      <c r="BB64" s="6" t="b">
        <f>Table2[[#This Row],[final_obs_date]]&lt;(Table2[[#This Row],[estHD]]-2)</f>
        <v>1</v>
      </c>
      <c r="BC64" s="24">
        <f>IF(Table2[[#This Row],[field_fate]]="H",1,0)</f>
        <v>0</v>
      </c>
      <c r="BD64" s="16">
        <f>IF(Table2[[#This Row],[cam_fate2]]="H",1,0)</f>
        <v>0</v>
      </c>
      <c r="BE64" s="6" t="b">
        <f>NOT(Table2[[#This Row],[HF_C]]=Table2[[#This Row],[HF]])</f>
        <v>0</v>
      </c>
      <c r="BF64" s="6" t="b">
        <f>NOT(Table2[[#This Row],[cam_fate2]]=Table2[[#This Row],[field_fate3]])</f>
        <v>1</v>
      </c>
      <c r="BG64" s="6" t="b">
        <f>OR(Table2[[#This Row],[field_fate3]]="U",Table2[[#This Row],[field_fate3]]="U-H")</f>
        <v>0</v>
      </c>
      <c r="BH64" s="8">
        <v>26</v>
      </c>
      <c r="BI64" s="8">
        <v>28</v>
      </c>
      <c r="BJ64" s="14">
        <f>IF(ISTEXT(Table2[[#This Row],[j.cam]]),Table2[[#This Row],[j]],Table2[[#This Row],[j.cam]])</f>
        <v>28</v>
      </c>
      <c r="BK64" s="9">
        <v>33</v>
      </c>
      <c r="BL64" s="15">
        <f>IF(ISTEXT(Table2[[#This Row],[k.cam]]), Table2[[#This Row],[k]], Table2[[#This Row],[k.cam]])</f>
        <v>33</v>
      </c>
      <c r="BM64" s="4" t="s">
        <v>24</v>
      </c>
      <c r="BN64" s="8" t="s">
        <v>24</v>
      </c>
      <c r="BO64" s="4">
        <v>3</v>
      </c>
      <c r="BP64" s="4">
        <f>Table2[[#This Row],[final_obs_date]]-Table2[[#This Row],[i]]</f>
        <v>7</v>
      </c>
      <c r="BQ64" s="4" t="b">
        <f>Table2[[#This Row],[final_obs_date2]]&gt;Table2[[#This Row],[estHD]]+3</f>
        <v>0</v>
      </c>
      <c r="BR64" s="4" t="s">
        <v>27</v>
      </c>
      <c r="BS64" s="4" t="s">
        <v>28</v>
      </c>
      <c r="BT64" s="79" t="s">
        <v>1037</v>
      </c>
      <c r="BU64" s="26" t="s">
        <v>96</v>
      </c>
      <c r="BV64" s="79" t="s">
        <v>1455</v>
      </c>
      <c r="BW64" s="49"/>
      <c r="BX64" s="47"/>
      <c r="BY64" s="36" t="s">
        <v>503</v>
      </c>
    </row>
    <row r="65" spans="1:77" ht="15" hidden="1" thickBot="1" x14ac:dyDescent="0.4">
      <c r="A65" s="62">
        <v>10066</v>
      </c>
      <c r="B65" s="2" t="s">
        <v>30</v>
      </c>
      <c r="C65" s="44">
        <v>2019</v>
      </c>
      <c r="D65" s="3">
        <v>29.636230000000001</v>
      </c>
      <c r="E65" s="3">
        <v>-92.768609999999995</v>
      </c>
      <c r="F65" s="3">
        <v>5</v>
      </c>
      <c r="G65" s="3">
        <v>5</v>
      </c>
      <c r="H65" s="3" t="s">
        <v>462</v>
      </c>
      <c r="I65" s="43"/>
      <c r="J65" s="55">
        <v>50</v>
      </c>
      <c r="K65" s="4">
        <v>50</v>
      </c>
      <c r="L65" s="22">
        <f>IF(ISNUMBER(Table2[[#This Row],[estHD]]),ABS(Table2[[#This Row],[HD]]-Table2[[#This Row],[estHD]]),"NA")</f>
        <v>0</v>
      </c>
      <c r="M65" s="4" t="b">
        <f>Table2[[#This Row],[HD]]=Table2[[#This Row],[estHD]]</f>
        <v>1</v>
      </c>
      <c r="N65" s="4" t="str">
        <f>IF(ISNUMBER([1]!Table2[[#This Row],[hatch_date]]), [1]!Table2[[#This Row],[hatch_date]]-28, "NA")</f>
        <v>NA</v>
      </c>
      <c r="O65" s="31">
        <v>22</v>
      </c>
      <c r="P65" s="23">
        <f>IF(ISNUMBER(Table2[[#This Row],[nest_age1]]),ABS(Table2[[#This Row],[nest_age1]]-Table2[[#This Row],[nest_age_feb]]),"NA")</f>
        <v>0</v>
      </c>
      <c r="Q65" s="24">
        <f>IF(ISNUMBER(Table2[[#This Row],[final_obs_int2]]),ABS(Table2[[#This Row],[final_obs_int2]]-Table2[[#This Row],[final_obs_int_feb]]), "NA")</f>
        <v>0</v>
      </c>
      <c r="R65" s="24"/>
      <c r="S65" s="57" t="s">
        <v>88</v>
      </c>
      <c r="T65" s="57" t="str">
        <f>Table2[[#This Row],[camera_old]]</f>
        <v>N</v>
      </c>
      <c r="U65" s="24"/>
      <c r="V65" s="16" t="s">
        <v>24</v>
      </c>
      <c r="W65" s="16">
        <v>11</v>
      </c>
      <c r="X65" s="145">
        <v>5</v>
      </c>
      <c r="Y65" s="147" t="s">
        <v>25</v>
      </c>
      <c r="Z65" s="146" t="s">
        <v>25</v>
      </c>
      <c r="AA65" s="4" t="str">
        <f>Table2[[#This Row],[field_fate]]</f>
        <v>S</v>
      </c>
      <c r="AB65" s="4" t="str">
        <f>Table2[[#This Row],[field_fate2]]</f>
        <v>S</v>
      </c>
      <c r="AC65" s="4" t="str">
        <f>Table2[[#This Row],[field_fate3]]</f>
        <v>S</v>
      </c>
      <c r="AD65" s="4" t="str">
        <f>Table2[[#This Row],[field_fate4]]</f>
        <v>S</v>
      </c>
      <c r="AE65" s="4" t="str">
        <f>Table2[[#This Row],[field_fate5]]</f>
        <v>S</v>
      </c>
      <c r="AF65" s="4" t="str">
        <f>Table2[[#This Row],[field_fate5]]</f>
        <v>S</v>
      </c>
      <c r="AG65" s="4" t="str">
        <f>Table2[[#This Row],[field_fate5]]</f>
        <v>S</v>
      </c>
      <c r="AH65" s="4" t="str">
        <f>Table2[[#This Row],[field_fate2]]</f>
        <v>S</v>
      </c>
      <c r="AI65" s="4" t="str">
        <f>Table2[[#This Row],[field_fate8]]</f>
        <v>S</v>
      </c>
      <c r="AJ65" s="4" t="str">
        <f>Table2[[#This Row],[field_fate10]]</f>
        <v>S</v>
      </c>
      <c r="AK65" s="4" t="b">
        <f>Table2[[#This Row],[field_fate_feb]]=Table2[[#This Row],[field_fate10]]</f>
        <v>1</v>
      </c>
      <c r="AL65" s="43" t="s">
        <v>24</v>
      </c>
      <c r="AM65" s="43" t="b">
        <f>Table2[[#This Row],[cam_fate2]]="NA"</f>
        <v>1</v>
      </c>
      <c r="AN65" s="19" t="str">
        <f>Table2[[#This Row],[cam_fate1]]</f>
        <v>NA</v>
      </c>
      <c r="AO65" s="2" t="s">
        <v>25</v>
      </c>
      <c r="AP65" s="5" t="str">
        <f>Table2[[#This Row],[final_fate1]]</f>
        <v>S</v>
      </c>
      <c r="AQ65" s="6">
        <v>11</v>
      </c>
      <c r="AR65" s="7">
        <v>11</v>
      </c>
      <c r="AS65" s="7">
        <f>Table2[[#This Row],[final_obs_date]]-Table2[[#This Row],[init_date]]</f>
        <v>11</v>
      </c>
      <c r="AT65" s="7">
        <f>(Table2[[#This Row],[final_obs_date2]]-Table2[[#This Row],[estHD]])+16</f>
        <v>-1</v>
      </c>
      <c r="AU65" s="38">
        <v>5</v>
      </c>
      <c r="AV65" s="33">
        <v>5</v>
      </c>
      <c r="AW65" s="33">
        <f>Table2[[#This Row],[final_obs_date2]]-Table2[[#This Row],[pen_obs_date]]</f>
        <v>33</v>
      </c>
      <c r="AX65" s="67">
        <v>33</v>
      </c>
      <c r="AY65" s="6">
        <f>Table2[[#This Row],[final_obs_date]]</f>
        <v>33</v>
      </c>
      <c r="AZ65" s="6"/>
      <c r="BA65" s="91" t="s">
        <v>23</v>
      </c>
      <c r="BB65" s="6" t="b">
        <f>Table2[[#This Row],[final_obs_date]]&lt;(Table2[[#This Row],[estHD]]-2)</f>
        <v>1</v>
      </c>
      <c r="BC65" s="24">
        <f>IF(Table2[[#This Row],[field_fate]]="H",1,0)</f>
        <v>0</v>
      </c>
      <c r="BD65" s="16">
        <f>IF(Table2[[#This Row],[cam_fate2]]="H",1,0)</f>
        <v>0</v>
      </c>
      <c r="BE65" s="6" t="b">
        <f>NOT(Table2[[#This Row],[HF_C]]=Table2[[#This Row],[HF]])</f>
        <v>0</v>
      </c>
      <c r="BF65" s="6" t="b">
        <f>NOT(Table2[[#This Row],[cam_fate2]]=Table2[[#This Row],[field_fate3]])</f>
        <v>1</v>
      </c>
      <c r="BG65" s="6" t="b">
        <f>OR(Table2[[#This Row],[field_fate3]]="U",Table2[[#This Row],[field_fate3]]="U-H")</f>
        <v>0</v>
      </c>
      <c r="BH65" s="8">
        <v>26</v>
      </c>
      <c r="BI65" s="8">
        <v>28</v>
      </c>
      <c r="BJ65" s="14">
        <f>IF(ISTEXT(Table2[[#This Row],[j.cam]]),Table2[[#This Row],[j]],Table2[[#This Row],[j.cam]])</f>
        <v>28</v>
      </c>
      <c r="BK65" s="9">
        <v>33</v>
      </c>
      <c r="BL65" s="15">
        <f>IF(ISTEXT(Table2[[#This Row],[k.cam]]), Table2[[#This Row],[k]], Table2[[#This Row],[k.cam]])</f>
        <v>33</v>
      </c>
      <c r="BM65" s="4" t="s">
        <v>24</v>
      </c>
      <c r="BN65" s="8" t="s">
        <v>24</v>
      </c>
      <c r="BO65" s="4">
        <v>3</v>
      </c>
      <c r="BP65" s="4">
        <f>Table2[[#This Row],[final_obs_date]]-Table2[[#This Row],[i]]</f>
        <v>7</v>
      </c>
      <c r="BQ65" s="4" t="b">
        <f>Table2[[#This Row],[final_obs_date2]]&gt;Table2[[#This Row],[estHD]]+3</f>
        <v>0</v>
      </c>
      <c r="BR65" s="4" t="s">
        <v>27</v>
      </c>
      <c r="BS65" s="4" t="s">
        <v>28</v>
      </c>
      <c r="BT65" s="79" t="s">
        <v>1037</v>
      </c>
      <c r="BU65" s="26" t="s">
        <v>96</v>
      </c>
      <c r="BV65" s="79" t="s">
        <v>1455</v>
      </c>
      <c r="BW65" s="49"/>
      <c r="BX65" s="47"/>
      <c r="BY65" s="36" t="s">
        <v>503</v>
      </c>
    </row>
    <row r="66" spans="1:77" ht="15" hidden="1" thickBot="1" x14ac:dyDescent="0.4">
      <c r="A66" s="62">
        <v>10067</v>
      </c>
      <c r="B66" s="2" t="s">
        <v>35</v>
      </c>
      <c r="C66" s="44">
        <v>2019</v>
      </c>
      <c r="D66" s="3">
        <v>29.767060000000001</v>
      </c>
      <c r="E66" s="3">
        <v>-93.161450000000002</v>
      </c>
      <c r="F66" s="3" t="s">
        <v>24</v>
      </c>
      <c r="G66" s="3" t="s">
        <v>24</v>
      </c>
      <c r="H66" s="3" t="s">
        <v>26</v>
      </c>
      <c r="I66" s="43"/>
      <c r="J66" s="55" t="s">
        <v>24</v>
      </c>
      <c r="K66" s="4" t="s">
        <v>24</v>
      </c>
      <c r="L66" s="22" t="str">
        <f>IF(ISNUMBER(Table2[[#This Row],[estHD]]),ABS(Table2[[#This Row],[HD]]-Table2[[#This Row],[estHD]]),"NA")</f>
        <v>NA</v>
      </c>
      <c r="M66" s="4" t="b">
        <f>Table2[[#This Row],[HD]]=Table2[[#This Row],[estHD]]</f>
        <v>1</v>
      </c>
      <c r="N66" s="4" t="str">
        <f>IF(ISNUMBER([1]!Table2[[#This Row],[hatch_date]]),[1]!Table2[[#This Row],[hatch_date]]-19,"NA")</f>
        <v>NA</v>
      </c>
      <c r="O66" s="31" t="s">
        <v>24</v>
      </c>
      <c r="P66" s="23" t="str">
        <f>IF(ISNUMBER(Table2[[#This Row],[nest_age1]]),ABS(Table2[[#This Row],[nest_age1]]-Table2[[#This Row],[nest_age_feb]]),"NA")</f>
        <v>NA</v>
      </c>
      <c r="Q66" s="24">
        <f>IF(ISNUMBER(Table2[[#This Row],[final_obs_int2]]),ABS(Table2[[#This Row],[final_obs_int2]]-Table2[[#This Row],[final_obs_int_feb]]), "NA")</f>
        <v>0</v>
      </c>
      <c r="R66" s="24"/>
      <c r="S66" s="57" t="s">
        <v>88</v>
      </c>
      <c r="T66" s="57" t="str">
        <f>Table2[[#This Row],[camera_old]]</f>
        <v>N</v>
      </c>
      <c r="U66" s="24"/>
      <c r="V66" s="16" t="s">
        <v>24</v>
      </c>
      <c r="W66" s="16" t="s">
        <v>24</v>
      </c>
      <c r="X66" s="145">
        <v>9</v>
      </c>
      <c r="Y66" s="147" t="s">
        <v>98</v>
      </c>
      <c r="Z66" s="146" t="s">
        <v>98</v>
      </c>
      <c r="AA66" s="4" t="str">
        <f>Table2[[#This Row],[field_fate]]</f>
        <v>U-D</v>
      </c>
      <c r="AB66" s="4" t="str">
        <f>Table2[[#This Row],[field_fate2]]</f>
        <v>U-D</v>
      </c>
      <c r="AC66" s="4" t="str">
        <f>Table2[[#This Row],[field_fate3]]</f>
        <v>U-D</v>
      </c>
      <c r="AD66" s="4" t="str">
        <f>Table2[[#This Row],[field_fate4]]</f>
        <v>U-D</v>
      </c>
      <c r="AE66" s="4" t="str">
        <f>Table2[[#This Row],[field_fate5]]</f>
        <v>U-D</v>
      </c>
      <c r="AF66" s="4" t="str">
        <f>Table2[[#This Row],[field_fate5]]</f>
        <v>U-D</v>
      </c>
      <c r="AG66" s="4" t="str">
        <f>Table2[[#This Row],[field_fate5]]</f>
        <v>U-D</v>
      </c>
      <c r="AH66" s="4" t="str">
        <f>Table2[[#This Row],[field_fate2]]</f>
        <v>U-D</v>
      </c>
      <c r="AI66" s="4" t="str">
        <f>Table2[[#This Row],[field_fate8]]</f>
        <v>U-D</v>
      </c>
      <c r="AJ66" s="4" t="str">
        <f>Table2[[#This Row],[field_fate10]]</f>
        <v>U-D</v>
      </c>
      <c r="AK66" s="4" t="b">
        <f>Table2[[#This Row],[field_fate_feb]]=Table2[[#This Row],[field_fate10]]</f>
        <v>1</v>
      </c>
      <c r="AL66" s="43" t="s">
        <v>24</v>
      </c>
      <c r="AM66" s="43" t="b">
        <f>Table2[[#This Row],[cam_fate2]]="NA"</f>
        <v>1</v>
      </c>
      <c r="AN66" s="19" t="str">
        <f>Table2[[#This Row],[cam_fate1]]</f>
        <v>NA</v>
      </c>
      <c r="AO66" s="2" t="s">
        <v>98</v>
      </c>
      <c r="AP66" s="5" t="str">
        <f>Table2[[#This Row],[final_fate1]]</f>
        <v>U-D</v>
      </c>
      <c r="AQ66" s="6" t="s">
        <v>24</v>
      </c>
      <c r="AR66" s="7" t="s">
        <v>24</v>
      </c>
      <c r="AS66" s="7" t="e">
        <f>Table2[[#This Row],[final_obs_date]]-Table2[[#This Row],[init_date]]</f>
        <v>#VALUE!</v>
      </c>
      <c r="AT66" s="7" t="e">
        <f>(Table2[[#This Row],[final_obs_date2]]-Table2[[#This Row],[estHD]])+16</f>
        <v>#VALUE!</v>
      </c>
      <c r="AU66" s="38">
        <v>9</v>
      </c>
      <c r="AV66" s="33">
        <v>9</v>
      </c>
      <c r="AW66" s="33">
        <f>Table2[[#This Row],[final_obs_date2]]-Table2[[#This Row],[pen_obs_date]]</f>
        <v>35</v>
      </c>
      <c r="AX66" s="67">
        <v>35</v>
      </c>
      <c r="AY66" s="6">
        <f>Table2[[#This Row],[final_obs_date]]</f>
        <v>35</v>
      </c>
      <c r="AZ66" s="6"/>
      <c r="BA66" s="91" t="s">
        <v>47</v>
      </c>
      <c r="BB66" s="6" t="e">
        <f>Table2[[#This Row],[final_obs_date]]&lt;(Table2[[#This Row],[estHD]]-2)</f>
        <v>#VALUE!</v>
      </c>
      <c r="BC66" s="24">
        <f>IF(Table2[[#This Row],[field_fate]]="H",1,0)</f>
        <v>0</v>
      </c>
      <c r="BD66" s="16">
        <f>IF(Table2[[#This Row],[cam_fate2]]="H",1,0)</f>
        <v>0</v>
      </c>
      <c r="BE66" s="6" t="b">
        <f>NOT(Table2[[#This Row],[HF_C]]=Table2[[#This Row],[HF]])</f>
        <v>0</v>
      </c>
      <c r="BF66" s="6" t="b">
        <f>NOT(Table2[[#This Row],[cam_fate2]]=Table2[[#This Row],[field_fate3]])</f>
        <v>1</v>
      </c>
      <c r="BG66" s="6" t="b">
        <f>OR(Table2[[#This Row],[field_fate3]]="U",Table2[[#This Row],[field_fate3]]="U-H")</f>
        <v>0</v>
      </c>
      <c r="BH66" s="8">
        <v>25</v>
      </c>
      <c r="BI66" s="8">
        <v>25</v>
      </c>
      <c r="BJ66" s="14">
        <f>IF(ISTEXT(Table2[[#This Row],[j.cam]]),Table2[[#This Row],[j]],Table2[[#This Row],[j.cam]])</f>
        <v>25</v>
      </c>
      <c r="BK66" s="9">
        <v>35</v>
      </c>
      <c r="BL66" s="15">
        <f>IF(ISTEXT(Table2[[#This Row],[k.cam]]), Table2[[#This Row],[k]], Table2[[#This Row],[k.cam]])</f>
        <v>35</v>
      </c>
      <c r="BM66" s="4" t="s">
        <v>24</v>
      </c>
      <c r="BN66" s="8" t="s">
        <v>24</v>
      </c>
      <c r="BO66" s="4">
        <v>2</v>
      </c>
      <c r="BP66" s="4">
        <f>Table2[[#This Row],[final_obs_date]]-Table2[[#This Row],[i]]</f>
        <v>10</v>
      </c>
      <c r="BQ66" s="4" t="e">
        <f>Table2[[#This Row],[final_obs_date2]]&gt;Table2[[#This Row],[estHD]]+3</f>
        <v>#VALUE!</v>
      </c>
      <c r="BR66" s="4" t="s">
        <v>33</v>
      </c>
      <c r="BS66" s="4" t="s">
        <v>45</v>
      </c>
      <c r="BT66" s="79" t="s">
        <v>1039</v>
      </c>
      <c r="BU66" s="26" t="s">
        <v>87</v>
      </c>
      <c r="BV66" s="79" t="s">
        <v>1457</v>
      </c>
      <c r="BW66" s="49"/>
      <c r="BX66" s="47"/>
      <c r="BY66" s="36" t="s">
        <v>520</v>
      </c>
    </row>
    <row r="67" spans="1:77" ht="15" hidden="1" thickBot="1" x14ac:dyDescent="0.4">
      <c r="A67" s="62">
        <v>10068</v>
      </c>
      <c r="B67" s="2" t="s">
        <v>35</v>
      </c>
      <c r="C67" s="44">
        <v>2019</v>
      </c>
      <c r="D67" s="3">
        <v>29.767150000000001</v>
      </c>
      <c r="E67" s="3">
        <v>-93.161940000000001</v>
      </c>
      <c r="F67" s="3" t="s">
        <v>24</v>
      </c>
      <c r="G67" s="3" t="s">
        <v>24</v>
      </c>
      <c r="H67" s="3" t="s">
        <v>26</v>
      </c>
      <c r="I67" s="43"/>
      <c r="J67" s="55" t="s">
        <v>24</v>
      </c>
      <c r="K67" s="4" t="s">
        <v>24</v>
      </c>
      <c r="L67" s="22" t="str">
        <f>IF(ISNUMBER(Table2[[#This Row],[estHD]]),ABS(Table2[[#This Row],[HD]]-Table2[[#This Row],[estHD]]),"NA")</f>
        <v>NA</v>
      </c>
      <c r="M67" s="4" t="b">
        <f>Table2[[#This Row],[HD]]=Table2[[#This Row],[estHD]]</f>
        <v>1</v>
      </c>
      <c r="N67" s="4" t="str">
        <f>IF(ISNUMBER([1]!Table2[[#This Row],[hatch_date]]),[1]!Table2[[#This Row],[hatch_date]]-19,"NA")</f>
        <v>NA</v>
      </c>
      <c r="O67" s="31" t="s">
        <v>24</v>
      </c>
      <c r="P67" s="23" t="str">
        <f>IF(ISNUMBER(Table2[[#This Row],[nest_age1]]),ABS(Table2[[#This Row],[nest_age1]]-Table2[[#This Row],[nest_age_feb]]),"NA")</f>
        <v>NA</v>
      </c>
      <c r="Q67" s="24">
        <f>IF(ISNUMBER(Table2[[#This Row],[final_obs_int2]]),ABS(Table2[[#This Row],[final_obs_int2]]-Table2[[#This Row],[final_obs_int_feb]]), "NA")</f>
        <v>5</v>
      </c>
      <c r="R67" s="24"/>
      <c r="S67" s="57" t="s">
        <v>88</v>
      </c>
      <c r="T67" s="57" t="str">
        <f>Table2[[#This Row],[camera_old]]</f>
        <v>N</v>
      </c>
      <c r="U67" s="24"/>
      <c r="V67" s="16" t="s">
        <v>24</v>
      </c>
      <c r="W67" s="16" t="s">
        <v>24</v>
      </c>
      <c r="X67" s="145">
        <v>4</v>
      </c>
      <c r="Y67" s="147" t="s">
        <v>90</v>
      </c>
      <c r="Z67" s="146" t="s">
        <v>90</v>
      </c>
      <c r="AA67" s="4" t="str">
        <f>Table2[[#This Row],[field_fate]]</f>
        <v>U</v>
      </c>
      <c r="AB67" s="4" t="str">
        <f>Table2[[#This Row],[field_fate2]]</f>
        <v>U</v>
      </c>
      <c r="AC67" s="4" t="str">
        <f>Table2[[#This Row],[field_fate3]]</f>
        <v>U</v>
      </c>
      <c r="AD67" s="4" t="str">
        <f>Table2[[#This Row],[field_fate4]]</f>
        <v>U</v>
      </c>
      <c r="AE67" s="4" t="str">
        <f>Table2[[#This Row],[field_fate5]]</f>
        <v>U</v>
      </c>
      <c r="AF67" s="4" t="str">
        <f>Table2[[#This Row],[field_fate5]]</f>
        <v>U</v>
      </c>
      <c r="AG67" s="4" t="str">
        <f>Table2[[#This Row],[field_fate5]]</f>
        <v>U</v>
      </c>
      <c r="AH67" s="4" t="str">
        <f>Table2[[#This Row],[field_fate2]]</f>
        <v>U</v>
      </c>
      <c r="AI67" s="4" t="str">
        <f>Table2[[#This Row],[field_fate8]]</f>
        <v>U</v>
      </c>
      <c r="AJ67" s="4" t="str">
        <f>Table2[[#This Row],[field_fate10]]</f>
        <v>U</v>
      </c>
      <c r="AK67" s="4" t="b">
        <f>Table2[[#This Row],[field_fate_feb]]=Table2[[#This Row],[field_fate10]]</f>
        <v>1</v>
      </c>
      <c r="AL67" s="43" t="s">
        <v>24</v>
      </c>
      <c r="AM67" s="43" t="b">
        <f>Table2[[#This Row],[cam_fate2]]="NA"</f>
        <v>1</v>
      </c>
      <c r="AN67" s="19" t="str">
        <f>Table2[[#This Row],[cam_fate1]]</f>
        <v>NA</v>
      </c>
      <c r="AO67" s="2" t="s">
        <v>90</v>
      </c>
      <c r="AP67" s="5" t="str">
        <f>Table2[[#This Row],[final_fate1]]</f>
        <v>U</v>
      </c>
      <c r="AQ67" s="6" t="s">
        <v>24</v>
      </c>
      <c r="AR67" s="7" t="s">
        <v>24</v>
      </c>
      <c r="AS67" s="7" t="e">
        <f>Table2[[#This Row],[final_obs_date]]-Table2[[#This Row],[init_date]]</f>
        <v>#VALUE!</v>
      </c>
      <c r="AT67" s="7" t="e">
        <f>(Table2[[#This Row],[final_obs_date2]]-Table2[[#This Row],[estHD]])+16</f>
        <v>#VALUE!</v>
      </c>
      <c r="AU67" s="38">
        <v>9</v>
      </c>
      <c r="AV67" s="33">
        <v>9</v>
      </c>
      <c r="AW67" s="33">
        <f>Table2[[#This Row],[final_obs_date2]]-Table2[[#This Row],[pen_obs_date]]</f>
        <v>35</v>
      </c>
      <c r="AX67" s="67">
        <v>35</v>
      </c>
      <c r="AY67" s="6">
        <f>Table2[[#This Row],[final_obs_date]]</f>
        <v>35</v>
      </c>
      <c r="AZ67" s="6"/>
      <c r="BA67" s="91" t="s">
        <v>47</v>
      </c>
      <c r="BB67" s="6" t="e">
        <f>Table2[[#This Row],[final_obs_date]]&lt;(Table2[[#This Row],[estHD]]-2)</f>
        <v>#VALUE!</v>
      </c>
      <c r="BC67" s="24">
        <f>IF(Table2[[#This Row],[field_fate]]="H",1,0)</f>
        <v>0</v>
      </c>
      <c r="BD67" s="16">
        <f>IF(Table2[[#This Row],[cam_fate2]]="H",1,0)</f>
        <v>0</v>
      </c>
      <c r="BE67" s="6" t="b">
        <f>NOT(Table2[[#This Row],[HF_C]]=Table2[[#This Row],[HF]])</f>
        <v>0</v>
      </c>
      <c r="BF67" s="6" t="b">
        <f>NOT(Table2[[#This Row],[cam_fate2]]=Table2[[#This Row],[field_fate3]])</f>
        <v>1</v>
      </c>
      <c r="BG67" s="6" t="b">
        <f>OR(Table2[[#This Row],[field_fate3]]="U",Table2[[#This Row],[field_fate3]]="U-H")</f>
        <v>1</v>
      </c>
      <c r="BH67" s="8">
        <v>26</v>
      </c>
      <c r="BI67" s="8">
        <v>26</v>
      </c>
      <c r="BJ67" s="14">
        <f>IF(ISTEXT(Table2[[#This Row],[j.cam]]),Table2[[#This Row],[j]],Table2[[#This Row],[j.cam]])</f>
        <v>26</v>
      </c>
      <c r="BK67" s="9">
        <v>35</v>
      </c>
      <c r="BL67" s="15">
        <f>IF(ISTEXT(Table2[[#This Row],[k.cam]]), Table2[[#This Row],[k]], Table2[[#This Row],[k.cam]])</f>
        <v>35</v>
      </c>
      <c r="BM67" s="4" t="s">
        <v>24</v>
      </c>
      <c r="BN67" s="8" t="s">
        <v>24</v>
      </c>
      <c r="BO67" s="4">
        <v>2</v>
      </c>
      <c r="BP67" s="4">
        <f>Table2[[#This Row],[final_obs_date]]-Table2[[#This Row],[i]]</f>
        <v>9</v>
      </c>
      <c r="BQ67" s="4" t="e">
        <f>Table2[[#This Row],[final_obs_date2]]&gt;Table2[[#This Row],[estHD]]+3</f>
        <v>#VALUE!</v>
      </c>
      <c r="BR67" s="4" t="s">
        <v>33</v>
      </c>
      <c r="BS67" s="4" t="s">
        <v>33</v>
      </c>
      <c r="BT67" s="79" t="s">
        <v>1039</v>
      </c>
      <c r="BU67" s="26" t="s">
        <v>99</v>
      </c>
      <c r="BV67" s="79" t="s">
        <v>1457</v>
      </c>
      <c r="BW67" s="49"/>
      <c r="BX67" s="47"/>
      <c r="BY67" s="36" t="s">
        <v>24</v>
      </c>
    </row>
    <row r="68" spans="1:77" ht="15" hidden="1" thickBot="1" x14ac:dyDescent="0.4">
      <c r="A68" s="62">
        <v>10069</v>
      </c>
      <c r="B68" s="2" t="s">
        <v>35</v>
      </c>
      <c r="C68" s="44">
        <v>2019</v>
      </c>
      <c r="D68" s="3">
        <v>29.767520000000001</v>
      </c>
      <c r="E68" s="3">
        <v>-93.16377</v>
      </c>
      <c r="F68" s="3">
        <v>2</v>
      </c>
      <c r="G68" s="3">
        <v>2</v>
      </c>
      <c r="H68" s="3" t="s">
        <v>26</v>
      </c>
      <c r="I68" s="43"/>
      <c r="J68" s="55" t="s">
        <v>24</v>
      </c>
      <c r="K68" s="4" t="s">
        <v>24</v>
      </c>
      <c r="L68" s="22" t="str">
        <f>IF(ISNUMBER(Table2[[#This Row],[estHD]]),ABS(Table2[[#This Row],[HD]]-Table2[[#This Row],[estHD]]),"NA")</f>
        <v>NA</v>
      </c>
      <c r="M68" s="4" t="b">
        <f>Table2[[#This Row],[HD]]=Table2[[#This Row],[estHD]]</f>
        <v>1</v>
      </c>
      <c r="N68" s="4" t="str">
        <f>IF(ISNUMBER([1]!Table2[[#This Row],[hatch_date]]),[1]!Table2[[#This Row],[hatch_date]]-19,"NA")</f>
        <v>NA</v>
      </c>
      <c r="O68" s="31" t="s">
        <v>24</v>
      </c>
      <c r="P68" s="23" t="str">
        <f>IF(ISNUMBER(Table2[[#This Row],[nest_age1]]),ABS(Table2[[#This Row],[nest_age1]]-Table2[[#This Row],[nest_age_feb]]),"NA")</f>
        <v>NA</v>
      </c>
      <c r="Q68" s="24">
        <f>IF(ISNUMBER(Table2[[#This Row],[final_obs_int2]]),ABS(Table2[[#This Row],[final_obs_int2]]-Table2[[#This Row],[final_obs_int_feb]]), "NA")</f>
        <v>1</v>
      </c>
      <c r="R68" s="24"/>
      <c r="S68" s="57" t="s">
        <v>88</v>
      </c>
      <c r="T68" s="57" t="str">
        <f>Table2[[#This Row],[camera_old]]</f>
        <v>N</v>
      </c>
      <c r="U68" s="24"/>
      <c r="V68" s="16" t="s">
        <v>24</v>
      </c>
      <c r="W68" s="16" t="s">
        <v>24</v>
      </c>
      <c r="X68" s="145">
        <v>4</v>
      </c>
      <c r="Y68" s="147" t="s">
        <v>90</v>
      </c>
      <c r="Z68" s="146" t="s">
        <v>90</v>
      </c>
      <c r="AA68" s="4" t="str">
        <f>Table2[[#This Row],[field_fate]]</f>
        <v>U</v>
      </c>
      <c r="AB68" s="4" t="str">
        <f>Table2[[#This Row],[field_fate2]]</f>
        <v>U</v>
      </c>
      <c r="AC68" s="4" t="str">
        <f>Table2[[#This Row],[field_fate3]]</f>
        <v>U</v>
      </c>
      <c r="AD68" s="4" t="str">
        <f>Table2[[#This Row],[field_fate4]]</f>
        <v>U</v>
      </c>
      <c r="AE68" s="4" t="str">
        <f>Table2[[#This Row],[field_fate5]]</f>
        <v>U</v>
      </c>
      <c r="AF68" s="4" t="str">
        <f>Table2[[#This Row],[field_fate5]]</f>
        <v>U</v>
      </c>
      <c r="AG68" s="4" t="str">
        <f>Table2[[#This Row],[field_fate5]]</f>
        <v>U</v>
      </c>
      <c r="AH68" s="4" t="str">
        <f>Table2[[#This Row],[field_fate2]]</f>
        <v>U</v>
      </c>
      <c r="AI68" s="4" t="str">
        <f>Table2[[#This Row],[field_fate8]]</f>
        <v>U</v>
      </c>
      <c r="AJ68" s="4" t="str">
        <f>Table2[[#This Row],[field_fate10]]</f>
        <v>U</v>
      </c>
      <c r="AK68" s="4" t="b">
        <f>Table2[[#This Row],[field_fate_feb]]=Table2[[#This Row],[field_fate10]]</f>
        <v>1</v>
      </c>
      <c r="AL68" s="43" t="s">
        <v>24</v>
      </c>
      <c r="AM68" s="43" t="b">
        <f>Table2[[#This Row],[cam_fate2]]="NA"</f>
        <v>1</v>
      </c>
      <c r="AN68" s="19" t="str">
        <f>Table2[[#This Row],[cam_fate1]]</f>
        <v>NA</v>
      </c>
      <c r="AO68" s="2" t="s">
        <v>90</v>
      </c>
      <c r="AP68" s="5" t="str">
        <f>Table2[[#This Row],[final_fate1]]</f>
        <v>U</v>
      </c>
      <c r="AQ68" s="6" t="s">
        <v>24</v>
      </c>
      <c r="AR68" s="7" t="s">
        <v>24</v>
      </c>
      <c r="AS68" s="7" t="e">
        <f>Table2[[#This Row],[final_obs_date]]-Table2[[#This Row],[init_date]]</f>
        <v>#VALUE!</v>
      </c>
      <c r="AT68" s="7" t="e">
        <f>(Table2[[#This Row],[final_obs_date2]]-Table2[[#This Row],[estHD]])+16</f>
        <v>#VALUE!</v>
      </c>
      <c r="AU68" s="38">
        <v>5</v>
      </c>
      <c r="AV68" s="33">
        <v>5</v>
      </c>
      <c r="AW68" s="33">
        <f>Table2[[#This Row],[final_obs_date2]]-Table2[[#This Row],[pen_obs_date]]</f>
        <v>40</v>
      </c>
      <c r="AX68" s="67">
        <v>40</v>
      </c>
      <c r="AY68" s="6">
        <f>Table2[[#This Row],[final_obs_date]]</f>
        <v>40</v>
      </c>
      <c r="AZ68" s="6"/>
      <c r="BA68" s="91" t="s">
        <v>47</v>
      </c>
      <c r="BB68" s="6" t="e">
        <f>Table2[[#This Row],[final_obs_date]]&lt;(Table2[[#This Row],[estHD]]-2)</f>
        <v>#VALUE!</v>
      </c>
      <c r="BC68" s="24">
        <f>IF(Table2[[#This Row],[field_fate]]="H",1,0)</f>
        <v>0</v>
      </c>
      <c r="BD68" s="16">
        <f>IF(Table2[[#This Row],[cam_fate2]]="H",1,0)</f>
        <v>0</v>
      </c>
      <c r="BE68" s="6" t="b">
        <f>NOT(Table2[[#This Row],[HF_C]]=Table2[[#This Row],[HF]])</f>
        <v>0</v>
      </c>
      <c r="BF68" s="6" t="b">
        <f>NOT(Table2[[#This Row],[cam_fate2]]=Table2[[#This Row],[field_fate3]])</f>
        <v>1</v>
      </c>
      <c r="BG68" s="6" t="b">
        <f>OR(Table2[[#This Row],[field_fate3]]="U",Table2[[#This Row],[field_fate3]]="U-H")</f>
        <v>1</v>
      </c>
      <c r="BH68" s="8">
        <v>26</v>
      </c>
      <c r="BI68" s="8">
        <v>35</v>
      </c>
      <c r="BJ68" s="14">
        <f>IF(ISTEXT(Table2[[#This Row],[j.cam]]),Table2[[#This Row],[j]],Table2[[#This Row],[j.cam]])</f>
        <v>35</v>
      </c>
      <c r="BK68" s="9">
        <v>40</v>
      </c>
      <c r="BL68" s="15">
        <f>IF(ISTEXT(Table2[[#This Row],[k.cam]]), Table2[[#This Row],[k]], Table2[[#This Row],[k.cam]])</f>
        <v>40</v>
      </c>
      <c r="BM68" s="4" t="s">
        <v>24</v>
      </c>
      <c r="BN68" s="8" t="s">
        <v>24</v>
      </c>
      <c r="BO68" s="4">
        <v>3</v>
      </c>
      <c r="BP68" s="4">
        <f>Table2[[#This Row],[final_obs_date]]-Table2[[#This Row],[i]]</f>
        <v>14</v>
      </c>
      <c r="BQ68" s="4" t="e">
        <f>Table2[[#This Row],[final_obs_date2]]&gt;Table2[[#This Row],[estHD]]+3</f>
        <v>#VALUE!</v>
      </c>
      <c r="BR68" s="4" t="s">
        <v>27</v>
      </c>
      <c r="BS68" s="4" t="s">
        <v>100</v>
      </c>
      <c r="BT68" s="79" t="s">
        <v>1040</v>
      </c>
      <c r="BU68" s="26" t="s">
        <v>101</v>
      </c>
      <c r="BV68" s="79" t="s">
        <v>1458</v>
      </c>
      <c r="BW68" s="49"/>
      <c r="BX68" s="47"/>
      <c r="BY68" s="36" t="s">
        <v>24</v>
      </c>
    </row>
    <row r="69" spans="1:77" ht="15" hidden="1" thickBot="1" x14ac:dyDescent="0.4">
      <c r="A69" s="62">
        <v>10070</v>
      </c>
      <c r="B69" s="2" t="s">
        <v>35</v>
      </c>
      <c r="C69" s="44">
        <v>2019</v>
      </c>
      <c r="D69" s="3">
        <v>29.767589999999998</v>
      </c>
      <c r="E69" s="3">
        <v>-93.16413</v>
      </c>
      <c r="F69" s="3">
        <v>2</v>
      </c>
      <c r="G69" s="3">
        <v>2</v>
      </c>
      <c r="H69" s="3" t="s">
        <v>26</v>
      </c>
      <c r="I69" s="43"/>
      <c r="J69" s="55" t="s">
        <v>24</v>
      </c>
      <c r="K69" s="4" t="s">
        <v>24</v>
      </c>
      <c r="L69" s="22" t="str">
        <f>IF(ISNUMBER(Table2[[#This Row],[estHD]]),ABS(Table2[[#This Row],[HD]]-Table2[[#This Row],[estHD]]),"NA")</f>
        <v>NA</v>
      </c>
      <c r="M69" s="4" t="b">
        <f>Table2[[#This Row],[HD]]=Table2[[#This Row],[estHD]]</f>
        <v>1</v>
      </c>
      <c r="N69" s="4" t="str">
        <f>IF(ISNUMBER([1]!Table2[[#This Row],[hatch_date]]),[1]!Table2[[#This Row],[hatch_date]]-19,"NA")</f>
        <v>NA</v>
      </c>
      <c r="O69" s="31" t="s">
        <v>24</v>
      </c>
      <c r="P69" s="23" t="str">
        <f>IF(ISNUMBER(Table2[[#This Row],[nest_age1]]),ABS(Table2[[#This Row],[nest_age1]]-Table2[[#This Row],[nest_age_feb]]),"NA")</f>
        <v>NA</v>
      </c>
      <c r="Q69" s="24">
        <f>IF(ISNUMBER(Table2[[#This Row],[final_obs_int2]]),ABS(Table2[[#This Row],[final_obs_int2]]-Table2[[#This Row],[final_obs_int_feb]]), "NA")</f>
        <v>0</v>
      </c>
      <c r="R69" s="24"/>
      <c r="S69" s="57" t="s">
        <v>88</v>
      </c>
      <c r="T69" s="57" t="str">
        <f>Table2[[#This Row],[camera_old]]</f>
        <v>N</v>
      </c>
      <c r="U69" s="24"/>
      <c r="V69" s="16" t="s">
        <v>24</v>
      </c>
      <c r="W69" s="16" t="s">
        <v>24</v>
      </c>
      <c r="X69" s="145">
        <v>6</v>
      </c>
      <c r="Y69" s="147" t="s">
        <v>36</v>
      </c>
      <c r="Z69" s="146" t="s">
        <v>36</v>
      </c>
      <c r="AA69" s="4" t="str">
        <f>Table2[[#This Row],[field_fate]]</f>
        <v>A</v>
      </c>
      <c r="AB69" s="4" t="str">
        <f>Table2[[#This Row],[field_fate2]]</f>
        <v>A</v>
      </c>
      <c r="AC69" s="4" t="str">
        <f>Table2[[#This Row],[field_fate3]]</f>
        <v>A</v>
      </c>
      <c r="AD69" s="4" t="str">
        <f>Table2[[#This Row],[field_fate4]]</f>
        <v>A</v>
      </c>
      <c r="AE69" s="4" t="str">
        <f>Table2[[#This Row],[field_fate5]]</f>
        <v>A</v>
      </c>
      <c r="AF69" s="4" t="str">
        <f>Table2[[#This Row],[field_fate5]]</f>
        <v>A</v>
      </c>
      <c r="AG69" s="4" t="str">
        <f>Table2[[#This Row],[field_fate5]]</f>
        <v>A</v>
      </c>
      <c r="AH69" s="4" t="str">
        <f>Table2[[#This Row],[field_fate2]]</f>
        <v>A</v>
      </c>
      <c r="AI69" s="4" t="str">
        <f>Table2[[#This Row],[field_fate8]]</f>
        <v>A</v>
      </c>
      <c r="AJ69" s="4" t="str">
        <f>Table2[[#This Row],[field_fate10]]</f>
        <v>A</v>
      </c>
      <c r="AK69" s="4" t="b">
        <f>Table2[[#This Row],[field_fate_feb]]=Table2[[#This Row],[field_fate10]]</f>
        <v>1</v>
      </c>
      <c r="AL69" s="43" t="s">
        <v>24</v>
      </c>
      <c r="AM69" s="43" t="b">
        <f>Table2[[#This Row],[cam_fate2]]="NA"</f>
        <v>1</v>
      </c>
      <c r="AN69" s="19" t="str">
        <f>Table2[[#This Row],[cam_fate1]]</f>
        <v>NA</v>
      </c>
      <c r="AO69" s="2" t="s">
        <v>36</v>
      </c>
      <c r="AP69" s="5" t="str">
        <f>Table2[[#This Row],[final_fate1]]</f>
        <v>A</v>
      </c>
      <c r="AQ69" s="6" t="s">
        <v>24</v>
      </c>
      <c r="AR69" s="7" t="s">
        <v>24</v>
      </c>
      <c r="AS69" s="7" t="e">
        <f>Table2[[#This Row],[final_obs_date]]-Table2[[#This Row],[init_date]]</f>
        <v>#VALUE!</v>
      </c>
      <c r="AT69" s="7" t="e">
        <f>(Table2[[#This Row],[final_obs_date2]]-Table2[[#This Row],[estHD]])+16</f>
        <v>#VALUE!</v>
      </c>
      <c r="AU69" s="38">
        <v>6</v>
      </c>
      <c r="AV69" s="33">
        <v>6</v>
      </c>
      <c r="AW69" s="33">
        <f>Table2[[#This Row],[final_obs_date2]]-Table2[[#This Row],[pen_obs_date]]</f>
        <v>35</v>
      </c>
      <c r="AX69" s="67">
        <v>35</v>
      </c>
      <c r="AY69" s="6">
        <f>Table2[[#This Row],[final_obs_date]]</f>
        <v>35</v>
      </c>
      <c r="AZ69" s="6"/>
      <c r="BA69" s="91" t="s">
        <v>47</v>
      </c>
      <c r="BB69" s="6" t="e">
        <f>Table2[[#This Row],[final_obs_date]]&lt;(Table2[[#This Row],[estHD]]-2)</f>
        <v>#VALUE!</v>
      </c>
      <c r="BC69" s="24">
        <f>IF(Table2[[#This Row],[field_fate]]="H",1,0)</f>
        <v>0</v>
      </c>
      <c r="BD69" s="16">
        <f>IF(Table2[[#This Row],[cam_fate2]]="H",1,0)</f>
        <v>0</v>
      </c>
      <c r="BE69" s="6" t="b">
        <f>NOT(Table2[[#This Row],[HF_C]]=Table2[[#This Row],[HF]])</f>
        <v>0</v>
      </c>
      <c r="BF69" s="6" t="b">
        <f>NOT(Table2[[#This Row],[cam_fate2]]=Table2[[#This Row],[field_fate3]])</f>
        <v>1</v>
      </c>
      <c r="BG69" s="6" t="b">
        <f>OR(Table2[[#This Row],[field_fate3]]="U",Table2[[#This Row],[field_fate3]]="U-H")</f>
        <v>0</v>
      </c>
      <c r="BH69" s="8">
        <v>26</v>
      </c>
      <c r="BI69" s="8">
        <v>29</v>
      </c>
      <c r="BJ69" s="14">
        <f>IF(ISTEXT(Table2[[#This Row],[j.cam]]),Table2[[#This Row],[j]],Table2[[#This Row],[j.cam]])</f>
        <v>29</v>
      </c>
      <c r="BK69" s="9">
        <v>35</v>
      </c>
      <c r="BL69" s="15">
        <f>IF(ISTEXT(Table2[[#This Row],[k.cam]]), Table2[[#This Row],[k]], Table2[[#This Row],[k.cam]])</f>
        <v>35</v>
      </c>
      <c r="BM69" s="4" t="s">
        <v>24</v>
      </c>
      <c r="BN69" s="8" t="s">
        <v>24</v>
      </c>
      <c r="BO69" s="4">
        <v>3</v>
      </c>
      <c r="BP69" s="4">
        <f>Table2[[#This Row],[final_obs_date]]-Table2[[#This Row],[i]]</f>
        <v>9</v>
      </c>
      <c r="BQ69" s="4" t="e">
        <f>Table2[[#This Row],[final_obs_date2]]&gt;Table2[[#This Row],[estHD]]+3</f>
        <v>#VALUE!</v>
      </c>
      <c r="BR69" s="4" t="s">
        <v>27</v>
      </c>
      <c r="BS69" s="4" t="s">
        <v>58</v>
      </c>
      <c r="BT69" s="79" t="s">
        <v>1041</v>
      </c>
      <c r="BU69" s="26" t="s">
        <v>102</v>
      </c>
      <c r="BV69" s="79" t="s">
        <v>1459</v>
      </c>
      <c r="BW69" s="49"/>
      <c r="BX69" s="47"/>
      <c r="BY69" s="36" t="s">
        <v>24</v>
      </c>
    </row>
    <row r="70" spans="1:77" ht="15" hidden="1" thickBot="1" x14ac:dyDescent="0.4">
      <c r="A70" s="62">
        <v>10071</v>
      </c>
      <c r="B70" s="2" t="s">
        <v>35</v>
      </c>
      <c r="C70" s="44">
        <v>2019</v>
      </c>
      <c r="D70" s="3">
        <v>29.767620000000001</v>
      </c>
      <c r="E70" s="3">
        <v>-93.164280000000005</v>
      </c>
      <c r="F70" s="3">
        <v>0</v>
      </c>
      <c r="G70" s="3">
        <v>0</v>
      </c>
      <c r="H70" s="3" t="s">
        <v>26</v>
      </c>
      <c r="I70" s="43"/>
      <c r="J70" s="55" t="s">
        <v>24</v>
      </c>
      <c r="K70" s="4" t="s">
        <v>24</v>
      </c>
      <c r="L70" s="22" t="str">
        <f>IF(ISNUMBER(Table2[[#This Row],[estHD]]),ABS(Table2[[#This Row],[HD]]-Table2[[#This Row],[estHD]]),"NA")</f>
        <v>NA</v>
      </c>
      <c r="M70" s="4" t="b">
        <f>Table2[[#This Row],[HD]]=Table2[[#This Row],[estHD]]</f>
        <v>1</v>
      </c>
      <c r="N70" s="4" t="str">
        <f>IF(ISNUMBER([1]!Table2[[#This Row],[hatch_date]]),[1]!Table2[[#This Row],[hatch_date]]-19,"NA")</f>
        <v>NA</v>
      </c>
      <c r="O70" s="31" t="s">
        <v>24</v>
      </c>
      <c r="P70" s="23" t="str">
        <f>IF(ISNUMBER(Table2[[#This Row],[nest_age1]]),ABS(Table2[[#This Row],[nest_age1]]-Table2[[#This Row],[nest_age_feb]]),"NA")</f>
        <v>NA</v>
      </c>
      <c r="Q70" s="24">
        <f>IF(ISNUMBER(Table2[[#This Row],[final_obs_int2]]),ABS(Table2[[#This Row],[final_obs_int2]]-Table2[[#This Row],[final_obs_int_feb]]), "NA")</f>
        <v>0</v>
      </c>
      <c r="R70" s="24"/>
      <c r="S70" s="57" t="s">
        <v>88</v>
      </c>
      <c r="T70" s="57" t="str">
        <f>Table2[[#This Row],[camera_old]]</f>
        <v>N</v>
      </c>
      <c r="U70" s="24"/>
      <c r="V70" s="16" t="s">
        <v>24</v>
      </c>
      <c r="W70" s="16" t="s">
        <v>24</v>
      </c>
      <c r="X70" s="145">
        <v>3</v>
      </c>
      <c r="Y70" s="147" t="s">
        <v>31</v>
      </c>
      <c r="Z70" s="146" t="s">
        <v>31</v>
      </c>
      <c r="AA70" s="4" t="str">
        <f>Table2[[#This Row],[field_fate]]</f>
        <v>D</v>
      </c>
      <c r="AB70" s="4" t="str">
        <f>Table2[[#This Row],[field_fate2]]</f>
        <v>D</v>
      </c>
      <c r="AC70" s="4" t="str">
        <f>Table2[[#This Row],[field_fate3]]</f>
        <v>D</v>
      </c>
      <c r="AD70" s="4" t="str">
        <f>Table2[[#This Row],[field_fate4]]</f>
        <v>D</v>
      </c>
      <c r="AE70" s="4" t="str">
        <f>Table2[[#This Row],[field_fate5]]</f>
        <v>D</v>
      </c>
      <c r="AF70" s="4" t="str">
        <f>Table2[[#This Row],[field_fate5]]</f>
        <v>D</v>
      </c>
      <c r="AG70" s="4" t="str">
        <f>Table2[[#This Row],[field_fate5]]</f>
        <v>D</v>
      </c>
      <c r="AH70" s="4" t="str">
        <f>Table2[[#This Row],[field_fate2]]</f>
        <v>D</v>
      </c>
      <c r="AI70" s="4" t="str">
        <f>Table2[[#This Row],[field_fate8]]</f>
        <v>D</v>
      </c>
      <c r="AJ70" s="4" t="str">
        <f>Table2[[#This Row],[field_fate10]]</f>
        <v>D</v>
      </c>
      <c r="AK70" s="4" t="b">
        <f>Table2[[#This Row],[field_fate_feb]]=Table2[[#This Row],[field_fate10]]</f>
        <v>1</v>
      </c>
      <c r="AL70" s="43" t="s">
        <v>24</v>
      </c>
      <c r="AM70" s="43" t="b">
        <f>Table2[[#This Row],[cam_fate2]]="NA"</f>
        <v>1</v>
      </c>
      <c r="AN70" s="19" t="str">
        <f>Table2[[#This Row],[cam_fate1]]</f>
        <v>NA</v>
      </c>
      <c r="AO70" s="2" t="s">
        <v>31</v>
      </c>
      <c r="AP70" s="5" t="str">
        <f>Table2[[#This Row],[final_fate1]]</f>
        <v>D</v>
      </c>
      <c r="AQ70" s="6" t="s">
        <v>24</v>
      </c>
      <c r="AR70" s="7" t="s">
        <v>24</v>
      </c>
      <c r="AS70" s="7" t="e">
        <f>Table2[[#This Row],[final_obs_date]]-Table2[[#This Row],[init_date]]</f>
        <v>#VALUE!</v>
      </c>
      <c r="AT70" s="7" t="e">
        <f>(Table2[[#This Row],[final_obs_date2]]-Table2[[#This Row],[estHD]])+16</f>
        <v>#VALUE!</v>
      </c>
      <c r="AU70" s="38">
        <v>3</v>
      </c>
      <c r="AV70" s="33">
        <v>3</v>
      </c>
      <c r="AW70" s="33">
        <f>Table2[[#This Row],[final_obs_date2]]-Table2[[#This Row],[pen_obs_date]]</f>
        <v>29</v>
      </c>
      <c r="AX70" s="67">
        <v>29</v>
      </c>
      <c r="AY70" s="6">
        <f>Table2[[#This Row],[final_obs_date]]</f>
        <v>29</v>
      </c>
      <c r="AZ70" s="6"/>
      <c r="BA70" s="91" t="s">
        <v>47</v>
      </c>
      <c r="BB70" s="6" t="e">
        <f>Table2[[#This Row],[final_obs_date]]&lt;(Table2[[#This Row],[estHD]]-2)</f>
        <v>#VALUE!</v>
      </c>
      <c r="BC70" s="24">
        <f>IF(Table2[[#This Row],[field_fate]]="H",1,0)</f>
        <v>0</v>
      </c>
      <c r="BD70" s="16">
        <f>IF(Table2[[#This Row],[cam_fate2]]="H",1,0)</f>
        <v>0</v>
      </c>
      <c r="BE70" s="6" t="b">
        <f>NOT(Table2[[#This Row],[HF_C]]=Table2[[#This Row],[HF]])</f>
        <v>0</v>
      </c>
      <c r="BF70" s="6" t="b">
        <f>NOT(Table2[[#This Row],[cam_fate2]]=Table2[[#This Row],[field_fate3]])</f>
        <v>1</v>
      </c>
      <c r="BG70" s="6" t="b">
        <f>OR(Table2[[#This Row],[field_fate3]]="U",Table2[[#This Row],[field_fate3]]="U-H")</f>
        <v>0</v>
      </c>
      <c r="BH70" s="8">
        <v>26</v>
      </c>
      <c r="BI70" s="8">
        <v>26</v>
      </c>
      <c r="BJ70" s="14">
        <f>IF(ISTEXT(Table2[[#This Row],[j.cam]]),Table2[[#This Row],[j]],Table2[[#This Row],[j.cam]])</f>
        <v>26</v>
      </c>
      <c r="BK70" s="9">
        <v>29</v>
      </c>
      <c r="BL70" s="15">
        <f>IF(ISTEXT(Table2[[#This Row],[k.cam]]), Table2[[#This Row],[k]], Table2[[#This Row],[k.cam]])</f>
        <v>29</v>
      </c>
      <c r="BM70" s="4" t="s">
        <v>24</v>
      </c>
      <c r="BN70" s="8" t="s">
        <v>24</v>
      </c>
      <c r="BO70" s="4">
        <v>2</v>
      </c>
      <c r="BP70" s="4">
        <f>Table2[[#This Row],[final_obs_date]]-Table2[[#This Row],[i]]</f>
        <v>3</v>
      </c>
      <c r="BQ70" s="4" t="e">
        <f>Table2[[#This Row],[final_obs_date2]]&gt;Table2[[#This Row],[estHD]]+3</f>
        <v>#VALUE!</v>
      </c>
      <c r="BR70" s="4" t="s">
        <v>33</v>
      </c>
      <c r="BS70" s="4" t="s">
        <v>28</v>
      </c>
      <c r="BT70" s="79" t="s">
        <v>1042</v>
      </c>
      <c r="BU70" s="26" t="s">
        <v>34</v>
      </c>
      <c r="BV70" s="79" t="s">
        <v>1430</v>
      </c>
      <c r="BW70" s="49"/>
      <c r="BX70" s="47"/>
      <c r="BY70" s="36" t="s">
        <v>521</v>
      </c>
    </row>
    <row r="71" spans="1:77" ht="15" hidden="1" thickBot="1" x14ac:dyDescent="0.4">
      <c r="A71" s="62">
        <v>10072</v>
      </c>
      <c r="B71" s="2" t="s">
        <v>35</v>
      </c>
      <c r="C71" s="44">
        <v>2019</v>
      </c>
      <c r="D71" s="3">
        <v>29.767700000000001</v>
      </c>
      <c r="E71" s="3">
        <v>-93.164540000000002</v>
      </c>
      <c r="F71" s="3">
        <v>5</v>
      </c>
      <c r="G71" s="3">
        <v>10</v>
      </c>
      <c r="H71" s="3" t="s">
        <v>26</v>
      </c>
      <c r="I71" s="43"/>
      <c r="J71" s="116" t="s">
        <v>24</v>
      </c>
      <c r="K71" s="4">
        <v>44</v>
      </c>
      <c r="L71" s="22" t="str">
        <f>IF(ISNUMBER(Table2[[#This Row],[estHD]]),ABS(Table2[[#This Row],[HD]]-Table2[[#This Row],[estHD]]),"NA")</f>
        <v>NA</v>
      </c>
      <c r="M71" s="4" t="b">
        <f>Table2[[#This Row],[HD]]=Table2[[#This Row],[estHD]]</f>
        <v>0</v>
      </c>
      <c r="N71" s="4" t="str">
        <f>IF(ISNUMBER([1]!Table2[[#This Row],[hatch_date]]),[1]!Table2[[#This Row],[hatch_date]]-19,"NA")</f>
        <v>NA</v>
      </c>
      <c r="O71" s="31">
        <v>25</v>
      </c>
      <c r="P71" s="23">
        <f>IF(ISNUMBER(Table2[[#This Row],[nest_age1]]),ABS(Table2[[#This Row],[nest_age1]]-Table2[[#This Row],[nest_age_feb]]),"NA")</f>
        <v>0</v>
      </c>
      <c r="Q71" s="24">
        <f>IF(ISNUMBER(Table2[[#This Row],[final_obs_int2]]),ABS(Table2[[#This Row],[final_obs_int2]]-Table2[[#This Row],[final_obs_int_feb]]), "NA")</f>
        <v>0</v>
      </c>
      <c r="R71" s="24"/>
      <c r="S71" s="20" t="s">
        <v>75</v>
      </c>
      <c r="T71" s="20" t="str">
        <f>Table2[[#This Row],[camera_old]]</f>
        <v>Y</v>
      </c>
      <c r="U71" s="22" t="s">
        <v>88</v>
      </c>
      <c r="V71" s="16" t="s">
        <v>37</v>
      </c>
      <c r="W71" s="16">
        <v>19</v>
      </c>
      <c r="X71" s="145">
        <v>4</v>
      </c>
      <c r="Y71" s="147" t="s">
        <v>37</v>
      </c>
      <c r="Z71" s="146" t="s">
        <v>37</v>
      </c>
      <c r="AA71" s="4" t="str">
        <f>Table2[[#This Row],[field_fate]]</f>
        <v>H</v>
      </c>
      <c r="AB71" s="4" t="str">
        <f>Table2[[#This Row],[field_fate2]]</f>
        <v>H</v>
      </c>
      <c r="AC71" s="94" t="str">
        <f>Table2[[#This Row],[field_fate3]]</f>
        <v>H</v>
      </c>
      <c r="AD71" s="94" t="str">
        <f>Table2[[#This Row],[field_fate4]]</f>
        <v>H</v>
      </c>
      <c r="AE71" s="94" t="str">
        <f>Table2[[#This Row],[field_fate5]]</f>
        <v>H</v>
      </c>
      <c r="AF71" s="94" t="str">
        <f>Table2[[#This Row],[field_fate5]]</f>
        <v>H</v>
      </c>
      <c r="AG71" s="94" t="str">
        <f>Table2[[#This Row],[field_fate5]]</f>
        <v>H</v>
      </c>
      <c r="AH71" s="94" t="str">
        <f>Table2[[#This Row],[field_fate2]]</f>
        <v>H</v>
      </c>
      <c r="AI71" s="94" t="str">
        <f>Table2[[#This Row],[field_fate8]]</f>
        <v>H</v>
      </c>
      <c r="AJ71" s="94" t="str">
        <f>Table2[[#This Row],[field_fate10]]</f>
        <v>H</v>
      </c>
      <c r="AK71" s="94" t="b">
        <f>Table2[[#This Row],[field_fate_feb]]=Table2[[#This Row],[field_fate10]]</f>
        <v>1</v>
      </c>
      <c r="AL71" s="43" t="s">
        <v>37</v>
      </c>
      <c r="AM71" s="160" t="b">
        <f>Table2[[#This Row],[cam_fate2]]="NA"</f>
        <v>0</v>
      </c>
      <c r="AN71" s="19" t="str">
        <f>Table2[[#This Row],[cam_fate1]]</f>
        <v>H</v>
      </c>
      <c r="AO71" s="2" t="s">
        <v>37</v>
      </c>
      <c r="AP71" s="5" t="str">
        <f>Table2[[#This Row],[final_fate1]]</f>
        <v>H</v>
      </c>
      <c r="AQ71" s="6">
        <v>19</v>
      </c>
      <c r="AR71" s="72">
        <v>19</v>
      </c>
      <c r="AS71" s="155">
        <f>Table2[[#This Row],[final_obs_date]]-Table2[[#This Row],[init_date]]</f>
        <v>19</v>
      </c>
      <c r="AT71" s="155" t="e">
        <f>(Table2[[#This Row],[final_obs_date2]]-Table2[[#This Row],[estHD]])+19</f>
        <v>#VALUE!</v>
      </c>
      <c r="AU71" s="38">
        <v>4</v>
      </c>
      <c r="AV71" s="33">
        <v>4</v>
      </c>
      <c r="AW71" s="33">
        <f>Table2[[#This Row],[final_obs_date2]]-Table2[[#This Row],[pen_obs_date]]</f>
        <v>4</v>
      </c>
      <c r="AX71" s="67">
        <v>44</v>
      </c>
      <c r="AY71" s="157">
        <f>Table2[[#This Row],[final_obs_date]]</f>
        <v>44</v>
      </c>
      <c r="AZ71" s="6">
        <v>40</v>
      </c>
      <c r="BA71" s="92" t="s">
        <v>47</v>
      </c>
      <c r="BB71" s="6" t="e">
        <f>Table2[[#This Row],[final_obs_date]]&lt;(Table2[[#This Row],[estHD]]-2)</f>
        <v>#VALUE!</v>
      </c>
      <c r="BC71" s="32">
        <f>IF(Table2[[#This Row],[field_fate]]="H",1,0)</f>
        <v>1</v>
      </c>
      <c r="BD71" s="16">
        <f>IF(Table2[[#This Row],[cam_fate2]]="H",1,0)</f>
        <v>1</v>
      </c>
      <c r="BE71" s="6" t="b">
        <f>NOT(Table2[[#This Row],[HF_C]]=Table2[[#This Row],[HF]])</f>
        <v>0</v>
      </c>
      <c r="BF71" s="38" t="b">
        <f>NOT(Table2[[#This Row],[cam_fate2]]=Table2[[#This Row],[field_fate3]])</f>
        <v>0</v>
      </c>
      <c r="BG71" s="38" t="b">
        <f>OR(Table2[[#This Row],[field_fate3]]="U",Table2[[#This Row],[field_fate3]]="U-H")</f>
        <v>0</v>
      </c>
      <c r="BH71" s="8">
        <v>26</v>
      </c>
      <c r="BI71" s="8">
        <v>44</v>
      </c>
      <c r="BJ71" s="14">
        <f>IF(ISTEXT(Table2[[#This Row],[j.cam]]),Table2[[#This Row],[j]],Table2[[#This Row],[j.cam]])</f>
        <v>44</v>
      </c>
      <c r="BK71" s="8">
        <v>44</v>
      </c>
      <c r="BL71" s="14">
        <f>IF(ISTEXT(Table2[[#This Row],[k.cam]]), Table2[[#This Row],[k]], Table2[[#This Row],[k.cam]])</f>
        <v>44</v>
      </c>
      <c r="BM71" s="4" t="s">
        <v>24</v>
      </c>
      <c r="BN71" s="8" t="s">
        <v>24</v>
      </c>
      <c r="BO71" s="4">
        <v>5</v>
      </c>
      <c r="BP71" s="4">
        <f>Table2[[#This Row],[final_obs_date]]-Table2[[#This Row],[i]]</f>
        <v>18</v>
      </c>
      <c r="BQ71" s="4" t="e">
        <f>Table2[[#This Row],[final_obs_date2]]&gt;Table2[[#This Row],[estHD]]+3</f>
        <v>#VALUE!</v>
      </c>
      <c r="BR71" s="3" t="s">
        <v>27</v>
      </c>
      <c r="BS71" s="3" t="s">
        <v>53</v>
      </c>
      <c r="BT71" s="125" t="s">
        <v>1043</v>
      </c>
      <c r="BU71" s="4" t="s">
        <v>103</v>
      </c>
      <c r="BV71" s="79" t="s">
        <v>1460</v>
      </c>
      <c r="BW71" s="69"/>
      <c r="BX71" s="36"/>
      <c r="BY71" s="36" t="s">
        <v>522</v>
      </c>
    </row>
    <row r="72" spans="1:77" ht="15" hidden="1" thickBot="1" x14ac:dyDescent="0.4">
      <c r="A72" s="62">
        <v>10073</v>
      </c>
      <c r="B72" s="2" t="s">
        <v>35</v>
      </c>
      <c r="C72" s="44">
        <v>2019</v>
      </c>
      <c r="D72" s="3">
        <v>29.769860000000001</v>
      </c>
      <c r="E72" s="3">
        <v>-93.176090000000002</v>
      </c>
      <c r="F72" s="3" t="s">
        <v>24</v>
      </c>
      <c r="G72" s="3" t="s">
        <v>24</v>
      </c>
      <c r="H72" s="3" t="s">
        <v>26</v>
      </c>
      <c r="I72" s="43"/>
      <c r="J72" s="55" t="s">
        <v>24</v>
      </c>
      <c r="K72" s="4" t="s">
        <v>24</v>
      </c>
      <c r="L72" s="22" t="str">
        <f>IF(ISNUMBER(Table2[[#This Row],[estHD]]),ABS(Table2[[#This Row],[HD]]-Table2[[#This Row],[estHD]]),"NA")</f>
        <v>NA</v>
      </c>
      <c r="M72" s="4" t="b">
        <f>Table2[[#This Row],[HD]]=Table2[[#This Row],[estHD]]</f>
        <v>1</v>
      </c>
      <c r="N72" s="4" t="str">
        <f>IF(ISNUMBER([1]!Table2[[#This Row],[hatch_date]]),[1]!Table2[[#This Row],[hatch_date]]-19,"NA")</f>
        <v>NA</v>
      </c>
      <c r="O72" s="31" t="s">
        <v>24</v>
      </c>
      <c r="P72" s="23" t="str">
        <f>IF(ISNUMBER(Table2[[#This Row],[nest_age1]]),ABS(Table2[[#This Row],[nest_age1]]-Table2[[#This Row],[nest_age_feb]]),"NA")</f>
        <v>NA</v>
      </c>
      <c r="Q72" s="24">
        <f>IF(ISNUMBER(Table2[[#This Row],[final_obs_int2]]),ABS(Table2[[#This Row],[final_obs_int2]]-Table2[[#This Row],[final_obs_int_feb]]), "NA")</f>
        <v>0</v>
      </c>
      <c r="R72" s="24"/>
      <c r="S72" s="57" t="s">
        <v>88</v>
      </c>
      <c r="T72" s="57" t="str">
        <f>Table2[[#This Row],[camera_old]]</f>
        <v>N</v>
      </c>
      <c r="U72" s="24"/>
      <c r="V72" s="16" t="s">
        <v>24</v>
      </c>
      <c r="W72" s="16" t="s">
        <v>24</v>
      </c>
      <c r="X72" s="145">
        <v>5</v>
      </c>
      <c r="Y72" s="147" t="s">
        <v>104</v>
      </c>
      <c r="Z72" s="146" t="s">
        <v>104</v>
      </c>
      <c r="AA72" s="4" t="str">
        <f>Table2[[#This Row],[field_fate]]</f>
        <v>U-H</v>
      </c>
      <c r="AB72" s="4" t="str">
        <f>Table2[[#This Row],[field_fate2]]</f>
        <v>U-H</v>
      </c>
      <c r="AC72" s="4" t="str">
        <f>Table2[[#This Row],[field_fate3]]</f>
        <v>U-H</v>
      </c>
      <c r="AD72" s="4" t="str">
        <f>Table2[[#This Row],[field_fate4]]</f>
        <v>U-H</v>
      </c>
      <c r="AE72" s="4" t="str">
        <f>Table2[[#This Row],[field_fate5]]</f>
        <v>U-H</v>
      </c>
      <c r="AF72" s="4" t="str">
        <f>Table2[[#This Row],[field_fate5]]</f>
        <v>U-H</v>
      </c>
      <c r="AG72" s="4" t="str">
        <f>Table2[[#This Row],[field_fate5]]</f>
        <v>U-H</v>
      </c>
      <c r="AH72" s="4" t="str">
        <f>Table2[[#This Row],[field_fate2]]</f>
        <v>U-H</v>
      </c>
      <c r="AI72" s="4" t="str">
        <f>Table2[[#This Row],[field_fate8]]</f>
        <v>U-H</v>
      </c>
      <c r="AJ72" s="4" t="str">
        <f>Table2[[#This Row],[field_fate10]]</f>
        <v>U-H</v>
      </c>
      <c r="AK72" s="4" t="b">
        <f>Table2[[#This Row],[field_fate_feb]]=Table2[[#This Row],[field_fate10]]</f>
        <v>1</v>
      </c>
      <c r="AL72" s="43" t="s">
        <v>24</v>
      </c>
      <c r="AM72" s="43" t="b">
        <f>Table2[[#This Row],[cam_fate2]]="NA"</f>
        <v>1</v>
      </c>
      <c r="AN72" s="19" t="str">
        <f>Table2[[#This Row],[cam_fate1]]</f>
        <v>NA</v>
      </c>
      <c r="AO72" s="2" t="s">
        <v>104</v>
      </c>
      <c r="AP72" s="5" t="str">
        <f>Table2[[#This Row],[final_fate1]]</f>
        <v>U-H</v>
      </c>
      <c r="AQ72" s="6" t="s">
        <v>24</v>
      </c>
      <c r="AR72" s="7" t="s">
        <v>24</v>
      </c>
      <c r="AS72" s="7" t="e">
        <f>Table2[[#This Row],[final_obs_date]]-Table2[[#This Row],[init_date]]</f>
        <v>#VALUE!</v>
      </c>
      <c r="AT72" s="7" t="e">
        <f>(Table2[[#This Row],[final_obs_date2]]-Table2[[#This Row],[estHD]])+16</f>
        <v>#VALUE!</v>
      </c>
      <c r="AU72" s="38">
        <v>5</v>
      </c>
      <c r="AV72" s="33">
        <v>5</v>
      </c>
      <c r="AW72" s="33">
        <f>Table2[[#This Row],[final_obs_date2]]-Table2[[#This Row],[pen_obs_date]]</f>
        <v>49</v>
      </c>
      <c r="AX72" s="67">
        <v>49</v>
      </c>
      <c r="AY72" s="6">
        <f>Table2[[#This Row],[final_obs_date]]</f>
        <v>49</v>
      </c>
      <c r="AZ72" s="6"/>
      <c r="BA72" s="91" t="s">
        <v>47</v>
      </c>
      <c r="BB72" s="6" t="e">
        <f>Table2[[#This Row],[final_obs_date]]&lt;(Table2[[#This Row],[estHD]]-2)</f>
        <v>#VALUE!</v>
      </c>
      <c r="BC72" s="24">
        <f>IF(Table2[[#This Row],[field_fate]]="H",1,0)</f>
        <v>0</v>
      </c>
      <c r="BD72" s="16">
        <f>IF(Table2[[#This Row],[cam_fate2]]="H",1,0)</f>
        <v>0</v>
      </c>
      <c r="BE72" s="6" t="b">
        <f>NOT(Table2[[#This Row],[HF_C]]=Table2[[#This Row],[HF]])</f>
        <v>0</v>
      </c>
      <c r="BF72" s="6" t="b">
        <f>NOT(Table2[[#This Row],[cam_fate2]]=Table2[[#This Row],[field_fate3]])</f>
        <v>1</v>
      </c>
      <c r="BG72" s="6" t="b">
        <f>OR(Table2[[#This Row],[field_fate3]]="U",Table2[[#This Row],[field_fate3]]="U-H")</f>
        <v>1</v>
      </c>
      <c r="BH72" s="8">
        <v>26</v>
      </c>
      <c r="BI72" s="8">
        <v>44</v>
      </c>
      <c r="BJ72" s="14">
        <f>IF(ISTEXT(Table2[[#This Row],[j.cam]]),Table2[[#This Row],[j]],Table2[[#This Row],[j.cam]])</f>
        <v>44</v>
      </c>
      <c r="BK72" s="9">
        <v>49</v>
      </c>
      <c r="BL72" s="15">
        <f>IF(ISTEXT(Table2[[#This Row],[k.cam]]), Table2[[#This Row],[k]], Table2[[#This Row],[k.cam]])</f>
        <v>49</v>
      </c>
      <c r="BM72" s="4" t="s">
        <v>24</v>
      </c>
      <c r="BN72" s="8" t="s">
        <v>24</v>
      </c>
      <c r="BO72" s="4">
        <v>5</v>
      </c>
      <c r="BP72" s="4">
        <f>Table2[[#This Row],[final_obs_date]]-Table2[[#This Row],[i]]</f>
        <v>23</v>
      </c>
      <c r="BQ72" s="4" t="e">
        <f>Table2[[#This Row],[final_obs_date2]]&gt;Table2[[#This Row],[estHD]]+3</f>
        <v>#VALUE!</v>
      </c>
      <c r="BR72" s="4" t="s">
        <v>33</v>
      </c>
      <c r="BS72" s="4" t="s">
        <v>45</v>
      </c>
      <c r="BT72" s="79" t="s">
        <v>1044</v>
      </c>
      <c r="BU72" s="26" t="s">
        <v>105</v>
      </c>
      <c r="BV72" s="79" t="s">
        <v>1461</v>
      </c>
      <c r="BW72" s="49"/>
      <c r="BX72" s="47"/>
      <c r="BY72" s="36" t="s">
        <v>523</v>
      </c>
    </row>
    <row r="73" spans="1:77" ht="15" hidden="1" thickBot="1" x14ac:dyDescent="0.4">
      <c r="A73" s="62">
        <v>10074</v>
      </c>
      <c r="B73" s="2" t="s">
        <v>35</v>
      </c>
      <c r="C73" s="44">
        <v>2019</v>
      </c>
      <c r="D73" s="3">
        <v>29.769909999999999</v>
      </c>
      <c r="E73" s="3">
        <v>-93.176289999999995</v>
      </c>
      <c r="F73" s="3" t="s">
        <v>24</v>
      </c>
      <c r="G73" s="3" t="s">
        <v>24</v>
      </c>
      <c r="H73" s="3" t="s">
        <v>26</v>
      </c>
      <c r="I73" s="43"/>
      <c r="J73" s="55" t="s">
        <v>24</v>
      </c>
      <c r="K73" s="4" t="s">
        <v>24</v>
      </c>
      <c r="L73" s="22" t="str">
        <f>IF(ISNUMBER(Table2[[#This Row],[estHD]]),ABS(Table2[[#This Row],[HD]]-Table2[[#This Row],[estHD]]),"NA")</f>
        <v>NA</v>
      </c>
      <c r="M73" s="4" t="b">
        <f>Table2[[#This Row],[HD]]=Table2[[#This Row],[estHD]]</f>
        <v>1</v>
      </c>
      <c r="N73" s="4" t="str">
        <f>IF(ISNUMBER([1]!Table2[[#This Row],[hatch_date]]),[1]!Table2[[#This Row],[hatch_date]]-19,"NA")</f>
        <v>NA</v>
      </c>
      <c r="O73" s="31" t="s">
        <v>24</v>
      </c>
      <c r="P73" s="23" t="str">
        <f>IF(ISNUMBER(Table2[[#This Row],[nest_age1]]),ABS(Table2[[#This Row],[nest_age1]]-Table2[[#This Row],[nest_age_feb]]),"NA")</f>
        <v>NA</v>
      </c>
      <c r="Q73" s="24">
        <f>IF(ISNUMBER(Table2[[#This Row],[final_obs_int2]]),ABS(Table2[[#This Row],[final_obs_int2]]-Table2[[#This Row],[final_obs_int_feb]]), "NA")</f>
        <v>0</v>
      </c>
      <c r="R73" s="24"/>
      <c r="S73" s="57" t="s">
        <v>88</v>
      </c>
      <c r="T73" s="57" t="str">
        <f>Table2[[#This Row],[camera_old]]</f>
        <v>N</v>
      </c>
      <c r="U73" s="24"/>
      <c r="V73" s="16" t="s">
        <v>24</v>
      </c>
      <c r="W73" s="16" t="s">
        <v>24</v>
      </c>
      <c r="X73" s="145">
        <v>4</v>
      </c>
      <c r="Y73" s="147" t="s">
        <v>90</v>
      </c>
      <c r="Z73" s="146" t="s">
        <v>90</v>
      </c>
      <c r="AA73" s="4" t="str">
        <f>Table2[[#This Row],[field_fate]]</f>
        <v>U</v>
      </c>
      <c r="AB73" s="4" t="str">
        <f>Table2[[#This Row],[field_fate2]]</f>
        <v>U</v>
      </c>
      <c r="AC73" s="4" t="str">
        <f>Table2[[#This Row],[field_fate3]]</f>
        <v>U</v>
      </c>
      <c r="AD73" s="4" t="str">
        <f>Table2[[#This Row],[field_fate4]]</f>
        <v>U</v>
      </c>
      <c r="AE73" s="4" t="str">
        <f>Table2[[#This Row],[field_fate5]]</f>
        <v>U</v>
      </c>
      <c r="AF73" s="4" t="str">
        <f>Table2[[#This Row],[field_fate5]]</f>
        <v>U</v>
      </c>
      <c r="AG73" s="4" t="str">
        <f>Table2[[#This Row],[field_fate5]]</f>
        <v>U</v>
      </c>
      <c r="AH73" s="4" t="str">
        <f>Table2[[#This Row],[field_fate2]]</f>
        <v>U</v>
      </c>
      <c r="AI73" s="4" t="str">
        <f>Table2[[#This Row],[field_fate8]]</f>
        <v>U</v>
      </c>
      <c r="AJ73" s="4" t="str">
        <f>Table2[[#This Row],[field_fate10]]</f>
        <v>U</v>
      </c>
      <c r="AK73" s="4" t="b">
        <f>Table2[[#This Row],[field_fate_feb]]=Table2[[#This Row],[field_fate10]]</f>
        <v>1</v>
      </c>
      <c r="AL73" s="43" t="s">
        <v>24</v>
      </c>
      <c r="AM73" s="43" t="b">
        <f>Table2[[#This Row],[cam_fate2]]="NA"</f>
        <v>1</v>
      </c>
      <c r="AN73" s="19" t="str">
        <f>Table2[[#This Row],[cam_fate1]]</f>
        <v>NA</v>
      </c>
      <c r="AO73" s="2" t="s">
        <v>90</v>
      </c>
      <c r="AP73" s="5" t="str">
        <f>Table2[[#This Row],[final_fate1]]</f>
        <v>U</v>
      </c>
      <c r="AQ73" s="6" t="s">
        <v>24</v>
      </c>
      <c r="AR73" s="7" t="s">
        <v>24</v>
      </c>
      <c r="AS73" s="7" t="e">
        <f>Table2[[#This Row],[final_obs_date]]-Table2[[#This Row],[init_date]]</f>
        <v>#VALUE!</v>
      </c>
      <c r="AT73" s="7" t="e">
        <f>(Table2[[#This Row],[final_obs_date2]]-Table2[[#This Row],[estHD]])+16</f>
        <v>#VALUE!</v>
      </c>
      <c r="AU73" s="38">
        <v>4</v>
      </c>
      <c r="AV73" s="33">
        <v>4</v>
      </c>
      <c r="AW73" s="33">
        <f>Table2[[#This Row],[final_obs_date2]]-Table2[[#This Row],[pen_obs_date]]</f>
        <v>44</v>
      </c>
      <c r="AX73" s="67">
        <v>44</v>
      </c>
      <c r="AY73" s="6">
        <f>Table2[[#This Row],[final_obs_date]]</f>
        <v>44</v>
      </c>
      <c r="AZ73" s="6"/>
      <c r="BA73" s="91" t="s">
        <v>47</v>
      </c>
      <c r="BB73" s="6" t="e">
        <f>Table2[[#This Row],[final_obs_date]]&lt;(Table2[[#This Row],[estHD]]-2)</f>
        <v>#VALUE!</v>
      </c>
      <c r="BC73" s="24">
        <f>IF(Table2[[#This Row],[field_fate]]="H",1,0)</f>
        <v>0</v>
      </c>
      <c r="BD73" s="16">
        <f>IF(Table2[[#This Row],[cam_fate2]]="H",1,0)</f>
        <v>0</v>
      </c>
      <c r="BE73" s="6" t="b">
        <f>NOT(Table2[[#This Row],[HF_C]]=Table2[[#This Row],[HF]])</f>
        <v>0</v>
      </c>
      <c r="BF73" s="6" t="b">
        <f>NOT(Table2[[#This Row],[cam_fate2]]=Table2[[#This Row],[field_fate3]])</f>
        <v>1</v>
      </c>
      <c r="BG73" s="6" t="b">
        <f>OR(Table2[[#This Row],[field_fate3]]="U",Table2[[#This Row],[field_fate3]]="U-H")</f>
        <v>1</v>
      </c>
      <c r="BH73" s="8">
        <v>26</v>
      </c>
      <c r="BI73" s="8">
        <v>40</v>
      </c>
      <c r="BJ73" s="14">
        <f>IF(ISTEXT(Table2[[#This Row],[j.cam]]),Table2[[#This Row],[j]],Table2[[#This Row],[j.cam]])</f>
        <v>40</v>
      </c>
      <c r="BK73" s="9">
        <v>44</v>
      </c>
      <c r="BL73" s="15">
        <f>IF(ISTEXT(Table2[[#This Row],[k.cam]]), Table2[[#This Row],[k]], Table2[[#This Row],[k.cam]])</f>
        <v>44</v>
      </c>
      <c r="BM73" s="4" t="s">
        <v>24</v>
      </c>
      <c r="BN73" s="8" t="s">
        <v>24</v>
      </c>
      <c r="BO73" s="4">
        <v>4</v>
      </c>
      <c r="BP73" s="4">
        <f>Table2[[#This Row],[final_obs_date]]-Table2[[#This Row],[i]]</f>
        <v>18</v>
      </c>
      <c r="BQ73" s="4" t="e">
        <f>Table2[[#This Row],[final_obs_date2]]&gt;Table2[[#This Row],[estHD]]+3</f>
        <v>#VALUE!</v>
      </c>
      <c r="BR73" s="4" t="s">
        <v>27</v>
      </c>
      <c r="BS73" s="4" t="s">
        <v>45</v>
      </c>
      <c r="BT73" s="79" t="s">
        <v>1045</v>
      </c>
      <c r="BU73" s="26" t="s">
        <v>106</v>
      </c>
      <c r="BV73" s="79" t="s">
        <v>1462</v>
      </c>
      <c r="BW73" s="49"/>
      <c r="BX73" s="47"/>
      <c r="BY73" s="36" t="s">
        <v>24</v>
      </c>
    </row>
    <row r="74" spans="1:77" ht="15" hidden="1" thickBot="1" x14ac:dyDescent="0.4">
      <c r="A74" s="62">
        <v>10075</v>
      </c>
      <c r="B74" s="2" t="s">
        <v>35</v>
      </c>
      <c r="C74" s="44">
        <v>2019</v>
      </c>
      <c r="D74" s="3">
        <v>29.769909999999999</v>
      </c>
      <c r="E74" s="3">
        <v>-93.176339999999996</v>
      </c>
      <c r="F74" s="3" t="s">
        <v>24</v>
      </c>
      <c r="G74" s="3" t="s">
        <v>24</v>
      </c>
      <c r="H74" s="3" t="s">
        <v>26</v>
      </c>
      <c r="I74" s="43"/>
      <c r="J74" s="55" t="s">
        <v>24</v>
      </c>
      <c r="K74" s="4" t="s">
        <v>24</v>
      </c>
      <c r="L74" s="22" t="str">
        <f>IF(ISNUMBER(Table2[[#This Row],[estHD]]),ABS(Table2[[#This Row],[HD]]-Table2[[#This Row],[estHD]]),"NA")</f>
        <v>NA</v>
      </c>
      <c r="M74" s="4" t="b">
        <f>Table2[[#This Row],[HD]]=Table2[[#This Row],[estHD]]</f>
        <v>1</v>
      </c>
      <c r="N74" s="4" t="str">
        <f>IF(ISNUMBER([1]!Table2[[#This Row],[hatch_date]]),[1]!Table2[[#This Row],[hatch_date]]-19,"NA")</f>
        <v>NA</v>
      </c>
      <c r="O74" s="31" t="s">
        <v>24</v>
      </c>
      <c r="P74" s="23" t="str">
        <f>IF(ISNUMBER(Table2[[#This Row],[nest_age1]]),ABS(Table2[[#This Row],[nest_age1]]-Table2[[#This Row],[nest_age_feb]]),"NA")</f>
        <v>NA</v>
      </c>
      <c r="Q74" s="24">
        <f>IF(ISNUMBER(Table2[[#This Row],[final_obs_int2]]),ABS(Table2[[#This Row],[final_obs_int2]]-Table2[[#This Row],[final_obs_int_feb]]), "NA")</f>
        <v>0</v>
      </c>
      <c r="R74" s="24"/>
      <c r="S74" s="57" t="s">
        <v>88</v>
      </c>
      <c r="T74" s="57" t="str">
        <f>Table2[[#This Row],[camera_old]]</f>
        <v>N</v>
      </c>
      <c r="U74" s="24"/>
      <c r="V74" s="16" t="s">
        <v>24</v>
      </c>
      <c r="W74" s="16" t="s">
        <v>24</v>
      </c>
      <c r="X74" s="145">
        <v>9</v>
      </c>
      <c r="Y74" s="147" t="s">
        <v>48</v>
      </c>
      <c r="Z74" s="146" t="s">
        <v>48</v>
      </c>
      <c r="AA74" s="4" t="str">
        <f>Table2[[#This Row],[field_fate]]</f>
        <v>F</v>
      </c>
      <c r="AB74" s="4" t="str">
        <f>Table2[[#This Row],[field_fate2]]</f>
        <v>F</v>
      </c>
      <c r="AC74" s="4" t="str">
        <f>Table2[[#This Row],[field_fate3]]</f>
        <v>F</v>
      </c>
      <c r="AD74" s="4" t="str">
        <f>Table2[[#This Row],[field_fate4]]</f>
        <v>F</v>
      </c>
      <c r="AE74" s="4" t="str">
        <f>Table2[[#This Row],[field_fate5]]</f>
        <v>F</v>
      </c>
      <c r="AF74" s="4" t="str">
        <f>Table2[[#This Row],[field_fate5]]</f>
        <v>F</v>
      </c>
      <c r="AG74" s="4" t="str">
        <f>Table2[[#This Row],[field_fate5]]</f>
        <v>F</v>
      </c>
      <c r="AH74" s="4" t="str">
        <f>Table2[[#This Row],[field_fate2]]</f>
        <v>F</v>
      </c>
      <c r="AI74" s="4" t="str">
        <f>Table2[[#This Row],[field_fate8]]</f>
        <v>F</v>
      </c>
      <c r="AJ74" s="4" t="str">
        <f>Table2[[#This Row],[field_fate10]]</f>
        <v>F</v>
      </c>
      <c r="AK74" s="4" t="b">
        <f>Table2[[#This Row],[field_fate_feb]]=Table2[[#This Row],[field_fate10]]</f>
        <v>1</v>
      </c>
      <c r="AL74" s="43" t="s">
        <v>24</v>
      </c>
      <c r="AM74" s="43" t="b">
        <f>Table2[[#This Row],[cam_fate2]]="NA"</f>
        <v>1</v>
      </c>
      <c r="AN74" s="19" t="str">
        <f>Table2[[#This Row],[cam_fate1]]</f>
        <v>NA</v>
      </c>
      <c r="AO74" s="2" t="s">
        <v>48</v>
      </c>
      <c r="AP74" s="5" t="str">
        <f>Table2[[#This Row],[final_fate1]]</f>
        <v>F</v>
      </c>
      <c r="AQ74" s="6" t="s">
        <v>24</v>
      </c>
      <c r="AR74" s="7" t="s">
        <v>24</v>
      </c>
      <c r="AS74" s="7" t="e">
        <f>Table2[[#This Row],[final_obs_date]]-Table2[[#This Row],[init_date]]</f>
        <v>#VALUE!</v>
      </c>
      <c r="AT74" s="7" t="e">
        <f>(Table2[[#This Row],[final_obs_date2]]-Table2[[#This Row],[estHD]])+16</f>
        <v>#VALUE!</v>
      </c>
      <c r="AU74" s="38">
        <v>9</v>
      </c>
      <c r="AV74" s="33">
        <v>9</v>
      </c>
      <c r="AW74" s="33">
        <f>Table2[[#This Row],[final_obs_date2]]-Table2[[#This Row],[pen_obs_date]]</f>
        <v>35</v>
      </c>
      <c r="AX74" s="67">
        <v>35</v>
      </c>
      <c r="AY74" s="6">
        <f>Table2[[#This Row],[final_obs_date]]</f>
        <v>35</v>
      </c>
      <c r="AZ74" s="6"/>
      <c r="BA74" s="91" t="s">
        <v>47</v>
      </c>
      <c r="BB74" s="6" t="e">
        <f>Table2[[#This Row],[final_obs_date]]&lt;(Table2[[#This Row],[estHD]]-2)</f>
        <v>#VALUE!</v>
      </c>
      <c r="BC74" s="24">
        <f>IF(Table2[[#This Row],[field_fate]]="H",1,0)</f>
        <v>0</v>
      </c>
      <c r="BD74" s="16">
        <f>IF(Table2[[#This Row],[cam_fate2]]="H",1,0)</f>
        <v>0</v>
      </c>
      <c r="BE74" s="6" t="b">
        <f>NOT(Table2[[#This Row],[HF_C]]=Table2[[#This Row],[HF]])</f>
        <v>0</v>
      </c>
      <c r="BF74" s="6" t="b">
        <f>NOT(Table2[[#This Row],[cam_fate2]]=Table2[[#This Row],[field_fate3]])</f>
        <v>1</v>
      </c>
      <c r="BG74" s="6" t="b">
        <f>OR(Table2[[#This Row],[field_fate3]]="U",Table2[[#This Row],[field_fate3]]="U-H")</f>
        <v>0</v>
      </c>
      <c r="BH74" s="8">
        <v>26</v>
      </c>
      <c r="BI74" s="8">
        <v>26</v>
      </c>
      <c r="BJ74" s="14">
        <f>IF(ISTEXT(Table2[[#This Row],[j.cam]]),Table2[[#This Row],[j]],Table2[[#This Row],[j.cam]])</f>
        <v>26</v>
      </c>
      <c r="BK74" s="9">
        <v>35</v>
      </c>
      <c r="BL74" s="15">
        <f>IF(ISTEXT(Table2[[#This Row],[k.cam]]), Table2[[#This Row],[k]], Table2[[#This Row],[k.cam]])</f>
        <v>35</v>
      </c>
      <c r="BM74" s="4" t="s">
        <v>24</v>
      </c>
      <c r="BN74" s="8" t="s">
        <v>24</v>
      </c>
      <c r="BO74" s="4">
        <v>2</v>
      </c>
      <c r="BP74" s="4">
        <f>Table2[[#This Row],[final_obs_date]]-Table2[[#This Row],[i]]</f>
        <v>9</v>
      </c>
      <c r="BQ74" s="4" t="e">
        <f>Table2[[#This Row],[final_obs_date2]]&gt;Table2[[#This Row],[estHD]]+3</f>
        <v>#VALUE!</v>
      </c>
      <c r="BR74" s="4" t="s">
        <v>33</v>
      </c>
      <c r="BS74" s="4" t="s">
        <v>45</v>
      </c>
      <c r="BT74" s="79" t="s">
        <v>1039</v>
      </c>
      <c r="BU74" s="26" t="s">
        <v>87</v>
      </c>
      <c r="BV74" s="79" t="s">
        <v>1457</v>
      </c>
      <c r="BW74" s="49"/>
      <c r="BX74" s="47"/>
      <c r="BY74" s="36" t="s">
        <v>524</v>
      </c>
    </row>
    <row r="75" spans="1:77" ht="15" hidden="1" thickBot="1" x14ac:dyDescent="0.4">
      <c r="A75" s="62">
        <v>10077</v>
      </c>
      <c r="B75" s="2" t="s">
        <v>35</v>
      </c>
      <c r="C75" s="44">
        <v>2019</v>
      </c>
      <c r="D75" s="3">
        <v>29.770430000000001</v>
      </c>
      <c r="E75" s="3">
        <v>-93.179320000000004</v>
      </c>
      <c r="F75" s="3">
        <v>0</v>
      </c>
      <c r="G75" s="3">
        <v>0</v>
      </c>
      <c r="H75" s="3" t="s">
        <v>26</v>
      </c>
      <c r="I75" s="43"/>
      <c r="J75" s="55" t="s">
        <v>24</v>
      </c>
      <c r="K75" s="4">
        <v>40</v>
      </c>
      <c r="L75" s="22" t="str">
        <f>IF(ISNUMBER(Table2[[#This Row],[estHD]]),ABS(Table2[[#This Row],[HD]]-Table2[[#This Row],[estHD]]),"NA")</f>
        <v>NA</v>
      </c>
      <c r="M75" s="4" t="b">
        <f>Table2[[#This Row],[HD]]=Table2[[#This Row],[estHD]]</f>
        <v>0</v>
      </c>
      <c r="N75" s="4" t="str">
        <f>IF(ISNUMBER([1]!Table2[[#This Row],[hatch_date]]),[1]!Table2[[#This Row],[hatch_date]]-19,"NA")</f>
        <v>NA</v>
      </c>
      <c r="O75" s="31">
        <v>21</v>
      </c>
      <c r="P75" s="23">
        <f>IF(ISNUMBER(Table2[[#This Row],[nest_age1]]),ABS(Table2[[#This Row],[nest_age1]]-Table2[[#This Row],[nest_age_feb]]),"NA")</f>
        <v>0</v>
      </c>
      <c r="Q75" s="24">
        <f>IF(ISNUMBER(Table2[[#This Row],[final_obs_int2]]),ABS(Table2[[#This Row],[final_obs_int2]]-Table2[[#This Row],[final_obs_int_feb]]), "NA")</f>
        <v>0</v>
      </c>
      <c r="R75" s="24"/>
      <c r="S75" s="57" t="s">
        <v>88</v>
      </c>
      <c r="T75" s="57" t="str">
        <f>Table2[[#This Row],[camera_old]]</f>
        <v>N</v>
      </c>
      <c r="U75" s="24"/>
      <c r="V75" s="16" t="s">
        <v>24</v>
      </c>
      <c r="W75" s="16">
        <v>19</v>
      </c>
      <c r="X75" s="145">
        <v>5</v>
      </c>
      <c r="Y75" s="147" t="s">
        <v>37</v>
      </c>
      <c r="Z75" s="146" t="s">
        <v>37</v>
      </c>
      <c r="AA75" s="4" t="str">
        <f>Table2[[#This Row],[field_fate]]</f>
        <v>H</v>
      </c>
      <c r="AB75" s="4" t="str">
        <f>Table2[[#This Row],[field_fate2]]</f>
        <v>H</v>
      </c>
      <c r="AC75" s="4" t="str">
        <f>Table2[[#This Row],[field_fate3]]</f>
        <v>H</v>
      </c>
      <c r="AD75" s="4" t="str">
        <f>Table2[[#This Row],[field_fate4]]</f>
        <v>H</v>
      </c>
      <c r="AE75" s="4" t="str">
        <f>Table2[[#This Row],[field_fate5]]</f>
        <v>H</v>
      </c>
      <c r="AF75" s="4" t="str">
        <f>Table2[[#This Row],[field_fate5]]</f>
        <v>H</v>
      </c>
      <c r="AG75" s="4" t="str">
        <f>Table2[[#This Row],[field_fate5]]</f>
        <v>H</v>
      </c>
      <c r="AH75" s="4" t="str">
        <f>Table2[[#This Row],[field_fate2]]</f>
        <v>H</v>
      </c>
      <c r="AI75" s="4" t="str">
        <f>Table2[[#This Row],[field_fate8]]</f>
        <v>H</v>
      </c>
      <c r="AJ75" s="4" t="str">
        <f>Table2[[#This Row],[field_fate10]]</f>
        <v>H</v>
      </c>
      <c r="AK75" s="4" t="b">
        <f>Table2[[#This Row],[field_fate_feb]]=Table2[[#This Row],[field_fate10]]</f>
        <v>1</v>
      </c>
      <c r="AL75" s="43" t="s">
        <v>24</v>
      </c>
      <c r="AM75" s="43" t="b">
        <f>Table2[[#This Row],[cam_fate2]]="NA"</f>
        <v>1</v>
      </c>
      <c r="AN75" s="19" t="str">
        <f>Table2[[#This Row],[cam_fate1]]</f>
        <v>NA</v>
      </c>
      <c r="AO75" s="2" t="s">
        <v>37</v>
      </c>
      <c r="AP75" s="5" t="str">
        <f>Table2[[#This Row],[final_fate1]]</f>
        <v>H</v>
      </c>
      <c r="AQ75" s="6">
        <v>19</v>
      </c>
      <c r="AR75" s="7">
        <v>19</v>
      </c>
      <c r="AS75" s="7">
        <f>Table2[[#This Row],[final_obs_date]]-Table2[[#This Row],[init_date]]</f>
        <v>19</v>
      </c>
      <c r="AT75" s="7" t="e">
        <f>(Table2[[#This Row],[final_obs_date2]]-Table2[[#This Row],[estHD]])+16</f>
        <v>#VALUE!</v>
      </c>
      <c r="AU75" s="38">
        <v>5</v>
      </c>
      <c r="AV75" s="33">
        <v>5</v>
      </c>
      <c r="AW75" s="33">
        <f>Table2[[#This Row],[final_obs_date2]]-Table2[[#This Row],[pen_obs_date]]</f>
        <v>40</v>
      </c>
      <c r="AX75" s="67">
        <v>40</v>
      </c>
      <c r="AY75" s="6">
        <f>Table2[[#This Row],[final_obs_date]]</f>
        <v>40</v>
      </c>
      <c r="AZ75" s="6"/>
      <c r="BA75" s="91" t="s">
        <v>47</v>
      </c>
      <c r="BB75" s="6" t="e">
        <f>Table2[[#This Row],[final_obs_date]]&lt;(Table2[[#This Row],[estHD]]-2)</f>
        <v>#VALUE!</v>
      </c>
      <c r="BC75" s="24">
        <f>IF(Table2[[#This Row],[field_fate]]="H",1,0)</f>
        <v>1</v>
      </c>
      <c r="BD75" s="16">
        <f>IF(Table2[[#This Row],[cam_fate2]]="H",1,0)</f>
        <v>0</v>
      </c>
      <c r="BE75" s="6" t="b">
        <f>NOT(Table2[[#This Row],[HF_C]]=Table2[[#This Row],[HF]])</f>
        <v>1</v>
      </c>
      <c r="BF75" s="6" t="b">
        <f>NOT(Table2[[#This Row],[cam_fate2]]=Table2[[#This Row],[field_fate3]])</f>
        <v>1</v>
      </c>
      <c r="BG75" s="6" t="b">
        <f>OR(Table2[[#This Row],[field_fate3]]="U",Table2[[#This Row],[field_fate3]]="U-H")</f>
        <v>0</v>
      </c>
      <c r="BH75" s="8">
        <v>26</v>
      </c>
      <c r="BI75" s="8">
        <v>40</v>
      </c>
      <c r="BJ75" s="14">
        <f>IF(ISTEXT(Table2[[#This Row],[j.cam]]),Table2[[#This Row],[j]],Table2[[#This Row],[j.cam]])</f>
        <v>40</v>
      </c>
      <c r="BK75" s="9">
        <v>40</v>
      </c>
      <c r="BL75" s="15">
        <f>IF(ISTEXT(Table2[[#This Row],[k.cam]]), Table2[[#This Row],[k]], Table2[[#This Row],[k.cam]])</f>
        <v>40</v>
      </c>
      <c r="BM75" s="4" t="s">
        <v>24</v>
      </c>
      <c r="BN75" s="8" t="s">
        <v>24</v>
      </c>
      <c r="BO75" s="4">
        <v>3</v>
      </c>
      <c r="BP75" s="4">
        <f>Table2[[#This Row],[final_obs_date]]-Table2[[#This Row],[i]]</f>
        <v>14</v>
      </c>
      <c r="BQ75" s="4" t="e">
        <f>Table2[[#This Row],[final_obs_date2]]&gt;Table2[[#This Row],[estHD]]+3</f>
        <v>#VALUE!</v>
      </c>
      <c r="BR75" s="4" t="s">
        <v>27</v>
      </c>
      <c r="BS75" s="4" t="s">
        <v>38</v>
      </c>
      <c r="BT75" s="79" t="s">
        <v>1040</v>
      </c>
      <c r="BU75" s="26" t="s">
        <v>107</v>
      </c>
      <c r="BV75" s="79" t="s">
        <v>1458</v>
      </c>
      <c r="BW75" s="49"/>
      <c r="BX75" s="47"/>
      <c r="BY75" s="36" t="s">
        <v>24</v>
      </c>
    </row>
    <row r="76" spans="1:77" ht="15" hidden="1" thickBot="1" x14ac:dyDescent="0.4">
      <c r="A76" s="62">
        <v>10078</v>
      </c>
      <c r="B76" s="2" t="s">
        <v>108</v>
      </c>
      <c r="C76" s="44">
        <v>2019</v>
      </c>
      <c r="D76" s="3">
        <v>29.77505</v>
      </c>
      <c r="E76" s="3">
        <v>-93.28058</v>
      </c>
      <c r="F76" s="3">
        <v>50</v>
      </c>
      <c r="G76" s="3">
        <v>60</v>
      </c>
      <c r="H76" s="3" t="s">
        <v>26</v>
      </c>
      <c r="I76" s="43"/>
      <c r="J76" s="55">
        <v>46</v>
      </c>
      <c r="K76" s="4">
        <v>44</v>
      </c>
      <c r="L76" s="22">
        <f>IF(ISNUMBER(Table2[[#This Row],[estHD]]),ABS(Table2[[#This Row],[HD]]-Table2[[#This Row],[estHD]]),"NA")</f>
        <v>2</v>
      </c>
      <c r="M76" s="4" t="b">
        <f>Table2[[#This Row],[HD]]=Table2[[#This Row],[estHD]]</f>
        <v>0</v>
      </c>
      <c r="N76" s="4" t="str">
        <f>IF(ISNUMBER([1]!Table2[[#This Row],[hatch_date]]), [1]!Table2[[#This Row],[hatch_date]]-28, "NA")</f>
        <v>NA</v>
      </c>
      <c r="O76" s="31">
        <v>16</v>
      </c>
      <c r="P76" s="23">
        <f>IF(ISNUMBER(Table2[[#This Row],[nest_age1]]),ABS(Table2[[#This Row],[nest_age1]]-Table2[[#This Row],[nest_age_feb]]),"NA")</f>
        <v>3</v>
      </c>
      <c r="Q76" s="24">
        <f>IF(ISNUMBER(Table2[[#This Row],[final_obs_int2]]),ABS(Table2[[#This Row],[final_obs_int2]]-Table2[[#This Row],[final_obs_int_feb]]), "NA")</f>
        <v>2</v>
      </c>
      <c r="R76" s="24"/>
      <c r="S76" s="57" t="s">
        <v>88</v>
      </c>
      <c r="T76" s="57" t="str">
        <f>Table2[[#This Row],[camera_old]]</f>
        <v>N</v>
      </c>
      <c r="U76" s="24"/>
      <c r="V76" s="16" t="s">
        <v>24</v>
      </c>
      <c r="W76" s="16">
        <v>26</v>
      </c>
      <c r="X76" s="145">
        <v>3</v>
      </c>
      <c r="Y76" s="147" t="s">
        <v>37</v>
      </c>
      <c r="Z76" s="146" t="s">
        <v>37</v>
      </c>
      <c r="AA76" s="4" t="str">
        <f>Table2[[#This Row],[field_fate]]</f>
        <v>H</v>
      </c>
      <c r="AB76" s="4" t="str">
        <f>Table2[[#This Row],[field_fate2]]</f>
        <v>H</v>
      </c>
      <c r="AC76" s="4" t="str">
        <f>Table2[[#This Row],[field_fate3]]</f>
        <v>H</v>
      </c>
      <c r="AD76" s="4" t="str">
        <f>Table2[[#This Row],[field_fate4]]</f>
        <v>H</v>
      </c>
      <c r="AE76" s="4" t="str">
        <f>Table2[[#This Row],[field_fate5]]</f>
        <v>H</v>
      </c>
      <c r="AF76" s="4" t="str">
        <f>Table2[[#This Row],[field_fate5]]</f>
        <v>H</v>
      </c>
      <c r="AG76" s="4" t="str">
        <f>Table2[[#This Row],[field_fate5]]</f>
        <v>H</v>
      </c>
      <c r="AH76" s="4" t="str">
        <f>Table2[[#This Row],[field_fate2]]</f>
        <v>H</v>
      </c>
      <c r="AI76" s="4" t="str">
        <f>Table2[[#This Row],[field_fate8]]</f>
        <v>H</v>
      </c>
      <c r="AJ76" s="4" t="str">
        <f>Table2[[#This Row],[field_fate10]]</f>
        <v>H</v>
      </c>
      <c r="AK76" s="4" t="b">
        <f>Table2[[#This Row],[field_fate_feb]]=Table2[[#This Row],[field_fate10]]</f>
        <v>1</v>
      </c>
      <c r="AL76" s="43" t="s">
        <v>24</v>
      </c>
      <c r="AM76" s="43" t="b">
        <f>Table2[[#This Row],[cam_fate2]]="NA"</f>
        <v>1</v>
      </c>
      <c r="AN76" s="19" t="str">
        <f>Table2[[#This Row],[cam_fate1]]</f>
        <v>NA</v>
      </c>
      <c r="AO76" s="2" t="s">
        <v>37</v>
      </c>
      <c r="AP76" s="5" t="str">
        <f>Table2[[#This Row],[final_fate1]]</f>
        <v>H</v>
      </c>
      <c r="AQ76" s="6">
        <v>29</v>
      </c>
      <c r="AR76" s="7">
        <v>27</v>
      </c>
      <c r="AS76" s="7">
        <f>Table2[[#This Row],[final_obs_date]]-Table2[[#This Row],[init_date]]</f>
        <v>29</v>
      </c>
      <c r="AT76" s="7">
        <f>(Table2[[#This Row],[final_obs_date2]]-Table2[[#This Row],[estHD]])+16</f>
        <v>15</v>
      </c>
      <c r="AU76" s="38">
        <v>1</v>
      </c>
      <c r="AV76" s="33">
        <v>1</v>
      </c>
      <c r="AW76" s="33">
        <f>Table2[[#This Row],[final_obs_date2]]-Table2[[#This Row],[pen_obs_date]]</f>
        <v>45</v>
      </c>
      <c r="AX76" s="67">
        <v>45</v>
      </c>
      <c r="AY76" s="6">
        <f>Table2[[#This Row],[final_obs_date]]</f>
        <v>45</v>
      </c>
      <c r="AZ76" s="6"/>
      <c r="BA76" s="91" t="s">
        <v>23</v>
      </c>
      <c r="BB76" s="6" t="b">
        <f>Table2[[#This Row],[final_obs_date]]&lt;(Table2[[#This Row],[estHD]]-2)</f>
        <v>0</v>
      </c>
      <c r="BC76" s="24">
        <f>IF(Table2[[#This Row],[field_fate]]="H",1,0)</f>
        <v>1</v>
      </c>
      <c r="BD76" s="16">
        <f>IF(Table2[[#This Row],[cam_fate2]]="H",1,0)</f>
        <v>0</v>
      </c>
      <c r="BE76" s="6" t="b">
        <f>NOT(Table2[[#This Row],[HF_C]]=Table2[[#This Row],[HF]])</f>
        <v>1</v>
      </c>
      <c r="BF76" s="6" t="b">
        <f>NOT(Table2[[#This Row],[cam_fate2]]=Table2[[#This Row],[field_fate3]])</f>
        <v>1</v>
      </c>
      <c r="BG76" s="6" t="b">
        <f>OR(Table2[[#This Row],[field_fate3]]="U",Table2[[#This Row],[field_fate3]]="U-H")</f>
        <v>0</v>
      </c>
      <c r="BH76" s="8">
        <v>27</v>
      </c>
      <c r="BI76" s="8">
        <v>44</v>
      </c>
      <c r="BJ76" s="14">
        <f>IF(ISTEXT(Table2[[#This Row],[j.cam]]),Table2[[#This Row],[j]],Table2[[#This Row],[j.cam]])</f>
        <v>44</v>
      </c>
      <c r="BK76" s="9">
        <v>44</v>
      </c>
      <c r="BL76" s="15">
        <f>IF(ISTEXT(Table2[[#This Row],[k.cam]]), Table2[[#This Row],[k]], Table2[[#This Row],[k.cam]])</f>
        <v>44</v>
      </c>
      <c r="BM76" s="4" t="s">
        <v>24</v>
      </c>
      <c r="BN76" s="8" t="s">
        <v>24</v>
      </c>
      <c r="BO76" s="4">
        <v>5</v>
      </c>
      <c r="BP76" s="4">
        <f>Table2[[#This Row],[final_obs_date]]-Table2[[#This Row],[i]]</f>
        <v>18</v>
      </c>
      <c r="BQ76" s="4" t="b">
        <f>Table2[[#This Row],[final_obs_date2]]&gt;Table2[[#This Row],[estHD]]+3</f>
        <v>0</v>
      </c>
      <c r="BR76" s="4" t="s">
        <v>33</v>
      </c>
      <c r="BS76" s="4" t="s">
        <v>109</v>
      </c>
      <c r="BT76" s="79" t="s">
        <v>1046</v>
      </c>
      <c r="BU76" s="26" t="s">
        <v>110</v>
      </c>
      <c r="BV76" s="79" t="s">
        <v>1463</v>
      </c>
      <c r="BW76" s="49"/>
      <c r="BX76" s="47"/>
      <c r="BY76" s="36" t="s">
        <v>525</v>
      </c>
    </row>
    <row r="77" spans="1:77" ht="15" hidden="1" thickBot="1" x14ac:dyDescent="0.4">
      <c r="A77" s="62">
        <v>10079</v>
      </c>
      <c r="B77" s="2" t="s">
        <v>111</v>
      </c>
      <c r="C77" s="44">
        <v>2019</v>
      </c>
      <c r="D77" s="3">
        <v>29.773340000000001</v>
      </c>
      <c r="E77" s="3">
        <v>-93.292500000000004</v>
      </c>
      <c r="F77" s="3">
        <v>50</v>
      </c>
      <c r="G77" s="3">
        <v>75</v>
      </c>
      <c r="H77" s="3" t="s">
        <v>26</v>
      </c>
      <c r="I77" s="43"/>
      <c r="J77" s="55">
        <v>43</v>
      </c>
      <c r="K77" s="4">
        <v>43</v>
      </c>
      <c r="L77" s="22">
        <f>IF(ISNUMBER(Table2[[#This Row],[estHD]]),ABS(Table2[[#This Row],[HD]]-Table2[[#This Row],[estHD]]),"NA")</f>
        <v>0</v>
      </c>
      <c r="M77" s="4" t="b">
        <f>Table2[[#This Row],[HD]]=Table2[[#This Row],[estHD]]</f>
        <v>1</v>
      </c>
      <c r="N77" s="4" t="str">
        <f>IF(ISNUMBER([1]!Table2[[#This Row],[hatch_date]]), [1]!Table2[[#This Row],[hatch_date]]-28, "NA")</f>
        <v>NA</v>
      </c>
      <c r="O77" s="31">
        <v>15</v>
      </c>
      <c r="P77" s="23">
        <f>IF(ISNUMBER(Table2[[#This Row],[nest_age1]]),ABS(Table2[[#This Row],[nest_age1]]-Table2[[#This Row],[nest_age_feb]]),"NA")</f>
        <v>0</v>
      </c>
      <c r="Q77" s="24">
        <f>IF(ISNUMBER(Table2[[#This Row],[final_obs_int2]]),ABS(Table2[[#This Row],[final_obs_int2]]-Table2[[#This Row],[final_obs_int_feb]]), "NA")</f>
        <v>0</v>
      </c>
      <c r="R77" s="24"/>
      <c r="S77" s="57" t="s">
        <v>88</v>
      </c>
      <c r="T77" s="57" t="str">
        <f>Table2[[#This Row],[camera_old]]</f>
        <v>N</v>
      </c>
      <c r="U77" s="24"/>
      <c r="V77" s="16" t="s">
        <v>24</v>
      </c>
      <c r="W77" s="16">
        <v>17</v>
      </c>
      <c r="X77" s="145">
        <v>5</v>
      </c>
      <c r="Y77" s="147" t="s">
        <v>31</v>
      </c>
      <c r="Z77" s="146" t="s">
        <v>31</v>
      </c>
      <c r="AA77" s="4" t="str">
        <f>Table2[[#This Row],[field_fate]]</f>
        <v>D</v>
      </c>
      <c r="AB77" s="4" t="str">
        <f>Table2[[#This Row],[field_fate2]]</f>
        <v>D</v>
      </c>
      <c r="AC77" s="4" t="str">
        <f>Table2[[#This Row],[field_fate3]]</f>
        <v>D</v>
      </c>
      <c r="AD77" s="4" t="str">
        <f>Table2[[#This Row],[field_fate4]]</f>
        <v>D</v>
      </c>
      <c r="AE77" s="4" t="str">
        <f>Table2[[#This Row],[field_fate5]]</f>
        <v>D</v>
      </c>
      <c r="AF77" s="4" t="str">
        <f>Table2[[#This Row],[field_fate5]]</f>
        <v>D</v>
      </c>
      <c r="AG77" s="4" t="str">
        <f>Table2[[#This Row],[field_fate5]]</f>
        <v>D</v>
      </c>
      <c r="AH77" s="4" t="str">
        <f>Table2[[#This Row],[field_fate2]]</f>
        <v>D</v>
      </c>
      <c r="AI77" s="4" t="str">
        <f>Table2[[#This Row],[field_fate8]]</f>
        <v>D</v>
      </c>
      <c r="AJ77" s="4" t="str">
        <f>Table2[[#This Row],[field_fate10]]</f>
        <v>D</v>
      </c>
      <c r="AK77" s="4" t="b">
        <f>Table2[[#This Row],[field_fate_feb]]=Table2[[#This Row],[field_fate10]]</f>
        <v>1</v>
      </c>
      <c r="AL77" s="43" t="s">
        <v>24</v>
      </c>
      <c r="AM77" s="43" t="b">
        <f>Table2[[#This Row],[cam_fate2]]="NA"</f>
        <v>1</v>
      </c>
      <c r="AN77" s="19" t="str">
        <f>Table2[[#This Row],[cam_fate1]]</f>
        <v>NA</v>
      </c>
      <c r="AO77" s="2" t="s">
        <v>31</v>
      </c>
      <c r="AP77" s="5" t="str">
        <f>Table2[[#This Row],[final_fate1]]</f>
        <v>D</v>
      </c>
      <c r="AQ77" s="6">
        <v>17</v>
      </c>
      <c r="AR77" s="7">
        <v>17</v>
      </c>
      <c r="AS77" s="7">
        <f>Table2[[#This Row],[final_obs_date]]-Table2[[#This Row],[init_date]]</f>
        <v>17</v>
      </c>
      <c r="AT77" s="7">
        <f>(Table2[[#This Row],[final_obs_date2]]-Table2[[#This Row],[estHD]])+16</f>
        <v>5</v>
      </c>
      <c r="AU77" s="38">
        <v>5</v>
      </c>
      <c r="AV77" s="33">
        <v>5</v>
      </c>
      <c r="AW77" s="33">
        <f>Table2[[#This Row],[final_obs_date2]]-Table2[[#This Row],[pen_obs_date]]</f>
        <v>32</v>
      </c>
      <c r="AX77" s="67">
        <v>32</v>
      </c>
      <c r="AY77" s="6">
        <f>Table2[[#This Row],[final_obs_date]]</f>
        <v>32</v>
      </c>
      <c r="AZ77" s="6"/>
      <c r="BA77" s="91" t="s">
        <v>23</v>
      </c>
      <c r="BB77" s="6" t="b">
        <f>Table2[[#This Row],[final_obs_date]]&lt;(Table2[[#This Row],[estHD]]-2)</f>
        <v>1</v>
      </c>
      <c r="BC77" s="24">
        <f>IF(Table2[[#This Row],[field_fate]]="H",1,0)</f>
        <v>0</v>
      </c>
      <c r="BD77" s="16">
        <f>IF(Table2[[#This Row],[cam_fate2]]="H",1,0)</f>
        <v>0</v>
      </c>
      <c r="BE77" s="6" t="b">
        <f>NOT(Table2[[#This Row],[HF_C]]=Table2[[#This Row],[HF]])</f>
        <v>0</v>
      </c>
      <c r="BF77" s="6" t="b">
        <f>NOT(Table2[[#This Row],[cam_fate2]]=Table2[[#This Row],[field_fate3]])</f>
        <v>1</v>
      </c>
      <c r="BG77" s="6" t="b">
        <f>OR(Table2[[#This Row],[field_fate3]]="U",Table2[[#This Row],[field_fate3]]="U-H")</f>
        <v>0</v>
      </c>
      <c r="BH77" s="8">
        <v>27</v>
      </c>
      <c r="BI77" s="8">
        <v>27</v>
      </c>
      <c r="BJ77" s="14">
        <f>IF(ISTEXT(Table2[[#This Row],[j.cam]]),Table2[[#This Row],[j]],Table2[[#This Row],[j.cam]])</f>
        <v>27</v>
      </c>
      <c r="BK77" s="9">
        <v>32</v>
      </c>
      <c r="BL77" s="15">
        <f>IF(ISTEXT(Table2[[#This Row],[k.cam]]), Table2[[#This Row],[k]], Table2[[#This Row],[k.cam]])</f>
        <v>32</v>
      </c>
      <c r="BM77" s="4" t="s">
        <v>24</v>
      </c>
      <c r="BN77" s="8" t="s">
        <v>24</v>
      </c>
      <c r="BO77" s="4">
        <v>2</v>
      </c>
      <c r="BP77" s="4">
        <f>Table2[[#This Row],[final_obs_date]]-Table2[[#This Row],[i]]</f>
        <v>5</v>
      </c>
      <c r="BQ77" s="4" t="b">
        <f>Table2[[#This Row],[final_obs_date2]]&gt;Table2[[#This Row],[estHD]]+3</f>
        <v>0</v>
      </c>
      <c r="BR77" s="4" t="s">
        <v>27</v>
      </c>
      <c r="BS77" s="4" t="s">
        <v>28</v>
      </c>
      <c r="BT77" s="79" t="s">
        <v>1047</v>
      </c>
      <c r="BU77" s="26" t="s">
        <v>29</v>
      </c>
      <c r="BV77" s="79" t="s">
        <v>1464</v>
      </c>
      <c r="BW77" s="49"/>
      <c r="BX77" s="47"/>
      <c r="BY77" s="36" t="s">
        <v>526</v>
      </c>
    </row>
    <row r="78" spans="1:77" ht="15" hidden="1" thickBot="1" x14ac:dyDescent="0.4">
      <c r="A78" s="62">
        <v>10080</v>
      </c>
      <c r="B78" s="2" t="s">
        <v>111</v>
      </c>
      <c r="C78" s="44">
        <v>2019</v>
      </c>
      <c r="D78" s="3">
        <v>29.77261</v>
      </c>
      <c r="E78" s="3">
        <v>-93.301479999999998</v>
      </c>
      <c r="F78" s="3">
        <v>5</v>
      </c>
      <c r="G78" s="3">
        <v>10</v>
      </c>
      <c r="H78" s="3" t="s">
        <v>26</v>
      </c>
      <c r="I78" s="43"/>
      <c r="J78" s="55">
        <v>50</v>
      </c>
      <c r="K78" s="4">
        <v>50</v>
      </c>
      <c r="L78" s="22">
        <f>IF(ISNUMBER(Table2[[#This Row],[estHD]]),ABS(Table2[[#This Row],[HD]]-Table2[[#This Row],[estHD]]),"NA")</f>
        <v>0</v>
      </c>
      <c r="M78" s="4" t="b">
        <f>Table2[[#This Row],[HD]]=Table2[[#This Row],[estHD]]</f>
        <v>1</v>
      </c>
      <c r="N78" s="4" t="str">
        <f>IF(ISNUMBER([1]!Table2[[#This Row],[hatch_date]]), [1]!Table2[[#This Row],[hatch_date]]-28, "NA")</f>
        <v>NA</v>
      </c>
      <c r="O78" s="31">
        <v>22</v>
      </c>
      <c r="P78" s="23">
        <f>IF(ISNUMBER(Table2[[#This Row],[nest_age1]]),ABS(Table2[[#This Row],[nest_age1]]-Table2[[#This Row],[nest_age_feb]]),"NA")</f>
        <v>0</v>
      </c>
      <c r="Q78" s="24">
        <f>IF(ISNUMBER(Table2[[#This Row],[final_obs_int2]]),ABS(Table2[[#This Row],[final_obs_int2]]-Table2[[#This Row],[final_obs_int_feb]]), "NA")</f>
        <v>0</v>
      </c>
      <c r="R78" s="24"/>
      <c r="S78" s="57" t="s">
        <v>88</v>
      </c>
      <c r="T78" s="57" t="str">
        <f>Table2[[#This Row],[camera_old]]</f>
        <v>N</v>
      </c>
      <c r="U78" s="24"/>
      <c r="V78" s="16" t="s">
        <v>24</v>
      </c>
      <c r="W78" s="16">
        <v>15</v>
      </c>
      <c r="X78" s="145">
        <v>5</v>
      </c>
      <c r="Y78" s="147" t="s">
        <v>31</v>
      </c>
      <c r="Z78" s="146" t="s">
        <v>31</v>
      </c>
      <c r="AA78" s="4" t="str">
        <f>Table2[[#This Row],[field_fate]]</f>
        <v>D</v>
      </c>
      <c r="AB78" s="4" t="str">
        <f>Table2[[#This Row],[field_fate2]]</f>
        <v>D</v>
      </c>
      <c r="AC78" s="4" t="str">
        <f>Table2[[#This Row],[field_fate3]]</f>
        <v>D</v>
      </c>
      <c r="AD78" s="4" t="str">
        <f>Table2[[#This Row],[field_fate4]]</f>
        <v>D</v>
      </c>
      <c r="AE78" s="4" t="str">
        <f>Table2[[#This Row],[field_fate5]]</f>
        <v>D</v>
      </c>
      <c r="AF78" s="4" t="str">
        <f>Table2[[#This Row],[field_fate5]]</f>
        <v>D</v>
      </c>
      <c r="AG78" s="4" t="str">
        <f>Table2[[#This Row],[field_fate5]]</f>
        <v>D</v>
      </c>
      <c r="AH78" s="4" t="str">
        <f>Table2[[#This Row],[field_fate2]]</f>
        <v>D</v>
      </c>
      <c r="AI78" s="4" t="str">
        <f>Table2[[#This Row],[field_fate8]]</f>
        <v>D</v>
      </c>
      <c r="AJ78" s="4" t="str">
        <f>Table2[[#This Row],[field_fate10]]</f>
        <v>D</v>
      </c>
      <c r="AK78" s="4" t="b">
        <f>Table2[[#This Row],[field_fate_feb]]=Table2[[#This Row],[field_fate10]]</f>
        <v>1</v>
      </c>
      <c r="AL78" s="43" t="s">
        <v>24</v>
      </c>
      <c r="AM78" s="43" t="b">
        <f>Table2[[#This Row],[cam_fate2]]="NA"</f>
        <v>1</v>
      </c>
      <c r="AN78" s="19" t="str">
        <f>Table2[[#This Row],[cam_fate1]]</f>
        <v>NA</v>
      </c>
      <c r="AO78" s="2" t="s">
        <v>31</v>
      </c>
      <c r="AP78" s="5" t="str">
        <f>Table2[[#This Row],[final_fate1]]</f>
        <v>D</v>
      </c>
      <c r="AQ78" s="6">
        <v>15</v>
      </c>
      <c r="AR78" s="7">
        <v>15</v>
      </c>
      <c r="AS78" s="7">
        <f>Table2[[#This Row],[final_obs_date]]-Table2[[#This Row],[init_date]]</f>
        <v>15</v>
      </c>
      <c r="AT78" s="7">
        <f>(Table2[[#This Row],[final_obs_date2]]-Table2[[#This Row],[estHD]])+16</f>
        <v>3</v>
      </c>
      <c r="AU78" s="38">
        <v>5</v>
      </c>
      <c r="AV78" s="33">
        <v>5</v>
      </c>
      <c r="AW78" s="33">
        <f>Table2[[#This Row],[final_obs_date2]]-Table2[[#This Row],[pen_obs_date]]</f>
        <v>37</v>
      </c>
      <c r="AX78" s="67">
        <v>37</v>
      </c>
      <c r="AY78" s="6">
        <f>Table2[[#This Row],[final_obs_date]]</f>
        <v>37</v>
      </c>
      <c r="AZ78" s="6"/>
      <c r="BA78" s="91" t="s">
        <v>23</v>
      </c>
      <c r="BB78" s="6" t="b">
        <f>Table2[[#This Row],[final_obs_date]]&lt;(Table2[[#This Row],[estHD]]-2)</f>
        <v>1</v>
      </c>
      <c r="BC78" s="24">
        <f>IF(Table2[[#This Row],[field_fate]]="H",1,0)</f>
        <v>0</v>
      </c>
      <c r="BD78" s="16">
        <f>IF(Table2[[#This Row],[cam_fate2]]="H",1,0)</f>
        <v>0</v>
      </c>
      <c r="BE78" s="6" t="b">
        <f>NOT(Table2[[#This Row],[HF_C]]=Table2[[#This Row],[HF]])</f>
        <v>0</v>
      </c>
      <c r="BF78" s="6" t="b">
        <f>NOT(Table2[[#This Row],[cam_fate2]]=Table2[[#This Row],[field_fate3]])</f>
        <v>1</v>
      </c>
      <c r="BG78" s="6" t="b">
        <f>OR(Table2[[#This Row],[field_fate3]]="U",Table2[[#This Row],[field_fate3]]="U-H")</f>
        <v>0</v>
      </c>
      <c r="BH78" s="8">
        <v>27</v>
      </c>
      <c r="BI78" s="8">
        <v>32</v>
      </c>
      <c r="BJ78" s="14">
        <f>IF(ISTEXT(Table2[[#This Row],[j.cam]]),Table2[[#This Row],[j]],Table2[[#This Row],[j.cam]])</f>
        <v>32</v>
      </c>
      <c r="BK78" s="9">
        <v>37</v>
      </c>
      <c r="BL78" s="15">
        <f>IF(ISTEXT(Table2[[#This Row],[k.cam]]), Table2[[#This Row],[k]], Table2[[#This Row],[k.cam]])</f>
        <v>37</v>
      </c>
      <c r="BM78" s="4" t="s">
        <v>24</v>
      </c>
      <c r="BN78" s="8" t="s">
        <v>24</v>
      </c>
      <c r="BO78" s="4">
        <v>3</v>
      </c>
      <c r="BP78" s="4">
        <f>Table2[[#This Row],[final_obs_date]]-Table2[[#This Row],[i]]</f>
        <v>10</v>
      </c>
      <c r="BQ78" s="4" t="b">
        <f>Table2[[#This Row],[final_obs_date2]]&gt;Table2[[#This Row],[estHD]]+3</f>
        <v>0</v>
      </c>
      <c r="BR78" s="4" t="s">
        <v>27</v>
      </c>
      <c r="BS78" s="4" t="s">
        <v>28</v>
      </c>
      <c r="BT78" s="79" t="s">
        <v>1048</v>
      </c>
      <c r="BU78" s="26" t="s">
        <v>97</v>
      </c>
      <c r="BV78" s="79" t="s">
        <v>1465</v>
      </c>
      <c r="BW78" s="49"/>
      <c r="BX78" s="47"/>
      <c r="BY78" s="36" t="s">
        <v>527</v>
      </c>
    </row>
    <row r="79" spans="1:77" ht="15" hidden="1" thickBot="1" x14ac:dyDescent="0.4">
      <c r="A79" s="62">
        <v>10081</v>
      </c>
      <c r="B79" s="2" t="s">
        <v>111</v>
      </c>
      <c r="C79" s="44">
        <v>2019</v>
      </c>
      <c r="D79" s="3">
        <v>29.77281</v>
      </c>
      <c r="E79" s="3">
        <v>-93.303219999999996</v>
      </c>
      <c r="F79" s="3">
        <v>5</v>
      </c>
      <c r="G79" s="3">
        <v>5</v>
      </c>
      <c r="H79" s="3" t="s">
        <v>26</v>
      </c>
      <c r="I79" s="43"/>
      <c r="J79" s="55">
        <v>54</v>
      </c>
      <c r="K79" s="4">
        <v>54</v>
      </c>
      <c r="L79" s="22">
        <f>IF(ISNUMBER(Table2[[#This Row],[estHD]]),ABS(Table2[[#This Row],[HD]]-Table2[[#This Row],[estHD]]),"NA")</f>
        <v>0</v>
      </c>
      <c r="M79" s="4" t="b">
        <f>Table2[[#This Row],[HD]]=Table2[[#This Row],[estHD]]</f>
        <v>1</v>
      </c>
      <c r="N79" s="4" t="str">
        <f>IF(ISNUMBER([1]!Table2[[#This Row],[hatch_date]]), [1]!Table2[[#This Row],[hatch_date]]-28, "NA")</f>
        <v>NA</v>
      </c>
      <c r="O79" s="31">
        <v>26</v>
      </c>
      <c r="P79" s="23">
        <f>IF(ISNUMBER(Table2[[#This Row],[nest_age1]]),ABS(Table2[[#This Row],[nest_age1]]-Table2[[#This Row],[nest_age_feb]]),"NA")</f>
        <v>0</v>
      </c>
      <c r="Q79" s="24">
        <f>IF(ISNUMBER(Table2[[#This Row],[final_obs_int2]]),ABS(Table2[[#This Row],[final_obs_int2]]-Table2[[#This Row],[final_obs_int_feb]]), "NA")</f>
        <v>4</v>
      </c>
      <c r="R79" s="24"/>
      <c r="S79" s="57" t="s">
        <v>88</v>
      </c>
      <c r="T79" s="57" t="str">
        <f>Table2[[#This Row],[camera_old]]</f>
        <v>N</v>
      </c>
      <c r="U79" s="24"/>
      <c r="V79" s="16" t="s">
        <v>24</v>
      </c>
      <c r="W79" s="16">
        <v>19</v>
      </c>
      <c r="X79" s="145">
        <v>4</v>
      </c>
      <c r="Y79" s="147" t="s">
        <v>48</v>
      </c>
      <c r="Z79" s="146" t="s">
        <v>48</v>
      </c>
      <c r="AA79" s="4" t="str">
        <f>Table2[[#This Row],[field_fate]]</f>
        <v>F</v>
      </c>
      <c r="AB79" s="4" t="str">
        <f>Table2[[#This Row],[field_fate2]]</f>
        <v>F</v>
      </c>
      <c r="AC79" s="4" t="str">
        <f>Table2[[#This Row],[field_fate3]]</f>
        <v>F</v>
      </c>
      <c r="AD79" s="4" t="str">
        <f>Table2[[#This Row],[field_fate4]]</f>
        <v>F</v>
      </c>
      <c r="AE79" s="4" t="str">
        <f>Table2[[#This Row],[field_fate5]]</f>
        <v>F</v>
      </c>
      <c r="AF79" s="4" t="str">
        <f>Table2[[#This Row],[field_fate5]]</f>
        <v>F</v>
      </c>
      <c r="AG79" s="4" t="str">
        <f>Table2[[#This Row],[field_fate5]]</f>
        <v>F</v>
      </c>
      <c r="AH79" s="4" t="str">
        <f>Table2[[#This Row],[field_fate2]]</f>
        <v>F</v>
      </c>
      <c r="AI79" s="4" t="str">
        <f>Table2[[#This Row],[field_fate8]]</f>
        <v>F</v>
      </c>
      <c r="AJ79" s="4" t="str">
        <f>Table2[[#This Row],[field_fate10]]</f>
        <v>F</v>
      </c>
      <c r="AK79" s="4" t="b">
        <f>Table2[[#This Row],[field_fate_feb]]=Table2[[#This Row],[field_fate10]]</f>
        <v>1</v>
      </c>
      <c r="AL79" s="43" t="s">
        <v>24</v>
      </c>
      <c r="AM79" s="43" t="b">
        <f>Table2[[#This Row],[cam_fate2]]="NA"</f>
        <v>1</v>
      </c>
      <c r="AN79" s="19" t="str">
        <f>Table2[[#This Row],[cam_fate1]]</f>
        <v>NA</v>
      </c>
      <c r="AO79" s="2" t="s">
        <v>48</v>
      </c>
      <c r="AP79" s="5" t="str">
        <f>Table2[[#This Row],[final_fate1]]</f>
        <v>F</v>
      </c>
      <c r="AQ79" s="6">
        <v>19</v>
      </c>
      <c r="AR79" s="7">
        <v>19</v>
      </c>
      <c r="AS79" s="7">
        <f>Table2[[#This Row],[final_obs_date]]-Table2[[#This Row],[init_date]]</f>
        <v>19</v>
      </c>
      <c r="AT79" s="7">
        <f>(Table2[[#This Row],[final_obs_date2]]-Table2[[#This Row],[estHD]])+16</f>
        <v>7</v>
      </c>
      <c r="AU79" s="39">
        <v>4</v>
      </c>
      <c r="AV79" s="33">
        <v>8</v>
      </c>
      <c r="AW79" s="33">
        <f>Table2[[#This Row],[final_obs_date2]]-Table2[[#This Row],[pen_obs_date]]</f>
        <v>45</v>
      </c>
      <c r="AX79" s="67">
        <v>45</v>
      </c>
      <c r="AY79" s="6">
        <f>Table2[[#This Row],[final_obs_date]]</f>
        <v>45</v>
      </c>
      <c r="AZ79" s="6"/>
      <c r="BA79" s="91" t="s">
        <v>23</v>
      </c>
      <c r="BB79" s="6" t="b">
        <f>Table2[[#This Row],[final_obs_date]]&lt;(Table2[[#This Row],[estHD]]-2)</f>
        <v>1</v>
      </c>
      <c r="BC79" s="24">
        <f>IF(Table2[[#This Row],[field_fate]]="H",1,0)</f>
        <v>0</v>
      </c>
      <c r="BD79" s="16">
        <f>IF(Table2[[#This Row],[cam_fate2]]="H",1,0)</f>
        <v>0</v>
      </c>
      <c r="BE79" s="6" t="b">
        <f>NOT(Table2[[#This Row],[HF_C]]=Table2[[#This Row],[HF]])</f>
        <v>0</v>
      </c>
      <c r="BF79" s="6" t="b">
        <f>NOT(Table2[[#This Row],[cam_fate2]]=Table2[[#This Row],[field_fate3]])</f>
        <v>1</v>
      </c>
      <c r="BG79" s="6" t="b">
        <f>OR(Table2[[#This Row],[field_fate3]]="U",Table2[[#This Row],[field_fate3]]="U-H")</f>
        <v>0</v>
      </c>
      <c r="BH79" s="8">
        <v>27</v>
      </c>
      <c r="BI79" s="8">
        <v>37</v>
      </c>
      <c r="BJ79" s="14">
        <f>IF(ISTEXT(Table2[[#This Row],[j.cam]]),Table2[[#This Row],[j]],Table2[[#This Row],[j.cam]])</f>
        <v>37</v>
      </c>
      <c r="BK79" s="9">
        <v>45</v>
      </c>
      <c r="BL79" s="15">
        <f>IF(ISTEXT(Table2[[#This Row],[k.cam]]), Table2[[#This Row],[k]], Table2[[#This Row],[k.cam]])</f>
        <v>45</v>
      </c>
      <c r="BM79" s="4" t="s">
        <v>24</v>
      </c>
      <c r="BN79" s="8" t="s">
        <v>24</v>
      </c>
      <c r="BO79" s="4">
        <v>5</v>
      </c>
      <c r="BP79" s="4">
        <f>Table2[[#This Row],[final_obs_date]]-Table2[[#This Row],[i]]</f>
        <v>18</v>
      </c>
      <c r="BQ79" s="4" t="b">
        <f>Table2[[#This Row],[final_obs_date2]]&gt;Table2[[#This Row],[estHD]]+3</f>
        <v>0</v>
      </c>
      <c r="BR79" s="11" t="s">
        <v>112</v>
      </c>
      <c r="BS79" s="4" t="s">
        <v>28</v>
      </c>
      <c r="BT79" s="79" t="s">
        <v>1046</v>
      </c>
      <c r="BU79" s="26" t="s">
        <v>113</v>
      </c>
      <c r="BV79" s="79" t="s">
        <v>1466</v>
      </c>
      <c r="BW79" s="49"/>
      <c r="BX79" s="47"/>
      <c r="BY79" s="36" t="s">
        <v>528</v>
      </c>
    </row>
    <row r="80" spans="1:77" ht="15" hidden="1" thickBot="1" x14ac:dyDescent="0.4">
      <c r="A80" s="62">
        <v>10082</v>
      </c>
      <c r="B80" s="2" t="s">
        <v>111</v>
      </c>
      <c r="C80" s="44">
        <v>2019</v>
      </c>
      <c r="D80" s="3">
        <v>29.772500000000001</v>
      </c>
      <c r="E80" s="3">
        <v>-93.297370000000001</v>
      </c>
      <c r="F80" s="3">
        <v>0</v>
      </c>
      <c r="G80" s="3">
        <v>0</v>
      </c>
      <c r="H80" s="3" t="s">
        <v>26</v>
      </c>
      <c r="I80" s="43"/>
      <c r="J80" s="55">
        <v>42</v>
      </c>
      <c r="K80" s="4">
        <v>42</v>
      </c>
      <c r="L80" s="22">
        <f>IF(ISNUMBER(Table2[[#This Row],[estHD]]),ABS(Table2[[#This Row],[HD]]-Table2[[#This Row],[estHD]]),"NA")</f>
        <v>0</v>
      </c>
      <c r="M80" s="4" t="b">
        <f>Table2[[#This Row],[HD]]=Table2[[#This Row],[estHD]]</f>
        <v>1</v>
      </c>
      <c r="N80" s="4" t="str">
        <f>IF(ISNUMBER([1]!Table2[[#This Row],[hatch_date]]),[1]!Table2[[#This Row],[hatch_date]]-19,"NA")</f>
        <v>NA</v>
      </c>
      <c r="O80" s="31">
        <v>23</v>
      </c>
      <c r="P80" s="23">
        <f>IF(ISNUMBER(Table2[[#This Row],[nest_age1]]),ABS(Table2[[#This Row],[nest_age1]]-Table2[[#This Row],[nest_age_feb]]),"NA")</f>
        <v>0</v>
      </c>
      <c r="Q80" s="24">
        <f>IF(ISNUMBER(Table2[[#This Row],[final_obs_int2]]),ABS(Table2[[#This Row],[final_obs_int2]]-Table2[[#This Row],[final_obs_int_feb]]), "NA")</f>
        <v>0</v>
      </c>
      <c r="R80" s="24"/>
      <c r="S80" s="57" t="s">
        <v>88</v>
      </c>
      <c r="T80" s="57" t="str">
        <f>Table2[[#This Row],[camera_old]]</f>
        <v>N</v>
      </c>
      <c r="U80" s="24"/>
      <c r="V80" s="16" t="s">
        <v>24</v>
      </c>
      <c r="W80" s="16">
        <v>9</v>
      </c>
      <c r="X80" s="145">
        <v>5</v>
      </c>
      <c r="Y80" s="147" t="s">
        <v>25</v>
      </c>
      <c r="Z80" s="146" t="s">
        <v>25</v>
      </c>
      <c r="AA80" s="4" t="str">
        <f>Table2[[#This Row],[field_fate]]</f>
        <v>S</v>
      </c>
      <c r="AB80" s="4" t="str">
        <f>Table2[[#This Row],[field_fate2]]</f>
        <v>S</v>
      </c>
      <c r="AC80" s="4" t="str">
        <f>Table2[[#This Row],[field_fate3]]</f>
        <v>S</v>
      </c>
      <c r="AD80" s="4" t="str">
        <f>Table2[[#This Row],[field_fate4]]</f>
        <v>S</v>
      </c>
      <c r="AE80" s="4" t="str">
        <f>Table2[[#This Row],[field_fate5]]</f>
        <v>S</v>
      </c>
      <c r="AF80" s="4" t="str">
        <f>Table2[[#This Row],[field_fate5]]</f>
        <v>S</v>
      </c>
      <c r="AG80" s="4" t="str">
        <f>Table2[[#This Row],[field_fate5]]</f>
        <v>S</v>
      </c>
      <c r="AH80" s="4" t="str">
        <f>Table2[[#This Row],[field_fate2]]</f>
        <v>S</v>
      </c>
      <c r="AI80" s="4" t="str">
        <f>Table2[[#This Row],[field_fate8]]</f>
        <v>S</v>
      </c>
      <c r="AJ80" s="4" t="str">
        <f>Table2[[#This Row],[field_fate10]]</f>
        <v>S</v>
      </c>
      <c r="AK80" s="4" t="b">
        <f>Table2[[#This Row],[field_fate_feb]]=Table2[[#This Row],[field_fate10]]</f>
        <v>1</v>
      </c>
      <c r="AL80" s="43" t="s">
        <v>24</v>
      </c>
      <c r="AM80" s="43" t="b">
        <f>Table2[[#This Row],[cam_fate2]]="NA"</f>
        <v>1</v>
      </c>
      <c r="AN80" s="19" t="str">
        <f>Table2[[#This Row],[cam_fate1]]</f>
        <v>NA</v>
      </c>
      <c r="AO80" s="2" t="s">
        <v>25</v>
      </c>
      <c r="AP80" s="5" t="str">
        <f>Table2[[#This Row],[final_fate1]]</f>
        <v>S</v>
      </c>
      <c r="AQ80" s="6">
        <v>9</v>
      </c>
      <c r="AR80" s="7">
        <v>9</v>
      </c>
      <c r="AS80" s="7">
        <f>Table2[[#This Row],[final_obs_date]]-Table2[[#This Row],[init_date]]</f>
        <v>9</v>
      </c>
      <c r="AT80" s="7">
        <f>(Table2[[#This Row],[final_obs_date2]]-Table2[[#This Row],[estHD]])+16</f>
        <v>6</v>
      </c>
      <c r="AU80" s="38">
        <v>5</v>
      </c>
      <c r="AV80" s="33">
        <v>5</v>
      </c>
      <c r="AW80" s="33">
        <f>Table2[[#This Row],[final_obs_date2]]-Table2[[#This Row],[pen_obs_date]]</f>
        <v>32</v>
      </c>
      <c r="AX80" s="67">
        <v>32</v>
      </c>
      <c r="AY80" s="6">
        <f>Table2[[#This Row],[final_obs_date]]</f>
        <v>32</v>
      </c>
      <c r="AZ80" s="6"/>
      <c r="BA80" s="91" t="s">
        <v>47</v>
      </c>
      <c r="BB80" s="6" t="b">
        <f>Table2[[#This Row],[final_obs_date]]&lt;(Table2[[#This Row],[estHD]]-2)</f>
        <v>1</v>
      </c>
      <c r="BC80" s="24">
        <f>IF(Table2[[#This Row],[field_fate]]="H",1,0)</f>
        <v>0</v>
      </c>
      <c r="BD80" s="16">
        <f>IF(Table2[[#This Row],[cam_fate2]]="H",1,0)</f>
        <v>0</v>
      </c>
      <c r="BE80" s="6" t="b">
        <f>NOT(Table2[[#This Row],[HF_C]]=Table2[[#This Row],[HF]])</f>
        <v>0</v>
      </c>
      <c r="BF80" s="6" t="b">
        <f>NOT(Table2[[#This Row],[cam_fate2]]=Table2[[#This Row],[field_fate3]])</f>
        <v>1</v>
      </c>
      <c r="BG80" s="6" t="b">
        <f>OR(Table2[[#This Row],[field_fate3]]="U",Table2[[#This Row],[field_fate3]]="U-H")</f>
        <v>0</v>
      </c>
      <c r="BH80" s="8">
        <v>27</v>
      </c>
      <c r="BI80" s="8">
        <v>27</v>
      </c>
      <c r="BJ80" s="14">
        <f>IF(ISTEXT(Table2[[#This Row],[j.cam]]),Table2[[#This Row],[j]],Table2[[#This Row],[j.cam]])</f>
        <v>27</v>
      </c>
      <c r="BK80" s="9">
        <v>32</v>
      </c>
      <c r="BL80" s="15">
        <f>IF(ISTEXT(Table2[[#This Row],[k.cam]]), Table2[[#This Row],[k]], Table2[[#This Row],[k.cam]])</f>
        <v>32</v>
      </c>
      <c r="BM80" s="4" t="s">
        <v>24</v>
      </c>
      <c r="BN80" s="8" t="s">
        <v>24</v>
      </c>
      <c r="BO80" s="4">
        <v>2</v>
      </c>
      <c r="BP80" s="4">
        <f>Table2[[#This Row],[final_obs_date]]-Table2[[#This Row],[i]]</f>
        <v>5</v>
      </c>
      <c r="BQ80" s="4" t="b">
        <f>Table2[[#This Row],[final_obs_date2]]&gt;Table2[[#This Row],[estHD]]+3</f>
        <v>0</v>
      </c>
      <c r="BR80" s="4" t="s">
        <v>27</v>
      </c>
      <c r="BS80" s="4" t="s">
        <v>28</v>
      </c>
      <c r="BT80" s="79" t="s">
        <v>1047</v>
      </c>
      <c r="BU80" s="26" t="s">
        <v>29</v>
      </c>
      <c r="BV80" s="79" t="s">
        <v>1464</v>
      </c>
      <c r="BW80" s="49"/>
      <c r="BX80" s="47"/>
      <c r="BY80" s="36" t="s">
        <v>529</v>
      </c>
    </row>
    <row r="81" spans="1:77" ht="15" hidden="1" thickBot="1" x14ac:dyDescent="0.4">
      <c r="A81" s="62">
        <v>10083</v>
      </c>
      <c r="B81" s="2" t="s">
        <v>111</v>
      </c>
      <c r="C81" s="44">
        <v>2019</v>
      </c>
      <c r="D81" s="3">
        <v>29.772500000000001</v>
      </c>
      <c r="E81" s="3">
        <v>-93.297259999999994</v>
      </c>
      <c r="F81" s="3">
        <v>0</v>
      </c>
      <c r="G81" s="3">
        <v>0</v>
      </c>
      <c r="H81" s="3" t="s">
        <v>26</v>
      </c>
      <c r="I81" s="43"/>
      <c r="J81" s="55">
        <v>45</v>
      </c>
      <c r="K81" s="4">
        <v>45</v>
      </c>
      <c r="L81" s="22">
        <f>IF(ISNUMBER(Table2[[#This Row],[estHD]]),ABS(Table2[[#This Row],[HD]]-Table2[[#This Row],[estHD]]),"NA")</f>
        <v>0</v>
      </c>
      <c r="M81" s="4" t="b">
        <f>Table2[[#This Row],[HD]]=Table2[[#This Row],[estHD]]</f>
        <v>1</v>
      </c>
      <c r="N81" s="4" t="str">
        <f>IF(ISNUMBER([1]!Table2[[#This Row],[hatch_date]]),[1]!Table2[[#This Row],[hatch_date]]-19,"NA")</f>
        <v>NA</v>
      </c>
      <c r="O81" s="31">
        <v>26</v>
      </c>
      <c r="P81" s="23">
        <f>IF(ISNUMBER(Table2[[#This Row],[nest_age1]]),ABS(Table2[[#This Row],[nest_age1]]-Table2[[#This Row],[nest_age_feb]]),"NA")</f>
        <v>0</v>
      </c>
      <c r="Q81" s="24">
        <f>IF(ISNUMBER(Table2[[#This Row],[final_obs_int2]]),ABS(Table2[[#This Row],[final_obs_int2]]-Table2[[#This Row],[final_obs_int_feb]]), "NA")</f>
        <v>0</v>
      </c>
      <c r="R81" s="24"/>
      <c r="S81" s="57" t="s">
        <v>88</v>
      </c>
      <c r="T81" s="57" t="str">
        <f>Table2[[#This Row],[camera_old]]</f>
        <v>N</v>
      </c>
      <c r="U81" s="24"/>
      <c r="V81" s="16" t="s">
        <v>24</v>
      </c>
      <c r="W81" s="16">
        <v>6</v>
      </c>
      <c r="X81" s="145">
        <v>5</v>
      </c>
      <c r="Y81" s="147" t="s">
        <v>25</v>
      </c>
      <c r="Z81" s="146" t="s">
        <v>25</v>
      </c>
      <c r="AA81" s="4" t="str">
        <f>Table2[[#This Row],[field_fate]]</f>
        <v>S</v>
      </c>
      <c r="AB81" s="4" t="str">
        <f>Table2[[#This Row],[field_fate2]]</f>
        <v>S</v>
      </c>
      <c r="AC81" s="4" t="str">
        <f>Table2[[#This Row],[field_fate3]]</f>
        <v>S</v>
      </c>
      <c r="AD81" s="4" t="str">
        <f>Table2[[#This Row],[field_fate4]]</f>
        <v>S</v>
      </c>
      <c r="AE81" s="4" t="str">
        <f>Table2[[#This Row],[field_fate5]]</f>
        <v>S</v>
      </c>
      <c r="AF81" s="4" t="str">
        <f>Table2[[#This Row],[field_fate5]]</f>
        <v>S</v>
      </c>
      <c r="AG81" s="4" t="str">
        <f>Table2[[#This Row],[field_fate5]]</f>
        <v>S</v>
      </c>
      <c r="AH81" s="4" t="str">
        <f>Table2[[#This Row],[field_fate2]]</f>
        <v>S</v>
      </c>
      <c r="AI81" s="4" t="str">
        <f>Table2[[#This Row],[field_fate8]]</f>
        <v>S</v>
      </c>
      <c r="AJ81" s="4" t="str">
        <f>Table2[[#This Row],[field_fate10]]</f>
        <v>S</v>
      </c>
      <c r="AK81" s="4" t="b">
        <f>Table2[[#This Row],[field_fate_feb]]=Table2[[#This Row],[field_fate10]]</f>
        <v>1</v>
      </c>
      <c r="AL81" s="43" t="s">
        <v>24</v>
      </c>
      <c r="AM81" s="43" t="b">
        <f>Table2[[#This Row],[cam_fate2]]="NA"</f>
        <v>1</v>
      </c>
      <c r="AN81" s="19" t="str">
        <f>Table2[[#This Row],[cam_fate1]]</f>
        <v>NA</v>
      </c>
      <c r="AO81" s="2" t="s">
        <v>25</v>
      </c>
      <c r="AP81" s="5" t="str">
        <f>Table2[[#This Row],[final_fate1]]</f>
        <v>S</v>
      </c>
      <c r="AQ81" s="6">
        <v>6</v>
      </c>
      <c r="AR81" s="7">
        <v>6</v>
      </c>
      <c r="AS81" s="7">
        <f>Table2[[#This Row],[final_obs_date]]-Table2[[#This Row],[init_date]]</f>
        <v>6</v>
      </c>
      <c r="AT81" s="7">
        <f>(Table2[[#This Row],[final_obs_date2]]-Table2[[#This Row],[estHD]])+16</f>
        <v>3</v>
      </c>
      <c r="AU81" s="38">
        <v>5</v>
      </c>
      <c r="AV81" s="33">
        <v>5</v>
      </c>
      <c r="AW81" s="33">
        <f>Table2[[#This Row],[final_obs_date2]]-Table2[[#This Row],[pen_obs_date]]</f>
        <v>32</v>
      </c>
      <c r="AX81" s="67">
        <v>32</v>
      </c>
      <c r="AY81" s="6">
        <f>Table2[[#This Row],[final_obs_date]]</f>
        <v>32</v>
      </c>
      <c r="AZ81" s="6"/>
      <c r="BA81" s="91" t="s">
        <v>47</v>
      </c>
      <c r="BB81" s="6" t="b">
        <f>Table2[[#This Row],[final_obs_date]]&lt;(Table2[[#This Row],[estHD]]-2)</f>
        <v>1</v>
      </c>
      <c r="BC81" s="24">
        <f>IF(Table2[[#This Row],[field_fate]]="H",1,0)</f>
        <v>0</v>
      </c>
      <c r="BD81" s="16">
        <f>IF(Table2[[#This Row],[cam_fate2]]="H",1,0)</f>
        <v>0</v>
      </c>
      <c r="BE81" s="6" t="b">
        <f>NOT(Table2[[#This Row],[HF_C]]=Table2[[#This Row],[HF]])</f>
        <v>0</v>
      </c>
      <c r="BF81" s="6" t="b">
        <f>NOT(Table2[[#This Row],[cam_fate2]]=Table2[[#This Row],[field_fate3]])</f>
        <v>1</v>
      </c>
      <c r="BG81" s="6" t="b">
        <f>OR(Table2[[#This Row],[field_fate3]]="U",Table2[[#This Row],[field_fate3]]="U-H")</f>
        <v>0</v>
      </c>
      <c r="BH81" s="8">
        <v>27</v>
      </c>
      <c r="BI81" s="8">
        <v>27</v>
      </c>
      <c r="BJ81" s="14">
        <f>IF(ISTEXT(Table2[[#This Row],[j.cam]]),Table2[[#This Row],[j]],Table2[[#This Row],[j.cam]])</f>
        <v>27</v>
      </c>
      <c r="BK81" s="9">
        <v>32</v>
      </c>
      <c r="BL81" s="15">
        <f>IF(ISTEXT(Table2[[#This Row],[k.cam]]), Table2[[#This Row],[k]], Table2[[#This Row],[k.cam]])</f>
        <v>32</v>
      </c>
      <c r="BM81" s="4" t="s">
        <v>24</v>
      </c>
      <c r="BN81" s="8" t="s">
        <v>24</v>
      </c>
      <c r="BO81" s="4">
        <v>2</v>
      </c>
      <c r="BP81" s="4">
        <f>Table2[[#This Row],[final_obs_date]]-Table2[[#This Row],[i]]</f>
        <v>5</v>
      </c>
      <c r="BQ81" s="4" t="b">
        <f>Table2[[#This Row],[final_obs_date2]]&gt;Table2[[#This Row],[estHD]]+3</f>
        <v>0</v>
      </c>
      <c r="BR81" s="4" t="s">
        <v>33</v>
      </c>
      <c r="BS81" s="4" t="s">
        <v>28</v>
      </c>
      <c r="BT81" s="79" t="s">
        <v>1047</v>
      </c>
      <c r="BU81" s="26" t="s">
        <v>34</v>
      </c>
      <c r="BV81" s="79" t="s">
        <v>1464</v>
      </c>
      <c r="BW81" s="49"/>
      <c r="BX81" s="47"/>
      <c r="BY81" s="36" t="s">
        <v>529</v>
      </c>
    </row>
    <row r="82" spans="1:77" ht="15" hidden="1" thickBot="1" x14ac:dyDescent="0.4">
      <c r="A82" s="62">
        <v>10084</v>
      </c>
      <c r="B82" s="2" t="s">
        <v>111</v>
      </c>
      <c r="C82" s="44">
        <v>2019</v>
      </c>
      <c r="D82" s="3">
        <v>29.77272</v>
      </c>
      <c r="E82" s="3">
        <v>-93.295500000000004</v>
      </c>
      <c r="F82" s="3">
        <v>5</v>
      </c>
      <c r="G82" s="3">
        <v>5</v>
      </c>
      <c r="H82" s="3" t="s">
        <v>26</v>
      </c>
      <c r="I82" s="43"/>
      <c r="J82" s="55">
        <v>45</v>
      </c>
      <c r="K82" s="4">
        <v>45</v>
      </c>
      <c r="L82" s="22">
        <f>IF(ISNUMBER(Table2[[#This Row],[estHD]]),ABS(Table2[[#This Row],[HD]]-Table2[[#This Row],[estHD]]),"NA")</f>
        <v>0</v>
      </c>
      <c r="M82" s="4" t="b">
        <f>Table2[[#This Row],[HD]]=Table2[[#This Row],[estHD]]</f>
        <v>1</v>
      </c>
      <c r="N82" s="4" t="str">
        <f>IF(ISNUMBER([1]!Table2[[#This Row],[hatch_date]]),[1]!Table2[[#This Row],[hatch_date]]-19,"NA")</f>
        <v>NA</v>
      </c>
      <c r="O82" s="31">
        <v>26</v>
      </c>
      <c r="P82" s="23">
        <f>IF(ISNUMBER(Table2[[#This Row],[nest_age1]]),ABS(Table2[[#This Row],[nest_age1]]-Table2[[#This Row],[nest_age_feb]]),"NA")</f>
        <v>0</v>
      </c>
      <c r="Q82" s="24">
        <f>IF(ISNUMBER(Table2[[#This Row],[final_obs_int2]]),ABS(Table2[[#This Row],[final_obs_int2]]-Table2[[#This Row],[final_obs_int_feb]]), "NA")</f>
        <v>0</v>
      </c>
      <c r="R82" s="24"/>
      <c r="S82" s="57" t="s">
        <v>88</v>
      </c>
      <c r="T82" s="57" t="str">
        <f>Table2[[#This Row],[camera_old]]</f>
        <v>N</v>
      </c>
      <c r="U82" s="24"/>
      <c r="V82" s="16" t="s">
        <v>24</v>
      </c>
      <c r="W82" s="16">
        <v>6</v>
      </c>
      <c r="X82" s="145">
        <v>5</v>
      </c>
      <c r="Y82" s="147" t="s">
        <v>25</v>
      </c>
      <c r="Z82" s="146" t="s">
        <v>25</v>
      </c>
      <c r="AA82" s="4" t="str">
        <f>Table2[[#This Row],[field_fate]]</f>
        <v>S</v>
      </c>
      <c r="AB82" s="4" t="str">
        <f>Table2[[#This Row],[field_fate2]]</f>
        <v>S</v>
      </c>
      <c r="AC82" s="4" t="str">
        <f>Table2[[#This Row],[field_fate3]]</f>
        <v>S</v>
      </c>
      <c r="AD82" s="4" t="str">
        <f>Table2[[#This Row],[field_fate4]]</f>
        <v>S</v>
      </c>
      <c r="AE82" s="4" t="str">
        <f>Table2[[#This Row],[field_fate5]]</f>
        <v>S</v>
      </c>
      <c r="AF82" s="4" t="str">
        <f>Table2[[#This Row],[field_fate5]]</f>
        <v>S</v>
      </c>
      <c r="AG82" s="4" t="str">
        <f>Table2[[#This Row],[field_fate5]]</f>
        <v>S</v>
      </c>
      <c r="AH82" s="4" t="str">
        <f>Table2[[#This Row],[field_fate2]]</f>
        <v>S</v>
      </c>
      <c r="AI82" s="4" t="str">
        <f>Table2[[#This Row],[field_fate8]]</f>
        <v>S</v>
      </c>
      <c r="AJ82" s="4" t="str">
        <f>Table2[[#This Row],[field_fate10]]</f>
        <v>S</v>
      </c>
      <c r="AK82" s="4" t="b">
        <f>Table2[[#This Row],[field_fate_feb]]=Table2[[#This Row],[field_fate10]]</f>
        <v>1</v>
      </c>
      <c r="AL82" s="43" t="s">
        <v>24</v>
      </c>
      <c r="AM82" s="43" t="b">
        <f>Table2[[#This Row],[cam_fate2]]="NA"</f>
        <v>1</v>
      </c>
      <c r="AN82" s="19" t="str">
        <f>Table2[[#This Row],[cam_fate1]]</f>
        <v>NA</v>
      </c>
      <c r="AO82" s="2" t="s">
        <v>25</v>
      </c>
      <c r="AP82" s="5" t="str">
        <f>Table2[[#This Row],[final_fate1]]</f>
        <v>S</v>
      </c>
      <c r="AQ82" s="6">
        <v>6</v>
      </c>
      <c r="AR82" s="7">
        <v>6</v>
      </c>
      <c r="AS82" s="7">
        <f>Table2[[#This Row],[final_obs_date]]-Table2[[#This Row],[init_date]]</f>
        <v>6</v>
      </c>
      <c r="AT82" s="7">
        <f>(Table2[[#This Row],[final_obs_date2]]-Table2[[#This Row],[estHD]])+16</f>
        <v>3</v>
      </c>
      <c r="AU82" s="38">
        <v>5</v>
      </c>
      <c r="AV82" s="33">
        <v>5</v>
      </c>
      <c r="AW82" s="33">
        <f>Table2[[#This Row],[final_obs_date2]]-Table2[[#This Row],[pen_obs_date]]</f>
        <v>32</v>
      </c>
      <c r="AX82" s="67">
        <v>32</v>
      </c>
      <c r="AY82" s="6">
        <f>Table2[[#This Row],[final_obs_date]]</f>
        <v>32</v>
      </c>
      <c r="AZ82" s="6"/>
      <c r="BA82" s="91" t="s">
        <v>47</v>
      </c>
      <c r="BB82" s="6" t="b">
        <f>Table2[[#This Row],[final_obs_date]]&lt;(Table2[[#This Row],[estHD]]-2)</f>
        <v>1</v>
      </c>
      <c r="BC82" s="24">
        <f>IF(Table2[[#This Row],[field_fate]]="H",1,0)</f>
        <v>0</v>
      </c>
      <c r="BD82" s="16">
        <f>IF(Table2[[#This Row],[cam_fate2]]="H",1,0)</f>
        <v>0</v>
      </c>
      <c r="BE82" s="6" t="b">
        <f>NOT(Table2[[#This Row],[HF_C]]=Table2[[#This Row],[HF]])</f>
        <v>0</v>
      </c>
      <c r="BF82" s="6" t="b">
        <f>NOT(Table2[[#This Row],[cam_fate2]]=Table2[[#This Row],[field_fate3]])</f>
        <v>1</v>
      </c>
      <c r="BG82" s="6" t="b">
        <f>OR(Table2[[#This Row],[field_fate3]]="U",Table2[[#This Row],[field_fate3]]="U-H")</f>
        <v>0</v>
      </c>
      <c r="BH82" s="8">
        <v>27</v>
      </c>
      <c r="BI82" s="8">
        <v>27</v>
      </c>
      <c r="BJ82" s="14">
        <f>IF(ISTEXT(Table2[[#This Row],[j.cam]]),Table2[[#This Row],[j]],Table2[[#This Row],[j.cam]])</f>
        <v>27</v>
      </c>
      <c r="BK82" s="9">
        <v>32</v>
      </c>
      <c r="BL82" s="15">
        <f>IF(ISTEXT(Table2[[#This Row],[k.cam]]), Table2[[#This Row],[k]], Table2[[#This Row],[k.cam]])</f>
        <v>32</v>
      </c>
      <c r="BM82" s="4" t="s">
        <v>24</v>
      </c>
      <c r="BN82" s="8" t="s">
        <v>24</v>
      </c>
      <c r="BO82" s="4">
        <v>2</v>
      </c>
      <c r="BP82" s="4">
        <f>Table2[[#This Row],[final_obs_date]]-Table2[[#This Row],[i]]</f>
        <v>5</v>
      </c>
      <c r="BQ82" s="4" t="b">
        <f>Table2[[#This Row],[final_obs_date2]]&gt;Table2[[#This Row],[estHD]]+3</f>
        <v>0</v>
      </c>
      <c r="BR82" s="4" t="s">
        <v>33</v>
      </c>
      <c r="BS82" s="4" t="s">
        <v>28</v>
      </c>
      <c r="BT82" s="79" t="s">
        <v>1047</v>
      </c>
      <c r="BU82" s="26" t="s">
        <v>34</v>
      </c>
      <c r="BV82" s="79" t="s">
        <v>1464</v>
      </c>
      <c r="BW82" s="49"/>
      <c r="BX82" s="47"/>
      <c r="BY82" s="36" t="s">
        <v>529</v>
      </c>
    </row>
    <row r="83" spans="1:77" ht="15" hidden="1" thickBot="1" x14ac:dyDescent="0.4">
      <c r="A83" s="62">
        <v>10085</v>
      </c>
      <c r="B83" s="2" t="s">
        <v>22</v>
      </c>
      <c r="C83" s="44">
        <v>2019</v>
      </c>
      <c r="D83" s="3">
        <v>29.66836</v>
      </c>
      <c r="E83" s="3">
        <v>-92.84666</v>
      </c>
      <c r="F83" s="3">
        <v>0</v>
      </c>
      <c r="G83" s="3">
        <v>5</v>
      </c>
      <c r="H83" s="3" t="s">
        <v>26</v>
      </c>
      <c r="I83" s="43"/>
      <c r="J83" s="55">
        <v>55</v>
      </c>
      <c r="K83" s="4">
        <v>55</v>
      </c>
      <c r="L83" s="22">
        <f>IF(ISNUMBER(Table2[[#This Row],[estHD]]),ABS(Table2[[#This Row],[HD]]-Table2[[#This Row],[estHD]]),"NA")</f>
        <v>0</v>
      </c>
      <c r="M83" s="4" t="b">
        <f>Table2[[#This Row],[HD]]=Table2[[#This Row],[estHD]]</f>
        <v>1</v>
      </c>
      <c r="N83" s="4" t="str">
        <f>IF(ISNUMBER([1]!Table2[[#This Row],[hatch_date]]), [1]!Table2[[#This Row],[hatch_date]]-28, "NA")</f>
        <v>NA</v>
      </c>
      <c r="O83" s="31">
        <v>27</v>
      </c>
      <c r="P83" s="23">
        <f>IF(ISNUMBER(Table2[[#This Row],[nest_age1]]),ABS(Table2[[#This Row],[nest_age1]]-Table2[[#This Row],[nest_age_feb]]),"NA")</f>
        <v>0</v>
      </c>
      <c r="Q83" s="24">
        <f>IF(ISNUMBER(Table2[[#This Row],[final_obs_int2]]),ABS(Table2[[#This Row],[final_obs_int2]]-Table2[[#This Row],[final_obs_int_feb]]), "NA")</f>
        <v>0</v>
      </c>
      <c r="R83" s="24"/>
      <c r="S83" s="57" t="s">
        <v>88</v>
      </c>
      <c r="T83" s="57" t="str">
        <f>Table2[[#This Row],[camera_old]]</f>
        <v>N</v>
      </c>
      <c r="U83" s="24"/>
      <c r="V83" s="16" t="s">
        <v>24</v>
      </c>
      <c r="W83" s="16">
        <v>4</v>
      </c>
      <c r="X83" s="145">
        <v>3</v>
      </c>
      <c r="Y83" s="147" t="s">
        <v>25</v>
      </c>
      <c r="Z83" s="146" t="s">
        <v>25</v>
      </c>
      <c r="AA83" s="4" t="str">
        <f>Table2[[#This Row],[field_fate]]</f>
        <v>S</v>
      </c>
      <c r="AB83" s="4" t="str">
        <f>Table2[[#This Row],[field_fate2]]</f>
        <v>S</v>
      </c>
      <c r="AC83" s="4" t="str">
        <f>Table2[[#This Row],[field_fate3]]</f>
        <v>S</v>
      </c>
      <c r="AD83" s="4" t="str">
        <f>Table2[[#This Row],[field_fate4]]</f>
        <v>S</v>
      </c>
      <c r="AE83" s="4" t="str">
        <f>Table2[[#This Row],[field_fate5]]</f>
        <v>S</v>
      </c>
      <c r="AF83" s="4" t="str">
        <f>Table2[[#This Row],[field_fate5]]</f>
        <v>S</v>
      </c>
      <c r="AG83" s="4" t="str">
        <f>Table2[[#This Row],[field_fate5]]</f>
        <v>S</v>
      </c>
      <c r="AH83" s="4" t="str">
        <f>Table2[[#This Row],[field_fate2]]</f>
        <v>S</v>
      </c>
      <c r="AI83" s="4" t="str">
        <f>Table2[[#This Row],[field_fate8]]</f>
        <v>S</v>
      </c>
      <c r="AJ83" s="4" t="str">
        <f>Table2[[#This Row],[field_fate10]]</f>
        <v>S</v>
      </c>
      <c r="AK83" s="4" t="b">
        <f>Table2[[#This Row],[field_fate_feb]]=Table2[[#This Row],[field_fate10]]</f>
        <v>1</v>
      </c>
      <c r="AL83" s="43" t="s">
        <v>24</v>
      </c>
      <c r="AM83" s="43" t="b">
        <f>Table2[[#This Row],[cam_fate2]]="NA"</f>
        <v>1</v>
      </c>
      <c r="AN83" s="19" t="str">
        <f>Table2[[#This Row],[cam_fate1]]</f>
        <v>NA</v>
      </c>
      <c r="AO83" s="2" t="s">
        <v>25</v>
      </c>
      <c r="AP83" s="5" t="str">
        <f>Table2[[#This Row],[final_fate1]]</f>
        <v>S</v>
      </c>
      <c r="AQ83" s="6">
        <v>4</v>
      </c>
      <c r="AR83" s="7">
        <v>4</v>
      </c>
      <c r="AS83" s="7">
        <f>Table2[[#This Row],[final_obs_date]]-Table2[[#This Row],[init_date]]</f>
        <v>4</v>
      </c>
      <c r="AT83" s="7">
        <f>(Table2[[#This Row],[final_obs_date2]]-Table2[[#This Row],[estHD]])+16</f>
        <v>-8</v>
      </c>
      <c r="AU83" s="38">
        <v>3</v>
      </c>
      <c r="AV83" s="33">
        <v>3</v>
      </c>
      <c r="AW83" s="33">
        <f>Table2[[#This Row],[final_obs_date2]]-Table2[[#This Row],[pen_obs_date]]</f>
        <v>31</v>
      </c>
      <c r="AX83" s="67">
        <v>31</v>
      </c>
      <c r="AY83" s="6">
        <f>Table2[[#This Row],[final_obs_date]]</f>
        <v>31</v>
      </c>
      <c r="AZ83" s="6"/>
      <c r="BA83" s="91" t="s">
        <v>23</v>
      </c>
      <c r="BB83" s="6" t="b">
        <f>Table2[[#This Row],[final_obs_date]]&lt;(Table2[[#This Row],[estHD]]-2)</f>
        <v>1</v>
      </c>
      <c r="BC83" s="24">
        <f>IF(Table2[[#This Row],[field_fate]]="H",1,0)</f>
        <v>0</v>
      </c>
      <c r="BD83" s="16">
        <f>IF(Table2[[#This Row],[cam_fate2]]="H",1,0)</f>
        <v>0</v>
      </c>
      <c r="BE83" s="6" t="b">
        <f>NOT(Table2[[#This Row],[HF_C]]=Table2[[#This Row],[HF]])</f>
        <v>0</v>
      </c>
      <c r="BF83" s="6" t="b">
        <f>NOT(Table2[[#This Row],[cam_fate2]]=Table2[[#This Row],[field_fate3]])</f>
        <v>1</v>
      </c>
      <c r="BG83" s="6" t="b">
        <f>OR(Table2[[#This Row],[field_fate3]]="U",Table2[[#This Row],[field_fate3]]="U-H")</f>
        <v>0</v>
      </c>
      <c r="BH83" s="8">
        <v>28</v>
      </c>
      <c r="BI83" s="8">
        <v>28</v>
      </c>
      <c r="BJ83" s="14">
        <f>IF(ISTEXT(Table2[[#This Row],[j.cam]]),Table2[[#This Row],[j]],Table2[[#This Row],[j.cam]])</f>
        <v>28</v>
      </c>
      <c r="BK83" s="9">
        <v>31</v>
      </c>
      <c r="BL83" s="15">
        <f>IF(ISTEXT(Table2[[#This Row],[k.cam]]), Table2[[#This Row],[k]], Table2[[#This Row],[k.cam]])</f>
        <v>31</v>
      </c>
      <c r="BM83" s="4" t="s">
        <v>24</v>
      </c>
      <c r="BN83" s="8" t="s">
        <v>24</v>
      </c>
      <c r="BO83" s="4">
        <v>2</v>
      </c>
      <c r="BP83" s="4">
        <f>Table2[[#This Row],[final_obs_date]]-Table2[[#This Row],[i]]</f>
        <v>3</v>
      </c>
      <c r="BQ83" s="4" t="b">
        <f>Table2[[#This Row],[final_obs_date2]]&gt;Table2[[#This Row],[estHD]]+3</f>
        <v>0</v>
      </c>
      <c r="BR83" s="4" t="s">
        <v>58</v>
      </c>
      <c r="BS83" s="4" t="s">
        <v>28</v>
      </c>
      <c r="BT83" s="79" t="s">
        <v>1049</v>
      </c>
      <c r="BU83" s="26" t="s">
        <v>59</v>
      </c>
      <c r="BV83" s="79" t="s">
        <v>1430</v>
      </c>
      <c r="BW83" s="49"/>
      <c r="BX83" s="47"/>
      <c r="BY83" s="36" t="s">
        <v>530</v>
      </c>
    </row>
    <row r="84" spans="1:77" ht="15" hidden="1" thickBot="1" x14ac:dyDescent="0.4">
      <c r="A84" s="62">
        <v>10086</v>
      </c>
      <c r="B84" s="2" t="s">
        <v>30</v>
      </c>
      <c r="C84" s="44">
        <v>2019</v>
      </c>
      <c r="D84" s="3">
        <v>29.63777</v>
      </c>
      <c r="E84" s="3">
        <v>-92.767880000000005</v>
      </c>
      <c r="F84" s="3">
        <v>0</v>
      </c>
      <c r="G84" s="3">
        <v>5</v>
      </c>
      <c r="H84" s="3" t="s">
        <v>462</v>
      </c>
      <c r="I84" s="43"/>
      <c r="J84" s="55" t="s">
        <v>24</v>
      </c>
      <c r="K84" s="4" t="s">
        <v>24</v>
      </c>
      <c r="L84" s="22" t="str">
        <f>IF(ISNUMBER(Table2[[#This Row],[estHD]]),ABS(Table2[[#This Row],[HD]]-Table2[[#This Row],[estHD]]),"NA")</f>
        <v>NA</v>
      </c>
      <c r="M84" s="4" t="b">
        <f>Table2[[#This Row],[HD]]=Table2[[#This Row],[estHD]]</f>
        <v>1</v>
      </c>
      <c r="N84" s="4" t="str">
        <f>IF(ISNUMBER([1]!Table2[[#This Row],[hatch_date]]),[1]!Table2[[#This Row],[hatch_date]]-19,"NA")</f>
        <v>NA</v>
      </c>
      <c r="O84" s="31" t="s">
        <v>24</v>
      </c>
      <c r="P84" s="23" t="str">
        <f>IF(ISNUMBER(Table2[[#This Row],[nest_age1]]),ABS(Table2[[#This Row],[nest_age1]]-Table2[[#This Row],[nest_age_feb]]),"NA")</f>
        <v>NA</v>
      </c>
      <c r="Q84" s="24">
        <f>IF(ISNUMBER(Table2[[#This Row],[final_obs_int2]]),ABS(Table2[[#This Row],[final_obs_int2]]-Table2[[#This Row],[final_obs_int_feb]]), "NA")</f>
        <v>0</v>
      </c>
      <c r="R84" s="24"/>
      <c r="S84" s="57" t="s">
        <v>88</v>
      </c>
      <c r="T84" s="57" t="str">
        <f>Table2[[#This Row],[camera_old]]</f>
        <v>N</v>
      </c>
      <c r="U84" s="24"/>
      <c r="V84" s="16" t="s">
        <v>24</v>
      </c>
      <c r="W84" s="16" t="s">
        <v>24</v>
      </c>
      <c r="X84" s="145">
        <v>5</v>
      </c>
      <c r="Y84" s="147" t="s">
        <v>25</v>
      </c>
      <c r="Z84" s="146" t="s">
        <v>25</v>
      </c>
      <c r="AA84" s="4" t="str">
        <f>Table2[[#This Row],[field_fate]]</f>
        <v>S</v>
      </c>
      <c r="AB84" s="4" t="str">
        <f>Table2[[#This Row],[field_fate2]]</f>
        <v>S</v>
      </c>
      <c r="AC84" s="4" t="str">
        <f>Table2[[#This Row],[field_fate3]]</f>
        <v>S</v>
      </c>
      <c r="AD84" s="4" t="str">
        <f>Table2[[#This Row],[field_fate4]]</f>
        <v>S</v>
      </c>
      <c r="AE84" s="4" t="str">
        <f>Table2[[#This Row],[field_fate5]]</f>
        <v>S</v>
      </c>
      <c r="AF84" s="4" t="str">
        <f>Table2[[#This Row],[field_fate5]]</f>
        <v>S</v>
      </c>
      <c r="AG84" s="4" t="str">
        <f>Table2[[#This Row],[field_fate5]]</f>
        <v>S</v>
      </c>
      <c r="AH84" s="4" t="str">
        <f>Table2[[#This Row],[field_fate2]]</f>
        <v>S</v>
      </c>
      <c r="AI84" s="4" t="str">
        <f>Table2[[#This Row],[field_fate8]]</f>
        <v>S</v>
      </c>
      <c r="AJ84" s="4" t="str">
        <f>Table2[[#This Row],[field_fate10]]</f>
        <v>S</v>
      </c>
      <c r="AK84" s="4" t="b">
        <f>Table2[[#This Row],[field_fate_feb]]=Table2[[#This Row],[field_fate10]]</f>
        <v>1</v>
      </c>
      <c r="AL84" s="43" t="s">
        <v>24</v>
      </c>
      <c r="AM84" s="43" t="b">
        <f>Table2[[#This Row],[cam_fate2]]="NA"</f>
        <v>1</v>
      </c>
      <c r="AN84" s="19" t="str">
        <f>Table2[[#This Row],[cam_fate1]]</f>
        <v>NA</v>
      </c>
      <c r="AO84" s="2" t="s">
        <v>25</v>
      </c>
      <c r="AP84" s="5" t="str">
        <f>Table2[[#This Row],[final_fate1]]</f>
        <v>S</v>
      </c>
      <c r="AQ84" s="6" t="s">
        <v>24</v>
      </c>
      <c r="AR84" s="7" t="s">
        <v>24</v>
      </c>
      <c r="AS84" s="7" t="e">
        <f>Table2[[#This Row],[final_obs_date]]-Table2[[#This Row],[init_date]]</f>
        <v>#VALUE!</v>
      </c>
      <c r="AT84" s="7" t="e">
        <f>(Table2[[#This Row],[final_obs_date2]]-Table2[[#This Row],[estHD]])+16</f>
        <v>#VALUE!</v>
      </c>
      <c r="AU84" s="38">
        <v>5</v>
      </c>
      <c r="AV84" s="33">
        <v>5</v>
      </c>
      <c r="AW84" s="33">
        <f>Table2[[#This Row],[final_obs_date2]]-Table2[[#This Row],[pen_obs_date]]</f>
        <v>33</v>
      </c>
      <c r="AX84" s="67">
        <v>33</v>
      </c>
      <c r="AY84" s="6">
        <f>Table2[[#This Row],[final_obs_date]]</f>
        <v>33</v>
      </c>
      <c r="AZ84" s="6"/>
      <c r="BA84" s="91" t="s">
        <v>47</v>
      </c>
      <c r="BB84" s="6" t="e">
        <f>Table2[[#This Row],[final_obs_date]]&lt;(Table2[[#This Row],[estHD]]-2)</f>
        <v>#VALUE!</v>
      </c>
      <c r="BC84" s="24">
        <f>IF(Table2[[#This Row],[field_fate]]="H",1,0)</f>
        <v>0</v>
      </c>
      <c r="BD84" s="16">
        <f>IF(Table2[[#This Row],[cam_fate2]]="H",1,0)</f>
        <v>0</v>
      </c>
      <c r="BE84" s="6" t="b">
        <f>NOT(Table2[[#This Row],[HF_C]]=Table2[[#This Row],[HF]])</f>
        <v>0</v>
      </c>
      <c r="BF84" s="6" t="b">
        <f>NOT(Table2[[#This Row],[cam_fate2]]=Table2[[#This Row],[field_fate3]])</f>
        <v>1</v>
      </c>
      <c r="BG84" s="6" t="b">
        <f>OR(Table2[[#This Row],[field_fate3]]="U",Table2[[#This Row],[field_fate3]]="U-H")</f>
        <v>0</v>
      </c>
      <c r="BH84" s="8">
        <v>28</v>
      </c>
      <c r="BI84" s="8">
        <v>28</v>
      </c>
      <c r="BJ84" s="14">
        <f>IF(ISTEXT(Table2[[#This Row],[j.cam]]),Table2[[#This Row],[j]],Table2[[#This Row],[j.cam]])</f>
        <v>28</v>
      </c>
      <c r="BK84" s="9">
        <v>33</v>
      </c>
      <c r="BL84" s="15">
        <f>IF(ISTEXT(Table2[[#This Row],[k.cam]]), Table2[[#This Row],[k]], Table2[[#This Row],[k.cam]])</f>
        <v>33</v>
      </c>
      <c r="BM84" s="4" t="s">
        <v>24</v>
      </c>
      <c r="BN84" s="8" t="s">
        <v>24</v>
      </c>
      <c r="BO84" s="4">
        <v>2</v>
      </c>
      <c r="BP84" s="4">
        <f>Table2[[#This Row],[final_obs_date]]-Table2[[#This Row],[i]]</f>
        <v>5</v>
      </c>
      <c r="BQ84" s="4" t="e">
        <f>Table2[[#This Row],[final_obs_date2]]&gt;Table2[[#This Row],[estHD]]+3</f>
        <v>#VALUE!</v>
      </c>
      <c r="BR84" s="4" t="s">
        <v>33</v>
      </c>
      <c r="BS84" s="4" t="s">
        <v>28</v>
      </c>
      <c r="BT84" s="79" t="s">
        <v>1050</v>
      </c>
      <c r="BU84" s="26" t="s">
        <v>34</v>
      </c>
      <c r="BV84" s="79" t="s">
        <v>1464</v>
      </c>
      <c r="BW84" s="49"/>
      <c r="BX84" s="47"/>
      <c r="BY84" s="36" t="s">
        <v>503</v>
      </c>
    </row>
    <row r="85" spans="1:77" ht="15" hidden="1" thickBot="1" x14ac:dyDescent="0.4">
      <c r="A85" s="62">
        <v>10087</v>
      </c>
      <c r="B85" s="2" t="s">
        <v>35</v>
      </c>
      <c r="C85" s="44">
        <v>2019</v>
      </c>
      <c r="D85" s="3">
        <v>29.763549999999999</v>
      </c>
      <c r="E85" s="3">
        <v>-93.14461</v>
      </c>
      <c r="F85" s="3">
        <v>90</v>
      </c>
      <c r="G85" s="3">
        <v>95</v>
      </c>
      <c r="H85" s="3" t="s">
        <v>26</v>
      </c>
      <c r="I85" s="43"/>
      <c r="J85" s="55">
        <v>45</v>
      </c>
      <c r="K85" s="4">
        <v>45</v>
      </c>
      <c r="L85" s="22">
        <f>IF(ISNUMBER(Table2[[#This Row],[estHD]]),ABS(Table2[[#This Row],[HD]]-Table2[[#This Row],[estHD]]),"NA")</f>
        <v>0</v>
      </c>
      <c r="M85" s="4" t="b">
        <f>Table2[[#This Row],[HD]]=Table2[[#This Row],[estHD]]</f>
        <v>1</v>
      </c>
      <c r="N85" s="4" t="str">
        <f>IF(ISNUMBER([1]!Table2[[#This Row],[hatch_date]]), [1]!Table2[[#This Row],[hatch_date]]-16, "NA")</f>
        <v>NA</v>
      </c>
      <c r="O85" s="31">
        <v>29</v>
      </c>
      <c r="P85" s="23">
        <f>IF(ISNUMBER(Table2[[#This Row],[nest_age1]]),ABS(Table2[[#This Row],[nest_age1]]-Table2[[#This Row],[nest_age_feb]]),"NA")</f>
        <v>0</v>
      </c>
      <c r="Q85" s="24">
        <f>IF(ISNUMBER(Table2[[#This Row],[final_obs_int2]]),ABS(Table2[[#This Row],[final_obs_int2]]-Table2[[#This Row],[final_obs_int_feb]]), "NA")</f>
        <v>0</v>
      </c>
      <c r="R85" s="24"/>
      <c r="S85" s="57" t="s">
        <v>88</v>
      </c>
      <c r="T85" s="57" t="str">
        <f>Table2[[#This Row],[camera_old]]</f>
        <v>N</v>
      </c>
      <c r="U85" s="24"/>
      <c r="V85" s="16" t="s">
        <v>24</v>
      </c>
      <c r="W85" s="16">
        <v>19</v>
      </c>
      <c r="X85" s="145">
        <v>5</v>
      </c>
      <c r="Y85" s="147" t="s">
        <v>91</v>
      </c>
      <c r="Z85" s="146" t="s">
        <v>91</v>
      </c>
      <c r="AA85" s="4" t="str">
        <f>Table2[[#This Row],[field_fate]]</f>
        <v>Hu</v>
      </c>
      <c r="AB85" s="4" t="str">
        <f>Table2[[#This Row],[field_fate2]]</f>
        <v>Hu</v>
      </c>
      <c r="AC85" s="4" t="str">
        <f>Table2[[#This Row],[field_fate3]]</f>
        <v>Hu</v>
      </c>
      <c r="AD85" s="4" t="str">
        <f>Table2[[#This Row],[field_fate4]]</f>
        <v>Hu</v>
      </c>
      <c r="AE85" s="4" t="str">
        <f>Table2[[#This Row],[field_fate5]]</f>
        <v>Hu</v>
      </c>
      <c r="AF85" s="4" t="str">
        <f>Table2[[#This Row],[field_fate5]]</f>
        <v>Hu</v>
      </c>
      <c r="AG85" s="4" t="str">
        <f>Table2[[#This Row],[field_fate5]]</f>
        <v>Hu</v>
      </c>
      <c r="AH85" s="4" t="str">
        <f>Table2[[#This Row],[field_fate2]]</f>
        <v>Hu</v>
      </c>
      <c r="AI85" s="4" t="str">
        <f>Table2[[#This Row],[field_fate8]]</f>
        <v>Hu</v>
      </c>
      <c r="AJ85" s="4" t="str">
        <f>Table2[[#This Row],[field_fate10]]</f>
        <v>Hu</v>
      </c>
      <c r="AK85" s="4" t="b">
        <f>Table2[[#This Row],[field_fate_feb]]=Table2[[#This Row],[field_fate10]]</f>
        <v>1</v>
      </c>
      <c r="AL85" s="43" t="s">
        <v>24</v>
      </c>
      <c r="AM85" s="43" t="b">
        <f>Table2[[#This Row],[cam_fate2]]="NA"</f>
        <v>1</v>
      </c>
      <c r="AN85" s="19" t="str">
        <f>Table2[[#This Row],[cam_fate1]]</f>
        <v>NA</v>
      </c>
      <c r="AO85" s="2" t="s">
        <v>91</v>
      </c>
      <c r="AP85" s="5" t="str">
        <f>Table2[[#This Row],[final_fate1]]</f>
        <v>Hu</v>
      </c>
      <c r="AQ85" s="6">
        <v>19</v>
      </c>
      <c r="AR85" s="7">
        <v>19</v>
      </c>
      <c r="AS85" s="7">
        <f>Table2[[#This Row],[final_obs_date]]-Table2[[#This Row],[init_date]]</f>
        <v>19</v>
      </c>
      <c r="AT85" s="7">
        <f>(Table2[[#This Row],[final_obs_date2]]-Table2[[#This Row],[estHD]])+16</f>
        <v>19</v>
      </c>
      <c r="AU85" s="38">
        <v>5</v>
      </c>
      <c r="AV85" s="33">
        <v>5</v>
      </c>
      <c r="AW85" s="33">
        <f>Table2[[#This Row],[final_obs_date2]]-Table2[[#This Row],[pen_obs_date]]</f>
        <v>48</v>
      </c>
      <c r="AX85" s="67">
        <v>48</v>
      </c>
      <c r="AY85" s="6">
        <f>Table2[[#This Row],[final_obs_date]]</f>
        <v>48</v>
      </c>
      <c r="AZ85" s="6"/>
      <c r="BA85" s="91" t="s">
        <v>60</v>
      </c>
      <c r="BB85" s="6" t="b">
        <f>Table2[[#This Row],[final_obs_date]]&lt;(Table2[[#This Row],[estHD]]-2)</f>
        <v>0</v>
      </c>
      <c r="BC85" s="24">
        <f>IF(Table2[[#This Row],[field_fate]]="H",1,0)</f>
        <v>0</v>
      </c>
      <c r="BD85" s="16">
        <f>IF(Table2[[#This Row],[cam_fate2]]="H",1,0)</f>
        <v>0</v>
      </c>
      <c r="BE85" s="6" t="b">
        <f>NOT(Table2[[#This Row],[HF_C]]=Table2[[#This Row],[HF]])</f>
        <v>0</v>
      </c>
      <c r="BF85" s="6" t="b">
        <f>NOT(Table2[[#This Row],[cam_fate2]]=Table2[[#This Row],[field_fate3]])</f>
        <v>1</v>
      </c>
      <c r="BG85" s="6" t="b">
        <f>OR(Table2[[#This Row],[field_fate3]]="U",Table2[[#This Row],[field_fate3]]="U-H")</f>
        <v>0</v>
      </c>
      <c r="BH85" s="8">
        <v>29</v>
      </c>
      <c r="BI85" s="8">
        <v>43</v>
      </c>
      <c r="BJ85" s="14">
        <f>IF(ISTEXT(Table2[[#This Row],[j.cam]]),Table2[[#This Row],[j]],Table2[[#This Row],[j.cam]])</f>
        <v>43</v>
      </c>
      <c r="BK85" s="9">
        <v>48</v>
      </c>
      <c r="BL85" s="15">
        <f>IF(ISTEXT(Table2[[#This Row],[k.cam]]), Table2[[#This Row],[k]], Table2[[#This Row],[k.cam]])</f>
        <v>48</v>
      </c>
      <c r="BM85" s="4" t="s">
        <v>24</v>
      </c>
      <c r="BN85" s="8" t="s">
        <v>24</v>
      </c>
      <c r="BO85" s="4">
        <v>5</v>
      </c>
      <c r="BP85" s="4">
        <f>Table2[[#This Row],[final_obs_date]]-Table2[[#This Row],[i]]</f>
        <v>19</v>
      </c>
      <c r="BQ85" s="4" t="b">
        <f>Table2[[#This Row],[final_obs_date2]]&gt;Table2[[#This Row],[estHD]]+3</f>
        <v>0</v>
      </c>
      <c r="BR85" s="4" t="s">
        <v>58</v>
      </c>
      <c r="BS85" s="4" t="s">
        <v>28</v>
      </c>
      <c r="BT85" s="79" t="s">
        <v>1051</v>
      </c>
      <c r="BU85" s="26" t="s">
        <v>114</v>
      </c>
      <c r="BV85" s="79" t="s">
        <v>1467</v>
      </c>
      <c r="BW85" s="49"/>
      <c r="BX85" s="47"/>
      <c r="BY85" s="36" t="s">
        <v>531</v>
      </c>
    </row>
    <row r="86" spans="1:77" ht="19" hidden="1" thickBot="1" x14ac:dyDescent="0.4">
      <c r="A86" s="62">
        <v>10088</v>
      </c>
      <c r="B86" s="2" t="s">
        <v>35</v>
      </c>
      <c r="C86" s="44">
        <v>2019</v>
      </c>
      <c r="D86" s="3">
        <v>29.763079999999999</v>
      </c>
      <c r="E86" s="3">
        <v>-93.141760000000005</v>
      </c>
      <c r="F86" s="3">
        <v>5</v>
      </c>
      <c r="G86" s="3">
        <v>20</v>
      </c>
      <c r="H86" s="3" t="s">
        <v>26</v>
      </c>
      <c r="I86" s="43"/>
      <c r="J86" s="55" t="s">
        <v>24</v>
      </c>
      <c r="K86" s="4" t="s">
        <v>24</v>
      </c>
      <c r="L86" s="22" t="str">
        <f>IF(ISNUMBER(Table2[[#This Row],[estHD]]),ABS(Table2[[#This Row],[HD]]-Table2[[#This Row],[estHD]]),"NA")</f>
        <v>NA</v>
      </c>
      <c r="M86" s="4" t="b">
        <f>Table2[[#This Row],[HD]]=Table2[[#This Row],[estHD]]</f>
        <v>1</v>
      </c>
      <c r="N86" s="4" t="str">
        <f>IF(ISNUMBER([1]!Table2[[#This Row],[hatch_date]]),[1]!Table2[[#This Row],[hatch_date]]-19,"NA")</f>
        <v>NA</v>
      </c>
      <c r="O86" s="31" t="s">
        <v>24</v>
      </c>
      <c r="P86" s="23" t="str">
        <f>IF(ISNUMBER(Table2[[#This Row],[nest_age1]]),ABS(Table2[[#This Row],[nest_age1]]-Table2[[#This Row],[nest_age_feb]]),"NA")</f>
        <v>NA</v>
      </c>
      <c r="Q86" s="24">
        <f>IF(ISNUMBER(Table2[[#This Row],[final_obs_int2]]),ABS(Table2[[#This Row],[final_obs_int2]]-Table2[[#This Row],[final_obs_int_feb]]), "NA")</f>
        <v>0</v>
      </c>
      <c r="R86" s="24"/>
      <c r="S86" s="57" t="s">
        <v>88</v>
      </c>
      <c r="T86" s="57" t="str">
        <f>Table2[[#This Row],[camera_old]]</f>
        <v>N</v>
      </c>
      <c r="U86" s="24"/>
      <c r="V86" s="16" t="s">
        <v>24</v>
      </c>
      <c r="W86" s="16" t="s">
        <v>24</v>
      </c>
      <c r="X86" s="145">
        <v>1</v>
      </c>
      <c r="Y86" s="147" t="s">
        <v>48</v>
      </c>
      <c r="Z86" s="146" t="s">
        <v>48</v>
      </c>
      <c r="AA86" s="4" t="str">
        <f>Table2[[#This Row],[field_fate]]</f>
        <v>F</v>
      </c>
      <c r="AB86" s="4" t="str">
        <f>Table2[[#This Row],[field_fate2]]</f>
        <v>F</v>
      </c>
      <c r="AC86" s="4" t="str">
        <f>Table2[[#This Row],[field_fate3]]</f>
        <v>F</v>
      </c>
      <c r="AD86" s="4" t="str">
        <f>Table2[[#This Row],[field_fate4]]</f>
        <v>F</v>
      </c>
      <c r="AE86" s="4" t="str">
        <f>Table2[[#This Row],[field_fate5]]</f>
        <v>F</v>
      </c>
      <c r="AF86" s="4" t="str">
        <f>Table2[[#This Row],[field_fate5]]</f>
        <v>F</v>
      </c>
      <c r="AG86" s="4" t="str">
        <f>Table2[[#This Row],[field_fate5]]</f>
        <v>F</v>
      </c>
      <c r="AH86" s="4" t="str">
        <f>Table2[[#This Row],[field_fate2]]</f>
        <v>F</v>
      </c>
      <c r="AI86" s="4" t="str">
        <f>Table2[[#This Row],[field_fate8]]</f>
        <v>F</v>
      </c>
      <c r="AJ86" s="4" t="str">
        <f>Table2[[#This Row],[field_fate10]]</f>
        <v>F</v>
      </c>
      <c r="AK86" s="4" t="b">
        <f>Table2[[#This Row],[field_fate_feb]]=Table2[[#This Row],[field_fate10]]</f>
        <v>1</v>
      </c>
      <c r="AL86" s="43" t="s">
        <v>24</v>
      </c>
      <c r="AM86" s="43" t="b">
        <f>Table2[[#This Row],[cam_fate2]]="NA"</f>
        <v>1</v>
      </c>
      <c r="AN86" s="19" t="str">
        <f>Table2[[#This Row],[cam_fate1]]</f>
        <v>NA</v>
      </c>
      <c r="AO86" s="2" t="s">
        <v>48</v>
      </c>
      <c r="AP86" s="5" t="str">
        <f>Table2[[#This Row],[final_fate1]]</f>
        <v>F</v>
      </c>
      <c r="AQ86" s="6" t="s">
        <v>24</v>
      </c>
      <c r="AR86" s="7" t="s">
        <v>24</v>
      </c>
      <c r="AS86" s="7" t="e">
        <f>Table2[[#This Row],[final_obs_date]]-Table2[[#This Row],[init_date]]</f>
        <v>#VALUE!</v>
      </c>
      <c r="AT86" s="7" t="e">
        <f>(Table2[[#This Row],[final_obs_date2]]-Table2[[#This Row],[estHD]])+16</f>
        <v>#VALUE!</v>
      </c>
      <c r="AU86" s="38">
        <v>1</v>
      </c>
      <c r="AV86" s="33">
        <v>1</v>
      </c>
      <c r="AW86" s="33">
        <f>Table2[[#This Row],[final_obs_date2]]-Table2[[#This Row],[pen_obs_date]]</f>
        <v>44</v>
      </c>
      <c r="AX86" s="67">
        <v>44</v>
      </c>
      <c r="AY86" s="6">
        <f>Table2[[#This Row],[final_obs_date]]</f>
        <v>44</v>
      </c>
      <c r="AZ86" s="6"/>
      <c r="BA86" s="91" t="s">
        <v>47</v>
      </c>
      <c r="BB86" s="6" t="e">
        <f>Table2[[#This Row],[final_obs_date]]&lt;(Table2[[#This Row],[estHD]]-2)</f>
        <v>#VALUE!</v>
      </c>
      <c r="BC86" s="24">
        <f>IF(Table2[[#This Row],[field_fate]]="H",1,0)</f>
        <v>0</v>
      </c>
      <c r="BD86" s="16">
        <f>IF(Table2[[#This Row],[cam_fate2]]="H",1,0)</f>
        <v>0</v>
      </c>
      <c r="BE86" s="6" t="b">
        <f>NOT(Table2[[#This Row],[HF_C]]=Table2[[#This Row],[HF]])</f>
        <v>0</v>
      </c>
      <c r="BF86" s="6" t="b">
        <f>NOT(Table2[[#This Row],[cam_fate2]]=Table2[[#This Row],[field_fate3]])</f>
        <v>1</v>
      </c>
      <c r="BG86" s="6" t="b">
        <f>OR(Table2[[#This Row],[field_fate3]]="U",Table2[[#This Row],[field_fate3]]="U-H")</f>
        <v>0</v>
      </c>
      <c r="BH86" s="8">
        <v>29</v>
      </c>
      <c r="BI86" s="8">
        <v>43</v>
      </c>
      <c r="BJ86" s="14">
        <f>IF(ISTEXT(Table2[[#This Row],[j.cam]]),Table2[[#This Row],[j]],Table2[[#This Row],[j.cam]])</f>
        <v>43</v>
      </c>
      <c r="BK86" s="9">
        <v>44</v>
      </c>
      <c r="BL86" s="15">
        <f>IF(ISTEXT(Table2[[#This Row],[k.cam]]), Table2[[#This Row],[k]], Table2[[#This Row],[k.cam]])</f>
        <v>44</v>
      </c>
      <c r="BM86" s="4" t="s">
        <v>24</v>
      </c>
      <c r="BN86" s="8" t="s">
        <v>24</v>
      </c>
      <c r="BO86" s="4">
        <v>9</v>
      </c>
      <c r="BP86" s="4">
        <f>Table2[[#This Row],[final_obs_date]]-Table2[[#This Row],[i]]</f>
        <v>15</v>
      </c>
      <c r="BQ86" s="4" t="e">
        <f>Table2[[#This Row],[final_obs_date2]]&gt;Table2[[#This Row],[estHD]]+3</f>
        <v>#VALUE!</v>
      </c>
      <c r="BR86" s="4" t="s">
        <v>27</v>
      </c>
      <c r="BS86" s="4" t="s">
        <v>28</v>
      </c>
      <c r="BT86" s="79" t="s">
        <v>1052</v>
      </c>
      <c r="BU86" s="26" t="s">
        <v>115</v>
      </c>
      <c r="BV86" s="79" t="s">
        <v>1468</v>
      </c>
      <c r="BW86" s="49"/>
      <c r="BX86" s="47"/>
      <c r="BY86" s="36" t="s">
        <v>532</v>
      </c>
    </row>
    <row r="87" spans="1:77" ht="15" hidden="1" thickBot="1" x14ac:dyDescent="0.4">
      <c r="A87" s="62">
        <v>10090</v>
      </c>
      <c r="B87" s="2" t="s">
        <v>35</v>
      </c>
      <c r="C87" s="44">
        <v>2019</v>
      </c>
      <c r="D87" s="3">
        <v>29.762239999999998</v>
      </c>
      <c r="E87" s="3">
        <v>-93.138540000000006</v>
      </c>
      <c r="F87" s="3">
        <v>70</v>
      </c>
      <c r="G87" s="3">
        <v>80</v>
      </c>
      <c r="H87" s="3" t="s">
        <v>462</v>
      </c>
      <c r="I87" s="43"/>
      <c r="J87" s="55">
        <v>57</v>
      </c>
      <c r="K87" s="4">
        <v>57</v>
      </c>
      <c r="L87" s="22">
        <f>IF(ISNUMBER(Table2[[#This Row],[estHD]]),ABS(Table2[[#This Row],[HD]]-Table2[[#This Row],[estHD]]),"NA")</f>
        <v>0</v>
      </c>
      <c r="M87" s="4" t="b">
        <f>Table2[[#This Row],[HD]]=Table2[[#This Row],[estHD]]</f>
        <v>1</v>
      </c>
      <c r="N87" s="4" t="str">
        <f>IF(ISNUMBER([1]!Table2[[#This Row],[hatch_date]]), [1]!Table2[[#This Row],[hatch_date]]-28, "NA")</f>
        <v>NA</v>
      </c>
      <c r="O87" s="31">
        <v>29</v>
      </c>
      <c r="P87" s="23">
        <f>IF(ISNUMBER(Table2[[#This Row],[nest_age1]]),ABS(Table2[[#This Row],[nest_age1]]-Table2[[#This Row],[nest_age_feb]]),"NA")</f>
        <v>0</v>
      </c>
      <c r="Q87" s="24">
        <f>IF(ISNUMBER(Table2[[#This Row],[final_obs_int2]]),ABS(Table2[[#This Row],[final_obs_int2]]-Table2[[#This Row],[final_obs_int_feb]]), "NA")</f>
        <v>0</v>
      </c>
      <c r="R87" s="24"/>
      <c r="S87" s="57" t="s">
        <v>88</v>
      </c>
      <c r="T87" s="57" t="str">
        <f>Table2[[#This Row],[camera_old]]</f>
        <v>N</v>
      </c>
      <c r="U87" s="24"/>
      <c r="V87" s="16" t="s">
        <v>24</v>
      </c>
      <c r="W87" s="16">
        <v>8</v>
      </c>
      <c r="X87" s="145">
        <v>3</v>
      </c>
      <c r="Y87" s="147" t="s">
        <v>65</v>
      </c>
      <c r="Z87" s="146" t="s">
        <v>65</v>
      </c>
      <c r="AA87" s="4" t="str">
        <f>Table2[[#This Row],[field_fate]]</f>
        <v>Ca</v>
      </c>
      <c r="AB87" s="4" t="str">
        <f>Table2[[#This Row],[field_fate2]]</f>
        <v>Ca</v>
      </c>
      <c r="AC87" s="4" t="str">
        <f>Table2[[#This Row],[field_fate3]]</f>
        <v>Ca</v>
      </c>
      <c r="AD87" s="4" t="str">
        <f>Table2[[#This Row],[field_fate4]]</f>
        <v>Ca</v>
      </c>
      <c r="AE87" s="4" t="str">
        <f>Table2[[#This Row],[field_fate5]]</f>
        <v>Ca</v>
      </c>
      <c r="AF87" s="4" t="str">
        <f>Table2[[#This Row],[field_fate5]]</f>
        <v>Ca</v>
      </c>
      <c r="AG87" s="4" t="str">
        <f>Table2[[#This Row],[field_fate5]]</f>
        <v>Ca</v>
      </c>
      <c r="AH87" s="4" t="str">
        <f>Table2[[#This Row],[field_fate2]]</f>
        <v>Ca</v>
      </c>
      <c r="AI87" s="4" t="str">
        <f>Table2[[#This Row],[field_fate8]]</f>
        <v>Ca</v>
      </c>
      <c r="AJ87" s="4" t="str">
        <f>Table2[[#This Row],[field_fate10]]</f>
        <v>Ca</v>
      </c>
      <c r="AK87" s="4" t="b">
        <f>Table2[[#This Row],[field_fate_feb]]=Table2[[#This Row],[field_fate10]]</f>
        <v>1</v>
      </c>
      <c r="AL87" s="43" t="s">
        <v>24</v>
      </c>
      <c r="AM87" s="43" t="b">
        <f>Table2[[#This Row],[cam_fate2]]="NA"</f>
        <v>1</v>
      </c>
      <c r="AN87" s="19" t="str">
        <f>Table2[[#This Row],[cam_fate1]]</f>
        <v>NA</v>
      </c>
      <c r="AO87" s="2" t="s">
        <v>65</v>
      </c>
      <c r="AP87" s="5" t="str">
        <f>Table2[[#This Row],[final_fate1]]</f>
        <v>Ca</v>
      </c>
      <c r="AQ87" s="6">
        <v>8</v>
      </c>
      <c r="AR87" s="7">
        <v>8</v>
      </c>
      <c r="AS87" s="7">
        <f>Table2[[#This Row],[final_obs_date]]-Table2[[#This Row],[init_date]]</f>
        <v>8</v>
      </c>
      <c r="AT87" s="7">
        <f>(Table2[[#This Row],[final_obs_date2]]-Table2[[#This Row],[estHD]])+16</f>
        <v>-4</v>
      </c>
      <c r="AU87" s="38">
        <v>3</v>
      </c>
      <c r="AV87" s="33">
        <v>3</v>
      </c>
      <c r="AW87" s="33">
        <f>Table2[[#This Row],[final_obs_date2]]-Table2[[#This Row],[pen_obs_date]]</f>
        <v>37</v>
      </c>
      <c r="AX87" s="67">
        <v>37</v>
      </c>
      <c r="AY87" s="6">
        <f>Table2[[#This Row],[final_obs_date]]</f>
        <v>37</v>
      </c>
      <c r="AZ87" s="6"/>
      <c r="BA87" s="91" t="s">
        <v>23</v>
      </c>
      <c r="BB87" s="6" t="b">
        <f>Table2[[#This Row],[final_obs_date]]&lt;(Table2[[#This Row],[estHD]]-2)</f>
        <v>1</v>
      </c>
      <c r="BC87" s="24">
        <f>IF(Table2[[#This Row],[field_fate]]="H",1,0)</f>
        <v>0</v>
      </c>
      <c r="BD87" s="16">
        <f>IF(Table2[[#This Row],[cam_fate2]]="H",1,0)</f>
        <v>0</v>
      </c>
      <c r="BE87" s="6" t="b">
        <f>NOT(Table2[[#This Row],[HF_C]]=Table2[[#This Row],[HF]])</f>
        <v>0</v>
      </c>
      <c r="BF87" s="6" t="b">
        <f>NOT(Table2[[#This Row],[cam_fate2]]=Table2[[#This Row],[field_fate3]])</f>
        <v>1</v>
      </c>
      <c r="BG87" s="6" t="b">
        <f>OR(Table2[[#This Row],[field_fate3]]="U",Table2[[#This Row],[field_fate3]]="U-H")</f>
        <v>0</v>
      </c>
      <c r="BH87" s="8">
        <v>34</v>
      </c>
      <c r="BI87" s="8">
        <v>34</v>
      </c>
      <c r="BJ87" s="14">
        <f>IF(ISTEXT(Table2[[#This Row],[j.cam]]),Table2[[#This Row],[j]],Table2[[#This Row],[j.cam]])</f>
        <v>34</v>
      </c>
      <c r="BK87" s="9">
        <v>37</v>
      </c>
      <c r="BL87" s="15">
        <f>IF(ISTEXT(Table2[[#This Row],[k.cam]]), Table2[[#This Row],[k]], Table2[[#This Row],[k.cam]])</f>
        <v>37</v>
      </c>
      <c r="BM87" s="4" t="s">
        <v>24</v>
      </c>
      <c r="BN87" s="8" t="s">
        <v>24</v>
      </c>
      <c r="BO87" s="4">
        <v>2</v>
      </c>
      <c r="BP87" s="4">
        <f>Table2[[#This Row],[final_obs_date]]-Table2[[#This Row],[i]]</f>
        <v>3</v>
      </c>
      <c r="BQ87" s="4" t="b">
        <f>Table2[[#This Row],[final_obs_date2]]&gt;Table2[[#This Row],[estHD]]+3</f>
        <v>0</v>
      </c>
      <c r="BR87" s="4" t="s">
        <v>33</v>
      </c>
      <c r="BS87" s="4" t="s">
        <v>28</v>
      </c>
      <c r="BT87" s="79" t="s">
        <v>1053</v>
      </c>
      <c r="BU87" s="26" t="s">
        <v>34</v>
      </c>
      <c r="BV87" s="79" t="s">
        <v>1430</v>
      </c>
      <c r="BW87" s="49"/>
      <c r="BX87" s="47"/>
      <c r="BY87" s="36" t="s">
        <v>507</v>
      </c>
    </row>
    <row r="88" spans="1:77" ht="15" hidden="1" thickBot="1" x14ac:dyDescent="0.4">
      <c r="A88" s="62">
        <v>10091</v>
      </c>
      <c r="B88" s="2" t="s">
        <v>35</v>
      </c>
      <c r="C88" s="44">
        <v>2019</v>
      </c>
      <c r="D88" s="3">
        <v>29.762339999999998</v>
      </c>
      <c r="E88" s="3">
        <v>-93.139660000000006</v>
      </c>
      <c r="F88" s="3">
        <v>20</v>
      </c>
      <c r="G88" s="3">
        <v>30</v>
      </c>
      <c r="H88" s="3" t="s">
        <v>462</v>
      </c>
      <c r="I88" s="43"/>
      <c r="J88" s="55">
        <v>47</v>
      </c>
      <c r="K88" s="4">
        <v>47</v>
      </c>
      <c r="L88" s="22">
        <f>IF(ISNUMBER(Table2[[#This Row],[estHD]]),ABS(Table2[[#This Row],[HD]]-Table2[[#This Row],[estHD]]),"NA")</f>
        <v>0</v>
      </c>
      <c r="M88" s="4" t="b">
        <f>Table2[[#This Row],[HD]]=Table2[[#This Row],[estHD]]</f>
        <v>1</v>
      </c>
      <c r="N88" s="4" t="str">
        <f>IF(ISNUMBER([1]!Table2[[#This Row],[hatch_date]]),[1]!Table2[[#This Row],[hatch_date]]-19,"NA")</f>
        <v>NA</v>
      </c>
      <c r="O88" s="31">
        <v>28</v>
      </c>
      <c r="P88" s="23" t="e">
        <f>IF(ISNUMBER(Table2[[#This Row],[nest_age1]]),ABS(Table2[[#This Row],[nest_age1]]-Table2[[#This Row],[nest_age_feb]]),"NA")</f>
        <v>#VALUE!</v>
      </c>
      <c r="Q88" s="24">
        <f>IF(ISNUMBER(Table2[[#This Row],[final_obs_int2]]),ABS(Table2[[#This Row],[final_obs_int2]]-Table2[[#This Row],[final_obs_int_feb]]), "NA")</f>
        <v>0</v>
      </c>
      <c r="R88" s="24"/>
      <c r="S88" s="57" t="s">
        <v>88</v>
      </c>
      <c r="T88" s="57" t="str">
        <f>Table2[[#This Row],[camera_old]]</f>
        <v>N</v>
      </c>
      <c r="U88" s="24"/>
      <c r="V88" s="16" t="s">
        <v>24</v>
      </c>
      <c r="W88" s="16" t="s">
        <v>24</v>
      </c>
      <c r="X88" s="145">
        <v>6</v>
      </c>
      <c r="Y88" s="147" t="s">
        <v>104</v>
      </c>
      <c r="Z88" s="146" t="s">
        <v>104</v>
      </c>
      <c r="AA88" s="4" t="str">
        <f>Table2[[#This Row],[field_fate]]</f>
        <v>U-H</v>
      </c>
      <c r="AB88" s="4" t="str">
        <f>Table2[[#This Row],[field_fate2]]</f>
        <v>U-H</v>
      </c>
      <c r="AC88" s="4" t="str">
        <f>Table2[[#This Row],[field_fate3]]</f>
        <v>U-H</v>
      </c>
      <c r="AD88" s="4" t="str">
        <f>Table2[[#This Row],[field_fate4]]</f>
        <v>U-H</v>
      </c>
      <c r="AE88" s="4" t="str">
        <f>Table2[[#This Row],[field_fate5]]</f>
        <v>U-H</v>
      </c>
      <c r="AF88" s="4" t="str">
        <f>Table2[[#This Row],[field_fate5]]</f>
        <v>U-H</v>
      </c>
      <c r="AG88" s="4" t="str">
        <f>Table2[[#This Row],[field_fate5]]</f>
        <v>U-H</v>
      </c>
      <c r="AH88" s="4" t="str">
        <f>Table2[[#This Row],[field_fate2]]</f>
        <v>U-H</v>
      </c>
      <c r="AI88" s="4" t="str">
        <f>Table2[[#This Row],[field_fate8]]</f>
        <v>U-H</v>
      </c>
      <c r="AJ88" s="4" t="str">
        <f>Table2[[#This Row],[field_fate10]]</f>
        <v>U-H</v>
      </c>
      <c r="AK88" s="4" t="b">
        <f>Table2[[#This Row],[field_fate_feb]]=Table2[[#This Row],[field_fate10]]</f>
        <v>1</v>
      </c>
      <c r="AL88" s="43" t="s">
        <v>24</v>
      </c>
      <c r="AM88" s="43" t="b">
        <f>Table2[[#This Row],[cam_fate2]]="NA"</f>
        <v>1</v>
      </c>
      <c r="AN88" s="19" t="str">
        <f>Table2[[#This Row],[cam_fate1]]</f>
        <v>NA</v>
      </c>
      <c r="AO88" s="2" t="s">
        <v>104</v>
      </c>
      <c r="AP88" s="5" t="str">
        <f>Table2[[#This Row],[final_fate1]]</f>
        <v>U-H</v>
      </c>
      <c r="AQ88" s="6">
        <v>26</v>
      </c>
      <c r="AR88" s="7">
        <v>26</v>
      </c>
      <c r="AS88" s="7">
        <f>Table2[[#This Row],[final_obs_date]]-Table2[[#This Row],[init_date]]</f>
        <v>26</v>
      </c>
      <c r="AT88" s="7">
        <f>(Table2[[#This Row],[final_obs_date2]]-Table2[[#This Row],[estHD]])+16</f>
        <v>23</v>
      </c>
      <c r="AU88" s="38">
        <v>6</v>
      </c>
      <c r="AV88" s="33">
        <v>6</v>
      </c>
      <c r="AW88" s="33">
        <f>Table2[[#This Row],[final_obs_date2]]-Table2[[#This Row],[pen_obs_date]]</f>
        <v>54</v>
      </c>
      <c r="AX88" s="67">
        <v>54</v>
      </c>
      <c r="AY88" s="6">
        <f>Table2[[#This Row],[final_obs_date]]</f>
        <v>54</v>
      </c>
      <c r="AZ88" s="6"/>
      <c r="BA88" s="91" t="s">
        <v>47</v>
      </c>
      <c r="BB88" s="6" t="b">
        <f>Table2[[#This Row],[final_obs_date]]&lt;(Table2[[#This Row],[estHD]]-2)</f>
        <v>0</v>
      </c>
      <c r="BC88" s="24">
        <f>IF(Table2[[#This Row],[field_fate]]="H",1,0)</f>
        <v>0</v>
      </c>
      <c r="BD88" s="16">
        <f>IF(Table2[[#This Row],[cam_fate2]]="H",1,0)</f>
        <v>0</v>
      </c>
      <c r="BE88" s="6" t="b">
        <f>NOT(Table2[[#This Row],[HF_C]]=Table2[[#This Row],[HF]])</f>
        <v>0</v>
      </c>
      <c r="BF88" s="6" t="b">
        <f>NOT(Table2[[#This Row],[cam_fate2]]=Table2[[#This Row],[field_fate3]])</f>
        <v>1</v>
      </c>
      <c r="BG88" s="6" t="b">
        <f>OR(Table2[[#This Row],[field_fate3]]="U",Table2[[#This Row],[field_fate3]]="U-H")</f>
        <v>1</v>
      </c>
      <c r="BH88" s="8">
        <v>34</v>
      </c>
      <c r="BI88" s="8">
        <v>48</v>
      </c>
      <c r="BJ88" s="14">
        <f>IF(ISTEXT(Table2[[#This Row],[j.cam]]),Table2[[#This Row],[j]],Table2[[#This Row],[j.cam]])</f>
        <v>48</v>
      </c>
      <c r="BK88" s="9">
        <v>54</v>
      </c>
      <c r="BL88" s="15">
        <f>IF(ISTEXT(Table2[[#This Row],[k.cam]]), Table2[[#This Row],[k]], Table2[[#This Row],[k.cam]])</f>
        <v>54</v>
      </c>
      <c r="BM88" s="4" t="s">
        <v>24</v>
      </c>
      <c r="BN88" s="8" t="s">
        <v>24</v>
      </c>
      <c r="BO88" s="4">
        <v>6</v>
      </c>
      <c r="BP88" s="4">
        <f>Table2[[#This Row],[final_obs_date]]-Table2[[#This Row],[i]]</f>
        <v>20</v>
      </c>
      <c r="BQ88" s="4" t="b">
        <f>Table2[[#This Row],[final_obs_date2]]&gt;Table2[[#This Row],[estHD]]+3</f>
        <v>1</v>
      </c>
      <c r="BR88" s="4" t="s">
        <v>27</v>
      </c>
      <c r="BS88" s="4" t="s">
        <v>45</v>
      </c>
      <c r="BT88" s="79" t="s">
        <v>1054</v>
      </c>
      <c r="BU88" s="26" t="s">
        <v>116</v>
      </c>
      <c r="BV88" s="79" t="s">
        <v>1469</v>
      </c>
      <c r="BW88" s="49"/>
      <c r="BX88" s="47"/>
      <c r="BY88" s="36" t="s">
        <v>533</v>
      </c>
    </row>
    <row r="89" spans="1:77" ht="15" hidden="1" thickBot="1" x14ac:dyDescent="0.4">
      <c r="A89" s="62">
        <v>10094</v>
      </c>
      <c r="B89" s="2" t="s">
        <v>111</v>
      </c>
      <c r="C89" s="44">
        <v>2019</v>
      </c>
      <c r="D89" s="3">
        <v>29.77345</v>
      </c>
      <c r="E89" s="3">
        <v>-93.291290000000004</v>
      </c>
      <c r="F89" s="3">
        <v>5</v>
      </c>
      <c r="G89" s="3">
        <v>10</v>
      </c>
      <c r="H89" s="3" t="s">
        <v>26</v>
      </c>
      <c r="I89" s="43"/>
      <c r="J89" s="55">
        <v>66</v>
      </c>
      <c r="K89" s="4">
        <v>66</v>
      </c>
      <c r="L89" s="22">
        <f>IF(ISNUMBER(Table2[[#This Row],[estHD]]),ABS(Table2[[#This Row],[HD]]-Table2[[#This Row],[estHD]]),"NA")</f>
        <v>0</v>
      </c>
      <c r="M89" s="4" t="b">
        <f>Table2[[#This Row],[HD]]=Table2[[#This Row],[estHD]]</f>
        <v>1</v>
      </c>
      <c r="N89" s="4" t="str">
        <f>IF(ISNUMBER([1]!Table2[[#This Row],[hatch_date]]), [1]!Table2[[#This Row],[hatch_date]]-28, "NA")</f>
        <v>NA</v>
      </c>
      <c r="O89" s="31">
        <v>38</v>
      </c>
      <c r="P89" s="23">
        <f>IF(ISNUMBER(Table2[[#This Row],[nest_age1]]),ABS(Table2[[#This Row],[nest_age1]]-Table2[[#This Row],[nest_age_feb]]),"NA")</f>
        <v>0</v>
      </c>
      <c r="Q89" s="24">
        <f>IF(ISNUMBER(Table2[[#This Row],[final_obs_int2]]),ABS(Table2[[#This Row],[final_obs_int2]]-Table2[[#This Row],[final_obs_int_feb]]), "NA")</f>
        <v>0</v>
      </c>
      <c r="R89" s="24"/>
      <c r="S89" s="57" t="s">
        <v>88</v>
      </c>
      <c r="T89" s="57" t="str">
        <f>Table2[[#This Row],[camera_old]]</f>
        <v>N</v>
      </c>
      <c r="U89" s="24"/>
      <c r="V89" s="16" t="s">
        <v>24</v>
      </c>
      <c r="W89" s="16">
        <v>3</v>
      </c>
      <c r="X89" s="145">
        <v>4</v>
      </c>
      <c r="Y89" s="147" t="s">
        <v>25</v>
      </c>
      <c r="Z89" s="146" t="s">
        <v>25</v>
      </c>
      <c r="AA89" s="4" t="str">
        <f>Table2[[#This Row],[field_fate]]</f>
        <v>S</v>
      </c>
      <c r="AB89" s="4" t="str">
        <f>Table2[[#This Row],[field_fate2]]</f>
        <v>S</v>
      </c>
      <c r="AC89" s="4" t="str">
        <f>Table2[[#This Row],[field_fate3]]</f>
        <v>S</v>
      </c>
      <c r="AD89" s="4" t="str">
        <f>Table2[[#This Row],[field_fate4]]</f>
        <v>S</v>
      </c>
      <c r="AE89" s="4" t="str">
        <f>Table2[[#This Row],[field_fate5]]</f>
        <v>S</v>
      </c>
      <c r="AF89" s="4" t="str">
        <f>Table2[[#This Row],[field_fate5]]</f>
        <v>S</v>
      </c>
      <c r="AG89" s="4" t="str">
        <f>Table2[[#This Row],[field_fate5]]</f>
        <v>S</v>
      </c>
      <c r="AH89" s="4" t="str">
        <f>Table2[[#This Row],[field_fate2]]</f>
        <v>S</v>
      </c>
      <c r="AI89" s="4" t="str">
        <f>Table2[[#This Row],[field_fate8]]</f>
        <v>S</v>
      </c>
      <c r="AJ89" s="4" t="str">
        <f>Table2[[#This Row],[field_fate10]]</f>
        <v>S</v>
      </c>
      <c r="AK89" s="4" t="b">
        <f>Table2[[#This Row],[field_fate_feb]]=Table2[[#This Row],[field_fate10]]</f>
        <v>1</v>
      </c>
      <c r="AL89" s="43" t="s">
        <v>24</v>
      </c>
      <c r="AM89" s="43" t="b">
        <f>Table2[[#This Row],[cam_fate2]]="NA"</f>
        <v>1</v>
      </c>
      <c r="AN89" s="19" t="str">
        <f>Table2[[#This Row],[cam_fate1]]</f>
        <v>NA</v>
      </c>
      <c r="AO89" s="2" t="s">
        <v>25</v>
      </c>
      <c r="AP89" s="5" t="str">
        <f>Table2[[#This Row],[final_fate1]]</f>
        <v>S</v>
      </c>
      <c r="AQ89" s="6">
        <v>3</v>
      </c>
      <c r="AR89" s="7">
        <v>3</v>
      </c>
      <c r="AS89" s="7">
        <f>Table2[[#This Row],[final_obs_date]]-Table2[[#This Row],[init_date]]</f>
        <v>3</v>
      </c>
      <c r="AT89" s="7">
        <f>(Table2[[#This Row],[final_obs_date2]]-Table2[[#This Row],[estHD]])+16</f>
        <v>-9</v>
      </c>
      <c r="AU89" s="38">
        <v>4</v>
      </c>
      <c r="AV89" s="33">
        <v>4</v>
      </c>
      <c r="AW89" s="33">
        <f>Table2[[#This Row],[final_obs_date2]]-Table2[[#This Row],[pen_obs_date]]</f>
        <v>41</v>
      </c>
      <c r="AX89" s="67">
        <v>41</v>
      </c>
      <c r="AY89" s="6">
        <f>Table2[[#This Row],[final_obs_date]]</f>
        <v>41</v>
      </c>
      <c r="AZ89" s="6"/>
      <c r="BA89" s="91" t="s">
        <v>23</v>
      </c>
      <c r="BB89" s="6" t="b">
        <f>Table2[[#This Row],[final_obs_date]]&lt;(Table2[[#This Row],[estHD]]-2)</f>
        <v>1</v>
      </c>
      <c r="BC89" s="24">
        <f>IF(Table2[[#This Row],[field_fate]]="H",1,0)</f>
        <v>0</v>
      </c>
      <c r="BD89" s="16">
        <f>IF(Table2[[#This Row],[cam_fate2]]="H",1,0)</f>
        <v>0</v>
      </c>
      <c r="BE89" s="6" t="b">
        <f>NOT(Table2[[#This Row],[HF_C]]=Table2[[#This Row],[HF]])</f>
        <v>0</v>
      </c>
      <c r="BF89" s="6" t="b">
        <f>NOT(Table2[[#This Row],[cam_fate2]]=Table2[[#This Row],[field_fate3]])</f>
        <v>1</v>
      </c>
      <c r="BG89" s="6" t="b">
        <f>OR(Table2[[#This Row],[field_fate3]]="U",Table2[[#This Row],[field_fate3]]="U-H")</f>
        <v>0</v>
      </c>
      <c r="BH89" s="8">
        <v>37</v>
      </c>
      <c r="BI89" s="8">
        <v>37</v>
      </c>
      <c r="BJ89" s="14">
        <f>IF(ISTEXT(Table2[[#This Row],[j.cam]]),Table2[[#This Row],[j]],Table2[[#This Row],[j.cam]])</f>
        <v>37</v>
      </c>
      <c r="BK89" s="9">
        <v>41</v>
      </c>
      <c r="BL89" s="15">
        <f>IF(ISTEXT(Table2[[#This Row],[k.cam]]), Table2[[#This Row],[k]], Table2[[#This Row],[k.cam]])</f>
        <v>41</v>
      </c>
      <c r="BM89" s="4" t="s">
        <v>24</v>
      </c>
      <c r="BN89" s="8" t="s">
        <v>24</v>
      </c>
      <c r="BO89" s="4">
        <v>2</v>
      </c>
      <c r="BP89" s="4">
        <f>Table2[[#This Row],[final_obs_date]]-Table2[[#This Row],[i]]</f>
        <v>4</v>
      </c>
      <c r="BQ89" s="4" t="b">
        <f>Table2[[#This Row],[final_obs_date2]]&gt;Table2[[#This Row],[estHD]]+3</f>
        <v>0</v>
      </c>
      <c r="BR89" s="4" t="s">
        <v>58</v>
      </c>
      <c r="BS89" s="4" t="s">
        <v>45</v>
      </c>
      <c r="BT89" s="79" t="s">
        <v>1055</v>
      </c>
      <c r="BU89" s="26" t="s">
        <v>117</v>
      </c>
      <c r="BV89" s="79" t="s">
        <v>1429</v>
      </c>
      <c r="BW89" s="49"/>
      <c r="BX89" s="47"/>
      <c r="BY89" s="36" t="s">
        <v>534</v>
      </c>
    </row>
    <row r="90" spans="1:77" ht="15" hidden="1" thickBot="1" x14ac:dyDescent="0.4">
      <c r="A90" s="62">
        <v>10095</v>
      </c>
      <c r="B90" s="2" t="s">
        <v>111</v>
      </c>
      <c r="C90" s="44">
        <v>2019</v>
      </c>
      <c r="D90" s="3">
        <v>29.772210000000001</v>
      </c>
      <c r="E90" s="3">
        <v>-93.298109999999994</v>
      </c>
      <c r="F90" s="3">
        <v>0</v>
      </c>
      <c r="G90" s="3">
        <v>0</v>
      </c>
      <c r="H90" s="3" t="s">
        <v>26</v>
      </c>
      <c r="I90" s="43"/>
      <c r="J90" s="55">
        <v>58</v>
      </c>
      <c r="K90" s="4">
        <v>58</v>
      </c>
      <c r="L90" s="22">
        <f>IF(ISNUMBER(Table2[[#This Row],[estHD]]),ABS(Table2[[#This Row],[HD]]-Table2[[#This Row],[estHD]]),"NA")</f>
        <v>0</v>
      </c>
      <c r="M90" s="4" t="b">
        <f>Table2[[#This Row],[HD]]=Table2[[#This Row],[estHD]]</f>
        <v>1</v>
      </c>
      <c r="N90" s="4" t="str">
        <f>IF(ISNUMBER([1]!Table2[[#This Row],[hatch_date]]),[1]!Table2[[#This Row],[hatch_date]]-19,"NA")</f>
        <v>NA</v>
      </c>
      <c r="O90" s="31">
        <v>39</v>
      </c>
      <c r="P90" s="23">
        <f>IF(ISNUMBER(Table2[[#This Row],[nest_age1]]),ABS(Table2[[#This Row],[nest_age1]]-Table2[[#This Row],[nest_age_feb]]),"NA")</f>
        <v>0</v>
      </c>
      <c r="Q90" s="24">
        <f>IF(ISNUMBER(Table2[[#This Row],[final_obs_int2]]),ABS(Table2[[#This Row],[final_obs_int2]]-Table2[[#This Row],[final_obs_int_feb]]), "NA")</f>
        <v>0</v>
      </c>
      <c r="R90" s="24"/>
      <c r="S90" s="57" t="s">
        <v>88</v>
      </c>
      <c r="T90" s="57" t="str">
        <f>Table2[[#This Row],[camera_old]]</f>
        <v>N</v>
      </c>
      <c r="U90" s="24"/>
      <c r="V90" s="16" t="s">
        <v>24</v>
      </c>
      <c r="W90" s="16">
        <v>2</v>
      </c>
      <c r="X90" s="145">
        <v>4</v>
      </c>
      <c r="Y90" s="147" t="s">
        <v>25</v>
      </c>
      <c r="Z90" s="146" t="s">
        <v>25</v>
      </c>
      <c r="AA90" s="4" t="str">
        <f>Table2[[#This Row],[field_fate]]</f>
        <v>S</v>
      </c>
      <c r="AB90" s="4" t="str">
        <f>Table2[[#This Row],[field_fate2]]</f>
        <v>S</v>
      </c>
      <c r="AC90" s="4" t="str">
        <f>Table2[[#This Row],[field_fate3]]</f>
        <v>S</v>
      </c>
      <c r="AD90" s="4" t="str">
        <f>Table2[[#This Row],[field_fate4]]</f>
        <v>S</v>
      </c>
      <c r="AE90" s="4" t="str">
        <f>Table2[[#This Row],[field_fate5]]</f>
        <v>S</v>
      </c>
      <c r="AF90" s="4" t="str">
        <f>Table2[[#This Row],[field_fate5]]</f>
        <v>S</v>
      </c>
      <c r="AG90" s="4" t="str">
        <f>Table2[[#This Row],[field_fate5]]</f>
        <v>S</v>
      </c>
      <c r="AH90" s="4" t="str">
        <f>Table2[[#This Row],[field_fate2]]</f>
        <v>S</v>
      </c>
      <c r="AI90" s="4" t="str">
        <f>Table2[[#This Row],[field_fate8]]</f>
        <v>S</v>
      </c>
      <c r="AJ90" s="4" t="str">
        <f>Table2[[#This Row],[field_fate10]]</f>
        <v>S</v>
      </c>
      <c r="AK90" s="4" t="b">
        <f>Table2[[#This Row],[field_fate_feb]]=Table2[[#This Row],[field_fate10]]</f>
        <v>1</v>
      </c>
      <c r="AL90" s="43" t="s">
        <v>24</v>
      </c>
      <c r="AM90" s="43" t="b">
        <f>Table2[[#This Row],[cam_fate2]]="NA"</f>
        <v>1</v>
      </c>
      <c r="AN90" s="19" t="str">
        <f>Table2[[#This Row],[cam_fate1]]</f>
        <v>NA</v>
      </c>
      <c r="AO90" s="2" t="s">
        <v>25</v>
      </c>
      <c r="AP90" s="5" t="str">
        <f>Table2[[#This Row],[final_fate1]]</f>
        <v>S</v>
      </c>
      <c r="AQ90" s="6">
        <v>2</v>
      </c>
      <c r="AR90" s="7">
        <v>2</v>
      </c>
      <c r="AS90" s="7">
        <f>Table2[[#This Row],[final_obs_date]]-Table2[[#This Row],[init_date]]</f>
        <v>2</v>
      </c>
      <c r="AT90" s="7">
        <f>(Table2[[#This Row],[final_obs_date2]]-Table2[[#This Row],[estHD]])+16</f>
        <v>-1</v>
      </c>
      <c r="AU90" s="38">
        <v>4</v>
      </c>
      <c r="AV90" s="33">
        <v>4</v>
      </c>
      <c r="AW90" s="33">
        <f>Table2[[#This Row],[final_obs_date2]]-Table2[[#This Row],[pen_obs_date]]</f>
        <v>41</v>
      </c>
      <c r="AX90" s="67">
        <v>41</v>
      </c>
      <c r="AY90" s="6">
        <f>Table2[[#This Row],[final_obs_date]]</f>
        <v>41</v>
      </c>
      <c r="AZ90" s="6"/>
      <c r="BA90" s="91" t="s">
        <v>47</v>
      </c>
      <c r="BB90" s="6" t="b">
        <f>Table2[[#This Row],[final_obs_date]]&lt;(Table2[[#This Row],[estHD]]-2)</f>
        <v>1</v>
      </c>
      <c r="BC90" s="24">
        <f>IF(Table2[[#This Row],[field_fate]]="H",1,0)</f>
        <v>0</v>
      </c>
      <c r="BD90" s="16">
        <f>IF(Table2[[#This Row],[cam_fate2]]="H",1,0)</f>
        <v>0</v>
      </c>
      <c r="BE90" s="6" t="b">
        <f>NOT(Table2[[#This Row],[HF_C]]=Table2[[#This Row],[HF]])</f>
        <v>0</v>
      </c>
      <c r="BF90" s="6" t="b">
        <f>NOT(Table2[[#This Row],[cam_fate2]]=Table2[[#This Row],[field_fate3]])</f>
        <v>1</v>
      </c>
      <c r="BG90" s="6" t="b">
        <f>OR(Table2[[#This Row],[field_fate3]]="U",Table2[[#This Row],[field_fate3]]="U-H")</f>
        <v>0</v>
      </c>
      <c r="BH90" s="8">
        <v>37</v>
      </c>
      <c r="BI90" s="8">
        <v>37</v>
      </c>
      <c r="BJ90" s="14">
        <f>IF(ISTEXT(Table2[[#This Row],[j.cam]]),Table2[[#This Row],[j]],Table2[[#This Row],[j.cam]])</f>
        <v>37</v>
      </c>
      <c r="BK90" s="9">
        <v>41</v>
      </c>
      <c r="BL90" s="15">
        <f>IF(ISTEXT(Table2[[#This Row],[k.cam]]), Table2[[#This Row],[k]], Table2[[#This Row],[k.cam]])</f>
        <v>41</v>
      </c>
      <c r="BM90" s="4" t="s">
        <v>24</v>
      </c>
      <c r="BN90" s="8" t="s">
        <v>24</v>
      </c>
      <c r="BO90" s="4">
        <v>2</v>
      </c>
      <c r="BP90" s="4">
        <f>Table2[[#This Row],[final_obs_date]]-Table2[[#This Row],[i]]</f>
        <v>4</v>
      </c>
      <c r="BQ90" s="4" t="b">
        <f>Table2[[#This Row],[final_obs_date2]]&gt;Table2[[#This Row],[estHD]]+3</f>
        <v>0</v>
      </c>
      <c r="BR90" s="4" t="s">
        <v>58</v>
      </c>
      <c r="BS90" s="4" t="s">
        <v>45</v>
      </c>
      <c r="BT90" s="79" t="s">
        <v>1055</v>
      </c>
      <c r="BU90" s="26" t="s">
        <v>117</v>
      </c>
      <c r="BV90" s="79" t="s">
        <v>1429</v>
      </c>
      <c r="BW90" s="49"/>
      <c r="BX90" s="47"/>
      <c r="BY90" s="36" t="s">
        <v>535</v>
      </c>
    </row>
    <row r="91" spans="1:77" ht="15" hidden="1" thickBot="1" x14ac:dyDescent="0.4">
      <c r="A91" s="62">
        <v>10096</v>
      </c>
      <c r="B91" s="2" t="s">
        <v>111</v>
      </c>
      <c r="C91" s="44">
        <v>2019</v>
      </c>
      <c r="D91" s="3">
        <v>29.772379999999998</v>
      </c>
      <c r="E91" s="3">
        <v>-93.297139999999999</v>
      </c>
      <c r="F91" s="3">
        <v>0</v>
      </c>
      <c r="G91" s="3">
        <v>0</v>
      </c>
      <c r="H91" s="3" t="s">
        <v>26</v>
      </c>
      <c r="I91" s="43"/>
      <c r="J91" s="55">
        <v>58</v>
      </c>
      <c r="K91" s="4">
        <v>58</v>
      </c>
      <c r="L91" s="22">
        <f>IF(ISNUMBER(Table2[[#This Row],[estHD]]),ABS(Table2[[#This Row],[HD]]-Table2[[#This Row],[estHD]]),"NA")</f>
        <v>0</v>
      </c>
      <c r="M91" s="4" t="b">
        <f>Table2[[#This Row],[HD]]=Table2[[#This Row],[estHD]]</f>
        <v>1</v>
      </c>
      <c r="N91" s="4" t="str">
        <f>IF(ISNUMBER([1]!Table2[[#This Row],[hatch_date]]),[1]!Table2[[#This Row],[hatch_date]]-19,"NA")</f>
        <v>NA</v>
      </c>
      <c r="O91" s="31">
        <v>39</v>
      </c>
      <c r="P91" s="23">
        <f>IF(ISNUMBER(Table2[[#This Row],[nest_age1]]),ABS(Table2[[#This Row],[nest_age1]]-Table2[[#This Row],[nest_age_feb]]),"NA")</f>
        <v>0</v>
      </c>
      <c r="Q91" s="24">
        <f>IF(ISNUMBER(Table2[[#This Row],[final_obs_int2]]),ABS(Table2[[#This Row],[final_obs_int2]]-Table2[[#This Row],[final_obs_int_feb]]), "NA")</f>
        <v>0</v>
      </c>
      <c r="R91" s="24"/>
      <c r="S91" s="57" t="s">
        <v>88</v>
      </c>
      <c r="T91" s="57" t="str">
        <f>Table2[[#This Row],[camera_old]]</f>
        <v>N</v>
      </c>
      <c r="U91" s="24"/>
      <c r="V91" s="16" t="s">
        <v>24</v>
      </c>
      <c r="W91" s="16">
        <v>2</v>
      </c>
      <c r="X91" s="145">
        <v>4</v>
      </c>
      <c r="Y91" s="147" t="s">
        <v>25</v>
      </c>
      <c r="Z91" s="146" t="s">
        <v>25</v>
      </c>
      <c r="AA91" s="4" t="str">
        <f>Table2[[#This Row],[field_fate]]</f>
        <v>S</v>
      </c>
      <c r="AB91" s="4" t="str">
        <f>Table2[[#This Row],[field_fate2]]</f>
        <v>S</v>
      </c>
      <c r="AC91" s="4" t="str">
        <f>Table2[[#This Row],[field_fate3]]</f>
        <v>S</v>
      </c>
      <c r="AD91" s="4" t="str">
        <f>Table2[[#This Row],[field_fate4]]</f>
        <v>S</v>
      </c>
      <c r="AE91" s="4" t="str">
        <f>Table2[[#This Row],[field_fate5]]</f>
        <v>S</v>
      </c>
      <c r="AF91" s="4" t="str">
        <f>Table2[[#This Row],[field_fate5]]</f>
        <v>S</v>
      </c>
      <c r="AG91" s="4" t="str">
        <f>Table2[[#This Row],[field_fate5]]</f>
        <v>S</v>
      </c>
      <c r="AH91" s="4" t="str">
        <f>Table2[[#This Row],[field_fate2]]</f>
        <v>S</v>
      </c>
      <c r="AI91" s="4" t="str">
        <f>Table2[[#This Row],[field_fate8]]</f>
        <v>S</v>
      </c>
      <c r="AJ91" s="4" t="str">
        <f>Table2[[#This Row],[field_fate10]]</f>
        <v>S</v>
      </c>
      <c r="AK91" s="4" t="b">
        <f>Table2[[#This Row],[field_fate_feb]]=Table2[[#This Row],[field_fate10]]</f>
        <v>1</v>
      </c>
      <c r="AL91" s="43" t="s">
        <v>24</v>
      </c>
      <c r="AM91" s="43" t="b">
        <f>Table2[[#This Row],[cam_fate2]]="NA"</f>
        <v>1</v>
      </c>
      <c r="AN91" s="19" t="str">
        <f>Table2[[#This Row],[cam_fate1]]</f>
        <v>NA</v>
      </c>
      <c r="AO91" s="2" t="s">
        <v>25</v>
      </c>
      <c r="AP91" s="5" t="str">
        <f>Table2[[#This Row],[final_fate1]]</f>
        <v>S</v>
      </c>
      <c r="AQ91" s="6">
        <v>2</v>
      </c>
      <c r="AR91" s="7">
        <v>2</v>
      </c>
      <c r="AS91" s="7">
        <f>Table2[[#This Row],[final_obs_date]]-Table2[[#This Row],[init_date]]</f>
        <v>2</v>
      </c>
      <c r="AT91" s="7">
        <f>(Table2[[#This Row],[final_obs_date2]]-Table2[[#This Row],[estHD]])+16</f>
        <v>-1</v>
      </c>
      <c r="AU91" s="38">
        <v>4</v>
      </c>
      <c r="AV91" s="33">
        <v>4</v>
      </c>
      <c r="AW91" s="33">
        <f>Table2[[#This Row],[final_obs_date2]]-Table2[[#This Row],[pen_obs_date]]</f>
        <v>41</v>
      </c>
      <c r="AX91" s="67">
        <v>41</v>
      </c>
      <c r="AY91" s="6">
        <f>Table2[[#This Row],[final_obs_date]]</f>
        <v>41</v>
      </c>
      <c r="AZ91" s="6"/>
      <c r="BA91" s="91" t="s">
        <v>47</v>
      </c>
      <c r="BB91" s="6" t="b">
        <f>Table2[[#This Row],[final_obs_date]]&lt;(Table2[[#This Row],[estHD]]-2)</f>
        <v>1</v>
      </c>
      <c r="BC91" s="24">
        <f>IF(Table2[[#This Row],[field_fate]]="H",1,0)</f>
        <v>0</v>
      </c>
      <c r="BD91" s="16">
        <f>IF(Table2[[#This Row],[cam_fate2]]="H",1,0)</f>
        <v>0</v>
      </c>
      <c r="BE91" s="6" t="b">
        <f>NOT(Table2[[#This Row],[HF_C]]=Table2[[#This Row],[HF]])</f>
        <v>0</v>
      </c>
      <c r="BF91" s="6" t="b">
        <f>NOT(Table2[[#This Row],[cam_fate2]]=Table2[[#This Row],[field_fate3]])</f>
        <v>1</v>
      </c>
      <c r="BG91" s="6" t="b">
        <f>OR(Table2[[#This Row],[field_fate3]]="U",Table2[[#This Row],[field_fate3]]="U-H")</f>
        <v>0</v>
      </c>
      <c r="BH91" s="8">
        <v>37</v>
      </c>
      <c r="BI91" s="8">
        <v>37</v>
      </c>
      <c r="BJ91" s="14">
        <f>IF(ISTEXT(Table2[[#This Row],[j.cam]]),Table2[[#This Row],[j]],Table2[[#This Row],[j.cam]])</f>
        <v>37</v>
      </c>
      <c r="BK91" s="9">
        <v>41</v>
      </c>
      <c r="BL91" s="15">
        <f>IF(ISTEXT(Table2[[#This Row],[k.cam]]), Table2[[#This Row],[k]], Table2[[#This Row],[k.cam]])</f>
        <v>41</v>
      </c>
      <c r="BM91" s="4" t="s">
        <v>24</v>
      </c>
      <c r="BN91" s="8" t="s">
        <v>24</v>
      </c>
      <c r="BO91" s="4">
        <v>2</v>
      </c>
      <c r="BP91" s="4">
        <f>Table2[[#This Row],[final_obs_date]]-Table2[[#This Row],[i]]</f>
        <v>4</v>
      </c>
      <c r="BQ91" s="4" t="b">
        <f>Table2[[#This Row],[final_obs_date2]]&gt;Table2[[#This Row],[estHD]]+3</f>
        <v>0</v>
      </c>
      <c r="BR91" s="4" t="s">
        <v>58</v>
      </c>
      <c r="BS91" s="4" t="s">
        <v>45</v>
      </c>
      <c r="BT91" s="79" t="s">
        <v>1055</v>
      </c>
      <c r="BU91" s="26" t="s">
        <v>117</v>
      </c>
      <c r="BV91" s="79" t="s">
        <v>1429</v>
      </c>
      <c r="BW91" s="49"/>
      <c r="BX91" s="47"/>
      <c r="BY91" s="36" t="s">
        <v>535</v>
      </c>
    </row>
    <row r="92" spans="1:77" ht="15" hidden="1" thickBot="1" x14ac:dyDescent="0.4">
      <c r="A92" s="62">
        <v>10097</v>
      </c>
      <c r="B92" s="2" t="s">
        <v>111</v>
      </c>
      <c r="C92" s="44">
        <v>2019</v>
      </c>
      <c r="D92" s="3">
        <v>29.772480000000002</v>
      </c>
      <c r="E92" s="3">
        <v>-93.296260000000004</v>
      </c>
      <c r="F92" s="3">
        <v>0</v>
      </c>
      <c r="G92" s="3">
        <v>0</v>
      </c>
      <c r="H92" s="3" t="s">
        <v>26</v>
      </c>
      <c r="I92" s="43"/>
      <c r="J92" s="55">
        <v>58</v>
      </c>
      <c r="K92" s="4">
        <v>58</v>
      </c>
      <c r="L92" s="22">
        <f>IF(ISNUMBER(Table2[[#This Row],[estHD]]),ABS(Table2[[#This Row],[HD]]-Table2[[#This Row],[estHD]]),"NA")</f>
        <v>0</v>
      </c>
      <c r="M92" s="4" t="b">
        <f>Table2[[#This Row],[HD]]=Table2[[#This Row],[estHD]]</f>
        <v>1</v>
      </c>
      <c r="N92" s="4" t="str">
        <f>IF(ISNUMBER([1]!Table2[[#This Row],[hatch_date]]),[1]!Table2[[#This Row],[hatch_date]]-19,"NA")</f>
        <v>NA</v>
      </c>
      <c r="O92" s="31">
        <v>39</v>
      </c>
      <c r="P92" s="23">
        <f>IF(ISNUMBER(Table2[[#This Row],[nest_age1]]),ABS(Table2[[#This Row],[nest_age1]]-Table2[[#This Row],[nest_age_feb]]),"NA")</f>
        <v>0</v>
      </c>
      <c r="Q92" s="24">
        <f>IF(ISNUMBER(Table2[[#This Row],[final_obs_int2]]),ABS(Table2[[#This Row],[final_obs_int2]]-Table2[[#This Row],[final_obs_int_feb]]), "NA")</f>
        <v>0</v>
      </c>
      <c r="R92" s="24"/>
      <c r="S92" s="57" t="s">
        <v>88</v>
      </c>
      <c r="T92" s="57" t="str">
        <f>Table2[[#This Row],[camera_old]]</f>
        <v>N</v>
      </c>
      <c r="U92" s="24"/>
      <c r="V92" s="16" t="s">
        <v>24</v>
      </c>
      <c r="W92" s="16">
        <v>2</v>
      </c>
      <c r="X92" s="145">
        <v>4</v>
      </c>
      <c r="Y92" s="147" t="s">
        <v>25</v>
      </c>
      <c r="Z92" s="146" t="s">
        <v>25</v>
      </c>
      <c r="AA92" s="4" t="str">
        <f>Table2[[#This Row],[field_fate]]</f>
        <v>S</v>
      </c>
      <c r="AB92" s="4" t="str">
        <f>Table2[[#This Row],[field_fate2]]</f>
        <v>S</v>
      </c>
      <c r="AC92" s="4" t="str">
        <f>Table2[[#This Row],[field_fate3]]</f>
        <v>S</v>
      </c>
      <c r="AD92" s="4" t="str">
        <f>Table2[[#This Row],[field_fate4]]</f>
        <v>S</v>
      </c>
      <c r="AE92" s="4" t="str">
        <f>Table2[[#This Row],[field_fate5]]</f>
        <v>S</v>
      </c>
      <c r="AF92" s="4" t="str">
        <f>Table2[[#This Row],[field_fate5]]</f>
        <v>S</v>
      </c>
      <c r="AG92" s="4" t="str">
        <f>Table2[[#This Row],[field_fate5]]</f>
        <v>S</v>
      </c>
      <c r="AH92" s="4" t="str">
        <f>Table2[[#This Row],[field_fate2]]</f>
        <v>S</v>
      </c>
      <c r="AI92" s="4" t="str">
        <f>Table2[[#This Row],[field_fate8]]</f>
        <v>S</v>
      </c>
      <c r="AJ92" s="4" t="str">
        <f>Table2[[#This Row],[field_fate10]]</f>
        <v>S</v>
      </c>
      <c r="AK92" s="4" t="b">
        <f>Table2[[#This Row],[field_fate_feb]]=Table2[[#This Row],[field_fate10]]</f>
        <v>1</v>
      </c>
      <c r="AL92" s="43" t="s">
        <v>24</v>
      </c>
      <c r="AM92" s="43" t="b">
        <f>Table2[[#This Row],[cam_fate2]]="NA"</f>
        <v>1</v>
      </c>
      <c r="AN92" s="19" t="str">
        <f>Table2[[#This Row],[cam_fate1]]</f>
        <v>NA</v>
      </c>
      <c r="AO92" s="2" t="s">
        <v>25</v>
      </c>
      <c r="AP92" s="5" t="str">
        <f>Table2[[#This Row],[final_fate1]]</f>
        <v>S</v>
      </c>
      <c r="AQ92" s="6">
        <v>2</v>
      </c>
      <c r="AR92" s="7">
        <v>2</v>
      </c>
      <c r="AS92" s="7">
        <f>Table2[[#This Row],[final_obs_date]]-Table2[[#This Row],[init_date]]</f>
        <v>2</v>
      </c>
      <c r="AT92" s="7">
        <f>(Table2[[#This Row],[final_obs_date2]]-Table2[[#This Row],[estHD]])+16</f>
        <v>-1</v>
      </c>
      <c r="AU92" s="38">
        <v>4</v>
      </c>
      <c r="AV92" s="33">
        <v>4</v>
      </c>
      <c r="AW92" s="33">
        <f>Table2[[#This Row],[final_obs_date2]]-Table2[[#This Row],[pen_obs_date]]</f>
        <v>41</v>
      </c>
      <c r="AX92" s="67">
        <v>41</v>
      </c>
      <c r="AY92" s="6">
        <f>Table2[[#This Row],[final_obs_date]]</f>
        <v>41</v>
      </c>
      <c r="AZ92" s="6"/>
      <c r="BA92" s="91" t="s">
        <v>47</v>
      </c>
      <c r="BB92" s="6" t="b">
        <f>Table2[[#This Row],[final_obs_date]]&lt;(Table2[[#This Row],[estHD]]-2)</f>
        <v>1</v>
      </c>
      <c r="BC92" s="24">
        <f>IF(Table2[[#This Row],[field_fate]]="H",1,0)</f>
        <v>0</v>
      </c>
      <c r="BD92" s="16">
        <f>IF(Table2[[#This Row],[cam_fate2]]="H",1,0)</f>
        <v>0</v>
      </c>
      <c r="BE92" s="6" t="b">
        <f>NOT(Table2[[#This Row],[HF_C]]=Table2[[#This Row],[HF]])</f>
        <v>0</v>
      </c>
      <c r="BF92" s="6" t="b">
        <f>NOT(Table2[[#This Row],[cam_fate2]]=Table2[[#This Row],[field_fate3]])</f>
        <v>1</v>
      </c>
      <c r="BG92" s="6" t="b">
        <f>OR(Table2[[#This Row],[field_fate3]]="U",Table2[[#This Row],[field_fate3]]="U-H")</f>
        <v>0</v>
      </c>
      <c r="BH92" s="8">
        <v>37</v>
      </c>
      <c r="BI92" s="8">
        <v>37</v>
      </c>
      <c r="BJ92" s="14">
        <f>IF(ISTEXT(Table2[[#This Row],[j.cam]]),Table2[[#This Row],[j]],Table2[[#This Row],[j.cam]])</f>
        <v>37</v>
      </c>
      <c r="BK92" s="9">
        <v>41</v>
      </c>
      <c r="BL92" s="15">
        <f>IF(ISTEXT(Table2[[#This Row],[k.cam]]), Table2[[#This Row],[k]], Table2[[#This Row],[k.cam]])</f>
        <v>41</v>
      </c>
      <c r="BM92" s="4" t="s">
        <v>24</v>
      </c>
      <c r="BN92" s="8" t="s">
        <v>24</v>
      </c>
      <c r="BO92" s="4">
        <v>2</v>
      </c>
      <c r="BP92" s="4">
        <f>Table2[[#This Row],[final_obs_date]]-Table2[[#This Row],[i]]</f>
        <v>4</v>
      </c>
      <c r="BQ92" s="4" t="b">
        <f>Table2[[#This Row],[final_obs_date2]]&gt;Table2[[#This Row],[estHD]]+3</f>
        <v>0</v>
      </c>
      <c r="BR92" s="4" t="s">
        <v>58</v>
      </c>
      <c r="BS92" s="4" t="s">
        <v>45</v>
      </c>
      <c r="BT92" s="79" t="s">
        <v>1055</v>
      </c>
      <c r="BU92" s="26" t="s">
        <v>117</v>
      </c>
      <c r="BV92" s="79" t="s">
        <v>1429</v>
      </c>
      <c r="BW92" s="49"/>
      <c r="BX92" s="47"/>
      <c r="BY92" s="36" t="s">
        <v>535</v>
      </c>
    </row>
    <row r="93" spans="1:77" ht="15" hidden="1" thickBot="1" x14ac:dyDescent="0.4">
      <c r="A93" s="62">
        <v>10098</v>
      </c>
      <c r="B93" s="2" t="s">
        <v>111</v>
      </c>
      <c r="C93" s="44">
        <v>2019</v>
      </c>
      <c r="D93" s="3">
        <v>29.772639999999999</v>
      </c>
      <c r="E93" s="3">
        <v>-93.295749999999998</v>
      </c>
      <c r="F93" s="3">
        <v>0</v>
      </c>
      <c r="G93" s="3">
        <v>0</v>
      </c>
      <c r="H93" s="3" t="s">
        <v>26</v>
      </c>
      <c r="I93" s="43"/>
      <c r="J93" s="55">
        <v>58</v>
      </c>
      <c r="K93" s="4">
        <v>58</v>
      </c>
      <c r="L93" s="22">
        <f>IF(ISNUMBER(Table2[[#This Row],[estHD]]),ABS(Table2[[#This Row],[HD]]-Table2[[#This Row],[estHD]]),"NA")</f>
        <v>0</v>
      </c>
      <c r="M93" s="4" t="b">
        <f>Table2[[#This Row],[HD]]=Table2[[#This Row],[estHD]]</f>
        <v>1</v>
      </c>
      <c r="N93" s="4" t="str">
        <f>IF(ISNUMBER([1]!Table2[[#This Row],[hatch_date]]),[1]!Table2[[#This Row],[hatch_date]]-19,"NA")</f>
        <v>NA</v>
      </c>
      <c r="O93" s="31">
        <v>39</v>
      </c>
      <c r="P93" s="23">
        <f>IF(ISNUMBER(Table2[[#This Row],[nest_age1]]),ABS(Table2[[#This Row],[nest_age1]]-Table2[[#This Row],[nest_age_feb]]),"NA")</f>
        <v>0</v>
      </c>
      <c r="Q93" s="24">
        <f>IF(ISNUMBER(Table2[[#This Row],[final_obs_int2]]),ABS(Table2[[#This Row],[final_obs_int2]]-Table2[[#This Row],[final_obs_int_feb]]), "NA")</f>
        <v>0</v>
      </c>
      <c r="R93" s="24"/>
      <c r="S93" s="57" t="s">
        <v>88</v>
      </c>
      <c r="T93" s="57" t="str">
        <f>Table2[[#This Row],[camera_old]]</f>
        <v>N</v>
      </c>
      <c r="U93" s="24"/>
      <c r="V93" s="16" t="s">
        <v>24</v>
      </c>
      <c r="W93" s="16">
        <v>2</v>
      </c>
      <c r="X93" s="145">
        <v>4</v>
      </c>
      <c r="Y93" s="147" t="s">
        <v>25</v>
      </c>
      <c r="Z93" s="146" t="s">
        <v>25</v>
      </c>
      <c r="AA93" s="4" t="str">
        <f>Table2[[#This Row],[field_fate]]</f>
        <v>S</v>
      </c>
      <c r="AB93" s="4" t="str">
        <f>Table2[[#This Row],[field_fate2]]</f>
        <v>S</v>
      </c>
      <c r="AC93" s="4" t="str">
        <f>Table2[[#This Row],[field_fate3]]</f>
        <v>S</v>
      </c>
      <c r="AD93" s="4" t="str">
        <f>Table2[[#This Row],[field_fate4]]</f>
        <v>S</v>
      </c>
      <c r="AE93" s="4" t="str">
        <f>Table2[[#This Row],[field_fate5]]</f>
        <v>S</v>
      </c>
      <c r="AF93" s="4" t="str">
        <f>Table2[[#This Row],[field_fate5]]</f>
        <v>S</v>
      </c>
      <c r="AG93" s="4" t="str">
        <f>Table2[[#This Row],[field_fate5]]</f>
        <v>S</v>
      </c>
      <c r="AH93" s="4" t="str">
        <f>Table2[[#This Row],[field_fate2]]</f>
        <v>S</v>
      </c>
      <c r="AI93" s="4" t="str">
        <f>Table2[[#This Row],[field_fate8]]</f>
        <v>S</v>
      </c>
      <c r="AJ93" s="4" t="str">
        <f>Table2[[#This Row],[field_fate10]]</f>
        <v>S</v>
      </c>
      <c r="AK93" s="4" t="b">
        <f>Table2[[#This Row],[field_fate_feb]]=Table2[[#This Row],[field_fate10]]</f>
        <v>1</v>
      </c>
      <c r="AL93" s="43" t="s">
        <v>24</v>
      </c>
      <c r="AM93" s="43" t="b">
        <f>Table2[[#This Row],[cam_fate2]]="NA"</f>
        <v>1</v>
      </c>
      <c r="AN93" s="19" t="str">
        <f>Table2[[#This Row],[cam_fate1]]</f>
        <v>NA</v>
      </c>
      <c r="AO93" s="2" t="s">
        <v>25</v>
      </c>
      <c r="AP93" s="5" t="str">
        <f>Table2[[#This Row],[final_fate1]]</f>
        <v>S</v>
      </c>
      <c r="AQ93" s="6">
        <v>2</v>
      </c>
      <c r="AR93" s="7">
        <v>2</v>
      </c>
      <c r="AS93" s="7">
        <f>Table2[[#This Row],[final_obs_date]]-Table2[[#This Row],[init_date]]</f>
        <v>2</v>
      </c>
      <c r="AT93" s="7">
        <f>(Table2[[#This Row],[final_obs_date2]]-Table2[[#This Row],[estHD]])+16</f>
        <v>-1</v>
      </c>
      <c r="AU93" s="38">
        <v>4</v>
      </c>
      <c r="AV93" s="33">
        <v>4</v>
      </c>
      <c r="AW93" s="33">
        <f>Table2[[#This Row],[final_obs_date2]]-Table2[[#This Row],[pen_obs_date]]</f>
        <v>41</v>
      </c>
      <c r="AX93" s="67">
        <v>41</v>
      </c>
      <c r="AY93" s="6">
        <f>Table2[[#This Row],[final_obs_date]]</f>
        <v>41</v>
      </c>
      <c r="AZ93" s="6"/>
      <c r="BA93" s="91" t="s">
        <v>47</v>
      </c>
      <c r="BB93" s="6" t="b">
        <f>Table2[[#This Row],[final_obs_date]]&lt;(Table2[[#This Row],[estHD]]-2)</f>
        <v>1</v>
      </c>
      <c r="BC93" s="24">
        <f>IF(Table2[[#This Row],[field_fate]]="H",1,0)</f>
        <v>0</v>
      </c>
      <c r="BD93" s="16">
        <f>IF(Table2[[#This Row],[cam_fate2]]="H",1,0)</f>
        <v>0</v>
      </c>
      <c r="BE93" s="6" t="b">
        <f>NOT(Table2[[#This Row],[HF_C]]=Table2[[#This Row],[HF]])</f>
        <v>0</v>
      </c>
      <c r="BF93" s="6" t="b">
        <f>NOT(Table2[[#This Row],[cam_fate2]]=Table2[[#This Row],[field_fate3]])</f>
        <v>1</v>
      </c>
      <c r="BG93" s="6" t="b">
        <f>OR(Table2[[#This Row],[field_fate3]]="U",Table2[[#This Row],[field_fate3]]="U-H")</f>
        <v>0</v>
      </c>
      <c r="BH93" s="8">
        <v>37</v>
      </c>
      <c r="BI93" s="8">
        <v>37</v>
      </c>
      <c r="BJ93" s="14">
        <f>IF(ISTEXT(Table2[[#This Row],[j.cam]]),Table2[[#This Row],[j]],Table2[[#This Row],[j.cam]])</f>
        <v>37</v>
      </c>
      <c r="BK93" s="9">
        <v>41</v>
      </c>
      <c r="BL93" s="15">
        <f>IF(ISTEXT(Table2[[#This Row],[k.cam]]), Table2[[#This Row],[k]], Table2[[#This Row],[k.cam]])</f>
        <v>41</v>
      </c>
      <c r="BM93" s="4" t="s">
        <v>24</v>
      </c>
      <c r="BN93" s="8" t="s">
        <v>24</v>
      </c>
      <c r="BO93" s="4">
        <v>2</v>
      </c>
      <c r="BP93" s="4">
        <f>Table2[[#This Row],[final_obs_date]]-Table2[[#This Row],[i]]</f>
        <v>4</v>
      </c>
      <c r="BQ93" s="4" t="b">
        <f>Table2[[#This Row],[final_obs_date2]]&gt;Table2[[#This Row],[estHD]]+3</f>
        <v>0</v>
      </c>
      <c r="BR93" s="4" t="s">
        <v>58</v>
      </c>
      <c r="BS93" s="4" t="s">
        <v>45</v>
      </c>
      <c r="BT93" s="79" t="s">
        <v>1055</v>
      </c>
      <c r="BU93" s="26" t="s">
        <v>117</v>
      </c>
      <c r="BV93" s="79" t="s">
        <v>1429</v>
      </c>
      <c r="BW93" s="49"/>
      <c r="BX93" s="47"/>
      <c r="BY93" s="36" t="s">
        <v>535</v>
      </c>
    </row>
    <row r="94" spans="1:77" ht="15" hidden="1" thickBot="1" x14ac:dyDescent="0.4">
      <c r="A94" s="62">
        <v>10099</v>
      </c>
      <c r="B94" s="2" t="s">
        <v>111</v>
      </c>
      <c r="C94" s="44">
        <v>2019</v>
      </c>
      <c r="D94" s="3">
        <v>29.77261</v>
      </c>
      <c r="E94" s="3">
        <v>-93.295630000000003</v>
      </c>
      <c r="F94" s="3">
        <v>0</v>
      </c>
      <c r="G94" s="3">
        <v>0</v>
      </c>
      <c r="H94" s="3" t="s">
        <v>26</v>
      </c>
      <c r="I94" s="43"/>
      <c r="J94" s="55">
        <v>55</v>
      </c>
      <c r="K94" s="4">
        <v>55</v>
      </c>
      <c r="L94" s="22">
        <f>IF(ISNUMBER(Table2[[#This Row],[estHD]]),ABS(Table2[[#This Row],[HD]]-Table2[[#This Row],[estHD]]),"NA")</f>
        <v>0</v>
      </c>
      <c r="M94" s="4" t="b">
        <f>Table2[[#This Row],[HD]]=Table2[[#This Row],[estHD]]</f>
        <v>1</v>
      </c>
      <c r="N94" s="4" t="str">
        <f>IF(ISNUMBER([1]!Table2[[#This Row],[hatch_date]]),[1]!Table2[[#This Row],[hatch_date]]-19,"NA")</f>
        <v>NA</v>
      </c>
      <c r="O94" s="31">
        <v>36</v>
      </c>
      <c r="P94" s="23">
        <f>IF(ISNUMBER(Table2[[#This Row],[nest_age1]]),ABS(Table2[[#This Row],[nest_age1]]-Table2[[#This Row],[nest_age_feb]]),"NA")</f>
        <v>0</v>
      </c>
      <c r="Q94" s="24">
        <f>IF(ISNUMBER(Table2[[#This Row],[final_obs_int2]]),ABS(Table2[[#This Row],[final_obs_int2]]-Table2[[#This Row],[final_obs_int_feb]]), "NA")</f>
        <v>0</v>
      </c>
      <c r="R94" s="24"/>
      <c r="S94" s="57" t="s">
        <v>88</v>
      </c>
      <c r="T94" s="57" t="str">
        <f>Table2[[#This Row],[camera_old]]</f>
        <v>N</v>
      </c>
      <c r="U94" s="24"/>
      <c r="V94" s="16" t="s">
        <v>24</v>
      </c>
      <c r="W94" s="16">
        <v>5</v>
      </c>
      <c r="X94" s="145">
        <v>4</v>
      </c>
      <c r="Y94" s="147" t="s">
        <v>25</v>
      </c>
      <c r="Z94" s="146" t="s">
        <v>25</v>
      </c>
      <c r="AA94" s="4" t="str">
        <f>Table2[[#This Row],[field_fate]]</f>
        <v>S</v>
      </c>
      <c r="AB94" s="4" t="str">
        <f>Table2[[#This Row],[field_fate2]]</f>
        <v>S</v>
      </c>
      <c r="AC94" s="4" t="str">
        <f>Table2[[#This Row],[field_fate3]]</f>
        <v>S</v>
      </c>
      <c r="AD94" s="4" t="str">
        <f>Table2[[#This Row],[field_fate4]]</f>
        <v>S</v>
      </c>
      <c r="AE94" s="4" t="str">
        <f>Table2[[#This Row],[field_fate5]]</f>
        <v>S</v>
      </c>
      <c r="AF94" s="4" t="str">
        <f>Table2[[#This Row],[field_fate5]]</f>
        <v>S</v>
      </c>
      <c r="AG94" s="4" t="str">
        <f>Table2[[#This Row],[field_fate5]]</f>
        <v>S</v>
      </c>
      <c r="AH94" s="4" t="str">
        <f>Table2[[#This Row],[field_fate2]]</f>
        <v>S</v>
      </c>
      <c r="AI94" s="4" t="str">
        <f>Table2[[#This Row],[field_fate8]]</f>
        <v>S</v>
      </c>
      <c r="AJ94" s="4" t="str">
        <f>Table2[[#This Row],[field_fate10]]</f>
        <v>S</v>
      </c>
      <c r="AK94" s="4" t="b">
        <f>Table2[[#This Row],[field_fate_feb]]=Table2[[#This Row],[field_fate10]]</f>
        <v>1</v>
      </c>
      <c r="AL94" s="43" t="s">
        <v>24</v>
      </c>
      <c r="AM94" s="43" t="b">
        <f>Table2[[#This Row],[cam_fate2]]="NA"</f>
        <v>1</v>
      </c>
      <c r="AN94" s="19" t="str">
        <f>Table2[[#This Row],[cam_fate1]]</f>
        <v>NA</v>
      </c>
      <c r="AO94" s="2" t="s">
        <v>25</v>
      </c>
      <c r="AP94" s="5" t="str">
        <f>Table2[[#This Row],[final_fate1]]</f>
        <v>S</v>
      </c>
      <c r="AQ94" s="6">
        <v>5</v>
      </c>
      <c r="AR94" s="7">
        <v>5</v>
      </c>
      <c r="AS94" s="7">
        <f>Table2[[#This Row],[final_obs_date]]-Table2[[#This Row],[init_date]]</f>
        <v>5</v>
      </c>
      <c r="AT94" s="7">
        <f>(Table2[[#This Row],[final_obs_date2]]-Table2[[#This Row],[estHD]])+16</f>
        <v>2</v>
      </c>
      <c r="AU94" s="38">
        <v>4</v>
      </c>
      <c r="AV94" s="33">
        <v>4</v>
      </c>
      <c r="AW94" s="33">
        <f>Table2[[#This Row],[final_obs_date2]]-Table2[[#This Row],[pen_obs_date]]</f>
        <v>41</v>
      </c>
      <c r="AX94" s="67">
        <v>41</v>
      </c>
      <c r="AY94" s="6">
        <f>Table2[[#This Row],[final_obs_date]]</f>
        <v>41</v>
      </c>
      <c r="AZ94" s="6"/>
      <c r="BA94" s="91" t="s">
        <v>47</v>
      </c>
      <c r="BB94" s="6" t="b">
        <f>Table2[[#This Row],[final_obs_date]]&lt;(Table2[[#This Row],[estHD]]-2)</f>
        <v>1</v>
      </c>
      <c r="BC94" s="24">
        <f>IF(Table2[[#This Row],[field_fate]]="H",1,0)</f>
        <v>0</v>
      </c>
      <c r="BD94" s="16">
        <f>IF(Table2[[#This Row],[cam_fate2]]="H",1,0)</f>
        <v>0</v>
      </c>
      <c r="BE94" s="6" t="b">
        <f>NOT(Table2[[#This Row],[HF_C]]=Table2[[#This Row],[HF]])</f>
        <v>0</v>
      </c>
      <c r="BF94" s="6" t="b">
        <f>NOT(Table2[[#This Row],[cam_fate2]]=Table2[[#This Row],[field_fate3]])</f>
        <v>1</v>
      </c>
      <c r="BG94" s="6" t="b">
        <f>OR(Table2[[#This Row],[field_fate3]]="U",Table2[[#This Row],[field_fate3]]="U-H")</f>
        <v>0</v>
      </c>
      <c r="BH94" s="8">
        <v>37</v>
      </c>
      <c r="BI94" s="8">
        <v>37</v>
      </c>
      <c r="BJ94" s="14">
        <f>IF(ISTEXT(Table2[[#This Row],[j.cam]]),Table2[[#This Row],[j]],Table2[[#This Row],[j.cam]])</f>
        <v>37</v>
      </c>
      <c r="BK94" s="9">
        <v>41</v>
      </c>
      <c r="BL94" s="15">
        <f>IF(ISTEXT(Table2[[#This Row],[k.cam]]), Table2[[#This Row],[k]], Table2[[#This Row],[k.cam]])</f>
        <v>41</v>
      </c>
      <c r="BM94" s="4" t="s">
        <v>24</v>
      </c>
      <c r="BN94" s="8" t="s">
        <v>24</v>
      </c>
      <c r="BO94" s="4">
        <v>2</v>
      </c>
      <c r="BP94" s="4">
        <f>Table2[[#This Row],[final_obs_date]]-Table2[[#This Row],[i]]</f>
        <v>4</v>
      </c>
      <c r="BQ94" s="4" t="b">
        <f>Table2[[#This Row],[final_obs_date2]]&gt;Table2[[#This Row],[estHD]]+3</f>
        <v>0</v>
      </c>
      <c r="BR94" s="4" t="s">
        <v>58</v>
      </c>
      <c r="BS94" s="4" t="s">
        <v>45</v>
      </c>
      <c r="BT94" s="79" t="s">
        <v>1055</v>
      </c>
      <c r="BU94" s="26" t="s">
        <v>117</v>
      </c>
      <c r="BV94" s="79" t="s">
        <v>1429</v>
      </c>
      <c r="BW94" s="49"/>
      <c r="BX94" s="47"/>
      <c r="BY94" s="36" t="s">
        <v>535</v>
      </c>
    </row>
    <row r="95" spans="1:77" ht="15" hidden="1" thickBot="1" x14ac:dyDescent="0.4">
      <c r="A95" s="62">
        <v>10100</v>
      </c>
      <c r="B95" s="2" t="s">
        <v>111</v>
      </c>
      <c r="C95" s="44">
        <v>2019</v>
      </c>
      <c r="D95" s="3">
        <v>29.77262</v>
      </c>
      <c r="E95" s="3">
        <v>-93.295580000000001</v>
      </c>
      <c r="F95" s="3">
        <v>0</v>
      </c>
      <c r="G95" s="3">
        <v>0</v>
      </c>
      <c r="H95" s="3" t="s">
        <v>26</v>
      </c>
      <c r="I95" s="43"/>
      <c r="J95" s="55">
        <v>58</v>
      </c>
      <c r="K95" s="4">
        <v>58</v>
      </c>
      <c r="L95" s="22">
        <f>IF(ISNUMBER(Table2[[#This Row],[estHD]]),ABS(Table2[[#This Row],[HD]]-Table2[[#This Row],[estHD]]),"NA")</f>
        <v>0</v>
      </c>
      <c r="M95" s="4" t="b">
        <f>Table2[[#This Row],[HD]]=Table2[[#This Row],[estHD]]</f>
        <v>1</v>
      </c>
      <c r="N95" s="4" t="str">
        <f>IF(ISNUMBER([1]!Table2[[#This Row],[hatch_date]]),[1]!Table2[[#This Row],[hatch_date]]-19,"NA")</f>
        <v>NA</v>
      </c>
      <c r="O95" s="31">
        <v>39</v>
      </c>
      <c r="P95" s="23">
        <f>IF(ISNUMBER(Table2[[#This Row],[nest_age1]]),ABS(Table2[[#This Row],[nest_age1]]-Table2[[#This Row],[nest_age_feb]]),"NA")</f>
        <v>0</v>
      </c>
      <c r="Q95" s="24">
        <f>IF(ISNUMBER(Table2[[#This Row],[final_obs_int2]]),ABS(Table2[[#This Row],[final_obs_int2]]-Table2[[#This Row],[final_obs_int_feb]]), "NA")</f>
        <v>0</v>
      </c>
      <c r="R95" s="24"/>
      <c r="S95" s="57" t="s">
        <v>88</v>
      </c>
      <c r="T95" s="57" t="str">
        <f>Table2[[#This Row],[camera_old]]</f>
        <v>N</v>
      </c>
      <c r="U95" s="24"/>
      <c r="V95" s="16" t="s">
        <v>24</v>
      </c>
      <c r="W95" s="16">
        <v>2</v>
      </c>
      <c r="X95" s="145">
        <v>4</v>
      </c>
      <c r="Y95" s="147" t="s">
        <v>25</v>
      </c>
      <c r="Z95" s="146" t="s">
        <v>25</v>
      </c>
      <c r="AA95" s="4" t="str">
        <f>Table2[[#This Row],[field_fate]]</f>
        <v>S</v>
      </c>
      <c r="AB95" s="4" t="str">
        <f>Table2[[#This Row],[field_fate2]]</f>
        <v>S</v>
      </c>
      <c r="AC95" s="4" t="str">
        <f>Table2[[#This Row],[field_fate3]]</f>
        <v>S</v>
      </c>
      <c r="AD95" s="4" t="str">
        <f>Table2[[#This Row],[field_fate4]]</f>
        <v>S</v>
      </c>
      <c r="AE95" s="4" t="str">
        <f>Table2[[#This Row],[field_fate5]]</f>
        <v>S</v>
      </c>
      <c r="AF95" s="4" t="str">
        <f>Table2[[#This Row],[field_fate5]]</f>
        <v>S</v>
      </c>
      <c r="AG95" s="4" t="str">
        <f>Table2[[#This Row],[field_fate5]]</f>
        <v>S</v>
      </c>
      <c r="AH95" s="4" t="str">
        <f>Table2[[#This Row],[field_fate2]]</f>
        <v>S</v>
      </c>
      <c r="AI95" s="4" t="str">
        <f>Table2[[#This Row],[field_fate8]]</f>
        <v>S</v>
      </c>
      <c r="AJ95" s="4" t="str">
        <f>Table2[[#This Row],[field_fate10]]</f>
        <v>S</v>
      </c>
      <c r="AK95" s="4" t="b">
        <f>Table2[[#This Row],[field_fate_feb]]=Table2[[#This Row],[field_fate10]]</f>
        <v>1</v>
      </c>
      <c r="AL95" s="43" t="s">
        <v>24</v>
      </c>
      <c r="AM95" s="43" t="b">
        <f>Table2[[#This Row],[cam_fate2]]="NA"</f>
        <v>1</v>
      </c>
      <c r="AN95" s="19" t="str">
        <f>Table2[[#This Row],[cam_fate1]]</f>
        <v>NA</v>
      </c>
      <c r="AO95" s="2" t="s">
        <v>25</v>
      </c>
      <c r="AP95" s="5" t="str">
        <f>Table2[[#This Row],[final_fate1]]</f>
        <v>S</v>
      </c>
      <c r="AQ95" s="6">
        <v>2</v>
      </c>
      <c r="AR95" s="7">
        <v>2</v>
      </c>
      <c r="AS95" s="7">
        <f>Table2[[#This Row],[final_obs_date]]-Table2[[#This Row],[init_date]]</f>
        <v>2</v>
      </c>
      <c r="AT95" s="7">
        <f>(Table2[[#This Row],[final_obs_date2]]-Table2[[#This Row],[estHD]])+16</f>
        <v>-1</v>
      </c>
      <c r="AU95" s="38">
        <v>4</v>
      </c>
      <c r="AV95" s="33">
        <v>4</v>
      </c>
      <c r="AW95" s="33">
        <f>Table2[[#This Row],[final_obs_date2]]-Table2[[#This Row],[pen_obs_date]]</f>
        <v>41</v>
      </c>
      <c r="AX95" s="67">
        <v>41</v>
      </c>
      <c r="AY95" s="6">
        <f>Table2[[#This Row],[final_obs_date]]</f>
        <v>41</v>
      </c>
      <c r="AZ95" s="6"/>
      <c r="BA95" s="91" t="s">
        <v>47</v>
      </c>
      <c r="BB95" s="6" t="b">
        <f>Table2[[#This Row],[final_obs_date]]&lt;(Table2[[#This Row],[estHD]]-2)</f>
        <v>1</v>
      </c>
      <c r="BC95" s="24">
        <f>IF(Table2[[#This Row],[field_fate]]="H",1,0)</f>
        <v>0</v>
      </c>
      <c r="BD95" s="16">
        <f>IF(Table2[[#This Row],[cam_fate2]]="H",1,0)</f>
        <v>0</v>
      </c>
      <c r="BE95" s="6" t="b">
        <f>NOT(Table2[[#This Row],[HF_C]]=Table2[[#This Row],[HF]])</f>
        <v>0</v>
      </c>
      <c r="BF95" s="6" t="b">
        <f>NOT(Table2[[#This Row],[cam_fate2]]=Table2[[#This Row],[field_fate3]])</f>
        <v>1</v>
      </c>
      <c r="BG95" s="6" t="b">
        <f>OR(Table2[[#This Row],[field_fate3]]="U",Table2[[#This Row],[field_fate3]]="U-H")</f>
        <v>0</v>
      </c>
      <c r="BH95" s="8">
        <v>37</v>
      </c>
      <c r="BI95" s="8">
        <v>37</v>
      </c>
      <c r="BJ95" s="14">
        <f>IF(ISTEXT(Table2[[#This Row],[j.cam]]),Table2[[#This Row],[j]],Table2[[#This Row],[j.cam]])</f>
        <v>37</v>
      </c>
      <c r="BK95" s="9">
        <v>41</v>
      </c>
      <c r="BL95" s="15">
        <f>IF(ISTEXT(Table2[[#This Row],[k.cam]]), Table2[[#This Row],[k]], Table2[[#This Row],[k.cam]])</f>
        <v>41</v>
      </c>
      <c r="BM95" s="4" t="s">
        <v>24</v>
      </c>
      <c r="BN95" s="8" t="s">
        <v>24</v>
      </c>
      <c r="BO95" s="4">
        <v>2</v>
      </c>
      <c r="BP95" s="4">
        <f>Table2[[#This Row],[final_obs_date]]-Table2[[#This Row],[i]]</f>
        <v>4</v>
      </c>
      <c r="BQ95" s="4" t="b">
        <f>Table2[[#This Row],[final_obs_date2]]&gt;Table2[[#This Row],[estHD]]+3</f>
        <v>0</v>
      </c>
      <c r="BR95" s="4" t="s">
        <v>33</v>
      </c>
      <c r="BS95" s="4" t="s">
        <v>45</v>
      </c>
      <c r="BT95" s="79" t="s">
        <v>1055</v>
      </c>
      <c r="BU95" s="26" t="s">
        <v>87</v>
      </c>
      <c r="BV95" s="79" t="s">
        <v>1429</v>
      </c>
      <c r="BW95" s="49"/>
      <c r="BX95" s="47"/>
      <c r="BY95" s="36" t="s">
        <v>535</v>
      </c>
    </row>
    <row r="96" spans="1:77" ht="15" hidden="1" thickBot="1" x14ac:dyDescent="0.4">
      <c r="A96" s="62">
        <v>10102</v>
      </c>
      <c r="B96" s="2" t="s">
        <v>35</v>
      </c>
      <c r="C96" s="44">
        <v>2019</v>
      </c>
      <c r="D96" s="3">
        <v>29.767859999999999</v>
      </c>
      <c r="E96" s="3">
        <v>-93.165260000000004</v>
      </c>
      <c r="F96" s="3">
        <v>5</v>
      </c>
      <c r="G96" s="3">
        <v>10</v>
      </c>
      <c r="H96" s="3" t="s">
        <v>26</v>
      </c>
      <c r="I96" s="43"/>
      <c r="J96" s="55">
        <v>60</v>
      </c>
      <c r="K96" s="4">
        <v>60</v>
      </c>
      <c r="L96" s="22">
        <f>IF(ISNUMBER(Table2[[#This Row],[estHD]]),ABS(Table2[[#This Row],[HD]]-Table2[[#This Row],[estHD]]),"NA")</f>
        <v>0</v>
      </c>
      <c r="M96" s="4" t="b">
        <f>Table2[[#This Row],[HD]]=Table2[[#This Row],[estHD]]</f>
        <v>1</v>
      </c>
      <c r="N96" s="4" t="str">
        <f>IF(ISNUMBER([1]!Table2[[#This Row],[hatch_date]]),[1]!Table2[[#This Row],[hatch_date]]-19,"NA")</f>
        <v>NA</v>
      </c>
      <c r="O96" s="31">
        <v>41</v>
      </c>
      <c r="P96" s="23">
        <f>IF(ISNUMBER(Table2[[#This Row],[nest_age1]]),ABS(Table2[[#This Row],[nest_age1]]-Table2[[#This Row],[nest_age_feb]]),"NA")</f>
        <v>0</v>
      </c>
      <c r="Q96" s="24">
        <f>IF(ISNUMBER(Table2[[#This Row],[final_obs_int2]]),ABS(Table2[[#This Row],[final_obs_int2]]-Table2[[#This Row],[final_obs_int_feb]]), "NA")</f>
        <v>0</v>
      </c>
      <c r="R96" s="24"/>
      <c r="S96" s="57" t="s">
        <v>88</v>
      </c>
      <c r="T96" s="57" t="str">
        <f>Table2[[#This Row],[camera_old]]</f>
        <v>N</v>
      </c>
      <c r="U96" s="24"/>
      <c r="V96" s="16" t="s">
        <v>24</v>
      </c>
      <c r="W96" s="16">
        <v>12</v>
      </c>
      <c r="X96" s="145">
        <v>4</v>
      </c>
      <c r="Y96" s="147" t="s">
        <v>31</v>
      </c>
      <c r="Z96" s="146" t="s">
        <v>31</v>
      </c>
      <c r="AA96" s="4" t="str">
        <f>Table2[[#This Row],[field_fate]]</f>
        <v>D</v>
      </c>
      <c r="AB96" s="4" t="str">
        <f>Table2[[#This Row],[field_fate2]]</f>
        <v>D</v>
      </c>
      <c r="AC96" s="4" t="str">
        <f>Table2[[#This Row],[field_fate3]]</f>
        <v>D</v>
      </c>
      <c r="AD96" s="4" t="str">
        <f>Table2[[#This Row],[field_fate4]]</f>
        <v>D</v>
      </c>
      <c r="AE96" s="4" t="str">
        <f>Table2[[#This Row],[field_fate5]]</f>
        <v>D</v>
      </c>
      <c r="AF96" s="4" t="str">
        <f>Table2[[#This Row],[field_fate5]]</f>
        <v>D</v>
      </c>
      <c r="AG96" s="4" t="str">
        <f>Table2[[#This Row],[field_fate5]]</f>
        <v>D</v>
      </c>
      <c r="AH96" s="4" t="str">
        <f>Table2[[#This Row],[field_fate2]]</f>
        <v>D</v>
      </c>
      <c r="AI96" s="4" t="str">
        <f>Table2[[#This Row],[field_fate8]]</f>
        <v>D</v>
      </c>
      <c r="AJ96" s="4" t="str">
        <f>Table2[[#This Row],[field_fate10]]</f>
        <v>D</v>
      </c>
      <c r="AK96" s="4" t="b">
        <f>Table2[[#This Row],[field_fate_feb]]=Table2[[#This Row],[field_fate10]]</f>
        <v>1</v>
      </c>
      <c r="AL96" s="43" t="s">
        <v>24</v>
      </c>
      <c r="AM96" s="43" t="b">
        <f>Table2[[#This Row],[cam_fate2]]="NA"</f>
        <v>1</v>
      </c>
      <c r="AN96" s="19" t="str">
        <f>Table2[[#This Row],[cam_fate1]]</f>
        <v>NA</v>
      </c>
      <c r="AO96" s="2" t="s">
        <v>31</v>
      </c>
      <c r="AP96" s="5" t="str">
        <f>Table2[[#This Row],[final_fate1]]</f>
        <v>D</v>
      </c>
      <c r="AQ96" s="6">
        <v>12</v>
      </c>
      <c r="AR96" s="7">
        <v>12</v>
      </c>
      <c r="AS96" s="7">
        <f>Table2[[#This Row],[final_obs_date]]-Table2[[#This Row],[init_date]]</f>
        <v>12</v>
      </c>
      <c r="AT96" s="7">
        <f>(Table2[[#This Row],[final_obs_date2]]-Table2[[#This Row],[estHD]])+16</f>
        <v>9</v>
      </c>
      <c r="AU96" s="38">
        <v>4</v>
      </c>
      <c r="AV96" s="33">
        <v>4</v>
      </c>
      <c r="AW96" s="33">
        <f>Table2[[#This Row],[final_obs_date2]]-Table2[[#This Row],[pen_obs_date]]</f>
        <v>53</v>
      </c>
      <c r="AX96" s="67">
        <v>53</v>
      </c>
      <c r="AY96" s="6">
        <f>Table2[[#This Row],[final_obs_date]]</f>
        <v>53</v>
      </c>
      <c r="AZ96" s="6"/>
      <c r="BA96" s="91" t="s">
        <v>47</v>
      </c>
      <c r="BB96" s="6" t="b">
        <f>Table2[[#This Row],[final_obs_date]]&lt;(Table2[[#This Row],[estHD]]-2)</f>
        <v>1</v>
      </c>
      <c r="BC96" s="24">
        <f>IF(Table2[[#This Row],[field_fate]]="H",1,0)</f>
        <v>0</v>
      </c>
      <c r="BD96" s="16">
        <f>IF(Table2[[#This Row],[cam_fate2]]="H",1,0)</f>
        <v>0</v>
      </c>
      <c r="BE96" s="6" t="b">
        <f>NOT(Table2[[#This Row],[HF_C]]=Table2[[#This Row],[HF]])</f>
        <v>0</v>
      </c>
      <c r="BF96" s="6" t="b">
        <f>NOT(Table2[[#This Row],[cam_fate2]]=Table2[[#This Row],[field_fate3]])</f>
        <v>1</v>
      </c>
      <c r="BG96" s="6" t="b">
        <f>OR(Table2[[#This Row],[field_fate3]]="U",Table2[[#This Row],[field_fate3]]="U-H")</f>
        <v>0</v>
      </c>
      <c r="BH96" s="8">
        <v>44</v>
      </c>
      <c r="BI96" s="8">
        <v>49</v>
      </c>
      <c r="BJ96" s="14">
        <f>IF(ISTEXT(Table2[[#This Row],[j.cam]]),Table2[[#This Row],[j]],Table2[[#This Row],[j.cam]])</f>
        <v>49</v>
      </c>
      <c r="BK96" s="9">
        <v>53</v>
      </c>
      <c r="BL96" s="15">
        <f>IF(ISTEXT(Table2[[#This Row],[k.cam]]), Table2[[#This Row],[k]], Table2[[#This Row],[k.cam]])</f>
        <v>53</v>
      </c>
      <c r="BM96" s="4" t="s">
        <v>24</v>
      </c>
      <c r="BN96" s="8" t="s">
        <v>24</v>
      </c>
      <c r="BO96" s="4">
        <v>3</v>
      </c>
      <c r="BP96" s="4">
        <f>Table2[[#This Row],[final_obs_date]]-Table2[[#This Row],[i]]</f>
        <v>9</v>
      </c>
      <c r="BQ96" s="4" t="b">
        <f>Table2[[#This Row],[final_obs_date2]]&gt;Table2[[#This Row],[estHD]]+3</f>
        <v>0</v>
      </c>
      <c r="BR96" s="4" t="s">
        <v>27</v>
      </c>
      <c r="BS96" s="4" t="s">
        <v>49</v>
      </c>
      <c r="BT96" s="79" t="s">
        <v>1056</v>
      </c>
      <c r="BU96" s="26" t="s">
        <v>118</v>
      </c>
      <c r="BV96" s="79" t="s">
        <v>1470</v>
      </c>
      <c r="BW96" s="49"/>
      <c r="BX96" s="47"/>
      <c r="BY96" s="36" t="s">
        <v>24</v>
      </c>
    </row>
    <row r="97" spans="1:77" ht="15" hidden="1" thickBot="1" x14ac:dyDescent="0.4">
      <c r="A97" s="62">
        <v>10103</v>
      </c>
      <c r="B97" s="2" t="s">
        <v>35</v>
      </c>
      <c r="C97" s="44">
        <v>2019</v>
      </c>
      <c r="D97" s="3">
        <v>29.763000000000002</v>
      </c>
      <c r="E97" s="3">
        <v>-93.141369999999995</v>
      </c>
      <c r="F97" s="3">
        <v>5</v>
      </c>
      <c r="G97" s="3">
        <v>5</v>
      </c>
      <c r="H97" s="3" t="s">
        <v>26</v>
      </c>
      <c r="I97" s="43"/>
      <c r="J97" s="55" t="s">
        <v>24</v>
      </c>
      <c r="K97" s="4" t="s">
        <v>24</v>
      </c>
      <c r="L97" s="22" t="str">
        <f>IF(ISNUMBER(Table2[[#This Row],[estHD]]),ABS(Table2[[#This Row],[HD]]-Table2[[#This Row],[estHD]]),"NA")</f>
        <v>NA</v>
      </c>
      <c r="M97" s="4" t="b">
        <f>Table2[[#This Row],[HD]]=Table2[[#This Row],[estHD]]</f>
        <v>1</v>
      </c>
      <c r="N97" s="4" t="str">
        <f>IF(ISNUMBER([1]!Table2[[#This Row],[hatch_date]]),[1]!Table2[[#This Row],[hatch_date]]-19,"NA")</f>
        <v>NA</v>
      </c>
      <c r="O97" s="31" t="s">
        <v>24</v>
      </c>
      <c r="P97" s="23" t="str">
        <f>IF(ISNUMBER(Table2[[#This Row],[nest_age1]]),ABS(Table2[[#This Row],[nest_age1]]-Table2[[#This Row],[nest_age_feb]]),"NA")</f>
        <v>NA</v>
      </c>
      <c r="Q97" s="24">
        <f>IF(ISNUMBER(Table2[[#This Row],[final_obs_int2]]),ABS(Table2[[#This Row],[final_obs_int2]]-Table2[[#This Row],[final_obs_int_feb]]), "NA")</f>
        <v>0</v>
      </c>
      <c r="R97" s="24"/>
      <c r="S97" s="57" t="s">
        <v>88</v>
      </c>
      <c r="T97" s="57" t="str">
        <f>Table2[[#This Row],[camera_old]]</f>
        <v>N</v>
      </c>
      <c r="U97" s="24"/>
      <c r="V97" s="16" t="s">
        <v>24</v>
      </c>
      <c r="W97" s="16" t="s">
        <v>24</v>
      </c>
      <c r="X97" s="145">
        <v>1</v>
      </c>
      <c r="Y97" s="147" t="s">
        <v>91</v>
      </c>
      <c r="Z97" s="146" t="s">
        <v>91</v>
      </c>
      <c r="AA97" s="4" t="str">
        <f>Table2[[#This Row],[field_fate]]</f>
        <v>Hu</v>
      </c>
      <c r="AB97" s="4" t="str">
        <f>Table2[[#This Row],[field_fate2]]</f>
        <v>Hu</v>
      </c>
      <c r="AC97" s="4" t="str">
        <f>Table2[[#This Row],[field_fate3]]</f>
        <v>Hu</v>
      </c>
      <c r="AD97" s="4" t="str">
        <f>Table2[[#This Row],[field_fate4]]</f>
        <v>Hu</v>
      </c>
      <c r="AE97" s="4" t="str">
        <f>Table2[[#This Row],[field_fate5]]</f>
        <v>Hu</v>
      </c>
      <c r="AF97" s="4" t="str">
        <f>Table2[[#This Row],[field_fate5]]</f>
        <v>Hu</v>
      </c>
      <c r="AG97" s="4" t="str">
        <f>Table2[[#This Row],[field_fate5]]</f>
        <v>Hu</v>
      </c>
      <c r="AH97" s="4" t="str">
        <f>Table2[[#This Row],[field_fate2]]</f>
        <v>Hu</v>
      </c>
      <c r="AI97" s="4" t="str">
        <f>Table2[[#This Row],[field_fate8]]</f>
        <v>Hu</v>
      </c>
      <c r="AJ97" s="4" t="str">
        <f>Table2[[#This Row],[field_fate10]]</f>
        <v>Hu</v>
      </c>
      <c r="AK97" s="4" t="b">
        <f>Table2[[#This Row],[field_fate_feb]]=Table2[[#This Row],[field_fate10]]</f>
        <v>1</v>
      </c>
      <c r="AL97" s="43" t="s">
        <v>24</v>
      </c>
      <c r="AM97" s="43" t="b">
        <f>Table2[[#This Row],[cam_fate2]]="NA"</f>
        <v>1</v>
      </c>
      <c r="AN97" s="19" t="str">
        <f>Table2[[#This Row],[cam_fate1]]</f>
        <v>NA</v>
      </c>
      <c r="AO97" s="2" t="s">
        <v>91</v>
      </c>
      <c r="AP97" s="5" t="str">
        <f>Table2[[#This Row],[final_fate1]]</f>
        <v>Hu</v>
      </c>
      <c r="AQ97" s="6" t="s">
        <v>24</v>
      </c>
      <c r="AR97" s="7" t="s">
        <v>24</v>
      </c>
      <c r="AS97" s="7" t="e">
        <f>Table2[[#This Row],[final_obs_date]]-Table2[[#This Row],[init_date]]</f>
        <v>#VALUE!</v>
      </c>
      <c r="AT97" s="7" t="e">
        <f>(Table2[[#This Row],[final_obs_date2]]-Table2[[#This Row],[estHD]])+16</f>
        <v>#VALUE!</v>
      </c>
      <c r="AU97" s="38">
        <v>1</v>
      </c>
      <c r="AV97" s="33">
        <v>1</v>
      </c>
      <c r="AW97" s="33">
        <f>Table2[[#This Row],[final_obs_date2]]-Table2[[#This Row],[pen_obs_date]]</f>
        <v>46</v>
      </c>
      <c r="AX97" s="67">
        <v>46</v>
      </c>
      <c r="AY97" s="6">
        <f>Table2[[#This Row],[final_obs_date]]</f>
        <v>46</v>
      </c>
      <c r="AZ97" s="6"/>
      <c r="BA97" s="91" t="s">
        <v>47</v>
      </c>
      <c r="BB97" s="6" t="e">
        <f>Table2[[#This Row],[final_obs_date]]&lt;(Table2[[#This Row],[estHD]]-2)</f>
        <v>#VALUE!</v>
      </c>
      <c r="BC97" s="24">
        <f>IF(Table2[[#This Row],[field_fate]]="H",1,0)</f>
        <v>0</v>
      </c>
      <c r="BD97" s="16">
        <f>IF(Table2[[#This Row],[cam_fate2]]="H",1,0)</f>
        <v>0</v>
      </c>
      <c r="BE97" s="6" t="b">
        <f>NOT(Table2[[#This Row],[HF_C]]=Table2[[#This Row],[HF]])</f>
        <v>0</v>
      </c>
      <c r="BF97" s="6" t="b">
        <f>NOT(Table2[[#This Row],[cam_fate2]]=Table2[[#This Row],[field_fate3]])</f>
        <v>1</v>
      </c>
      <c r="BG97" s="6" t="b">
        <f>OR(Table2[[#This Row],[field_fate3]]="U",Table2[[#This Row],[field_fate3]]="U-H")</f>
        <v>0</v>
      </c>
      <c r="BH97" s="8">
        <v>45</v>
      </c>
      <c r="BI97" s="8">
        <v>45</v>
      </c>
      <c r="BJ97" s="14">
        <f>IF(ISTEXT(Table2[[#This Row],[j.cam]]),Table2[[#This Row],[j]],Table2[[#This Row],[j.cam]])</f>
        <v>45</v>
      </c>
      <c r="BK97" s="9">
        <v>46</v>
      </c>
      <c r="BL97" s="15">
        <f>IF(ISTEXT(Table2[[#This Row],[k.cam]]), Table2[[#This Row],[k]], Table2[[#This Row],[k.cam]])</f>
        <v>46</v>
      </c>
      <c r="BM97" s="4" t="s">
        <v>24</v>
      </c>
      <c r="BN97" s="8" t="s">
        <v>24</v>
      </c>
      <c r="BO97" s="4">
        <v>2</v>
      </c>
      <c r="BP97" s="4">
        <f>Table2[[#This Row],[final_obs_date]]-Table2[[#This Row],[i]]</f>
        <v>1</v>
      </c>
      <c r="BQ97" s="4" t="e">
        <f>Table2[[#This Row],[final_obs_date2]]&gt;Table2[[#This Row],[estHD]]+3</f>
        <v>#VALUE!</v>
      </c>
      <c r="BR97" s="4" t="s">
        <v>27</v>
      </c>
      <c r="BS97" s="4" t="s">
        <v>28</v>
      </c>
      <c r="BT97" s="79" t="s">
        <v>1057</v>
      </c>
      <c r="BU97" s="26" t="s">
        <v>29</v>
      </c>
      <c r="BV97" s="79" t="s">
        <v>1471</v>
      </c>
      <c r="BW97" s="49"/>
      <c r="BX97" s="47"/>
      <c r="BY97" s="36" t="s">
        <v>536</v>
      </c>
    </row>
    <row r="98" spans="1:77" ht="15" hidden="1" thickBot="1" x14ac:dyDescent="0.4">
      <c r="A98" s="62">
        <v>10104</v>
      </c>
      <c r="B98" s="2" t="s">
        <v>22</v>
      </c>
      <c r="C98" s="44">
        <v>2019</v>
      </c>
      <c r="D98" s="3">
        <v>29.675840000000001</v>
      </c>
      <c r="E98" s="3">
        <v>-92.865819999999999</v>
      </c>
      <c r="F98" s="3">
        <v>10</v>
      </c>
      <c r="G98" s="3">
        <v>15</v>
      </c>
      <c r="H98" s="3" t="s">
        <v>26</v>
      </c>
      <c r="I98" s="43"/>
      <c r="J98" s="55" t="s">
        <v>24</v>
      </c>
      <c r="K98" s="4" t="s">
        <v>24</v>
      </c>
      <c r="L98" s="22" t="str">
        <f>IF(ISNUMBER(Table2[[#This Row],[estHD]]),ABS(Table2[[#This Row],[HD]]-Table2[[#This Row],[estHD]]),"NA")</f>
        <v>NA</v>
      </c>
      <c r="M98" s="4" t="b">
        <f>Table2[[#This Row],[HD]]=Table2[[#This Row],[estHD]]</f>
        <v>1</v>
      </c>
      <c r="N98" s="4" t="str">
        <f>IF(ISNUMBER([1]!Table2[[#This Row],[hatch_date]]), [1]!Table2[[#This Row],[hatch_date]]-16, "NA")</f>
        <v>NA</v>
      </c>
      <c r="O98" s="31" t="s">
        <v>24</v>
      </c>
      <c r="P98" s="23" t="str">
        <f>IF(ISNUMBER(Table2[[#This Row],[nest_age1]]),ABS(Table2[[#This Row],[nest_age1]]-Table2[[#This Row],[nest_age_feb]]),"NA")</f>
        <v>NA</v>
      </c>
      <c r="Q98" s="24">
        <f>IF(ISNUMBER(Table2[[#This Row],[final_obs_int2]]),ABS(Table2[[#This Row],[final_obs_int2]]-Table2[[#This Row],[final_obs_int_feb]]), "NA")</f>
        <v>3</v>
      </c>
      <c r="R98" s="24"/>
      <c r="S98" s="57" t="s">
        <v>88</v>
      </c>
      <c r="T98" s="57" t="str">
        <f>Table2[[#This Row],[camera_old]]</f>
        <v>N</v>
      </c>
      <c r="U98" s="24"/>
      <c r="V98" s="16" t="s">
        <v>24</v>
      </c>
      <c r="W98" s="16" t="s">
        <v>24</v>
      </c>
      <c r="X98" s="145">
        <v>7</v>
      </c>
      <c r="Y98" s="147" t="s">
        <v>25</v>
      </c>
      <c r="Z98" s="146" t="s">
        <v>25</v>
      </c>
      <c r="AA98" s="4" t="str">
        <f>Table2[[#This Row],[field_fate]]</f>
        <v>S</v>
      </c>
      <c r="AB98" s="4" t="str">
        <f>Table2[[#This Row],[field_fate2]]</f>
        <v>S</v>
      </c>
      <c r="AC98" s="4" t="str">
        <f>Table2[[#This Row],[field_fate3]]</f>
        <v>S</v>
      </c>
      <c r="AD98" s="4" t="str">
        <f>Table2[[#This Row],[field_fate4]]</f>
        <v>S</v>
      </c>
      <c r="AE98" s="4" t="str">
        <f>Table2[[#This Row],[field_fate5]]</f>
        <v>S</v>
      </c>
      <c r="AF98" s="4" t="str">
        <f>Table2[[#This Row],[field_fate5]]</f>
        <v>S</v>
      </c>
      <c r="AG98" s="4" t="str">
        <f>Table2[[#This Row],[field_fate5]]</f>
        <v>S</v>
      </c>
      <c r="AH98" s="4" t="str">
        <f>Table2[[#This Row],[field_fate2]]</f>
        <v>S</v>
      </c>
      <c r="AI98" s="4" t="str">
        <f>Table2[[#This Row],[field_fate8]]</f>
        <v>S</v>
      </c>
      <c r="AJ98" s="4" t="str">
        <f>Table2[[#This Row],[field_fate10]]</f>
        <v>S</v>
      </c>
      <c r="AK98" s="4" t="b">
        <f>Table2[[#This Row],[field_fate_feb]]=Table2[[#This Row],[field_fate10]]</f>
        <v>1</v>
      </c>
      <c r="AL98" s="43" t="s">
        <v>24</v>
      </c>
      <c r="AM98" s="43" t="b">
        <f>Table2[[#This Row],[cam_fate2]]="NA"</f>
        <v>1</v>
      </c>
      <c r="AN98" s="19" t="str">
        <f>Table2[[#This Row],[cam_fate1]]</f>
        <v>NA</v>
      </c>
      <c r="AO98" s="2" t="s">
        <v>25</v>
      </c>
      <c r="AP98" s="5" t="str">
        <f>Table2[[#This Row],[final_fate1]]</f>
        <v>S</v>
      </c>
      <c r="AQ98" s="6" t="s">
        <v>24</v>
      </c>
      <c r="AR98" s="7" t="s">
        <v>24</v>
      </c>
      <c r="AS98" s="7" t="e">
        <f>Table2[[#This Row],[final_obs_date]]-Table2[[#This Row],[init_date]]</f>
        <v>#VALUE!</v>
      </c>
      <c r="AT98" s="7" t="e">
        <f>(Table2[[#This Row],[final_obs_date2]]-Table2[[#This Row],[estHD]])+16</f>
        <v>#VALUE!</v>
      </c>
      <c r="AU98" s="39">
        <v>7</v>
      </c>
      <c r="AV98" s="33">
        <v>10</v>
      </c>
      <c r="AW98" s="33">
        <f>Table2[[#This Row],[final_obs_date2]]-Table2[[#This Row],[pen_obs_date]]</f>
        <v>62</v>
      </c>
      <c r="AX98" s="67">
        <v>62</v>
      </c>
      <c r="AY98" s="6">
        <f>Table2[[#This Row],[final_obs_date]]</f>
        <v>62</v>
      </c>
      <c r="AZ98" s="6"/>
      <c r="BA98" s="91" t="s">
        <v>60</v>
      </c>
      <c r="BB98" s="6" t="e">
        <f>Table2[[#This Row],[final_obs_date]]&lt;(Table2[[#This Row],[estHD]]-2)</f>
        <v>#VALUE!</v>
      </c>
      <c r="BC98" s="24">
        <f>IF(Table2[[#This Row],[field_fate]]="H",1,0)</f>
        <v>0</v>
      </c>
      <c r="BD98" s="16">
        <f>IF(Table2[[#This Row],[cam_fate2]]="H",1,0)</f>
        <v>0</v>
      </c>
      <c r="BE98" s="6" t="b">
        <f>NOT(Table2[[#This Row],[HF_C]]=Table2[[#This Row],[HF]])</f>
        <v>0</v>
      </c>
      <c r="BF98" s="6" t="b">
        <f>NOT(Table2[[#This Row],[cam_fate2]]=Table2[[#This Row],[field_fate3]])</f>
        <v>1</v>
      </c>
      <c r="BG98" s="6" t="b">
        <f>OR(Table2[[#This Row],[field_fate3]]="U",Table2[[#This Row],[field_fate3]]="U-H")</f>
        <v>0</v>
      </c>
      <c r="BH98" s="8">
        <v>47</v>
      </c>
      <c r="BI98" s="8">
        <v>52</v>
      </c>
      <c r="BJ98" s="14">
        <f>IF(ISTEXT(Table2[[#This Row],[j.cam]]),Table2[[#This Row],[j]],Table2[[#This Row],[j.cam]])</f>
        <v>52</v>
      </c>
      <c r="BK98" s="9">
        <v>62</v>
      </c>
      <c r="BL98" s="15">
        <f>IF(ISTEXT(Table2[[#This Row],[k.cam]]), Table2[[#This Row],[k]], Table2[[#This Row],[k.cam]])</f>
        <v>62</v>
      </c>
      <c r="BM98" s="4" t="s">
        <v>24</v>
      </c>
      <c r="BN98" s="8" t="s">
        <v>24</v>
      </c>
      <c r="BO98" s="4">
        <v>4</v>
      </c>
      <c r="BP98" s="4">
        <f>Table2[[#This Row],[final_obs_date]]-Table2[[#This Row],[i]]</f>
        <v>15</v>
      </c>
      <c r="BQ98" s="4" t="e">
        <f>Table2[[#This Row],[final_obs_date2]]&gt;Table2[[#This Row],[estHD]]+3</f>
        <v>#VALUE!</v>
      </c>
      <c r="BR98" s="11" t="s">
        <v>62</v>
      </c>
      <c r="BS98" s="4" t="s">
        <v>45</v>
      </c>
      <c r="BT98" s="79" t="s">
        <v>1058</v>
      </c>
      <c r="BU98" s="26" t="s">
        <v>119</v>
      </c>
      <c r="BV98" s="79" t="s">
        <v>1472</v>
      </c>
      <c r="BW98" s="49"/>
      <c r="BX98" s="47"/>
      <c r="BY98" s="36" t="s">
        <v>24</v>
      </c>
    </row>
    <row r="99" spans="1:77" ht="15" hidden="1" thickBot="1" x14ac:dyDescent="0.4">
      <c r="A99" s="62">
        <v>10105</v>
      </c>
      <c r="B99" s="2" t="s">
        <v>22</v>
      </c>
      <c r="C99" s="44">
        <v>2019</v>
      </c>
      <c r="D99" s="3">
        <v>29.674720000000001</v>
      </c>
      <c r="E99" s="3">
        <v>-92.863630000000001</v>
      </c>
      <c r="F99" s="3">
        <v>10</v>
      </c>
      <c r="G99" s="3">
        <v>10</v>
      </c>
      <c r="H99" s="3" t="s">
        <v>26</v>
      </c>
      <c r="I99" s="43"/>
      <c r="J99" s="55" t="s">
        <v>24</v>
      </c>
      <c r="K99" s="4" t="s">
        <v>24</v>
      </c>
      <c r="L99" s="22" t="str">
        <f>IF(ISNUMBER(Table2[[#This Row],[estHD]]),ABS(Table2[[#This Row],[HD]]-Table2[[#This Row],[estHD]]),"NA")</f>
        <v>NA</v>
      </c>
      <c r="M99" s="4" t="b">
        <f>Table2[[#This Row],[HD]]=Table2[[#This Row],[estHD]]</f>
        <v>1</v>
      </c>
      <c r="N99" s="4" t="str">
        <f>IF(ISNUMBER([1]!Table2[[#This Row],[hatch_date]]), [1]!Table2[[#This Row],[hatch_date]]-16, "NA")</f>
        <v>NA</v>
      </c>
      <c r="O99" s="31" t="s">
        <v>24</v>
      </c>
      <c r="P99" s="23" t="str">
        <f>IF(ISNUMBER(Table2[[#This Row],[nest_age1]]),ABS(Table2[[#This Row],[nest_age1]]-Table2[[#This Row],[nest_age_feb]]),"NA")</f>
        <v>NA</v>
      </c>
      <c r="Q99" s="24">
        <f>IF(ISNUMBER(Table2[[#This Row],[final_obs_int2]]),ABS(Table2[[#This Row],[final_obs_int2]]-Table2[[#This Row],[final_obs_int_feb]]), "NA")</f>
        <v>2</v>
      </c>
      <c r="R99" s="24"/>
      <c r="S99" s="57" t="s">
        <v>88</v>
      </c>
      <c r="T99" s="57" t="str">
        <f>Table2[[#This Row],[camera_old]]</f>
        <v>N</v>
      </c>
      <c r="U99" s="24"/>
      <c r="V99" s="16" t="s">
        <v>24</v>
      </c>
      <c r="W99" s="16" t="s">
        <v>24</v>
      </c>
      <c r="X99" s="145">
        <v>7</v>
      </c>
      <c r="Y99" s="147" t="s">
        <v>25</v>
      </c>
      <c r="Z99" s="146" t="s">
        <v>25</v>
      </c>
      <c r="AA99" s="4" t="str">
        <f>Table2[[#This Row],[field_fate]]</f>
        <v>S</v>
      </c>
      <c r="AB99" s="4" t="str">
        <f>Table2[[#This Row],[field_fate2]]</f>
        <v>S</v>
      </c>
      <c r="AC99" s="4" t="str">
        <f>Table2[[#This Row],[field_fate3]]</f>
        <v>S</v>
      </c>
      <c r="AD99" s="4" t="str">
        <f>Table2[[#This Row],[field_fate4]]</f>
        <v>S</v>
      </c>
      <c r="AE99" s="4" t="str">
        <f>Table2[[#This Row],[field_fate5]]</f>
        <v>S</v>
      </c>
      <c r="AF99" s="4" t="str">
        <f>Table2[[#This Row],[field_fate5]]</f>
        <v>S</v>
      </c>
      <c r="AG99" s="4" t="str">
        <f>Table2[[#This Row],[field_fate5]]</f>
        <v>S</v>
      </c>
      <c r="AH99" s="4" t="str">
        <f>Table2[[#This Row],[field_fate2]]</f>
        <v>S</v>
      </c>
      <c r="AI99" s="4" t="str">
        <f>Table2[[#This Row],[field_fate8]]</f>
        <v>S</v>
      </c>
      <c r="AJ99" s="4" t="str">
        <f>Table2[[#This Row],[field_fate10]]</f>
        <v>S</v>
      </c>
      <c r="AK99" s="4" t="b">
        <f>Table2[[#This Row],[field_fate_feb]]=Table2[[#This Row],[field_fate10]]</f>
        <v>1</v>
      </c>
      <c r="AL99" s="43" t="s">
        <v>24</v>
      </c>
      <c r="AM99" s="43" t="b">
        <f>Table2[[#This Row],[cam_fate2]]="NA"</f>
        <v>1</v>
      </c>
      <c r="AN99" s="19" t="str">
        <f>Table2[[#This Row],[cam_fate1]]</f>
        <v>NA</v>
      </c>
      <c r="AO99" s="2" t="s">
        <v>25</v>
      </c>
      <c r="AP99" s="5" t="str">
        <f>Table2[[#This Row],[final_fate1]]</f>
        <v>S</v>
      </c>
      <c r="AQ99" s="6" t="s">
        <v>24</v>
      </c>
      <c r="AR99" s="7" t="s">
        <v>24</v>
      </c>
      <c r="AS99" s="7" t="e">
        <f>Table2[[#This Row],[final_obs_date]]-Table2[[#This Row],[init_date]]</f>
        <v>#VALUE!</v>
      </c>
      <c r="AT99" s="7" t="e">
        <f>(Table2[[#This Row],[final_obs_date2]]-Table2[[#This Row],[estHD]])+16</f>
        <v>#VALUE!</v>
      </c>
      <c r="AU99" s="39">
        <v>7</v>
      </c>
      <c r="AV99" s="33">
        <v>9</v>
      </c>
      <c r="AW99" s="33">
        <f>Table2[[#This Row],[final_obs_date2]]-Table2[[#This Row],[pen_obs_date]]</f>
        <v>62</v>
      </c>
      <c r="AX99" s="67">
        <v>62</v>
      </c>
      <c r="AY99" s="6">
        <f>Table2[[#This Row],[final_obs_date]]</f>
        <v>62</v>
      </c>
      <c r="AZ99" s="6"/>
      <c r="BA99" s="91" t="s">
        <v>60</v>
      </c>
      <c r="BB99" s="6" t="e">
        <f>Table2[[#This Row],[final_obs_date]]&lt;(Table2[[#This Row],[estHD]]-2)</f>
        <v>#VALUE!</v>
      </c>
      <c r="BC99" s="24">
        <f>IF(Table2[[#This Row],[field_fate]]="H",1,0)</f>
        <v>0</v>
      </c>
      <c r="BD99" s="16">
        <f>IF(Table2[[#This Row],[cam_fate2]]="H",1,0)</f>
        <v>0</v>
      </c>
      <c r="BE99" s="6" t="b">
        <f>NOT(Table2[[#This Row],[HF_C]]=Table2[[#This Row],[HF]])</f>
        <v>0</v>
      </c>
      <c r="BF99" s="6" t="b">
        <f>NOT(Table2[[#This Row],[cam_fate2]]=Table2[[#This Row],[field_fate3]])</f>
        <v>1</v>
      </c>
      <c r="BG99" s="6" t="b">
        <f>OR(Table2[[#This Row],[field_fate3]]="U",Table2[[#This Row],[field_fate3]]="U-H")</f>
        <v>0</v>
      </c>
      <c r="BH99" s="8">
        <v>47</v>
      </c>
      <c r="BI99" s="8">
        <v>52</v>
      </c>
      <c r="BJ99" s="14">
        <f>IF(ISTEXT(Table2[[#This Row],[j.cam]]),Table2[[#This Row],[j]],Table2[[#This Row],[j.cam]])</f>
        <v>52</v>
      </c>
      <c r="BK99" s="9">
        <v>62</v>
      </c>
      <c r="BL99" s="15">
        <f>IF(ISTEXT(Table2[[#This Row],[k.cam]]), Table2[[#This Row],[k]], Table2[[#This Row],[k.cam]])</f>
        <v>62</v>
      </c>
      <c r="BM99" s="4" t="s">
        <v>24</v>
      </c>
      <c r="BN99" s="8" t="s">
        <v>24</v>
      </c>
      <c r="BO99" s="4">
        <v>4</v>
      </c>
      <c r="BP99" s="4">
        <f>Table2[[#This Row],[final_obs_date]]-Table2[[#This Row],[i]]</f>
        <v>15</v>
      </c>
      <c r="BQ99" s="4" t="e">
        <f>Table2[[#This Row],[final_obs_date2]]&gt;Table2[[#This Row],[estHD]]+3</f>
        <v>#VALUE!</v>
      </c>
      <c r="BR99" s="11" t="s">
        <v>62</v>
      </c>
      <c r="BS99" s="4" t="s">
        <v>45</v>
      </c>
      <c r="BT99" s="79" t="s">
        <v>1058</v>
      </c>
      <c r="BU99" s="26" t="s">
        <v>120</v>
      </c>
      <c r="BV99" s="79" t="s">
        <v>1472</v>
      </c>
      <c r="BW99" s="49"/>
      <c r="BX99" s="47"/>
      <c r="BY99" s="36" t="s">
        <v>24</v>
      </c>
    </row>
    <row r="100" spans="1:77" ht="15" hidden="1" thickBot="1" x14ac:dyDescent="0.4">
      <c r="A100" s="62">
        <v>10108</v>
      </c>
      <c r="B100" s="2" t="s">
        <v>35</v>
      </c>
      <c r="C100" s="44">
        <v>2019</v>
      </c>
      <c r="D100" s="3">
        <v>29.76144</v>
      </c>
      <c r="E100" s="3">
        <v>-93.135499999999993</v>
      </c>
      <c r="F100" s="3">
        <v>0</v>
      </c>
      <c r="G100" s="3">
        <v>5</v>
      </c>
      <c r="H100" s="3" t="s">
        <v>462</v>
      </c>
      <c r="I100" s="43"/>
      <c r="J100" s="55">
        <v>63</v>
      </c>
      <c r="K100" s="4">
        <v>63</v>
      </c>
      <c r="L100" s="22">
        <f>IF(ISNUMBER(Table2[[#This Row],[estHD]]),ABS(Table2[[#This Row],[HD]]-Table2[[#This Row],[estHD]]),"NA")</f>
        <v>0</v>
      </c>
      <c r="M100" s="4" t="b">
        <f>Table2[[#This Row],[HD]]=Table2[[#This Row],[estHD]]</f>
        <v>1</v>
      </c>
      <c r="N100" s="4" t="str">
        <f>IF(ISNUMBER([1]!Table2[[#This Row],[hatch_date]]),[1]!Table2[[#This Row],[hatch_date]]-19,"NA")</f>
        <v>NA</v>
      </c>
      <c r="O100" s="31">
        <v>44</v>
      </c>
      <c r="P100" s="23">
        <f>IF(ISNUMBER(Table2[[#This Row],[nest_age1]]),ABS(Table2[[#This Row],[nest_age1]]-Table2[[#This Row],[nest_age_feb]]),"NA")</f>
        <v>0</v>
      </c>
      <c r="Q100" s="24">
        <f>IF(ISNUMBER(Table2[[#This Row],[final_obs_int2]]),ABS(Table2[[#This Row],[final_obs_int2]]-Table2[[#This Row],[final_obs_int_feb]]), "NA")</f>
        <v>0</v>
      </c>
      <c r="R100" s="24"/>
      <c r="S100" s="57" t="s">
        <v>88</v>
      </c>
      <c r="T100" s="57" t="str">
        <f>Table2[[#This Row],[camera_old]]</f>
        <v>N</v>
      </c>
      <c r="U100" s="24"/>
      <c r="V100" s="16" t="s">
        <v>90</v>
      </c>
      <c r="W100" s="16">
        <v>17</v>
      </c>
      <c r="X100" s="145">
        <v>7</v>
      </c>
      <c r="Y100" s="147" t="s">
        <v>48</v>
      </c>
      <c r="Z100" s="146" t="s">
        <v>48</v>
      </c>
      <c r="AA100" s="4" t="str">
        <f>Table2[[#This Row],[field_fate]]</f>
        <v>F</v>
      </c>
      <c r="AB100" s="4" t="str">
        <f>Table2[[#This Row],[field_fate2]]</f>
        <v>F</v>
      </c>
      <c r="AC100" s="4" t="str">
        <f>Table2[[#This Row],[field_fate3]]</f>
        <v>F</v>
      </c>
      <c r="AD100" s="4" t="str">
        <f>Table2[[#This Row],[field_fate4]]</f>
        <v>F</v>
      </c>
      <c r="AE100" s="4" t="str">
        <f>Table2[[#This Row],[field_fate5]]</f>
        <v>F</v>
      </c>
      <c r="AF100" s="4" t="str">
        <f>Table2[[#This Row],[field_fate5]]</f>
        <v>F</v>
      </c>
      <c r="AG100" s="4" t="str">
        <f>Table2[[#This Row],[field_fate5]]</f>
        <v>F</v>
      </c>
      <c r="AH100" s="4" t="str">
        <f>Table2[[#This Row],[field_fate2]]</f>
        <v>F</v>
      </c>
      <c r="AI100" s="4" t="str">
        <f>Table2[[#This Row],[field_fate8]]</f>
        <v>F</v>
      </c>
      <c r="AJ100" s="4" t="str">
        <f>Table2[[#This Row],[field_fate10]]</f>
        <v>F</v>
      </c>
      <c r="AK100" s="4" t="b">
        <f>Table2[[#This Row],[field_fate_feb]]=Table2[[#This Row],[field_fate10]]</f>
        <v>1</v>
      </c>
      <c r="AL100" s="43" t="s">
        <v>24</v>
      </c>
      <c r="AM100" s="43" t="b">
        <f>Table2[[#This Row],[cam_fate2]]="NA"</f>
        <v>1</v>
      </c>
      <c r="AN100" s="19" t="str">
        <f>Table2[[#This Row],[cam_fate1]]</f>
        <v>NA</v>
      </c>
      <c r="AO100" s="2" t="s">
        <v>48</v>
      </c>
      <c r="AP100" s="5" t="str">
        <f>Table2[[#This Row],[final_fate1]]</f>
        <v>F</v>
      </c>
      <c r="AQ100" s="6">
        <v>17</v>
      </c>
      <c r="AR100" s="7">
        <v>17</v>
      </c>
      <c r="AS100" s="7">
        <f>Table2[[#This Row],[final_obs_date]]-Table2[[#This Row],[init_date]]</f>
        <v>17</v>
      </c>
      <c r="AT100" s="7">
        <f>(Table2[[#This Row],[final_obs_date2]]-Table2[[#This Row],[estHD]])+16</f>
        <v>14</v>
      </c>
      <c r="AU100" s="38">
        <v>7</v>
      </c>
      <c r="AV100" s="33">
        <v>7</v>
      </c>
      <c r="AW100" s="33">
        <f>Table2[[#This Row],[final_obs_date2]]-Table2[[#This Row],[pen_obs_date]]</f>
        <v>61</v>
      </c>
      <c r="AX100" s="67">
        <v>61</v>
      </c>
      <c r="AY100" s="6">
        <f>Table2[[#This Row],[final_obs_date]]</f>
        <v>61</v>
      </c>
      <c r="AZ100" s="6"/>
      <c r="BA100" s="91" t="s">
        <v>47</v>
      </c>
      <c r="BB100" s="6" t="b">
        <f>Table2[[#This Row],[final_obs_date]]&lt;(Table2[[#This Row],[estHD]]-2)</f>
        <v>0</v>
      </c>
      <c r="BC100" s="24">
        <f>IF(Table2[[#This Row],[field_fate]]="H",1,0)</f>
        <v>0</v>
      </c>
      <c r="BD100" s="16">
        <f>IF(Table2[[#This Row],[cam_fate2]]="H",1,0)</f>
        <v>0</v>
      </c>
      <c r="BE100" s="6" t="b">
        <f>NOT(Table2[[#This Row],[HF_C]]=Table2[[#This Row],[HF]])</f>
        <v>0</v>
      </c>
      <c r="BF100" s="6" t="b">
        <f>NOT(Table2[[#This Row],[cam_fate2]]=Table2[[#This Row],[field_fate3]])</f>
        <v>1</v>
      </c>
      <c r="BG100" s="6" t="b">
        <f>OR(Table2[[#This Row],[field_fate3]]="U",Table2[[#This Row],[field_fate3]]="U-H")</f>
        <v>0</v>
      </c>
      <c r="BH100" s="8">
        <v>48</v>
      </c>
      <c r="BI100" s="8">
        <v>54</v>
      </c>
      <c r="BJ100" s="14">
        <f>IF(ISTEXT(Table2[[#This Row],[j.cam]]),Table2[[#This Row],[j]],Table2[[#This Row],[j.cam]])</f>
        <v>54</v>
      </c>
      <c r="BK100" s="9">
        <v>61</v>
      </c>
      <c r="BL100" s="15">
        <f>IF(ISTEXT(Table2[[#This Row],[k.cam]]), Table2[[#This Row],[k]], Table2[[#This Row],[k.cam]])</f>
        <v>61</v>
      </c>
      <c r="BM100" s="4" t="s">
        <v>24</v>
      </c>
      <c r="BN100" s="8" t="s">
        <v>24</v>
      </c>
      <c r="BO100" s="4">
        <v>4</v>
      </c>
      <c r="BP100" s="4">
        <f>Table2[[#This Row],[final_obs_date]]-Table2[[#This Row],[i]]</f>
        <v>13</v>
      </c>
      <c r="BQ100" s="4" t="b">
        <f>Table2[[#This Row],[final_obs_date2]]&gt;Table2[[#This Row],[estHD]]+3</f>
        <v>0</v>
      </c>
      <c r="BR100" s="4" t="s">
        <v>66</v>
      </c>
      <c r="BS100" s="4" t="s">
        <v>28</v>
      </c>
      <c r="BT100" s="79" t="s">
        <v>1059</v>
      </c>
      <c r="BU100" s="26" t="s">
        <v>121</v>
      </c>
      <c r="BV100" s="79" t="s">
        <v>1473</v>
      </c>
      <c r="BW100" s="49"/>
      <c r="BX100" s="47"/>
      <c r="BY100" s="36" t="s">
        <v>537</v>
      </c>
    </row>
    <row r="101" spans="1:77" ht="15" hidden="1" thickBot="1" x14ac:dyDescent="0.4">
      <c r="A101" s="62">
        <v>10109</v>
      </c>
      <c r="B101" s="2" t="s">
        <v>35</v>
      </c>
      <c r="C101" s="44">
        <v>2019</v>
      </c>
      <c r="D101" s="3">
        <v>29.761510000000001</v>
      </c>
      <c r="E101" s="3">
        <v>-93.135570000000001</v>
      </c>
      <c r="F101" s="3">
        <v>0</v>
      </c>
      <c r="G101" s="3">
        <v>5</v>
      </c>
      <c r="H101" s="3" t="s">
        <v>462</v>
      </c>
      <c r="I101" s="43"/>
      <c r="J101" s="55" t="s">
        <v>24</v>
      </c>
      <c r="K101" s="4" t="s">
        <v>24</v>
      </c>
      <c r="L101" s="22" t="str">
        <f>IF(ISNUMBER(Table2[[#This Row],[estHD]]),ABS(Table2[[#This Row],[HD]]-Table2[[#This Row],[estHD]]),"NA")</f>
        <v>NA</v>
      </c>
      <c r="M101" s="4" t="b">
        <f>Table2[[#This Row],[HD]]=Table2[[#This Row],[estHD]]</f>
        <v>1</v>
      </c>
      <c r="N101" s="4" t="str">
        <f>IF(ISNUMBER([1]!Table2[[#This Row],[hatch_date]]),[1]!Table2[[#This Row],[hatch_date]]-19,"NA")</f>
        <v>NA</v>
      </c>
      <c r="O101" s="31" t="s">
        <v>24</v>
      </c>
      <c r="P101" s="23" t="str">
        <f>IF(ISNUMBER(Table2[[#This Row],[nest_age1]]),ABS(Table2[[#This Row],[nest_age1]]-Table2[[#This Row],[nest_age_feb]]),"NA")</f>
        <v>NA</v>
      </c>
      <c r="Q101" s="24">
        <f>IF(ISNUMBER(Table2[[#This Row],[final_obs_int2]]),ABS(Table2[[#This Row],[final_obs_int2]]-Table2[[#This Row],[final_obs_int_feb]]), "NA")</f>
        <v>0</v>
      </c>
      <c r="R101" s="24"/>
      <c r="S101" s="57" t="s">
        <v>88</v>
      </c>
      <c r="T101" s="57" t="str">
        <f>Table2[[#This Row],[camera_old]]</f>
        <v>N</v>
      </c>
      <c r="U101" s="24"/>
      <c r="V101" s="16" t="s">
        <v>24</v>
      </c>
      <c r="W101" s="16" t="s">
        <v>24</v>
      </c>
      <c r="X101" s="145">
        <v>7</v>
      </c>
      <c r="Y101" s="147" t="s">
        <v>48</v>
      </c>
      <c r="Z101" s="146" t="s">
        <v>48</v>
      </c>
      <c r="AA101" s="4" t="str">
        <f>Table2[[#This Row],[field_fate]]</f>
        <v>F</v>
      </c>
      <c r="AB101" s="4" t="str">
        <f>Table2[[#This Row],[field_fate2]]</f>
        <v>F</v>
      </c>
      <c r="AC101" s="4" t="str">
        <f>Table2[[#This Row],[field_fate3]]</f>
        <v>F</v>
      </c>
      <c r="AD101" s="4" t="str">
        <f>Table2[[#This Row],[field_fate4]]</f>
        <v>F</v>
      </c>
      <c r="AE101" s="4" t="str">
        <f>Table2[[#This Row],[field_fate5]]</f>
        <v>F</v>
      </c>
      <c r="AF101" s="4" t="str">
        <f>Table2[[#This Row],[field_fate5]]</f>
        <v>F</v>
      </c>
      <c r="AG101" s="4" t="str">
        <f>Table2[[#This Row],[field_fate5]]</f>
        <v>F</v>
      </c>
      <c r="AH101" s="4" t="str">
        <f>Table2[[#This Row],[field_fate2]]</f>
        <v>F</v>
      </c>
      <c r="AI101" s="4" t="str">
        <f>Table2[[#This Row],[field_fate8]]</f>
        <v>F</v>
      </c>
      <c r="AJ101" s="4" t="str">
        <f>Table2[[#This Row],[field_fate10]]</f>
        <v>F</v>
      </c>
      <c r="AK101" s="4" t="b">
        <f>Table2[[#This Row],[field_fate_feb]]=Table2[[#This Row],[field_fate10]]</f>
        <v>1</v>
      </c>
      <c r="AL101" s="43" t="s">
        <v>24</v>
      </c>
      <c r="AM101" s="43" t="b">
        <f>Table2[[#This Row],[cam_fate2]]="NA"</f>
        <v>1</v>
      </c>
      <c r="AN101" s="19" t="str">
        <f>Table2[[#This Row],[cam_fate1]]</f>
        <v>NA</v>
      </c>
      <c r="AO101" s="2" t="s">
        <v>48</v>
      </c>
      <c r="AP101" s="5" t="str">
        <f>Table2[[#This Row],[final_fate1]]</f>
        <v>F</v>
      </c>
      <c r="AQ101" s="6" t="s">
        <v>24</v>
      </c>
      <c r="AR101" s="7" t="s">
        <v>24</v>
      </c>
      <c r="AS101" s="7" t="e">
        <f>Table2[[#This Row],[final_obs_date]]-Table2[[#This Row],[init_date]]</f>
        <v>#VALUE!</v>
      </c>
      <c r="AT101" s="7" t="e">
        <f>(Table2[[#This Row],[final_obs_date2]]-Table2[[#This Row],[estHD]])+16</f>
        <v>#VALUE!</v>
      </c>
      <c r="AU101" s="38">
        <v>7</v>
      </c>
      <c r="AV101" s="33">
        <v>7</v>
      </c>
      <c r="AW101" s="33">
        <f>Table2[[#This Row],[final_obs_date2]]-Table2[[#This Row],[pen_obs_date]]</f>
        <v>61</v>
      </c>
      <c r="AX101" s="67">
        <v>61</v>
      </c>
      <c r="AY101" s="6">
        <f>Table2[[#This Row],[final_obs_date]]</f>
        <v>61</v>
      </c>
      <c r="AZ101" s="6"/>
      <c r="BA101" s="91" t="s">
        <v>47</v>
      </c>
      <c r="BB101" s="6" t="e">
        <f>Table2[[#This Row],[final_obs_date]]&lt;(Table2[[#This Row],[estHD]]-2)</f>
        <v>#VALUE!</v>
      </c>
      <c r="BC101" s="24">
        <f>IF(Table2[[#This Row],[field_fate]]="H",1,0)</f>
        <v>0</v>
      </c>
      <c r="BD101" s="16">
        <f>IF(Table2[[#This Row],[cam_fate2]]="H",1,0)</f>
        <v>0</v>
      </c>
      <c r="BE101" s="6" t="b">
        <f>NOT(Table2[[#This Row],[HF_C]]=Table2[[#This Row],[HF]])</f>
        <v>0</v>
      </c>
      <c r="BF101" s="6" t="b">
        <f>NOT(Table2[[#This Row],[cam_fate2]]=Table2[[#This Row],[field_fate3]])</f>
        <v>1</v>
      </c>
      <c r="BG101" s="6" t="b">
        <f>OR(Table2[[#This Row],[field_fate3]]="U",Table2[[#This Row],[field_fate3]]="U-H")</f>
        <v>0</v>
      </c>
      <c r="BH101" s="8">
        <v>48</v>
      </c>
      <c r="BI101" s="8">
        <v>54</v>
      </c>
      <c r="BJ101" s="14">
        <f>IF(ISTEXT(Table2[[#This Row],[j.cam]]),Table2[[#This Row],[j]],Table2[[#This Row],[j.cam]])</f>
        <v>54</v>
      </c>
      <c r="BK101" s="9">
        <v>61</v>
      </c>
      <c r="BL101" s="15">
        <f>IF(ISTEXT(Table2[[#This Row],[k.cam]]), Table2[[#This Row],[k]], Table2[[#This Row],[k.cam]])</f>
        <v>61</v>
      </c>
      <c r="BM101" s="4" t="s">
        <v>24</v>
      </c>
      <c r="BN101" s="8" t="s">
        <v>24</v>
      </c>
      <c r="BO101" s="4">
        <v>5</v>
      </c>
      <c r="BP101" s="4">
        <f>Table2[[#This Row],[final_obs_date]]-Table2[[#This Row],[i]]</f>
        <v>13</v>
      </c>
      <c r="BQ101" s="4" t="e">
        <f>Table2[[#This Row],[final_obs_date2]]&gt;Table2[[#This Row],[estHD]]+3</f>
        <v>#VALUE!</v>
      </c>
      <c r="BR101" s="4" t="s">
        <v>66</v>
      </c>
      <c r="BS101" s="4" t="s">
        <v>28</v>
      </c>
      <c r="BT101" s="79" t="s">
        <v>1060</v>
      </c>
      <c r="BU101" s="26" t="s">
        <v>73</v>
      </c>
      <c r="BV101" s="79" t="s">
        <v>1474</v>
      </c>
      <c r="BW101" s="49"/>
      <c r="BX101" s="47"/>
      <c r="BY101" s="36" t="s">
        <v>24</v>
      </c>
    </row>
    <row r="102" spans="1:77" ht="15" hidden="1" thickBot="1" x14ac:dyDescent="0.4">
      <c r="A102" s="62">
        <v>10111</v>
      </c>
      <c r="B102" s="2" t="s">
        <v>35</v>
      </c>
      <c r="C102" s="44">
        <v>2019</v>
      </c>
      <c r="D102" s="3">
        <v>29.76952</v>
      </c>
      <c r="E102" s="3">
        <v>-93.174289999999999</v>
      </c>
      <c r="F102" s="3">
        <v>10</v>
      </c>
      <c r="G102" s="3">
        <v>15</v>
      </c>
      <c r="H102" s="3" t="s">
        <v>26</v>
      </c>
      <c r="I102" s="43"/>
      <c r="J102" s="55">
        <v>72</v>
      </c>
      <c r="K102" s="4">
        <v>72</v>
      </c>
      <c r="L102" s="22">
        <f>IF(ISNUMBER(Table2[[#This Row],[estHD]]),ABS(Table2[[#This Row],[HD]]-Table2[[#This Row],[estHD]]),"NA")</f>
        <v>0</v>
      </c>
      <c r="M102" s="4" t="b">
        <f>Table2[[#This Row],[HD]]=Table2[[#This Row],[estHD]]</f>
        <v>1</v>
      </c>
      <c r="N102" s="4" t="str">
        <f>IF(ISNUMBER([1]!Table2[[#This Row],[hatch_date]]), [1]!Table2[[#This Row],[hatch_date]]-28, "NA")</f>
        <v>NA</v>
      </c>
      <c r="O102" s="31">
        <v>44</v>
      </c>
      <c r="P102" s="23">
        <f>IF(ISNUMBER(Table2[[#This Row],[nest_age1]]),ABS(Table2[[#This Row],[nest_age1]]-Table2[[#This Row],[nest_age_feb]]),"NA")</f>
        <v>0</v>
      </c>
      <c r="Q102" s="24">
        <f>IF(ISNUMBER(Table2[[#This Row],[final_obs_int2]]),ABS(Table2[[#This Row],[final_obs_int2]]-Table2[[#This Row],[final_obs_int_feb]]), "NA")</f>
        <v>0</v>
      </c>
      <c r="R102" s="24"/>
      <c r="S102" s="57" t="s">
        <v>88</v>
      </c>
      <c r="T102" s="57" t="str">
        <f>Table2[[#This Row],[camera_old]]</f>
        <v>N</v>
      </c>
      <c r="U102" s="24"/>
      <c r="V102" s="16" t="s">
        <v>24</v>
      </c>
      <c r="W102" s="16">
        <v>9</v>
      </c>
      <c r="X102" s="145">
        <v>4</v>
      </c>
      <c r="Y102" s="147" t="s">
        <v>65</v>
      </c>
      <c r="Z102" s="146" t="s">
        <v>65</v>
      </c>
      <c r="AA102" s="4" t="str">
        <f>Table2[[#This Row],[field_fate]]</f>
        <v>Ca</v>
      </c>
      <c r="AB102" s="4" t="str">
        <f>Table2[[#This Row],[field_fate2]]</f>
        <v>Ca</v>
      </c>
      <c r="AC102" s="4" t="str">
        <f>Table2[[#This Row],[field_fate3]]</f>
        <v>Ca</v>
      </c>
      <c r="AD102" s="4" t="str">
        <f>Table2[[#This Row],[field_fate4]]</f>
        <v>Ca</v>
      </c>
      <c r="AE102" s="4" t="str">
        <f>Table2[[#This Row],[field_fate5]]</f>
        <v>Ca</v>
      </c>
      <c r="AF102" s="4" t="str">
        <f>Table2[[#This Row],[field_fate5]]</f>
        <v>Ca</v>
      </c>
      <c r="AG102" s="4" t="str">
        <f>Table2[[#This Row],[field_fate5]]</f>
        <v>Ca</v>
      </c>
      <c r="AH102" s="4" t="str">
        <f>Table2[[#This Row],[field_fate2]]</f>
        <v>Ca</v>
      </c>
      <c r="AI102" s="4" t="str">
        <f>Table2[[#This Row],[field_fate8]]</f>
        <v>Ca</v>
      </c>
      <c r="AJ102" s="4" t="str">
        <f>Table2[[#This Row],[field_fate10]]</f>
        <v>Ca</v>
      </c>
      <c r="AK102" s="4" t="b">
        <f>Table2[[#This Row],[field_fate_feb]]=Table2[[#This Row],[field_fate10]]</f>
        <v>1</v>
      </c>
      <c r="AL102" s="43" t="s">
        <v>24</v>
      </c>
      <c r="AM102" s="43" t="b">
        <f>Table2[[#This Row],[cam_fate2]]="NA"</f>
        <v>1</v>
      </c>
      <c r="AN102" s="19" t="str">
        <f>Table2[[#This Row],[cam_fate1]]</f>
        <v>NA</v>
      </c>
      <c r="AO102" s="2" t="s">
        <v>65</v>
      </c>
      <c r="AP102" s="5" t="str">
        <f>Table2[[#This Row],[final_fate1]]</f>
        <v>Ca</v>
      </c>
      <c r="AQ102" s="6">
        <v>9</v>
      </c>
      <c r="AR102" s="7">
        <v>9</v>
      </c>
      <c r="AS102" s="7">
        <f>Table2[[#This Row],[final_obs_date]]-Table2[[#This Row],[init_date]]</f>
        <v>9</v>
      </c>
      <c r="AT102" s="7">
        <f>(Table2[[#This Row],[final_obs_date2]]-Table2[[#This Row],[estHD]])+16</f>
        <v>-3</v>
      </c>
      <c r="AU102" s="38">
        <v>4</v>
      </c>
      <c r="AV102" s="33">
        <v>4</v>
      </c>
      <c r="AW102" s="33">
        <f>Table2[[#This Row],[final_obs_date2]]-Table2[[#This Row],[pen_obs_date]]</f>
        <v>53</v>
      </c>
      <c r="AX102" s="67">
        <v>53</v>
      </c>
      <c r="AY102" s="6">
        <f>Table2[[#This Row],[final_obs_date]]</f>
        <v>53</v>
      </c>
      <c r="AZ102" s="6"/>
      <c r="BA102" s="91" t="s">
        <v>23</v>
      </c>
      <c r="BB102" s="6" t="b">
        <f>Table2[[#This Row],[final_obs_date]]&lt;(Table2[[#This Row],[estHD]]-2)</f>
        <v>1</v>
      </c>
      <c r="BC102" s="24">
        <f>IF(Table2[[#This Row],[field_fate]]="H",1,0)</f>
        <v>0</v>
      </c>
      <c r="BD102" s="16">
        <f>IF(Table2[[#This Row],[cam_fate2]]="H",1,0)</f>
        <v>0</v>
      </c>
      <c r="BE102" s="6" t="b">
        <f>NOT(Table2[[#This Row],[HF_C]]=Table2[[#This Row],[HF]])</f>
        <v>0</v>
      </c>
      <c r="BF102" s="6" t="b">
        <f>NOT(Table2[[#This Row],[cam_fate2]]=Table2[[#This Row],[field_fate3]])</f>
        <v>1</v>
      </c>
      <c r="BG102" s="6" t="b">
        <f>OR(Table2[[#This Row],[field_fate3]]="U",Table2[[#This Row],[field_fate3]]="U-H")</f>
        <v>0</v>
      </c>
      <c r="BH102" s="8">
        <v>49</v>
      </c>
      <c r="BI102" s="8">
        <v>49</v>
      </c>
      <c r="BJ102" s="14">
        <f>IF(ISTEXT(Table2[[#This Row],[j.cam]]),Table2[[#This Row],[j]],Table2[[#This Row],[j.cam]])</f>
        <v>49</v>
      </c>
      <c r="BK102" s="9">
        <v>53</v>
      </c>
      <c r="BL102" s="15">
        <f>IF(ISTEXT(Table2[[#This Row],[k.cam]]), Table2[[#This Row],[k]], Table2[[#This Row],[k.cam]])</f>
        <v>53</v>
      </c>
      <c r="BM102" s="4" t="s">
        <v>24</v>
      </c>
      <c r="BN102" s="8" t="s">
        <v>24</v>
      </c>
      <c r="BO102" s="4">
        <v>2</v>
      </c>
      <c r="BP102" s="4">
        <f>Table2[[#This Row],[final_obs_date]]-Table2[[#This Row],[i]]</f>
        <v>4</v>
      </c>
      <c r="BQ102" s="4" t="b">
        <f>Table2[[#This Row],[final_obs_date2]]&gt;Table2[[#This Row],[estHD]]+3</f>
        <v>0</v>
      </c>
      <c r="BR102" s="4" t="s">
        <v>27</v>
      </c>
      <c r="BS102" s="4" t="s">
        <v>28</v>
      </c>
      <c r="BT102" s="79" t="s">
        <v>1061</v>
      </c>
      <c r="BU102" s="26" t="s">
        <v>29</v>
      </c>
      <c r="BV102" s="79" t="s">
        <v>1429</v>
      </c>
      <c r="BW102" s="49"/>
      <c r="BX102" s="47"/>
      <c r="BY102" s="36" t="s">
        <v>538</v>
      </c>
    </row>
    <row r="103" spans="1:77" ht="15" hidden="1" thickBot="1" x14ac:dyDescent="0.4">
      <c r="A103" s="62">
        <v>10113</v>
      </c>
      <c r="B103" s="2" t="s">
        <v>122</v>
      </c>
      <c r="C103" s="44">
        <v>2019</v>
      </c>
      <c r="D103" s="3">
        <v>29.75806</v>
      </c>
      <c r="E103" s="3">
        <v>-93.120019999999997</v>
      </c>
      <c r="F103" s="3">
        <v>90</v>
      </c>
      <c r="G103" s="3">
        <v>80</v>
      </c>
      <c r="H103" s="3" t="s">
        <v>26</v>
      </c>
      <c r="I103" s="43"/>
      <c r="J103" s="55">
        <v>60</v>
      </c>
      <c r="K103" s="4">
        <v>60</v>
      </c>
      <c r="L103" s="22">
        <f>IF(ISNUMBER(Table2[[#This Row],[estHD]]),ABS(Table2[[#This Row],[HD]]-Table2[[#This Row],[estHD]]),"NA")</f>
        <v>0</v>
      </c>
      <c r="M103" s="4" t="b">
        <f>Table2[[#This Row],[HD]]=Table2[[#This Row],[estHD]]</f>
        <v>1</v>
      </c>
      <c r="N103" s="4" t="str">
        <f>IF(ISNUMBER([1]!Table2[[#This Row],[hatch_date]]), [1]!Table2[[#This Row],[hatch_date]]-16, "NA")</f>
        <v>NA</v>
      </c>
      <c r="O103" s="31">
        <v>44</v>
      </c>
      <c r="P103" s="23">
        <f>IF(ISNUMBER(Table2[[#This Row],[nest_age1]]),ABS(Table2[[#This Row],[nest_age1]]-Table2[[#This Row],[nest_age_feb]]),"NA")</f>
        <v>0</v>
      </c>
      <c r="Q103" s="24">
        <f>IF(ISNUMBER(Table2[[#This Row],[final_obs_int2]]),ABS(Table2[[#This Row],[final_obs_int2]]-Table2[[#This Row],[final_obs_int_feb]]), "NA")</f>
        <v>0</v>
      </c>
      <c r="R103" s="24"/>
      <c r="S103" s="57" t="s">
        <v>88</v>
      </c>
      <c r="T103" s="57" t="str">
        <f>Table2[[#This Row],[camera_old]]</f>
        <v>N</v>
      </c>
      <c r="U103" s="24"/>
      <c r="V103" s="16" t="s">
        <v>24</v>
      </c>
      <c r="W103" s="16">
        <v>19</v>
      </c>
      <c r="X103" s="145">
        <v>6</v>
      </c>
      <c r="Y103" s="147" t="s">
        <v>36</v>
      </c>
      <c r="Z103" s="146" t="s">
        <v>36</v>
      </c>
      <c r="AA103" s="4" t="str">
        <f>Table2[[#This Row],[field_fate]]</f>
        <v>A</v>
      </c>
      <c r="AB103" s="4" t="str">
        <f>Table2[[#This Row],[field_fate2]]</f>
        <v>A</v>
      </c>
      <c r="AC103" s="4" t="str">
        <f>Table2[[#This Row],[field_fate3]]</f>
        <v>A</v>
      </c>
      <c r="AD103" s="4" t="str">
        <f>Table2[[#This Row],[field_fate4]]</f>
        <v>A</v>
      </c>
      <c r="AE103" s="4" t="str">
        <f>Table2[[#This Row],[field_fate5]]</f>
        <v>A</v>
      </c>
      <c r="AF103" s="4" t="str">
        <f>Table2[[#This Row],[field_fate5]]</f>
        <v>A</v>
      </c>
      <c r="AG103" s="4" t="str">
        <f>Table2[[#This Row],[field_fate5]]</f>
        <v>A</v>
      </c>
      <c r="AH103" s="4" t="str">
        <f>Table2[[#This Row],[field_fate2]]</f>
        <v>A</v>
      </c>
      <c r="AI103" s="4" t="str">
        <f>Table2[[#This Row],[field_fate8]]</f>
        <v>A</v>
      </c>
      <c r="AJ103" s="4" t="str">
        <f>Table2[[#This Row],[field_fate10]]</f>
        <v>A</v>
      </c>
      <c r="AK103" s="4" t="b">
        <f>Table2[[#This Row],[field_fate_feb]]=Table2[[#This Row],[field_fate10]]</f>
        <v>1</v>
      </c>
      <c r="AL103" s="43" t="s">
        <v>24</v>
      </c>
      <c r="AM103" s="43" t="b">
        <f>Table2[[#This Row],[cam_fate2]]="NA"</f>
        <v>1</v>
      </c>
      <c r="AN103" s="19" t="str">
        <f>Table2[[#This Row],[cam_fate1]]</f>
        <v>NA</v>
      </c>
      <c r="AO103" s="2" t="s">
        <v>36</v>
      </c>
      <c r="AP103" s="5" t="str">
        <f>Table2[[#This Row],[final_fate1]]</f>
        <v>A</v>
      </c>
      <c r="AQ103" s="6">
        <v>19</v>
      </c>
      <c r="AR103" s="7">
        <v>19</v>
      </c>
      <c r="AS103" s="7">
        <f>Table2[[#This Row],[final_obs_date]]-Table2[[#This Row],[init_date]]</f>
        <v>19</v>
      </c>
      <c r="AT103" s="7">
        <f>(Table2[[#This Row],[final_obs_date2]]-Table2[[#This Row],[estHD]])+16</f>
        <v>19</v>
      </c>
      <c r="AU103" s="38">
        <v>6</v>
      </c>
      <c r="AV103" s="33">
        <v>6</v>
      </c>
      <c r="AW103" s="33">
        <f>Table2[[#This Row],[final_obs_date2]]-Table2[[#This Row],[pen_obs_date]]</f>
        <v>63</v>
      </c>
      <c r="AX103" s="67">
        <v>63</v>
      </c>
      <c r="AY103" s="6">
        <f>Table2[[#This Row],[final_obs_date]]</f>
        <v>63</v>
      </c>
      <c r="AZ103" s="6"/>
      <c r="BA103" s="91" t="s">
        <v>60</v>
      </c>
      <c r="BB103" s="6" t="b">
        <f>Table2[[#This Row],[final_obs_date]]&lt;(Table2[[#This Row],[estHD]]-2)</f>
        <v>0</v>
      </c>
      <c r="BC103" s="24">
        <f>IF(Table2[[#This Row],[field_fate]]="H",1,0)</f>
        <v>0</v>
      </c>
      <c r="BD103" s="16">
        <f>IF(Table2[[#This Row],[cam_fate2]]="H",1,0)</f>
        <v>0</v>
      </c>
      <c r="BE103" s="6" t="b">
        <f>NOT(Table2[[#This Row],[HF_C]]=Table2[[#This Row],[HF]])</f>
        <v>0</v>
      </c>
      <c r="BF103" s="6" t="b">
        <f>NOT(Table2[[#This Row],[cam_fate2]]=Table2[[#This Row],[field_fate3]])</f>
        <v>1</v>
      </c>
      <c r="BG103" s="6" t="b">
        <f>OR(Table2[[#This Row],[field_fate3]]="U",Table2[[#This Row],[field_fate3]]="U-H")</f>
        <v>0</v>
      </c>
      <c r="BH103" s="8">
        <v>54</v>
      </c>
      <c r="BI103" s="8">
        <v>57</v>
      </c>
      <c r="BJ103" s="14">
        <f>IF(ISTEXT(Table2[[#This Row],[j.cam]]),Table2[[#This Row],[j]],Table2[[#This Row],[j.cam]])</f>
        <v>57</v>
      </c>
      <c r="BK103" s="9">
        <v>63</v>
      </c>
      <c r="BL103" s="15">
        <f>IF(ISTEXT(Table2[[#This Row],[k.cam]]), Table2[[#This Row],[k]], Table2[[#This Row],[k.cam]])</f>
        <v>63</v>
      </c>
      <c r="BM103" s="4" t="s">
        <v>24</v>
      </c>
      <c r="BN103" s="8" t="s">
        <v>24</v>
      </c>
      <c r="BO103" s="4">
        <v>3</v>
      </c>
      <c r="BP103" s="4">
        <f>Table2[[#This Row],[final_obs_date]]-Table2[[#This Row],[i]]</f>
        <v>9</v>
      </c>
      <c r="BQ103" s="4" t="b">
        <f>Table2[[#This Row],[final_obs_date2]]&gt;Table2[[#This Row],[estHD]]+3</f>
        <v>0</v>
      </c>
      <c r="BR103" s="4" t="s">
        <v>123</v>
      </c>
      <c r="BS103" s="4" t="s">
        <v>58</v>
      </c>
      <c r="BT103" s="79" t="s">
        <v>1062</v>
      </c>
      <c r="BU103" s="26" t="s">
        <v>124</v>
      </c>
      <c r="BV103" s="79" t="s">
        <v>1459</v>
      </c>
      <c r="BW103" s="49"/>
      <c r="BX103" s="47"/>
      <c r="BY103" s="36" t="s">
        <v>539</v>
      </c>
    </row>
    <row r="104" spans="1:77" ht="15" hidden="1" thickBot="1" x14ac:dyDescent="0.4">
      <c r="A104" s="62">
        <v>10114</v>
      </c>
      <c r="B104" s="2" t="s">
        <v>122</v>
      </c>
      <c r="C104" s="44">
        <v>2019</v>
      </c>
      <c r="D104" s="3">
        <v>29.757280000000002</v>
      </c>
      <c r="E104" s="3">
        <v>-93.116650000000007</v>
      </c>
      <c r="F104" s="3">
        <v>90</v>
      </c>
      <c r="G104" s="3">
        <v>80</v>
      </c>
      <c r="H104" s="3" t="s">
        <v>26</v>
      </c>
      <c r="I104" s="43"/>
      <c r="J104" s="55">
        <v>55</v>
      </c>
      <c r="K104" s="4">
        <v>55</v>
      </c>
      <c r="L104" s="22">
        <f>IF(ISNUMBER(Table2[[#This Row],[estHD]]),ABS(Table2[[#This Row],[HD]]-Table2[[#This Row],[estHD]]),"NA")</f>
        <v>0</v>
      </c>
      <c r="M104" s="4" t="b">
        <f>Table2[[#This Row],[HD]]=Table2[[#This Row],[estHD]]</f>
        <v>1</v>
      </c>
      <c r="N104" s="4" t="str">
        <f>IF(ISNUMBER([1]!Table2[[#This Row],[hatch_date]]), [1]!Table2[[#This Row],[hatch_date]]-16, "NA")</f>
        <v>NA</v>
      </c>
      <c r="O104" s="31">
        <v>39</v>
      </c>
      <c r="P104" s="23">
        <f>IF(ISNUMBER(Table2[[#This Row],[nest_age1]]),ABS(Table2[[#This Row],[nest_age1]]-Table2[[#This Row],[nest_age_feb]]),"NA")</f>
        <v>2</v>
      </c>
      <c r="Q104" s="24">
        <f>IF(ISNUMBER(Table2[[#This Row],[final_obs_int2]]),ABS(Table2[[#This Row],[final_obs_int2]]-Table2[[#This Row],[final_obs_int_feb]]), "NA")</f>
        <v>1</v>
      </c>
      <c r="R104" s="24"/>
      <c r="S104" s="57" t="s">
        <v>88</v>
      </c>
      <c r="T104" s="57" t="str">
        <f>Table2[[#This Row],[camera_old]]</f>
        <v>N</v>
      </c>
      <c r="U104" s="24"/>
      <c r="V104" s="16" t="s">
        <v>24</v>
      </c>
      <c r="W104" s="16">
        <v>16</v>
      </c>
      <c r="X104" s="145">
        <v>1</v>
      </c>
      <c r="Y104" s="147" t="s">
        <v>37</v>
      </c>
      <c r="Z104" s="146" t="s">
        <v>37</v>
      </c>
      <c r="AA104" s="4" t="str">
        <f>Table2[[#This Row],[field_fate]]</f>
        <v>H</v>
      </c>
      <c r="AB104" s="4" t="str">
        <f>Table2[[#This Row],[field_fate2]]</f>
        <v>H</v>
      </c>
      <c r="AC104" s="4" t="str">
        <f>Table2[[#This Row],[field_fate3]]</f>
        <v>H</v>
      </c>
      <c r="AD104" s="4" t="str">
        <f>Table2[[#This Row],[field_fate4]]</f>
        <v>H</v>
      </c>
      <c r="AE104" s="4" t="str">
        <f>Table2[[#This Row],[field_fate5]]</f>
        <v>H</v>
      </c>
      <c r="AF104" s="4" t="str">
        <f>Table2[[#This Row],[field_fate5]]</f>
        <v>H</v>
      </c>
      <c r="AG104" s="4" t="str">
        <f>Table2[[#This Row],[field_fate5]]</f>
        <v>H</v>
      </c>
      <c r="AH104" s="4" t="str">
        <f>Table2[[#This Row],[field_fate2]]</f>
        <v>H</v>
      </c>
      <c r="AI104" s="4" t="str">
        <f>Table2[[#This Row],[field_fate8]]</f>
        <v>H</v>
      </c>
      <c r="AJ104" s="4" t="str">
        <f>Table2[[#This Row],[field_fate10]]</f>
        <v>H</v>
      </c>
      <c r="AK104" s="4" t="b">
        <f>Table2[[#This Row],[field_fate_feb]]=Table2[[#This Row],[field_fate10]]</f>
        <v>1</v>
      </c>
      <c r="AL104" s="43" t="s">
        <v>24</v>
      </c>
      <c r="AM104" s="43" t="b">
        <f>Table2[[#This Row],[cam_fate2]]="NA"</f>
        <v>1</v>
      </c>
      <c r="AN104" s="19" t="str">
        <f>Table2[[#This Row],[cam_fate1]]</f>
        <v>NA</v>
      </c>
      <c r="AO104" s="2" t="s">
        <v>37</v>
      </c>
      <c r="AP104" s="5" t="str">
        <f>Table2[[#This Row],[final_fate1]]</f>
        <v>H</v>
      </c>
      <c r="AQ104" s="6">
        <v>18</v>
      </c>
      <c r="AR104" s="7">
        <v>18</v>
      </c>
      <c r="AS104" s="7">
        <f>Table2[[#This Row],[final_obs_date]]-Table2[[#This Row],[init_date]]</f>
        <v>18</v>
      </c>
      <c r="AT104" s="7">
        <f>(Table2[[#This Row],[final_obs_date2]]-Table2[[#This Row],[estHD]])+16</f>
        <v>18</v>
      </c>
      <c r="AU104" s="38">
        <v>2</v>
      </c>
      <c r="AV104" s="33">
        <v>2</v>
      </c>
      <c r="AW104" s="33">
        <f>Table2[[#This Row],[final_obs_date2]]-Table2[[#This Row],[pen_obs_date]]</f>
        <v>57</v>
      </c>
      <c r="AX104" s="67">
        <v>57</v>
      </c>
      <c r="AY104" s="6">
        <f>Table2[[#This Row],[final_obs_date]]</f>
        <v>57</v>
      </c>
      <c r="AZ104" s="6"/>
      <c r="BA104" s="91" t="s">
        <v>60</v>
      </c>
      <c r="BB104" s="6" t="b">
        <f>Table2[[#This Row],[final_obs_date]]&lt;(Table2[[#This Row],[estHD]]-2)</f>
        <v>0</v>
      </c>
      <c r="BC104" s="24">
        <f>IF(Table2[[#This Row],[field_fate]]="H",1,0)</f>
        <v>1</v>
      </c>
      <c r="BD104" s="16">
        <f>IF(Table2[[#This Row],[cam_fate2]]="H",1,0)</f>
        <v>0</v>
      </c>
      <c r="BE104" s="6" t="b">
        <f>NOT(Table2[[#This Row],[HF_C]]=Table2[[#This Row],[HF]])</f>
        <v>1</v>
      </c>
      <c r="BF104" s="6" t="b">
        <f>NOT(Table2[[#This Row],[cam_fate2]]=Table2[[#This Row],[field_fate3]])</f>
        <v>1</v>
      </c>
      <c r="BG104" s="6" t="b">
        <f>OR(Table2[[#This Row],[field_fate3]]="U",Table2[[#This Row],[field_fate3]]="U-H")</f>
        <v>0</v>
      </c>
      <c r="BH104" s="8">
        <v>54</v>
      </c>
      <c r="BI104" s="8">
        <v>55</v>
      </c>
      <c r="BJ104" s="14">
        <f>IF(ISTEXT(Table2[[#This Row],[j.cam]]),Table2[[#This Row],[j]],Table2[[#This Row],[j.cam]])</f>
        <v>55</v>
      </c>
      <c r="BK104" s="9">
        <v>55</v>
      </c>
      <c r="BL104" s="15">
        <f>IF(ISTEXT(Table2[[#This Row],[k.cam]]), Table2[[#This Row],[k]], Table2[[#This Row],[k.cam]])</f>
        <v>55</v>
      </c>
      <c r="BM104" s="4" t="s">
        <v>24</v>
      </c>
      <c r="BN104" s="8" t="s">
        <v>24</v>
      </c>
      <c r="BO104" s="4">
        <v>2</v>
      </c>
      <c r="BP104" s="4">
        <f>Table2[[#This Row],[final_obs_date]]-Table2[[#This Row],[i]]</f>
        <v>3</v>
      </c>
      <c r="BQ104" s="4" t="b">
        <f>Table2[[#This Row],[final_obs_date2]]&gt;Table2[[#This Row],[estHD]]+3</f>
        <v>0</v>
      </c>
      <c r="BR104" s="4" t="s">
        <v>123</v>
      </c>
      <c r="BS104" s="4" t="s">
        <v>125</v>
      </c>
      <c r="BT104" s="79" t="s">
        <v>1063</v>
      </c>
      <c r="BU104" s="26" t="s">
        <v>126</v>
      </c>
      <c r="BV104" s="79" t="s">
        <v>1456</v>
      </c>
      <c r="BW104" s="49"/>
      <c r="BX104" s="47"/>
      <c r="BY104" s="36" t="s">
        <v>540</v>
      </c>
    </row>
    <row r="105" spans="1:77" ht="15" hidden="1" thickBot="1" x14ac:dyDescent="0.4">
      <c r="A105" s="62">
        <v>10115</v>
      </c>
      <c r="B105" s="2" t="s">
        <v>122</v>
      </c>
      <c r="C105" s="44">
        <v>2019</v>
      </c>
      <c r="D105" s="3">
        <v>29.756340000000002</v>
      </c>
      <c r="E105" s="3">
        <v>-93.112759999999994</v>
      </c>
      <c r="F105" s="3">
        <v>80</v>
      </c>
      <c r="G105" s="3">
        <v>75</v>
      </c>
      <c r="H105" s="3" t="s">
        <v>26</v>
      </c>
      <c r="I105" s="43"/>
      <c r="J105" s="55">
        <v>70</v>
      </c>
      <c r="K105" s="4">
        <v>72</v>
      </c>
      <c r="L105" s="22">
        <f>IF(ISNUMBER(Table2[[#This Row],[estHD]]),ABS(Table2[[#This Row],[HD]]-Table2[[#This Row],[estHD]]),"NA")</f>
        <v>2</v>
      </c>
      <c r="M105" s="4" t="b">
        <f>Table2[[#This Row],[HD]]=Table2[[#This Row],[estHD]]</f>
        <v>0</v>
      </c>
      <c r="N105" s="4" t="str">
        <f>IF(ISNUMBER([1]!Table2[[#This Row],[hatch_date]]), [1]!Table2[[#This Row],[hatch_date]]-16, "NA")</f>
        <v>NA</v>
      </c>
      <c r="O105" s="31">
        <v>56</v>
      </c>
      <c r="P105" s="23">
        <f>IF(ISNUMBER(Table2[[#This Row],[nest_age1]]),ABS(Table2[[#This Row],[nest_age1]]-Table2[[#This Row],[nest_age_feb]]),"NA")</f>
        <v>2</v>
      </c>
      <c r="Q105" s="25">
        <f>IF(ISNUMBER(Table2[[#This Row],[final_obs_int2]]),ABS(Table2[[#This Row],[final_obs_int2]]-Table2[[#This Row],[final_obs_int_feb]]), "NA")</f>
        <v>5</v>
      </c>
      <c r="R105" s="25"/>
      <c r="S105" s="57" t="s">
        <v>88</v>
      </c>
      <c r="T105" s="57" t="str">
        <f>Table2[[#This Row],[camera_old]]</f>
        <v>N</v>
      </c>
      <c r="U105" s="24"/>
      <c r="V105" s="16" t="s">
        <v>24</v>
      </c>
      <c r="W105" s="16">
        <v>18</v>
      </c>
      <c r="X105" s="145">
        <v>4</v>
      </c>
      <c r="Y105" s="147" t="s">
        <v>37</v>
      </c>
      <c r="Z105" s="146" t="s">
        <v>37</v>
      </c>
      <c r="AA105" s="4" t="str">
        <f>Table2[[#This Row],[field_fate]]</f>
        <v>H</v>
      </c>
      <c r="AB105" s="4" t="str">
        <f>Table2[[#This Row],[field_fate2]]</f>
        <v>H</v>
      </c>
      <c r="AC105" s="4" t="str">
        <f>Table2[[#This Row],[field_fate3]]</f>
        <v>H</v>
      </c>
      <c r="AD105" s="4" t="str">
        <f>Table2[[#This Row],[field_fate4]]</f>
        <v>H</v>
      </c>
      <c r="AE105" s="4" t="str">
        <f>Table2[[#This Row],[field_fate5]]</f>
        <v>H</v>
      </c>
      <c r="AF105" s="4" t="str">
        <f>Table2[[#This Row],[field_fate5]]</f>
        <v>H</v>
      </c>
      <c r="AG105" s="4" t="str">
        <f>Table2[[#This Row],[field_fate5]]</f>
        <v>H</v>
      </c>
      <c r="AH105" s="4" t="str">
        <f>Table2[[#This Row],[field_fate2]]</f>
        <v>H</v>
      </c>
      <c r="AI105" s="4" t="str">
        <f>Table2[[#This Row],[field_fate8]]</f>
        <v>H</v>
      </c>
      <c r="AJ105" s="4" t="str">
        <f>Table2[[#This Row],[field_fate10]]</f>
        <v>H</v>
      </c>
      <c r="AK105" s="4" t="b">
        <f>Table2[[#This Row],[field_fate_feb]]=Table2[[#This Row],[field_fate10]]</f>
        <v>1</v>
      </c>
      <c r="AL105" s="43" t="s">
        <v>24</v>
      </c>
      <c r="AM105" s="43" t="b">
        <f>Table2[[#This Row],[cam_fate2]]="NA"</f>
        <v>1</v>
      </c>
      <c r="AN105" s="19" t="str">
        <f>Table2[[#This Row],[cam_fate1]]</f>
        <v>NA</v>
      </c>
      <c r="AO105" s="2" t="s">
        <v>37</v>
      </c>
      <c r="AP105" s="5" t="str">
        <f>Table2[[#This Row],[final_fate1]]</f>
        <v>H</v>
      </c>
      <c r="AQ105" s="6">
        <v>16</v>
      </c>
      <c r="AR105" s="7">
        <v>18</v>
      </c>
      <c r="AS105" s="7">
        <f>Table2[[#This Row],[final_obs_date]]-Table2[[#This Row],[init_date]]</f>
        <v>16</v>
      </c>
      <c r="AT105" s="7">
        <f>(Table2[[#This Row],[final_obs_date2]]-Table2[[#This Row],[estHD]])+16</f>
        <v>18</v>
      </c>
      <c r="AU105" s="40">
        <v>9</v>
      </c>
      <c r="AV105" s="33">
        <v>9</v>
      </c>
      <c r="AW105" s="33">
        <f>Table2[[#This Row],[final_obs_date2]]-Table2[[#This Row],[pen_obs_date]]</f>
        <v>72</v>
      </c>
      <c r="AX105" s="67">
        <v>72</v>
      </c>
      <c r="AY105" s="6">
        <f>Table2[[#This Row],[final_obs_date]]</f>
        <v>72</v>
      </c>
      <c r="AZ105" s="6"/>
      <c r="BA105" s="91" t="s">
        <v>60</v>
      </c>
      <c r="BB105" s="6" t="b">
        <f>Table2[[#This Row],[final_obs_date]]&lt;(Table2[[#This Row],[estHD]]-2)</f>
        <v>0</v>
      </c>
      <c r="BC105" s="24">
        <f>IF(Table2[[#This Row],[field_fate]]="H",1,0)</f>
        <v>1</v>
      </c>
      <c r="BD105" s="16">
        <f>IF(Table2[[#This Row],[cam_fate2]]="H",1,0)</f>
        <v>0</v>
      </c>
      <c r="BE105" s="6" t="b">
        <f>NOT(Table2[[#This Row],[HF_C]]=Table2[[#This Row],[HF]])</f>
        <v>1</v>
      </c>
      <c r="BF105" s="6" t="b">
        <f>NOT(Table2[[#This Row],[cam_fate2]]=Table2[[#This Row],[field_fate3]])</f>
        <v>1</v>
      </c>
      <c r="BG105" s="6" t="b">
        <f>OR(Table2[[#This Row],[field_fate3]]="U",Table2[[#This Row],[field_fate3]]="U-H")</f>
        <v>0</v>
      </c>
      <c r="BH105" s="8">
        <v>54</v>
      </c>
      <c r="BI105" s="8">
        <v>72</v>
      </c>
      <c r="BJ105" s="14">
        <f>IF(ISTEXT(Table2[[#This Row],[j.cam]]),Table2[[#This Row],[j]],Table2[[#This Row],[j.cam]])</f>
        <v>72</v>
      </c>
      <c r="BK105" s="9">
        <v>72</v>
      </c>
      <c r="BL105" s="15">
        <f>IF(ISTEXT(Table2[[#This Row],[k.cam]]), Table2[[#This Row],[k]], Table2[[#This Row],[k.cam]])</f>
        <v>72</v>
      </c>
      <c r="BM105" s="4" t="s">
        <v>24</v>
      </c>
      <c r="BN105" s="8" t="s">
        <v>24</v>
      </c>
      <c r="BO105" s="4">
        <v>5</v>
      </c>
      <c r="BP105" s="4">
        <f>Table2[[#This Row],[final_obs_date]]-Table2[[#This Row],[i]]</f>
        <v>18</v>
      </c>
      <c r="BQ105" s="4" t="b">
        <f>Table2[[#This Row],[final_obs_date2]]&gt;Table2[[#This Row],[estHD]]+3</f>
        <v>0</v>
      </c>
      <c r="BR105" s="11" t="s">
        <v>62</v>
      </c>
      <c r="BS105" s="4" t="s">
        <v>127</v>
      </c>
      <c r="BT105" s="79" t="s">
        <v>1064</v>
      </c>
      <c r="BU105" s="26" t="s">
        <v>128</v>
      </c>
      <c r="BV105" s="79" t="s">
        <v>1460</v>
      </c>
      <c r="BW105" s="49"/>
      <c r="BX105" s="47"/>
      <c r="BY105" s="36" t="s">
        <v>541</v>
      </c>
    </row>
    <row r="106" spans="1:77" ht="15" hidden="1" thickBot="1" x14ac:dyDescent="0.4">
      <c r="A106" s="62">
        <v>10116</v>
      </c>
      <c r="B106" s="2" t="s">
        <v>30</v>
      </c>
      <c r="C106" s="44">
        <v>2019</v>
      </c>
      <c r="D106" s="3">
        <v>29.637329999999999</v>
      </c>
      <c r="E106" s="3">
        <v>-92.767910000000001</v>
      </c>
      <c r="F106" s="3">
        <v>20</v>
      </c>
      <c r="G106" s="3">
        <v>25</v>
      </c>
      <c r="H106" s="3" t="s">
        <v>26</v>
      </c>
      <c r="I106" s="43"/>
      <c r="J106" s="55">
        <v>83</v>
      </c>
      <c r="K106" s="4">
        <v>83</v>
      </c>
      <c r="L106" s="22">
        <f>IF(ISNUMBER(Table2[[#This Row],[estHD]]),ABS(Table2[[#This Row],[HD]]-Table2[[#This Row],[estHD]]),"NA")</f>
        <v>0</v>
      </c>
      <c r="M106" s="4" t="b">
        <f>Table2[[#This Row],[HD]]=Table2[[#This Row],[estHD]]</f>
        <v>1</v>
      </c>
      <c r="N106" s="4" t="str">
        <f>IF(ISNUMBER([1]!Table2[[#This Row],[hatch_date]]), [1]!Table2[[#This Row],[hatch_date]]-28, "NA")</f>
        <v>NA</v>
      </c>
      <c r="O106" s="31">
        <v>55</v>
      </c>
      <c r="P106" s="23">
        <f>IF(ISNUMBER(Table2[[#This Row],[nest_age1]]),ABS(Table2[[#This Row],[nest_age1]]-Table2[[#This Row],[nest_age_feb]]),"NA")</f>
        <v>0</v>
      </c>
      <c r="Q106" s="24">
        <f>IF(ISNUMBER(Table2[[#This Row],[final_obs_int2]]),ABS(Table2[[#This Row],[final_obs_int2]]-Table2[[#This Row],[final_obs_int_feb]]), "NA")</f>
        <v>0</v>
      </c>
      <c r="R106" s="24"/>
      <c r="S106" s="57" t="s">
        <v>88</v>
      </c>
      <c r="T106" s="57" t="str">
        <f>Table2[[#This Row],[camera_old]]</f>
        <v>N</v>
      </c>
      <c r="U106" s="24"/>
      <c r="V106" s="16" t="s">
        <v>24</v>
      </c>
      <c r="W106" s="16">
        <v>7</v>
      </c>
      <c r="X106" s="145">
        <v>7</v>
      </c>
      <c r="Y106" s="147" t="s">
        <v>25</v>
      </c>
      <c r="Z106" s="146" t="s">
        <v>25</v>
      </c>
      <c r="AA106" s="4" t="str">
        <f>Table2[[#This Row],[field_fate]]</f>
        <v>S</v>
      </c>
      <c r="AB106" s="4" t="str">
        <f>Table2[[#This Row],[field_fate2]]</f>
        <v>S</v>
      </c>
      <c r="AC106" s="4" t="str">
        <f>Table2[[#This Row],[field_fate3]]</f>
        <v>S</v>
      </c>
      <c r="AD106" s="4" t="str">
        <f>Table2[[#This Row],[field_fate4]]</f>
        <v>S</v>
      </c>
      <c r="AE106" s="4" t="str">
        <f>Table2[[#This Row],[field_fate5]]</f>
        <v>S</v>
      </c>
      <c r="AF106" s="4" t="str">
        <f>Table2[[#This Row],[field_fate5]]</f>
        <v>S</v>
      </c>
      <c r="AG106" s="4" t="str">
        <f>Table2[[#This Row],[field_fate5]]</f>
        <v>S</v>
      </c>
      <c r="AH106" s="4" t="str">
        <f>Table2[[#This Row],[field_fate2]]</f>
        <v>S</v>
      </c>
      <c r="AI106" s="4" t="str">
        <f>Table2[[#This Row],[field_fate8]]</f>
        <v>S</v>
      </c>
      <c r="AJ106" s="4" t="str">
        <f>Table2[[#This Row],[field_fate10]]</f>
        <v>S</v>
      </c>
      <c r="AK106" s="4" t="b">
        <f>Table2[[#This Row],[field_fate_feb]]=Table2[[#This Row],[field_fate10]]</f>
        <v>1</v>
      </c>
      <c r="AL106" s="43" t="s">
        <v>24</v>
      </c>
      <c r="AM106" s="43" t="b">
        <f>Table2[[#This Row],[cam_fate2]]="NA"</f>
        <v>1</v>
      </c>
      <c r="AN106" s="19" t="str">
        <f>Table2[[#This Row],[cam_fate1]]</f>
        <v>NA</v>
      </c>
      <c r="AO106" s="2" t="s">
        <v>25</v>
      </c>
      <c r="AP106" s="5" t="str">
        <f>Table2[[#This Row],[final_fate1]]</f>
        <v>S</v>
      </c>
      <c r="AQ106" s="6">
        <v>7</v>
      </c>
      <c r="AR106" s="7">
        <v>7</v>
      </c>
      <c r="AS106" s="7">
        <f>Table2[[#This Row],[final_obs_date]]-Table2[[#This Row],[init_date]]</f>
        <v>7</v>
      </c>
      <c r="AT106" s="7">
        <f>(Table2[[#This Row],[final_obs_date2]]-Table2[[#This Row],[estHD]])+16</f>
        <v>-5</v>
      </c>
      <c r="AU106" s="38">
        <v>7</v>
      </c>
      <c r="AV106" s="33">
        <v>7</v>
      </c>
      <c r="AW106" s="33">
        <f>Table2[[#This Row],[final_obs_date2]]-Table2[[#This Row],[pen_obs_date]]</f>
        <v>62</v>
      </c>
      <c r="AX106" s="67">
        <v>62</v>
      </c>
      <c r="AY106" s="6">
        <f>Table2[[#This Row],[final_obs_date]]</f>
        <v>62</v>
      </c>
      <c r="AZ106" s="6"/>
      <c r="BA106" s="91" t="s">
        <v>23</v>
      </c>
      <c r="BB106" s="6" t="b">
        <f>Table2[[#This Row],[final_obs_date]]&lt;(Table2[[#This Row],[estHD]]-2)</f>
        <v>1</v>
      </c>
      <c r="BC106" s="24">
        <f>IF(Table2[[#This Row],[field_fate]]="H",1,0)</f>
        <v>0</v>
      </c>
      <c r="BD106" s="16">
        <f>IF(Table2[[#This Row],[cam_fate2]]="H",1,0)</f>
        <v>0</v>
      </c>
      <c r="BE106" s="6" t="b">
        <f>NOT(Table2[[#This Row],[HF_C]]=Table2[[#This Row],[HF]])</f>
        <v>0</v>
      </c>
      <c r="BF106" s="6" t="b">
        <f>NOT(Table2[[#This Row],[cam_fate2]]=Table2[[#This Row],[field_fate3]])</f>
        <v>1</v>
      </c>
      <c r="BG106" s="6" t="b">
        <f>OR(Table2[[#This Row],[field_fate3]]="U",Table2[[#This Row],[field_fate3]]="U-H")</f>
        <v>0</v>
      </c>
      <c r="BH106" s="8">
        <v>55</v>
      </c>
      <c r="BI106" s="8">
        <v>55</v>
      </c>
      <c r="BJ106" s="14">
        <f>IF(ISTEXT(Table2[[#This Row],[j.cam]]),Table2[[#This Row],[j]],Table2[[#This Row],[j.cam]])</f>
        <v>55</v>
      </c>
      <c r="BK106" s="9">
        <v>62</v>
      </c>
      <c r="BL106" s="15">
        <f>IF(ISTEXT(Table2[[#This Row],[k.cam]]), Table2[[#This Row],[k]], Table2[[#This Row],[k.cam]])</f>
        <v>62</v>
      </c>
      <c r="BM106" s="4" t="s">
        <v>24</v>
      </c>
      <c r="BN106" s="8" t="s">
        <v>24</v>
      </c>
      <c r="BO106" s="4">
        <v>2</v>
      </c>
      <c r="BP106" s="4">
        <f>Table2[[#This Row],[final_obs_date]]-Table2[[#This Row],[i]]</f>
        <v>7</v>
      </c>
      <c r="BQ106" s="4" t="b">
        <f>Table2[[#This Row],[final_obs_date2]]&gt;Table2[[#This Row],[estHD]]+3</f>
        <v>0</v>
      </c>
      <c r="BR106" s="4" t="s">
        <v>27</v>
      </c>
      <c r="BS106" s="4" t="s">
        <v>28</v>
      </c>
      <c r="BT106" s="79" t="s">
        <v>1065</v>
      </c>
      <c r="BU106" s="26" t="s">
        <v>29</v>
      </c>
      <c r="BV106" s="79" t="s">
        <v>1475</v>
      </c>
      <c r="BW106" s="49"/>
      <c r="BX106" s="47"/>
      <c r="BY106" s="36" t="s">
        <v>542</v>
      </c>
    </row>
    <row r="107" spans="1:77" ht="15" hidden="1" thickBot="1" x14ac:dyDescent="0.4">
      <c r="A107" s="62">
        <v>10117</v>
      </c>
      <c r="B107" s="2" t="s">
        <v>111</v>
      </c>
      <c r="C107" s="44">
        <v>2019</v>
      </c>
      <c r="D107" s="3">
        <v>29.772400000000001</v>
      </c>
      <c r="E107" s="3">
        <v>-93.297489999999996</v>
      </c>
      <c r="F107" s="3">
        <v>0</v>
      </c>
      <c r="G107" s="3">
        <v>0</v>
      </c>
      <c r="H107" s="3" t="s">
        <v>26</v>
      </c>
      <c r="I107" s="43"/>
      <c r="J107" s="55">
        <v>82</v>
      </c>
      <c r="K107" s="4">
        <v>82</v>
      </c>
      <c r="L107" s="22">
        <f>IF(ISNUMBER(Table2[[#This Row],[estHD]]),ABS(Table2[[#This Row],[HD]]-Table2[[#This Row],[estHD]]),"NA")</f>
        <v>0</v>
      </c>
      <c r="M107" s="4" t="b">
        <f>Table2[[#This Row],[HD]]=Table2[[#This Row],[estHD]]</f>
        <v>1</v>
      </c>
      <c r="N107" s="4" t="str">
        <f>IF(ISNUMBER([1]!Table2[[#This Row],[hatch_date]]),[1]!Table2[[#This Row],[hatch_date]]-19,"NA")</f>
        <v>NA</v>
      </c>
      <c r="O107" s="31">
        <v>63</v>
      </c>
      <c r="P107" s="23">
        <f>IF(ISNUMBER(Table2[[#This Row],[nest_age1]]),ABS(Table2[[#This Row],[nest_age1]]-Table2[[#This Row],[nest_age_feb]]),"NA")</f>
        <v>0</v>
      </c>
      <c r="Q107" s="24">
        <f>IF(ISNUMBER(Table2[[#This Row],[final_obs_int2]]),ABS(Table2[[#This Row],[final_obs_int2]]-Table2[[#This Row],[final_obs_int_feb]]), "NA")</f>
        <v>0</v>
      </c>
      <c r="R107" s="24"/>
      <c r="S107" s="57" t="s">
        <v>88</v>
      </c>
      <c r="T107" s="57" t="str">
        <f>Table2[[#This Row],[camera_old]]</f>
        <v>N</v>
      </c>
      <c r="U107" s="24"/>
      <c r="V107" s="16" t="s">
        <v>24</v>
      </c>
      <c r="W107" s="16">
        <v>20</v>
      </c>
      <c r="X107" s="145">
        <v>5</v>
      </c>
      <c r="Y107" s="147" t="s">
        <v>36</v>
      </c>
      <c r="Z107" s="146" t="s">
        <v>36</v>
      </c>
      <c r="AA107" s="4" t="str">
        <f>Table2[[#This Row],[field_fate]]</f>
        <v>A</v>
      </c>
      <c r="AB107" s="4" t="str">
        <f>Table2[[#This Row],[field_fate2]]</f>
        <v>A</v>
      </c>
      <c r="AC107" s="4" t="str">
        <f>Table2[[#This Row],[field_fate3]]</f>
        <v>A</v>
      </c>
      <c r="AD107" s="4" t="str">
        <f>Table2[[#This Row],[field_fate4]]</f>
        <v>A</v>
      </c>
      <c r="AE107" s="4" t="str">
        <f>Table2[[#This Row],[field_fate5]]</f>
        <v>A</v>
      </c>
      <c r="AF107" s="4" t="str">
        <f>Table2[[#This Row],[field_fate5]]</f>
        <v>A</v>
      </c>
      <c r="AG107" s="4" t="str">
        <f>Table2[[#This Row],[field_fate5]]</f>
        <v>A</v>
      </c>
      <c r="AH107" s="4" t="str">
        <f>Table2[[#This Row],[field_fate2]]</f>
        <v>A</v>
      </c>
      <c r="AI107" s="4" t="str">
        <f>Table2[[#This Row],[field_fate8]]</f>
        <v>A</v>
      </c>
      <c r="AJ107" s="4" t="str">
        <f>Table2[[#This Row],[field_fate10]]</f>
        <v>A</v>
      </c>
      <c r="AK107" s="4" t="b">
        <f>Table2[[#This Row],[field_fate_feb]]=Table2[[#This Row],[field_fate10]]</f>
        <v>1</v>
      </c>
      <c r="AL107" s="43" t="s">
        <v>24</v>
      </c>
      <c r="AM107" s="43" t="b">
        <f>Table2[[#This Row],[cam_fate2]]="NA"</f>
        <v>1</v>
      </c>
      <c r="AN107" s="19" t="str">
        <f>Table2[[#This Row],[cam_fate1]]</f>
        <v>NA</v>
      </c>
      <c r="AO107" s="2" t="s">
        <v>36</v>
      </c>
      <c r="AP107" s="5" t="str">
        <f>Table2[[#This Row],[final_fate1]]</f>
        <v>A</v>
      </c>
      <c r="AQ107" s="6">
        <v>20</v>
      </c>
      <c r="AR107" s="7">
        <v>20</v>
      </c>
      <c r="AS107" s="7">
        <f>Table2[[#This Row],[final_obs_date]]-Table2[[#This Row],[init_date]]</f>
        <v>20</v>
      </c>
      <c r="AT107" s="7">
        <f>(Table2[[#This Row],[final_obs_date2]]-Table2[[#This Row],[estHD]])+16</f>
        <v>17</v>
      </c>
      <c r="AU107" s="38">
        <v>5</v>
      </c>
      <c r="AV107" s="33">
        <v>5</v>
      </c>
      <c r="AW107" s="33">
        <f>Table2[[#This Row],[final_obs_date2]]-Table2[[#This Row],[pen_obs_date]]</f>
        <v>83</v>
      </c>
      <c r="AX107" s="67">
        <v>83</v>
      </c>
      <c r="AY107" s="6">
        <f>Table2[[#This Row],[final_obs_date]]</f>
        <v>83</v>
      </c>
      <c r="AZ107" s="6"/>
      <c r="BA107" s="91" t="s">
        <v>47</v>
      </c>
      <c r="BB107" s="6" t="b">
        <f>Table2[[#This Row],[final_obs_date]]&lt;(Table2[[#This Row],[estHD]]-2)</f>
        <v>0</v>
      </c>
      <c r="BC107" s="24">
        <f>IF(Table2[[#This Row],[field_fate]]="H",1,0)</f>
        <v>0</v>
      </c>
      <c r="BD107" s="16">
        <f>IF(Table2[[#This Row],[cam_fate2]]="H",1,0)</f>
        <v>0</v>
      </c>
      <c r="BE107" s="6" t="b">
        <f>NOT(Table2[[#This Row],[HF_C]]=Table2[[#This Row],[HF]])</f>
        <v>0</v>
      </c>
      <c r="BF107" s="6" t="b">
        <f>NOT(Table2[[#This Row],[cam_fate2]]=Table2[[#This Row],[field_fate3]])</f>
        <v>1</v>
      </c>
      <c r="BG107" s="6" t="b">
        <f>OR(Table2[[#This Row],[field_fate3]]="U",Table2[[#This Row],[field_fate3]]="U-H")</f>
        <v>0</v>
      </c>
      <c r="BH107" s="8">
        <v>61</v>
      </c>
      <c r="BI107" s="8">
        <v>78</v>
      </c>
      <c r="BJ107" s="14">
        <f>IF(ISTEXT(Table2[[#This Row],[j.cam]]),Table2[[#This Row],[j]],Table2[[#This Row],[j.cam]])</f>
        <v>78</v>
      </c>
      <c r="BK107" s="9">
        <v>83</v>
      </c>
      <c r="BL107" s="15">
        <f>IF(ISTEXT(Table2[[#This Row],[k.cam]]), Table2[[#This Row],[k]], Table2[[#This Row],[k.cam]])</f>
        <v>83</v>
      </c>
      <c r="BM107" s="4" t="s">
        <v>24</v>
      </c>
      <c r="BN107" s="8" t="s">
        <v>24</v>
      </c>
      <c r="BO107" s="4">
        <v>6</v>
      </c>
      <c r="BP107" s="4">
        <f>Table2[[#This Row],[final_obs_date]]-Table2[[#This Row],[i]]</f>
        <v>22</v>
      </c>
      <c r="BQ107" s="4" t="b">
        <f>Table2[[#This Row],[final_obs_date2]]&gt;Table2[[#This Row],[estHD]]+3</f>
        <v>0</v>
      </c>
      <c r="BR107" s="4" t="s">
        <v>123</v>
      </c>
      <c r="BS107" s="4" t="s">
        <v>51</v>
      </c>
      <c r="BT107" s="79" t="s">
        <v>1066</v>
      </c>
      <c r="BU107" s="26" t="s">
        <v>129</v>
      </c>
      <c r="BV107" s="79" t="s">
        <v>1476</v>
      </c>
      <c r="BW107" s="49"/>
      <c r="BX107" s="47"/>
      <c r="BY107" s="36" t="s">
        <v>24</v>
      </c>
    </row>
    <row r="108" spans="1:77" ht="15" hidden="1" thickBot="1" x14ac:dyDescent="0.4">
      <c r="A108" s="62">
        <v>10118</v>
      </c>
      <c r="B108" s="2" t="s">
        <v>111</v>
      </c>
      <c r="C108" s="44">
        <v>2019</v>
      </c>
      <c r="D108" s="3">
        <v>29.772349999999999</v>
      </c>
      <c r="E108" s="3">
        <v>-93.297830000000005</v>
      </c>
      <c r="F108" s="3">
        <v>0</v>
      </c>
      <c r="G108" s="3">
        <v>0</v>
      </c>
      <c r="H108" s="3" t="s">
        <v>26</v>
      </c>
      <c r="I108" s="43"/>
      <c r="J108" s="55">
        <v>81</v>
      </c>
      <c r="K108" s="4">
        <v>81</v>
      </c>
      <c r="L108" s="22">
        <f>IF(ISNUMBER(Table2[[#This Row],[estHD]]),ABS(Table2[[#This Row],[HD]]-Table2[[#This Row],[estHD]]),"NA")</f>
        <v>0</v>
      </c>
      <c r="M108" s="4" t="b">
        <f>Table2[[#This Row],[HD]]=Table2[[#This Row],[estHD]]</f>
        <v>1</v>
      </c>
      <c r="N108" s="4" t="str">
        <f>IF(ISNUMBER([1]!Table2[[#This Row],[hatch_date]]),[1]!Table2[[#This Row],[hatch_date]]-19,"NA")</f>
        <v>NA</v>
      </c>
      <c r="O108" s="31">
        <v>62</v>
      </c>
      <c r="P108" s="23">
        <f>IF(ISNUMBER(Table2[[#This Row],[nest_age1]]),ABS(Table2[[#This Row],[nest_age1]]-Table2[[#This Row],[nest_age_feb]]),"NA")</f>
        <v>0</v>
      </c>
      <c r="Q108" s="24">
        <f>IF(ISNUMBER(Table2[[#This Row],[final_obs_int2]]),ABS(Table2[[#This Row],[final_obs_int2]]-Table2[[#This Row],[final_obs_int_feb]]), "NA")</f>
        <v>0</v>
      </c>
      <c r="R108" s="24"/>
      <c r="S108" s="57" t="s">
        <v>88</v>
      </c>
      <c r="T108" s="57" t="str">
        <f>Table2[[#This Row],[camera_old]]</f>
        <v>N</v>
      </c>
      <c r="U108" s="24"/>
      <c r="V108" s="16" t="s">
        <v>24</v>
      </c>
      <c r="W108" s="16">
        <v>7</v>
      </c>
      <c r="X108" s="145">
        <v>2</v>
      </c>
      <c r="Y108" s="147" t="s">
        <v>25</v>
      </c>
      <c r="Z108" s="146" t="s">
        <v>25</v>
      </c>
      <c r="AA108" s="4" t="str">
        <f>Table2[[#This Row],[field_fate]]</f>
        <v>S</v>
      </c>
      <c r="AB108" s="4" t="str">
        <f>Table2[[#This Row],[field_fate2]]</f>
        <v>S</v>
      </c>
      <c r="AC108" s="4" t="str">
        <f>Table2[[#This Row],[field_fate3]]</f>
        <v>S</v>
      </c>
      <c r="AD108" s="4" t="str">
        <f>Table2[[#This Row],[field_fate4]]</f>
        <v>S</v>
      </c>
      <c r="AE108" s="4" t="str">
        <f>Table2[[#This Row],[field_fate5]]</f>
        <v>S</v>
      </c>
      <c r="AF108" s="4" t="str">
        <f>Table2[[#This Row],[field_fate5]]</f>
        <v>S</v>
      </c>
      <c r="AG108" s="4" t="str">
        <f>Table2[[#This Row],[field_fate5]]</f>
        <v>S</v>
      </c>
      <c r="AH108" s="4" t="str">
        <f>Table2[[#This Row],[field_fate2]]</f>
        <v>S</v>
      </c>
      <c r="AI108" s="4" t="str">
        <f>Table2[[#This Row],[field_fate8]]</f>
        <v>S</v>
      </c>
      <c r="AJ108" s="4" t="str">
        <f>Table2[[#This Row],[field_fate10]]</f>
        <v>S</v>
      </c>
      <c r="AK108" s="4" t="b">
        <f>Table2[[#This Row],[field_fate_feb]]=Table2[[#This Row],[field_fate10]]</f>
        <v>1</v>
      </c>
      <c r="AL108" s="43" t="s">
        <v>24</v>
      </c>
      <c r="AM108" s="43" t="b">
        <f>Table2[[#This Row],[cam_fate2]]="NA"</f>
        <v>1</v>
      </c>
      <c r="AN108" s="19" t="str">
        <f>Table2[[#This Row],[cam_fate1]]</f>
        <v>NA</v>
      </c>
      <c r="AO108" s="2" t="s">
        <v>25</v>
      </c>
      <c r="AP108" s="5" t="str">
        <f>Table2[[#This Row],[final_fate1]]</f>
        <v>S</v>
      </c>
      <c r="AQ108" s="6">
        <v>7</v>
      </c>
      <c r="AR108" s="7">
        <v>7</v>
      </c>
      <c r="AS108" s="7">
        <f>Table2[[#This Row],[final_obs_date]]-Table2[[#This Row],[init_date]]</f>
        <v>7</v>
      </c>
      <c r="AT108" s="7">
        <f>(Table2[[#This Row],[final_obs_date2]]-Table2[[#This Row],[estHD]])+16</f>
        <v>4</v>
      </c>
      <c r="AU108" s="38">
        <v>2</v>
      </c>
      <c r="AV108" s="33">
        <v>2</v>
      </c>
      <c r="AW108" s="33">
        <f>Table2[[#This Row],[final_obs_date2]]-Table2[[#This Row],[pen_obs_date]]</f>
        <v>69</v>
      </c>
      <c r="AX108" s="67">
        <v>69</v>
      </c>
      <c r="AY108" s="6">
        <f>Table2[[#This Row],[final_obs_date]]</f>
        <v>69</v>
      </c>
      <c r="AZ108" s="6"/>
      <c r="BA108" s="91" t="s">
        <v>47</v>
      </c>
      <c r="BB108" s="6" t="b">
        <f>Table2[[#This Row],[final_obs_date]]&lt;(Table2[[#This Row],[estHD]]-2)</f>
        <v>1</v>
      </c>
      <c r="BC108" s="24">
        <f>IF(Table2[[#This Row],[field_fate]]="H",1,0)</f>
        <v>0</v>
      </c>
      <c r="BD108" s="16">
        <f>IF(Table2[[#This Row],[cam_fate2]]="H",1,0)</f>
        <v>0</v>
      </c>
      <c r="BE108" s="6" t="b">
        <f>NOT(Table2[[#This Row],[HF_C]]=Table2[[#This Row],[HF]])</f>
        <v>0</v>
      </c>
      <c r="BF108" s="6" t="b">
        <f>NOT(Table2[[#This Row],[cam_fate2]]=Table2[[#This Row],[field_fate3]])</f>
        <v>1</v>
      </c>
      <c r="BG108" s="6" t="b">
        <f>OR(Table2[[#This Row],[field_fate3]]="U",Table2[[#This Row],[field_fate3]]="U-H")</f>
        <v>0</v>
      </c>
      <c r="BH108" s="8">
        <v>61</v>
      </c>
      <c r="BI108" s="8">
        <v>67</v>
      </c>
      <c r="BJ108" s="14">
        <f>IF(ISTEXT(Table2[[#This Row],[j.cam]]),Table2[[#This Row],[j]],Table2[[#This Row],[j.cam]])</f>
        <v>67</v>
      </c>
      <c r="BK108" s="9">
        <v>69</v>
      </c>
      <c r="BL108" s="15">
        <f>IF(ISTEXT(Table2[[#This Row],[k.cam]]), Table2[[#This Row],[k]], Table2[[#This Row],[k.cam]])</f>
        <v>69</v>
      </c>
      <c r="BM108" s="4" t="s">
        <v>24</v>
      </c>
      <c r="BN108" s="8" t="s">
        <v>24</v>
      </c>
      <c r="BO108" s="4">
        <v>3</v>
      </c>
      <c r="BP108" s="4">
        <f>Table2[[#This Row],[final_obs_date]]-Table2[[#This Row],[i]]</f>
        <v>8</v>
      </c>
      <c r="BQ108" s="4" t="b">
        <f>Table2[[#This Row],[final_obs_date2]]&gt;Table2[[#This Row],[estHD]]+3</f>
        <v>0</v>
      </c>
      <c r="BR108" s="4" t="s">
        <v>33</v>
      </c>
      <c r="BS108" s="4" t="s">
        <v>28</v>
      </c>
      <c r="BT108" s="79" t="s">
        <v>1067</v>
      </c>
      <c r="BU108" s="26" t="s">
        <v>130</v>
      </c>
      <c r="BV108" s="79" t="s">
        <v>1477</v>
      </c>
      <c r="BW108" s="49"/>
      <c r="BX108" s="47"/>
      <c r="BY108" s="36" t="s">
        <v>543</v>
      </c>
    </row>
    <row r="109" spans="1:77" ht="15" hidden="1" thickBot="1" x14ac:dyDescent="0.4">
      <c r="A109" s="62">
        <v>10119</v>
      </c>
      <c r="B109" s="2" t="s">
        <v>111</v>
      </c>
      <c r="C109" s="44">
        <v>2019</v>
      </c>
      <c r="D109" s="3">
        <v>29.77186</v>
      </c>
      <c r="E109" s="3">
        <v>-93.300470000000004</v>
      </c>
      <c r="F109" s="3">
        <v>0</v>
      </c>
      <c r="G109" s="3">
        <v>0</v>
      </c>
      <c r="H109" s="3" t="s">
        <v>26</v>
      </c>
      <c r="I109" s="43"/>
      <c r="J109" s="55">
        <v>71</v>
      </c>
      <c r="K109" s="4">
        <v>71</v>
      </c>
      <c r="L109" s="22">
        <f>IF(ISNUMBER(Table2[[#This Row],[estHD]]),ABS(Table2[[#This Row],[HD]]-Table2[[#This Row],[estHD]]),"NA")</f>
        <v>0</v>
      </c>
      <c r="M109" s="4" t="b">
        <f>Table2[[#This Row],[HD]]=Table2[[#This Row],[estHD]]</f>
        <v>1</v>
      </c>
      <c r="N109" s="4" t="str">
        <f>IF(ISNUMBER([1]!Table2[[#This Row],[hatch_date]]),[1]!Table2[[#This Row],[hatch_date]]-19,"NA")</f>
        <v>NA</v>
      </c>
      <c r="O109" s="31">
        <v>52</v>
      </c>
      <c r="P109" s="23">
        <f>IF(ISNUMBER(Table2[[#This Row],[nest_age1]]),ABS(Table2[[#This Row],[nest_age1]]-Table2[[#This Row],[nest_age_feb]]),"NA")</f>
        <v>0</v>
      </c>
      <c r="Q109" s="24">
        <f>IF(ISNUMBER(Table2[[#This Row],[final_obs_int2]]),ABS(Table2[[#This Row],[final_obs_int2]]-Table2[[#This Row],[final_obs_int_feb]]), "NA")</f>
        <v>0</v>
      </c>
      <c r="R109" s="24"/>
      <c r="S109" s="57" t="s">
        <v>88</v>
      </c>
      <c r="T109" s="57" t="str">
        <f>Table2[[#This Row],[camera_old]]</f>
        <v>N</v>
      </c>
      <c r="U109" s="24"/>
      <c r="V109" s="16" t="s">
        <v>24</v>
      </c>
      <c r="W109" s="16">
        <v>17</v>
      </c>
      <c r="X109" s="145">
        <v>2</v>
      </c>
      <c r="Y109" s="147" t="s">
        <v>25</v>
      </c>
      <c r="Z109" s="146" t="s">
        <v>25</v>
      </c>
      <c r="AA109" s="4" t="str">
        <f>Table2[[#This Row],[field_fate]]</f>
        <v>S</v>
      </c>
      <c r="AB109" s="4" t="str">
        <f>Table2[[#This Row],[field_fate2]]</f>
        <v>S</v>
      </c>
      <c r="AC109" s="4" t="str">
        <f>Table2[[#This Row],[field_fate3]]</f>
        <v>S</v>
      </c>
      <c r="AD109" s="4" t="str">
        <f>Table2[[#This Row],[field_fate4]]</f>
        <v>S</v>
      </c>
      <c r="AE109" s="4" t="str">
        <f>Table2[[#This Row],[field_fate5]]</f>
        <v>S</v>
      </c>
      <c r="AF109" s="4" t="str">
        <f>Table2[[#This Row],[field_fate5]]</f>
        <v>S</v>
      </c>
      <c r="AG109" s="4" t="str">
        <f>Table2[[#This Row],[field_fate5]]</f>
        <v>S</v>
      </c>
      <c r="AH109" s="4" t="str">
        <f>Table2[[#This Row],[field_fate2]]</f>
        <v>S</v>
      </c>
      <c r="AI109" s="4" t="str">
        <f>Table2[[#This Row],[field_fate8]]</f>
        <v>S</v>
      </c>
      <c r="AJ109" s="4" t="str">
        <f>Table2[[#This Row],[field_fate10]]</f>
        <v>S</v>
      </c>
      <c r="AK109" s="4" t="b">
        <f>Table2[[#This Row],[field_fate_feb]]=Table2[[#This Row],[field_fate10]]</f>
        <v>1</v>
      </c>
      <c r="AL109" s="43" t="s">
        <v>24</v>
      </c>
      <c r="AM109" s="43" t="b">
        <f>Table2[[#This Row],[cam_fate2]]="NA"</f>
        <v>1</v>
      </c>
      <c r="AN109" s="19" t="str">
        <f>Table2[[#This Row],[cam_fate1]]</f>
        <v>NA</v>
      </c>
      <c r="AO109" s="2" t="s">
        <v>25</v>
      </c>
      <c r="AP109" s="5" t="str">
        <f>Table2[[#This Row],[final_fate1]]</f>
        <v>S</v>
      </c>
      <c r="AQ109" s="6">
        <v>17</v>
      </c>
      <c r="AR109" s="7">
        <v>17</v>
      </c>
      <c r="AS109" s="7">
        <f>Table2[[#This Row],[final_obs_date]]-Table2[[#This Row],[init_date]]</f>
        <v>17</v>
      </c>
      <c r="AT109" s="7">
        <f>(Table2[[#This Row],[final_obs_date2]]-Table2[[#This Row],[estHD]])+16</f>
        <v>14</v>
      </c>
      <c r="AU109" s="38">
        <v>2</v>
      </c>
      <c r="AV109" s="33">
        <v>2</v>
      </c>
      <c r="AW109" s="33">
        <f>Table2[[#This Row],[final_obs_date2]]-Table2[[#This Row],[pen_obs_date]]</f>
        <v>69</v>
      </c>
      <c r="AX109" s="67">
        <v>69</v>
      </c>
      <c r="AY109" s="6">
        <f>Table2[[#This Row],[final_obs_date]]</f>
        <v>69</v>
      </c>
      <c r="AZ109" s="6"/>
      <c r="BA109" s="91" t="s">
        <v>47</v>
      </c>
      <c r="BB109" s="6" t="b">
        <f>Table2[[#This Row],[final_obs_date]]&lt;(Table2[[#This Row],[estHD]]-2)</f>
        <v>0</v>
      </c>
      <c r="BC109" s="24">
        <f>IF(Table2[[#This Row],[field_fate]]="H",1,0)</f>
        <v>0</v>
      </c>
      <c r="BD109" s="16">
        <f>IF(Table2[[#This Row],[cam_fate2]]="H",1,0)</f>
        <v>0</v>
      </c>
      <c r="BE109" s="6" t="b">
        <f>NOT(Table2[[#This Row],[HF_C]]=Table2[[#This Row],[HF]])</f>
        <v>0</v>
      </c>
      <c r="BF109" s="6" t="b">
        <f>NOT(Table2[[#This Row],[cam_fate2]]=Table2[[#This Row],[field_fate3]])</f>
        <v>1</v>
      </c>
      <c r="BG109" s="6" t="b">
        <f>OR(Table2[[#This Row],[field_fate3]]="U",Table2[[#This Row],[field_fate3]]="U-H")</f>
        <v>0</v>
      </c>
      <c r="BH109" s="8">
        <v>61</v>
      </c>
      <c r="BI109" s="8">
        <v>67</v>
      </c>
      <c r="BJ109" s="14">
        <f>IF(ISTEXT(Table2[[#This Row],[j.cam]]),Table2[[#This Row],[j]],Table2[[#This Row],[j.cam]])</f>
        <v>67</v>
      </c>
      <c r="BK109" s="9">
        <v>69</v>
      </c>
      <c r="BL109" s="15">
        <f>IF(ISTEXT(Table2[[#This Row],[k.cam]]), Table2[[#This Row],[k]], Table2[[#This Row],[k.cam]])</f>
        <v>69</v>
      </c>
      <c r="BM109" s="4" t="s">
        <v>24</v>
      </c>
      <c r="BN109" s="8" t="s">
        <v>24</v>
      </c>
      <c r="BO109" s="4">
        <v>3</v>
      </c>
      <c r="BP109" s="4">
        <f>Table2[[#This Row],[final_obs_date]]-Table2[[#This Row],[i]]</f>
        <v>8</v>
      </c>
      <c r="BQ109" s="4" t="b">
        <f>Table2[[#This Row],[final_obs_date2]]&gt;Table2[[#This Row],[estHD]]+3</f>
        <v>0</v>
      </c>
      <c r="BR109" s="4" t="s">
        <v>33</v>
      </c>
      <c r="BS109" s="4" t="s">
        <v>28</v>
      </c>
      <c r="BT109" s="79" t="s">
        <v>1067</v>
      </c>
      <c r="BU109" s="26" t="s">
        <v>64</v>
      </c>
      <c r="BV109" s="79" t="s">
        <v>1477</v>
      </c>
      <c r="BW109" s="49"/>
      <c r="BX109" s="47"/>
      <c r="BY109" s="36" t="s">
        <v>543</v>
      </c>
    </row>
    <row r="110" spans="1:77" ht="15" hidden="1" thickBot="1" x14ac:dyDescent="0.4">
      <c r="A110" s="62">
        <v>10120</v>
      </c>
      <c r="B110" s="2" t="s">
        <v>111</v>
      </c>
      <c r="C110" s="44">
        <v>2019</v>
      </c>
      <c r="D110" s="3">
        <v>29.77186</v>
      </c>
      <c r="E110" s="3">
        <v>-93.301100000000005</v>
      </c>
      <c r="F110" s="3">
        <v>0</v>
      </c>
      <c r="G110" s="3">
        <v>0</v>
      </c>
      <c r="H110" s="3" t="s">
        <v>26</v>
      </c>
      <c r="I110" s="43"/>
      <c r="J110" s="55">
        <v>87</v>
      </c>
      <c r="K110" s="4">
        <v>87</v>
      </c>
      <c r="L110" s="22">
        <f>IF(ISNUMBER(Table2[[#This Row],[estHD]]),ABS(Table2[[#This Row],[HD]]-Table2[[#This Row],[estHD]]),"NA")</f>
        <v>0</v>
      </c>
      <c r="M110" s="4" t="b">
        <f>Table2[[#This Row],[HD]]=Table2[[#This Row],[estHD]]</f>
        <v>1</v>
      </c>
      <c r="N110" s="4" t="str">
        <f>IF(ISNUMBER([1]!Table2[[#This Row],[hatch_date]]), [1]!Table2[[#This Row],[hatch_date]]-28, "NA")</f>
        <v>NA</v>
      </c>
      <c r="O110" s="31">
        <v>59</v>
      </c>
      <c r="P110" s="23">
        <f>IF(ISNUMBER(Table2[[#This Row],[nest_age1]]),ABS(Table2[[#This Row],[nest_age1]]-Table2[[#This Row],[nest_age_feb]]),"NA")</f>
        <v>0</v>
      </c>
      <c r="Q110" s="24">
        <f>IF(ISNUMBER(Table2[[#This Row],[final_obs_int2]]),ABS(Table2[[#This Row],[final_obs_int2]]-Table2[[#This Row],[final_obs_int_feb]]), "NA")</f>
        <v>0</v>
      </c>
      <c r="R110" s="24"/>
      <c r="S110" s="57" t="s">
        <v>88</v>
      </c>
      <c r="T110" s="57" t="str">
        <f>Table2[[#This Row],[camera_old]]</f>
        <v>N</v>
      </c>
      <c r="U110" s="24"/>
      <c r="V110" s="16" t="s">
        <v>24</v>
      </c>
      <c r="W110" s="16">
        <v>19</v>
      </c>
      <c r="X110" s="145">
        <v>5</v>
      </c>
      <c r="Y110" s="147" t="s">
        <v>48</v>
      </c>
      <c r="Z110" s="146" t="s">
        <v>48</v>
      </c>
      <c r="AA110" s="4" t="str">
        <f>Table2[[#This Row],[field_fate]]</f>
        <v>F</v>
      </c>
      <c r="AB110" s="4" t="str">
        <f>Table2[[#This Row],[field_fate2]]</f>
        <v>F</v>
      </c>
      <c r="AC110" s="4" t="str">
        <f>Table2[[#This Row],[field_fate3]]</f>
        <v>F</v>
      </c>
      <c r="AD110" s="4" t="str">
        <f>Table2[[#This Row],[field_fate4]]</f>
        <v>F</v>
      </c>
      <c r="AE110" s="4" t="str">
        <f>Table2[[#This Row],[field_fate5]]</f>
        <v>F</v>
      </c>
      <c r="AF110" s="4" t="str">
        <f>Table2[[#This Row],[field_fate5]]</f>
        <v>F</v>
      </c>
      <c r="AG110" s="4" t="str">
        <f>Table2[[#This Row],[field_fate5]]</f>
        <v>F</v>
      </c>
      <c r="AH110" s="4" t="str">
        <f>Table2[[#This Row],[field_fate2]]</f>
        <v>F</v>
      </c>
      <c r="AI110" s="4" t="str">
        <f>Table2[[#This Row],[field_fate8]]</f>
        <v>F</v>
      </c>
      <c r="AJ110" s="4" t="str">
        <f>Table2[[#This Row],[field_fate10]]</f>
        <v>F</v>
      </c>
      <c r="AK110" s="4" t="b">
        <f>Table2[[#This Row],[field_fate_feb]]=Table2[[#This Row],[field_fate10]]</f>
        <v>1</v>
      </c>
      <c r="AL110" s="43" t="s">
        <v>24</v>
      </c>
      <c r="AM110" s="43" t="b">
        <f>Table2[[#This Row],[cam_fate2]]="NA"</f>
        <v>1</v>
      </c>
      <c r="AN110" s="19" t="str">
        <f>Table2[[#This Row],[cam_fate1]]</f>
        <v>NA</v>
      </c>
      <c r="AO110" s="2" t="s">
        <v>48</v>
      </c>
      <c r="AP110" s="5" t="str">
        <f>Table2[[#This Row],[final_fate1]]</f>
        <v>F</v>
      </c>
      <c r="AQ110" s="6">
        <v>19</v>
      </c>
      <c r="AR110" s="7">
        <v>19</v>
      </c>
      <c r="AS110" s="7">
        <f>Table2[[#This Row],[final_obs_date]]-Table2[[#This Row],[init_date]]</f>
        <v>19</v>
      </c>
      <c r="AT110" s="7">
        <f>(Table2[[#This Row],[final_obs_date2]]-Table2[[#This Row],[estHD]])+16</f>
        <v>7</v>
      </c>
      <c r="AU110" s="38">
        <v>5</v>
      </c>
      <c r="AV110" s="33">
        <v>5</v>
      </c>
      <c r="AW110" s="33">
        <f>Table2[[#This Row],[final_obs_date2]]-Table2[[#This Row],[pen_obs_date]]</f>
        <v>78</v>
      </c>
      <c r="AX110" s="67">
        <v>78</v>
      </c>
      <c r="AY110" s="6">
        <f>Table2[[#This Row],[final_obs_date]]</f>
        <v>78</v>
      </c>
      <c r="AZ110" s="6"/>
      <c r="BA110" s="91" t="s">
        <v>23</v>
      </c>
      <c r="BB110" s="6" t="b">
        <f>Table2[[#This Row],[final_obs_date]]&lt;(Table2[[#This Row],[estHD]]-2)</f>
        <v>1</v>
      </c>
      <c r="BC110" s="24">
        <f>IF(Table2[[#This Row],[field_fate]]="H",1,0)</f>
        <v>0</v>
      </c>
      <c r="BD110" s="16">
        <f>IF(Table2[[#This Row],[cam_fate2]]="H",1,0)</f>
        <v>0</v>
      </c>
      <c r="BE110" s="6" t="b">
        <f>NOT(Table2[[#This Row],[HF_C]]=Table2[[#This Row],[HF]])</f>
        <v>0</v>
      </c>
      <c r="BF110" s="6" t="b">
        <f>NOT(Table2[[#This Row],[cam_fate2]]=Table2[[#This Row],[field_fate3]])</f>
        <v>1</v>
      </c>
      <c r="BG110" s="6" t="b">
        <f>OR(Table2[[#This Row],[field_fate3]]="U",Table2[[#This Row],[field_fate3]]="U-H")</f>
        <v>0</v>
      </c>
      <c r="BH110" s="8">
        <v>61</v>
      </c>
      <c r="BI110" s="8">
        <v>73</v>
      </c>
      <c r="BJ110" s="14">
        <f>IF(ISTEXT(Table2[[#This Row],[j.cam]]),Table2[[#This Row],[j]],Table2[[#This Row],[j.cam]])</f>
        <v>73</v>
      </c>
      <c r="BK110" s="9">
        <v>78</v>
      </c>
      <c r="BL110" s="15">
        <f>IF(ISTEXT(Table2[[#This Row],[k.cam]]), Table2[[#This Row],[k]], Table2[[#This Row],[k.cam]])</f>
        <v>78</v>
      </c>
      <c r="BM110" s="4" t="s">
        <v>24</v>
      </c>
      <c r="BN110" s="8" t="s">
        <v>24</v>
      </c>
      <c r="BO110" s="4">
        <v>5</v>
      </c>
      <c r="BP110" s="4">
        <f>Table2[[#This Row],[final_obs_date]]-Table2[[#This Row],[i]]</f>
        <v>17</v>
      </c>
      <c r="BQ110" s="4" t="b">
        <f>Table2[[#This Row],[final_obs_date2]]&gt;Table2[[#This Row],[estHD]]+3</f>
        <v>0</v>
      </c>
      <c r="BR110" s="4" t="s">
        <v>27</v>
      </c>
      <c r="BS110" s="4" t="s">
        <v>28</v>
      </c>
      <c r="BT110" s="79" t="s">
        <v>1068</v>
      </c>
      <c r="BU110" s="26" t="s">
        <v>131</v>
      </c>
      <c r="BV110" s="79" t="s">
        <v>1478</v>
      </c>
      <c r="BW110" s="49"/>
      <c r="BX110" s="47"/>
      <c r="BY110" s="36" t="s">
        <v>544</v>
      </c>
    </row>
    <row r="111" spans="1:77" ht="15" hidden="1" thickBot="1" x14ac:dyDescent="0.4">
      <c r="A111" s="62">
        <v>10122</v>
      </c>
      <c r="B111" s="2" t="s">
        <v>122</v>
      </c>
      <c r="C111" s="44">
        <v>2019</v>
      </c>
      <c r="D111" s="3">
        <v>29.758900000000001</v>
      </c>
      <c r="E111" s="3">
        <v>-93.123189999999994</v>
      </c>
      <c r="F111" s="3" t="s">
        <v>24</v>
      </c>
      <c r="G111" s="3" t="s">
        <v>24</v>
      </c>
      <c r="H111" s="3" t="s">
        <v>462</v>
      </c>
      <c r="I111" s="43"/>
      <c r="J111" s="116">
        <v>79</v>
      </c>
      <c r="K111" s="4">
        <v>79</v>
      </c>
      <c r="L111" s="22">
        <f>IF(ISNUMBER(Table2[[#This Row],[estHD]]),ABS(Table2[[#This Row],[HD]]-Table2[[#This Row],[estHD]]),"NA")</f>
        <v>0</v>
      </c>
      <c r="M111" s="4" t="b">
        <f>Table2[[#This Row],[HD]]=Table2[[#This Row],[estHD]]</f>
        <v>1</v>
      </c>
      <c r="N111" s="4" t="str">
        <f>IF(ISNUMBER([1]!Table2[[#This Row],[hatch_date]]),[1]!Table2[[#This Row],[hatch_date]]-19,"NA")</f>
        <v>NA</v>
      </c>
      <c r="O111" s="31">
        <v>60</v>
      </c>
      <c r="P111" s="23">
        <f>IF(ISNUMBER(Table2[[#This Row],[nest_age1]]),ABS(Table2[[#This Row],[nest_age1]]-Table2[[#This Row],[nest_age_feb]]),"NA")</f>
        <v>0</v>
      </c>
      <c r="Q111" s="24">
        <f>IF(ISNUMBER(Table2[[#This Row],[final_obs_int2]]),ABS(Table2[[#This Row],[final_obs_int2]]-Table2[[#This Row],[final_obs_int_feb]]), "NA")</f>
        <v>0</v>
      </c>
      <c r="R111" s="24"/>
      <c r="S111" s="21" t="s">
        <v>965</v>
      </c>
      <c r="T111" s="21" t="s">
        <v>75</v>
      </c>
      <c r="U111" s="52" t="s">
        <v>908</v>
      </c>
      <c r="V111" s="16" t="s">
        <v>24</v>
      </c>
      <c r="W111" s="16">
        <v>12</v>
      </c>
      <c r="X111" s="145">
        <v>4</v>
      </c>
      <c r="Y111" s="147" t="s">
        <v>90</v>
      </c>
      <c r="Z111" s="146" t="s">
        <v>48</v>
      </c>
      <c r="AA111" s="4" t="str">
        <f>Table2[[#This Row],[field_fate]]</f>
        <v>F</v>
      </c>
      <c r="AB111" s="4" t="str">
        <f>Table2[[#This Row],[field_fate2]]</f>
        <v>F</v>
      </c>
      <c r="AC111" s="98" t="str">
        <f>Table2[[#This Row],[field_fate3]]</f>
        <v>F</v>
      </c>
      <c r="AD111" s="141" t="s">
        <v>90</v>
      </c>
      <c r="AE111" s="114" t="s">
        <v>94</v>
      </c>
      <c r="AF111" s="94" t="str">
        <f>Table2[[#This Row],[field_fate5]]</f>
        <v>U</v>
      </c>
      <c r="AG111" s="94" t="str">
        <f>Table2[[#This Row],[field_fate5]]</f>
        <v>U</v>
      </c>
      <c r="AH111" s="94" t="str">
        <f>Table2[[#This Row],[field_fate2]]</f>
        <v>F</v>
      </c>
      <c r="AI111" s="94" t="s">
        <v>90</v>
      </c>
      <c r="AJ111" s="94" t="str">
        <f>Table2[[#This Row],[field_fate10]]</f>
        <v>U</v>
      </c>
      <c r="AK111" s="94" t="b">
        <f>Table2[[#This Row],[field_fate_feb]]=Table2[[#This Row],[field_fate10]]</f>
        <v>1</v>
      </c>
      <c r="AL111" s="43" t="s">
        <v>24</v>
      </c>
      <c r="AM111" s="160" t="b">
        <f>Table2[[#This Row],[cam_fate2]]="NA"</f>
        <v>0</v>
      </c>
      <c r="AN111" s="19" t="s">
        <v>48</v>
      </c>
      <c r="AO111" s="2" t="s">
        <v>24</v>
      </c>
      <c r="AP111" s="5" t="s">
        <v>48</v>
      </c>
      <c r="AQ111" s="6">
        <v>12</v>
      </c>
      <c r="AR111" s="72">
        <v>12</v>
      </c>
      <c r="AS111" s="72">
        <f>Table2[[#This Row],[final_obs_date]]-Table2[[#This Row],[init_date]]</f>
        <v>12</v>
      </c>
      <c r="AT111" s="155">
        <f>(Table2[[#This Row],[final_obs_date2]]-Table2[[#This Row],[estHD]])+19</f>
        <v>12</v>
      </c>
      <c r="AU111" s="38">
        <v>4</v>
      </c>
      <c r="AV111" s="33">
        <v>4</v>
      </c>
      <c r="AW111" s="33">
        <f>Table2[[#This Row],[final_obs_date2]]-Table2[[#This Row],[pen_obs_date]]</f>
        <v>4</v>
      </c>
      <c r="AX111" s="67">
        <v>72</v>
      </c>
      <c r="AY111" s="157">
        <f>Table2[[#This Row],[final_obs_date]]</f>
        <v>72</v>
      </c>
      <c r="AZ111" s="6">
        <v>68</v>
      </c>
      <c r="BA111" s="92" t="s">
        <v>47</v>
      </c>
      <c r="BB111" s="6" t="b">
        <f>Table2[[#This Row],[final_obs_date]]&lt;(Table2[[#This Row],[estHD]]-2)</f>
        <v>1</v>
      </c>
      <c r="BC111" s="32">
        <f>IF(Table2[[#This Row],[field_fate]]="H",1,0)</f>
        <v>0</v>
      </c>
      <c r="BD111" s="16" t="s">
        <v>24</v>
      </c>
      <c r="BE111" s="6" t="b">
        <f>NOT(Table2[[#This Row],[HF_C]]=Table2[[#This Row],[HF]])</f>
        <v>1</v>
      </c>
      <c r="BF111" s="38" t="b">
        <f>NOT(Table2[[#This Row],[cam_fate2]]=Table2[[#This Row],[field_fate3]])</f>
        <v>0</v>
      </c>
      <c r="BG111" s="38" t="b">
        <f>OR(Table2[[#This Row],[field_fate3]]="U",Table2[[#This Row],[field_fate3]]="U-H")</f>
        <v>0</v>
      </c>
      <c r="BH111" s="8">
        <v>63</v>
      </c>
      <c r="BI111" s="8">
        <v>68</v>
      </c>
      <c r="BJ111" s="14">
        <f>IF(ISTEXT(Table2[[#This Row],[j.cam]]),Table2[[#This Row],[j]],Table2[[#This Row],[j.cam]])</f>
        <v>68</v>
      </c>
      <c r="BK111" s="8">
        <v>72</v>
      </c>
      <c r="BL111" s="14">
        <f>IF(ISTEXT(Table2[[#This Row],[k.cam]]), Table2[[#This Row],[k]], Table2[[#This Row],[k.cam]])</f>
        <v>72</v>
      </c>
      <c r="BM111" s="4" t="s">
        <v>24</v>
      </c>
      <c r="BN111" s="8" t="s">
        <v>24</v>
      </c>
      <c r="BO111" s="4">
        <v>3</v>
      </c>
      <c r="BP111" s="4">
        <f>Table2[[#This Row],[final_obs_date]]-Table2[[#This Row],[i]]</f>
        <v>9</v>
      </c>
      <c r="BQ111" s="4" t="b">
        <f>Table2[[#This Row],[final_obs_date2]]&gt;Table2[[#This Row],[estHD]]+3</f>
        <v>0</v>
      </c>
      <c r="BR111" s="3" t="s">
        <v>33</v>
      </c>
      <c r="BS111" s="3" t="s">
        <v>45</v>
      </c>
      <c r="BT111" s="125" t="s">
        <v>1069</v>
      </c>
      <c r="BU111" s="4" t="s">
        <v>132</v>
      </c>
      <c r="BV111" s="79" t="s">
        <v>1470</v>
      </c>
      <c r="BW111" s="69"/>
      <c r="BX111" s="36" t="s">
        <v>921</v>
      </c>
      <c r="BY111" s="36" t="s">
        <v>545</v>
      </c>
    </row>
    <row r="112" spans="1:77" ht="15" hidden="1" thickBot="1" x14ac:dyDescent="0.4">
      <c r="A112" s="62">
        <v>10124</v>
      </c>
      <c r="B112" s="2" t="s">
        <v>122</v>
      </c>
      <c r="C112" s="44">
        <v>2019</v>
      </c>
      <c r="D112" s="3">
        <v>29.75817</v>
      </c>
      <c r="E112" s="3">
        <v>-93.120009999999994</v>
      </c>
      <c r="F112" s="3" t="s">
        <v>24</v>
      </c>
      <c r="G112" s="3" t="s">
        <v>24</v>
      </c>
      <c r="H112" s="3" t="s">
        <v>26</v>
      </c>
      <c r="I112" s="43"/>
      <c r="J112" s="55">
        <v>79</v>
      </c>
      <c r="K112" s="4">
        <v>79</v>
      </c>
      <c r="L112" s="22">
        <f>IF(ISNUMBER(Table2[[#This Row],[estHD]]),ABS(Table2[[#This Row],[HD]]-Table2[[#This Row],[estHD]]),"NA")</f>
        <v>0</v>
      </c>
      <c r="M112" s="4" t="b">
        <f>Table2[[#This Row],[HD]]=Table2[[#This Row],[estHD]]</f>
        <v>1</v>
      </c>
      <c r="N112" s="4" t="str">
        <f>IF(ISNUMBER([1]!Table2[[#This Row],[hatch_date]]),[1]!Table2[[#This Row],[hatch_date]]-19,"NA")</f>
        <v>NA</v>
      </c>
      <c r="O112" s="31">
        <v>60</v>
      </c>
      <c r="P112" s="23">
        <f>IF(ISNUMBER(Table2[[#This Row],[nest_age1]]),ABS(Table2[[#This Row],[nest_age1]]-Table2[[#This Row],[nest_age_feb]]),"NA")</f>
        <v>0</v>
      </c>
      <c r="Q112" s="24">
        <f>IF(ISNUMBER(Table2[[#This Row],[final_obs_int2]]),ABS(Table2[[#This Row],[final_obs_int2]]-Table2[[#This Row],[final_obs_int_feb]]), "NA")</f>
        <v>0</v>
      </c>
      <c r="R112" s="24"/>
      <c r="S112" s="57" t="s">
        <v>88</v>
      </c>
      <c r="T112" s="57" t="str">
        <f>Table2[[#This Row],[camera_old]]</f>
        <v>N</v>
      </c>
      <c r="U112" s="24"/>
      <c r="V112" s="16" t="s">
        <v>24</v>
      </c>
      <c r="W112" s="16">
        <v>7</v>
      </c>
      <c r="X112" s="145">
        <v>4</v>
      </c>
      <c r="Y112" s="147" t="s">
        <v>31</v>
      </c>
      <c r="Z112" s="146" t="s">
        <v>31</v>
      </c>
      <c r="AA112" s="4" t="str">
        <f>Table2[[#This Row],[field_fate]]</f>
        <v>D</v>
      </c>
      <c r="AB112" s="4" t="str">
        <f>Table2[[#This Row],[field_fate2]]</f>
        <v>D</v>
      </c>
      <c r="AC112" s="4" t="str">
        <f>Table2[[#This Row],[field_fate3]]</f>
        <v>D</v>
      </c>
      <c r="AD112" s="4" t="str">
        <f>Table2[[#This Row],[field_fate4]]</f>
        <v>D</v>
      </c>
      <c r="AE112" s="4" t="str">
        <f>Table2[[#This Row],[field_fate5]]</f>
        <v>D</v>
      </c>
      <c r="AF112" s="4" t="str">
        <f>Table2[[#This Row],[field_fate5]]</f>
        <v>D</v>
      </c>
      <c r="AG112" s="4" t="str">
        <f>Table2[[#This Row],[field_fate5]]</f>
        <v>D</v>
      </c>
      <c r="AH112" s="4" t="str">
        <f>Table2[[#This Row],[field_fate2]]</f>
        <v>D</v>
      </c>
      <c r="AI112" s="4" t="str">
        <f>Table2[[#This Row],[field_fate8]]</f>
        <v>D</v>
      </c>
      <c r="AJ112" s="4" t="str">
        <f>Table2[[#This Row],[field_fate10]]</f>
        <v>D</v>
      </c>
      <c r="AK112" s="4" t="b">
        <f>Table2[[#This Row],[field_fate_feb]]=Table2[[#This Row],[field_fate10]]</f>
        <v>1</v>
      </c>
      <c r="AL112" s="43" t="s">
        <v>24</v>
      </c>
      <c r="AM112" s="43" t="b">
        <f>Table2[[#This Row],[cam_fate2]]="NA"</f>
        <v>1</v>
      </c>
      <c r="AN112" s="19" t="str">
        <f>Table2[[#This Row],[cam_fate1]]</f>
        <v>NA</v>
      </c>
      <c r="AO112" s="2" t="s">
        <v>31</v>
      </c>
      <c r="AP112" s="5" t="str">
        <f>Table2[[#This Row],[final_fate1]]</f>
        <v>D</v>
      </c>
      <c r="AQ112" s="6">
        <v>7</v>
      </c>
      <c r="AR112" s="7">
        <v>7</v>
      </c>
      <c r="AS112" s="7">
        <f>Table2[[#This Row],[final_obs_date]]-Table2[[#This Row],[init_date]]</f>
        <v>7</v>
      </c>
      <c r="AT112" s="7">
        <f>(Table2[[#This Row],[final_obs_date2]]-Table2[[#This Row],[estHD]])+16</f>
        <v>4</v>
      </c>
      <c r="AU112" s="38">
        <v>4</v>
      </c>
      <c r="AV112" s="33">
        <v>4</v>
      </c>
      <c r="AW112" s="33">
        <f>Table2[[#This Row],[final_obs_date2]]-Table2[[#This Row],[pen_obs_date]]</f>
        <v>67</v>
      </c>
      <c r="AX112" s="67">
        <v>67</v>
      </c>
      <c r="AY112" s="6">
        <f>Table2[[#This Row],[final_obs_date]]</f>
        <v>67</v>
      </c>
      <c r="AZ112" s="6"/>
      <c r="BA112" s="91" t="s">
        <v>47</v>
      </c>
      <c r="BB112" s="6" t="b">
        <f>Table2[[#This Row],[final_obs_date]]&lt;(Table2[[#This Row],[estHD]]-2)</f>
        <v>1</v>
      </c>
      <c r="BC112" s="24">
        <f>IF(Table2[[#This Row],[field_fate]]="H",1,0)</f>
        <v>0</v>
      </c>
      <c r="BD112" s="16">
        <f>IF(Table2[[#This Row],[cam_fate2]]="H",1,0)</f>
        <v>0</v>
      </c>
      <c r="BE112" s="6" t="b">
        <f>NOT(Table2[[#This Row],[HF_C]]=Table2[[#This Row],[HF]])</f>
        <v>0</v>
      </c>
      <c r="BF112" s="6" t="b">
        <f>NOT(Table2[[#This Row],[cam_fate2]]=Table2[[#This Row],[field_fate3]])</f>
        <v>1</v>
      </c>
      <c r="BG112" s="6" t="b">
        <f>OR(Table2[[#This Row],[field_fate3]]="U",Table2[[#This Row],[field_fate3]]="U-H")</f>
        <v>0</v>
      </c>
      <c r="BH112" s="8">
        <v>63</v>
      </c>
      <c r="BI112" s="8">
        <v>63</v>
      </c>
      <c r="BJ112" s="14">
        <f>IF(ISTEXT(Table2[[#This Row],[j.cam]]),Table2[[#This Row],[j]],Table2[[#This Row],[j.cam]])</f>
        <v>63</v>
      </c>
      <c r="BK112" s="9">
        <v>67</v>
      </c>
      <c r="BL112" s="15">
        <f>IF(ISTEXT(Table2[[#This Row],[k.cam]]), Table2[[#This Row],[k]], Table2[[#This Row],[k.cam]])</f>
        <v>67</v>
      </c>
      <c r="BM112" s="4" t="s">
        <v>24</v>
      </c>
      <c r="BN112" s="8" t="s">
        <v>24</v>
      </c>
      <c r="BO112" s="4">
        <v>2</v>
      </c>
      <c r="BP112" s="4">
        <f>Table2[[#This Row],[final_obs_date]]-Table2[[#This Row],[i]]</f>
        <v>4</v>
      </c>
      <c r="BQ112" s="4" t="b">
        <f>Table2[[#This Row],[final_obs_date2]]&gt;Table2[[#This Row],[estHD]]+3</f>
        <v>0</v>
      </c>
      <c r="BR112" s="4" t="s">
        <v>33</v>
      </c>
      <c r="BS112" s="4" t="s">
        <v>28</v>
      </c>
      <c r="BT112" s="79" t="s">
        <v>1070</v>
      </c>
      <c r="BU112" s="26" t="s">
        <v>34</v>
      </c>
      <c r="BV112" s="79" t="s">
        <v>1429</v>
      </c>
      <c r="BW112" s="49"/>
      <c r="BX112" s="47"/>
      <c r="BY112" s="36" t="s">
        <v>546</v>
      </c>
    </row>
    <row r="113" spans="1:77" ht="15" hidden="1" thickBot="1" x14ac:dyDescent="0.4">
      <c r="A113" s="62">
        <v>10125</v>
      </c>
      <c r="B113" s="2" t="s">
        <v>35</v>
      </c>
      <c r="C113" s="44">
        <v>2019</v>
      </c>
      <c r="D113" s="3">
        <v>29.770199999999999</v>
      </c>
      <c r="E113" s="3">
        <v>-93.177940000000007</v>
      </c>
      <c r="F113" s="3" t="s">
        <v>24</v>
      </c>
      <c r="G113" s="3" t="s">
        <v>24</v>
      </c>
      <c r="H113" s="3" t="s">
        <v>26</v>
      </c>
      <c r="I113" s="43"/>
      <c r="J113" s="116">
        <v>82</v>
      </c>
      <c r="K113" s="4">
        <v>82</v>
      </c>
      <c r="L113" s="22">
        <f>IF(ISNUMBER(Table2[[#This Row],[estHD]]),ABS(Table2[[#This Row],[HD]]-Table2[[#This Row],[estHD]]),"NA")</f>
        <v>0</v>
      </c>
      <c r="M113" s="4" t="b">
        <f>Table2[[#This Row],[HD]]=Table2[[#This Row],[estHD]]</f>
        <v>1</v>
      </c>
      <c r="N113" s="4" t="str">
        <f>IF(ISNUMBER([1]!Table2[[#This Row],[hatch_date]]),[1]!Table2[[#This Row],[hatch_date]]-19,"NA")</f>
        <v>NA</v>
      </c>
      <c r="O113" s="31">
        <v>63</v>
      </c>
      <c r="P113" s="23">
        <f>IF(ISNUMBER(Table2[[#This Row],[nest_age1]]),ABS(Table2[[#This Row],[nest_age1]]-Table2[[#This Row],[nest_age_feb]]),"NA")</f>
        <v>0</v>
      </c>
      <c r="Q113" s="24">
        <f>IF(ISNUMBER(Table2[[#This Row],[final_obs_int2]]),ABS(Table2[[#This Row],[final_obs_int2]]-Table2[[#This Row],[final_obs_int_feb]]), "NA")</f>
        <v>0</v>
      </c>
      <c r="R113" s="24"/>
      <c r="S113" s="20" t="s">
        <v>75</v>
      </c>
      <c r="T113" s="20" t="str">
        <f>Table2[[#This Row],[camera_old]]</f>
        <v>Y</v>
      </c>
      <c r="U113" s="22" t="s">
        <v>88</v>
      </c>
      <c r="V113" s="16" t="s">
        <v>24</v>
      </c>
      <c r="W113" s="16">
        <v>9</v>
      </c>
      <c r="X113" s="145">
        <v>5</v>
      </c>
      <c r="Y113" s="147" t="s">
        <v>31</v>
      </c>
      <c r="Z113" s="146" t="s">
        <v>31</v>
      </c>
      <c r="AA113" s="4" t="str">
        <f>Table2[[#This Row],[field_fate]]</f>
        <v>D</v>
      </c>
      <c r="AB113" s="4" t="str">
        <f>Table2[[#This Row],[field_fate2]]</f>
        <v>D</v>
      </c>
      <c r="AC113" s="94" t="str">
        <f>Table2[[#This Row],[field_fate3]]</f>
        <v>D</v>
      </c>
      <c r="AD113" s="105" t="str">
        <f>Table2[[#This Row],[field_fate4]]</f>
        <v>D</v>
      </c>
      <c r="AE113" s="105" t="str">
        <f>Table2[[#This Row],[field_fate5]]</f>
        <v>D</v>
      </c>
      <c r="AF113" s="105" t="str">
        <f>Table2[[#This Row],[field_fate5]]</f>
        <v>D</v>
      </c>
      <c r="AG113" s="105" t="str">
        <f>Table2[[#This Row],[field_fate5]]</f>
        <v>D</v>
      </c>
      <c r="AH113" s="105" t="str">
        <f>Table2[[#This Row],[field_fate2]]</f>
        <v>D</v>
      </c>
      <c r="AI113" s="105" t="str">
        <f>Table2[[#This Row],[field_fate8]]</f>
        <v>D</v>
      </c>
      <c r="AJ113" s="105" t="str">
        <f>Table2[[#This Row],[field_fate10]]</f>
        <v>D</v>
      </c>
      <c r="AK113" s="105" t="b">
        <f>Table2[[#This Row],[field_fate_feb]]=Table2[[#This Row],[field_fate10]]</f>
        <v>1</v>
      </c>
      <c r="AL113" s="43" t="s">
        <v>65</v>
      </c>
      <c r="AM113" s="160" t="b">
        <f>Table2[[#This Row],[cam_fate2]]="NA"</f>
        <v>0</v>
      </c>
      <c r="AN113" s="19" t="str">
        <f>Table2[[#This Row],[cam_fate1]]</f>
        <v>Ca</v>
      </c>
      <c r="AO113" s="2" t="s">
        <v>65</v>
      </c>
      <c r="AP113" s="5" t="str">
        <f>Table2[[#This Row],[final_fate1]]</f>
        <v>Ca</v>
      </c>
      <c r="AQ113" s="6">
        <v>9</v>
      </c>
      <c r="AR113" s="72">
        <v>9</v>
      </c>
      <c r="AS113" s="155">
        <f>Table2[[#This Row],[final_obs_date]]-Table2[[#This Row],[init_date]]</f>
        <v>9</v>
      </c>
      <c r="AT113" s="155">
        <f>(Table2[[#This Row],[final_obs_date2]]-Table2[[#This Row],[estHD]])+19</f>
        <v>9</v>
      </c>
      <c r="AU113" s="38">
        <v>5</v>
      </c>
      <c r="AV113" s="33">
        <v>5</v>
      </c>
      <c r="AW113" s="33">
        <f>Table2[[#This Row],[final_obs_date2]]-Table2[[#This Row],[pen_obs_date]]</f>
        <v>5</v>
      </c>
      <c r="AX113" s="67">
        <v>72</v>
      </c>
      <c r="AY113" s="157">
        <f>Table2[[#This Row],[final_obs_date]]</f>
        <v>72</v>
      </c>
      <c r="AZ113" s="6">
        <v>67</v>
      </c>
      <c r="BA113" s="92" t="s">
        <v>47</v>
      </c>
      <c r="BB113" s="6" t="b">
        <f>Table2[[#This Row],[final_obs_date]]&lt;(Table2[[#This Row],[estHD]]-2)</f>
        <v>1</v>
      </c>
      <c r="BC113" s="32">
        <f>IF(Table2[[#This Row],[field_fate]]="H",1,0)</f>
        <v>0</v>
      </c>
      <c r="BD113" s="16">
        <f>IF(Table2[[#This Row],[cam_fate2]]="H",1,0)</f>
        <v>0</v>
      </c>
      <c r="BE113" s="6" t="b">
        <f>NOT(Table2[[#This Row],[HF_C]]=Table2[[#This Row],[HF]])</f>
        <v>0</v>
      </c>
      <c r="BF113" s="38" t="b">
        <f>NOT(Table2[[#This Row],[cam_fate2]]=Table2[[#This Row],[field_fate3]])</f>
        <v>1</v>
      </c>
      <c r="BG113" s="38" t="b">
        <f>OR(Table2[[#This Row],[field_fate3]]="U",Table2[[#This Row],[field_fate3]]="U-H")</f>
        <v>0</v>
      </c>
      <c r="BH113" s="8">
        <v>63</v>
      </c>
      <c r="BI113" s="8">
        <v>67</v>
      </c>
      <c r="BJ113" s="14">
        <f>IF(ISTEXT(Table2[[#This Row],[j.cam]]),Table2[[#This Row],[j]],Table2[[#This Row],[j.cam]])</f>
        <v>67</v>
      </c>
      <c r="BK113" s="8">
        <v>72</v>
      </c>
      <c r="BL113" s="14">
        <f>IF(ISTEXT(Table2[[#This Row],[k.cam]]), Table2[[#This Row],[k]], Table2[[#This Row],[k.cam]])</f>
        <v>72</v>
      </c>
      <c r="BM113" s="4" t="s">
        <v>24</v>
      </c>
      <c r="BN113" s="8" t="s">
        <v>24</v>
      </c>
      <c r="BO113" s="4">
        <v>3</v>
      </c>
      <c r="BP113" s="4">
        <f>Table2[[#This Row],[final_obs_date]]-Table2[[#This Row],[i]]</f>
        <v>9</v>
      </c>
      <c r="BQ113" s="4" t="b">
        <f>Table2[[#This Row],[final_obs_date2]]&gt;Table2[[#This Row],[estHD]]+3</f>
        <v>0</v>
      </c>
      <c r="BR113" s="3" t="s">
        <v>58</v>
      </c>
      <c r="BS113" s="3" t="s">
        <v>45</v>
      </c>
      <c r="BT113" s="125" t="s">
        <v>1071</v>
      </c>
      <c r="BU113" s="4" t="s">
        <v>133</v>
      </c>
      <c r="BV113" s="79" t="s">
        <v>1479</v>
      </c>
      <c r="BW113" s="69"/>
      <c r="BX113" s="36"/>
      <c r="BY113" s="36" t="s">
        <v>547</v>
      </c>
    </row>
    <row r="114" spans="1:77" ht="15" hidden="1" thickBot="1" x14ac:dyDescent="0.4">
      <c r="A114" s="62">
        <v>10126</v>
      </c>
      <c r="B114" s="2" t="s">
        <v>35</v>
      </c>
      <c r="C114" s="44">
        <v>2019</v>
      </c>
      <c r="D114" s="3">
        <v>29.770499999999998</v>
      </c>
      <c r="E114" s="3">
        <v>-93.179540000000003</v>
      </c>
      <c r="F114" s="3" t="s">
        <v>24</v>
      </c>
      <c r="G114" s="3" t="s">
        <v>24</v>
      </c>
      <c r="H114" s="3" t="s">
        <v>26</v>
      </c>
      <c r="I114" s="43"/>
      <c r="J114" s="116">
        <v>82</v>
      </c>
      <c r="K114" s="4">
        <v>82</v>
      </c>
      <c r="L114" s="22">
        <f>IF(ISNUMBER(Table2[[#This Row],[estHD]]),ABS(Table2[[#This Row],[HD]]-Table2[[#This Row],[estHD]]),"NA")</f>
        <v>0</v>
      </c>
      <c r="M114" s="4" t="b">
        <f>Table2[[#This Row],[HD]]=Table2[[#This Row],[estHD]]</f>
        <v>1</v>
      </c>
      <c r="N114" s="4" t="str">
        <f>IF(ISNUMBER([1]!Table2[[#This Row],[hatch_date]]),[1]!Table2[[#This Row],[hatch_date]]-19,"NA")</f>
        <v>NA</v>
      </c>
      <c r="O114" s="89">
        <v>63</v>
      </c>
      <c r="P114" s="23">
        <f>IF(ISNUMBER(Table2[[#This Row],[nest_age1]]),ABS(Table2[[#This Row],[nest_age1]]-Table2[[#This Row],[nest_age_feb]]),"NA")</f>
        <v>0</v>
      </c>
      <c r="Q114" s="24">
        <f>IF(ISNUMBER(Table2[[#This Row],[final_obs_int2]]),ABS(Table2[[#This Row],[final_obs_int2]]-Table2[[#This Row],[final_obs_int_feb]]), "NA")</f>
        <v>0</v>
      </c>
      <c r="R114" s="24"/>
      <c r="S114" s="20" t="s">
        <v>75</v>
      </c>
      <c r="T114" s="20" t="str">
        <f>Table2[[#This Row],[camera_old]]</f>
        <v>Y</v>
      </c>
      <c r="U114" s="22" t="s">
        <v>88</v>
      </c>
      <c r="V114" s="16" t="s">
        <v>65</v>
      </c>
      <c r="W114" s="16">
        <v>14</v>
      </c>
      <c r="X114" s="145">
        <v>5</v>
      </c>
      <c r="Y114" s="148" t="s">
        <v>36</v>
      </c>
      <c r="Z114" s="146" t="s">
        <v>36</v>
      </c>
      <c r="AA114" s="4" t="str">
        <f>Table2[[#This Row],[field_fate]]</f>
        <v>A</v>
      </c>
      <c r="AB114" s="4" t="str">
        <f>Table2[[#This Row],[field_fate2]]</f>
        <v>A</v>
      </c>
      <c r="AC114" s="98" t="str">
        <f>Table2[[#This Row],[field_fate3]]</f>
        <v>A</v>
      </c>
      <c r="AD114" s="104" t="s">
        <v>65</v>
      </c>
      <c r="AE114" s="110" t="str">
        <f>Table2[[#This Row],[field_fate5]]</f>
        <v>Ca</v>
      </c>
      <c r="AF114" s="110" t="str">
        <f>Table2[[#This Row],[field_fate5]]</f>
        <v>Ca</v>
      </c>
      <c r="AG114" s="110" t="s">
        <v>36</v>
      </c>
      <c r="AH114" s="110" t="s">
        <v>65</v>
      </c>
      <c r="AI114" s="110" t="str">
        <f>Table2[[#This Row],[field_fate8]]</f>
        <v>A</v>
      </c>
      <c r="AJ114" s="110" t="str">
        <f>Table2[[#This Row],[field_fate10]]</f>
        <v>A</v>
      </c>
      <c r="AK114" s="110" t="b">
        <f>Table2[[#This Row],[field_fate_feb]]=Table2[[#This Row],[field_fate10]]</f>
        <v>1</v>
      </c>
      <c r="AL114" s="99" t="s">
        <v>65</v>
      </c>
      <c r="AM114" s="161" t="b">
        <f>Table2[[#This Row],[cam_fate2]]="NA"</f>
        <v>0</v>
      </c>
      <c r="AN114" s="113" t="s">
        <v>65</v>
      </c>
      <c r="AO114" s="2" t="s">
        <v>65</v>
      </c>
      <c r="AP114" s="5" t="str">
        <f>Table2[[#This Row],[final_fate1]]</f>
        <v>Ca</v>
      </c>
      <c r="AQ114" s="6">
        <v>14</v>
      </c>
      <c r="AR114" s="72">
        <v>14</v>
      </c>
      <c r="AS114" s="155">
        <f>Table2[[#This Row],[final_obs_date]]-Table2[[#This Row],[init_date]]</f>
        <v>14</v>
      </c>
      <c r="AT114" s="155">
        <f>(Table2[[#This Row],[final_obs_date2]]-Table2[[#This Row],[estHD]])+19</f>
        <v>14</v>
      </c>
      <c r="AU114" s="38">
        <v>5</v>
      </c>
      <c r="AV114" s="33">
        <v>5</v>
      </c>
      <c r="AW114" s="33">
        <f>Table2[[#This Row],[final_obs_date2]]-Table2[[#This Row],[pen_obs_date]]</f>
        <v>5</v>
      </c>
      <c r="AX114" s="67">
        <v>77</v>
      </c>
      <c r="AY114" s="157">
        <f>Table2[[#This Row],[final_obs_date]]</f>
        <v>77</v>
      </c>
      <c r="AZ114" s="6">
        <v>72</v>
      </c>
      <c r="BA114" s="92" t="s">
        <v>47</v>
      </c>
      <c r="BB114" s="86" t="b">
        <f>Table2[[#This Row],[final_obs_date]]&lt;(Table2[[#This Row],[estHD]]-2)</f>
        <v>1</v>
      </c>
      <c r="BC114" s="83">
        <f>IF(Table2[[#This Row],[field_fate]]="H",1,0)</f>
        <v>0</v>
      </c>
      <c r="BD114" s="82">
        <f>IF(Table2[[#This Row],[cam_fate2]]="H",1,0)</f>
        <v>0</v>
      </c>
      <c r="BE114" s="84" t="b">
        <f>NOT(Table2[[#This Row],[HF_C]]=Table2[[#This Row],[HF]])</f>
        <v>0</v>
      </c>
      <c r="BF114" s="85" t="b">
        <f>NOT(Table2[[#This Row],[cam_fate2]]=Table2[[#This Row],[field_fate3]])</f>
        <v>1</v>
      </c>
      <c r="BG114" s="85" t="b">
        <f>OR(Table2[[#This Row],[field_fate3]]="U",Table2[[#This Row],[field_fate3]]="U-H")</f>
        <v>0</v>
      </c>
      <c r="BH114" s="8">
        <v>63</v>
      </c>
      <c r="BI114" s="8">
        <v>72</v>
      </c>
      <c r="BJ114" s="14">
        <f>IF(ISTEXT(Table2[[#This Row],[j.cam]]),Table2[[#This Row],[j]],Table2[[#This Row],[j.cam]])</f>
        <v>72</v>
      </c>
      <c r="BK114" s="8">
        <v>77</v>
      </c>
      <c r="BL114" s="14">
        <f>IF(ISTEXT(Table2[[#This Row],[k.cam]]), Table2[[#This Row],[k]], Table2[[#This Row],[k.cam]])</f>
        <v>77</v>
      </c>
      <c r="BM114" s="87" t="s">
        <v>24</v>
      </c>
      <c r="BN114" s="87" t="s">
        <v>24</v>
      </c>
      <c r="BO114" s="4">
        <v>4</v>
      </c>
      <c r="BP114" s="4">
        <f>Table2[[#This Row],[final_obs_date]]-Table2[[#This Row],[i]]</f>
        <v>14</v>
      </c>
      <c r="BQ114" s="4" t="b">
        <f>Table2[[#This Row],[final_obs_date2]]&gt;Table2[[#This Row],[estHD]]+3</f>
        <v>0</v>
      </c>
      <c r="BR114" s="3" t="s">
        <v>58</v>
      </c>
      <c r="BS114" s="3" t="s">
        <v>134</v>
      </c>
      <c r="BT114" s="125" t="s">
        <v>1072</v>
      </c>
      <c r="BU114" s="122" t="s">
        <v>135</v>
      </c>
      <c r="BV114" s="88" t="s">
        <v>1480</v>
      </c>
      <c r="BW114" s="69"/>
      <c r="BX114" s="36"/>
      <c r="BY114" s="36" t="s">
        <v>548</v>
      </c>
    </row>
    <row r="115" spans="1:77" ht="15" thickBot="1" x14ac:dyDescent="0.4">
      <c r="A115" s="62">
        <v>10127</v>
      </c>
      <c r="B115" s="2" t="s">
        <v>35</v>
      </c>
      <c r="C115" s="44">
        <v>2019</v>
      </c>
      <c r="D115" s="3">
        <v>29.770620000000001</v>
      </c>
      <c r="E115" s="3">
        <v>-93.180019999999999</v>
      </c>
      <c r="F115" s="3" t="s">
        <v>24</v>
      </c>
      <c r="G115" s="3" t="s">
        <v>24</v>
      </c>
      <c r="H115" s="3" t="s">
        <v>26</v>
      </c>
      <c r="I115" s="43"/>
      <c r="J115" s="116">
        <v>79</v>
      </c>
      <c r="K115" s="4">
        <v>78</v>
      </c>
      <c r="L115" s="22">
        <f>IF(ISNUMBER(Table2[[#This Row],[estHD]]),ABS(Table2[[#This Row],[HD]]-Table2[[#This Row],[estHD]]),"NA")</f>
        <v>1</v>
      </c>
      <c r="M115" s="4" t="b">
        <f>Table2[[#This Row],[HD]]=Table2[[#This Row],[estHD]]</f>
        <v>0</v>
      </c>
      <c r="N115" s="4">
        <f>IF(ISNUMBER(Table2[[#This Row],[HD]]),Table2[[#This Row],[HD]]-19,"NA")</f>
        <v>59</v>
      </c>
      <c r="O115" s="31">
        <v>59</v>
      </c>
      <c r="P115" s="23">
        <f>IF(ISNUMBER(Table2[[#This Row],[nest_age1]]),ABS(Table2[[#This Row],[nest_age1]]-Table2[[#This Row],[nest_age_feb]]),"NA")</f>
        <v>1</v>
      </c>
      <c r="Q115" s="24">
        <f>IF(ISNUMBER(Table2[[#This Row],[final_obs_int2]]),ABS(Table2[[#This Row],[final_obs_int2]]-Table2[[#This Row],[final_obs_int_feb]]), "NA")</f>
        <v>1</v>
      </c>
      <c r="R115" s="24">
        <f>(Table2[[#This Row],[k_adj]]-Table2[[#This Row],[estHD]])/Table2[[#This Row],[estHD]]</f>
        <v>-1.2658227848101266E-2</v>
      </c>
      <c r="S115" s="20" t="s">
        <v>75</v>
      </c>
      <c r="T115" s="20" t="str">
        <f>Table2[[#This Row],[camera_old]]</f>
        <v>Y</v>
      </c>
      <c r="U115" s="22" t="s">
        <v>88</v>
      </c>
      <c r="V115" s="16" t="s">
        <v>37</v>
      </c>
      <c r="W115" s="16">
        <v>21</v>
      </c>
      <c r="X115" s="145">
        <v>4</v>
      </c>
      <c r="Y115" s="153" t="s">
        <v>104</v>
      </c>
      <c r="Z115" s="146" t="s">
        <v>104</v>
      </c>
      <c r="AA115" s="5" t="s">
        <v>37</v>
      </c>
      <c r="AB115" s="5" t="str">
        <f>Table2[[#This Row],[field_fate]]</f>
        <v>U-H</v>
      </c>
      <c r="AC115" s="98" t="str">
        <f>Table2[[#This Row],[field_fate3]]</f>
        <v>U-H</v>
      </c>
      <c r="AD115" s="104" t="s">
        <v>37</v>
      </c>
      <c r="AE115" s="110" t="str">
        <f>Table2[[#This Row],[field_fate5]]</f>
        <v>H</v>
      </c>
      <c r="AF115" s="110" t="str">
        <f>Table2[[#This Row],[field_fate5]]</f>
        <v>H</v>
      </c>
      <c r="AG115" s="110" t="str">
        <f>Table2[[#This Row],[field_fate5]]</f>
        <v>H</v>
      </c>
      <c r="AH115" s="110" t="str">
        <f>Table2[[#This Row],[field_fate2]]</f>
        <v>H</v>
      </c>
      <c r="AI115" s="162" t="str">
        <f>Table2[[#This Row],[field_fate8]]</f>
        <v>H</v>
      </c>
      <c r="AJ115" s="110" t="s">
        <v>90</v>
      </c>
      <c r="AK115" s="110" t="b">
        <f>Table2[[#This Row],[field_fate_feb]]=Table2[[#This Row],[field_fate10]]</f>
        <v>0</v>
      </c>
      <c r="AL115" s="99" t="s">
        <v>37</v>
      </c>
      <c r="AM115" s="161" t="b">
        <f>Table2[[#This Row],[cam_fate2]]="NA"</f>
        <v>0</v>
      </c>
      <c r="AN115" s="19" t="str">
        <f>Table2[[#This Row],[cam_fate1]]</f>
        <v>H</v>
      </c>
      <c r="AO115" s="2" t="s">
        <v>37</v>
      </c>
      <c r="AP115" s="5" t="str">
        <f>Table2[[#This Row],[final_fate1]]</f>
        <v>H</v>
      </c>
      <c r="AQ115" s="6">
        <v>22</v>
      </c>
      <c r="AR115" s="72">
        <v>21</v>
      </c>
      <c r="AS115" s="155">
        <f>Table2[[#This Row],[final_obs_date]]-Table2[[#This Row],[init_date]]</f>
        <v>22</v>
      </c>
      <c r="AT115" s="155">
        <f>(Table2[[#This Row],[final_obs_date2]]-Table2[[#This Row],[estHD]])+19</f>
        <v>21</v>
      </c>
      <c r="AU115" s="38">
        <v>3</v>
      </c>
      <c r="AV115" s="33">
        <v>3</v>
      </c>
      <c r="AW115" s="33">
        <f>Table2[[#This Row],[final_obs_date2]]-Table2[[#This Row],[pen_obs_date]]</f>
        <v>4</v>
      </c>
      <c r="AX115" s="67">
        <v>81</v>
      </c>
      <c r="AY115" s="157">
        <f>Table2[[#This Row],[final_obs_date]]</f>
        <v>81</v>
      </c>
      <c r="AZ115" s="6">
        <v>77</v>
      </c>
      <c r="BA115" s="92" t="s">
        <v>47</v>
      </c>
      <c r="BB115" s="6" t="b">
        <f>Table2[[#This Row],[final_obs_date]]&lt;(Table2[[#This Row],[estHD]]-2)</f>
        <v>0</v>
      </c>
      <c r="BC115" s="32">
        <f>IF(Table2[[#This Row],[field_fate2]]="H",1,0)</f>
        <v>1</v>
      </c>
      <c r="BD115" s="16">
        <f>IF(Table2[[#This Row],[cam_fate2]]="H",1,0)</f>
        <v>1</v>
      </c>
      <c r="BE115" s="6" t="b">
        <f>NOT(Table2[[#This Row],[HF_C]]=Table2[[#This Row],[HF]])</f>
        <v>0</v>
      </c>
      <c r="BF115" s="38" t="b">
        <f>NOT(Table2[[#This Row],[cam_fate2]]=Table2[[#This Row],[field_fate3]])</f>
        <v>1</v>
      </c>
      <c r="BG115" s="38" t="b">
        <f>OR(Table2[[#This Row],[field_fate3]]="U",Table2[[#This Row],[field_fate3]]="U-H")</f>
        <v>1</v>
      </c>
      <c r="BH115" s="8">
        <v>63</v>
      </c>
      <c r="BI115" s="80">
        <v>81</v>
      </c>
      <c r="BJ115" s="14">
        <f>IF(ISTEXT(Table2[[#This Row],[j.cam]]),Table2[[#This Row],[j]],Table2[[#This Row],[j.cam]])</f>
        <v>78</v>
      </c>
      <c r="BK115" s="8">
        <v>81</v>
      </c>
      <c r="BL115" s="14">
        <f>IF(ISTEXT(Table2[[#This Row],[k.cam]]), Table2[[#This Row],[k]], Table2[[#This Row],[k.cam]])</f>
        <v>78</v>
      </c>
      <c r="BM115" s="4">
        <v>78</v>
      </c>
      <c r="BN115" s="8">
        <v>78</v>
      </c>
      <c r="BO115" s="4">
        <v>5</v>
      </c>
      <c r="BP115" s="4">
        <f>Table2[[#This Row],[final_obs_date]]-Table2[[#This Row],[i]]</f>
        <v>18</v>
      </c>
      <c r="BQ115" s="4" t="b">
        <f>Table2[[#This Row],[final_obs_date2]]&gt;Table2[[#This Row],[estHD]]+3</f>
        <v>0</v>
      </c>
      <c r="BR115" s="3" t="s">
        <v>33</v>
      </c>
      <c r="BS115" s="3" t="s">
        <v>49</v>
      </c>
      <c r="BT115" s="125" t="s">
        <v>1073</v>
      </c>
      <c r="BU115" s="4" t="s">
        <v>136</v>
      </c>
      <c r="BV115" s="79" t="s">
        <v>1481</v>
      </c>
      <c r="BW115" s="69"/>
      <c r="BX115" s="36"/>
      <c r="BY115" s="36" t="s">
        <v>549</v>
      </c>
    </row>
    <row r="116" spans="1:77" ht="15" hidden="1" thickBot="1" x14ac:dyDescent="0.4">
      <c r="A116" s="62">
        <v>10128</v>
      </c>
      <c r="B116" s="2" t="s">
        <v>35</v>
      </c>
      <c r="C116" s="44">
        <v>2019</v>
      </c>
      <c r="D116" s="3">
        <v>29.770520000000001</v>
      </c>
      <c r="E116" s="3">
        <v>-93.179990000000004</v>
      </c>
      <c r="F116" s="3" t="s">
        <v>24</v>
      </c>
      <c r="G116" s="3" t="s">
        <v>24</v>
      </c>
      <c r="H116" s="3" t="s">
        <v>26</v>
      </c>
      <c r="I116" s="43"/>
      <c r="J116" s="55">
        <v>86</v>
      </c>
      <c r="K116" s="4">
        <v>86</v>
      </c>
      <c r="L116" s="22">
        <f>IF(ISNUMBER(Table2[[#This Row],[estHD]]),ABS(Table2[[#This Row],[HD]]-Table2[[#This Row],[estHD]]),"NA")</f>
        <v>0</v>
      </c>
      <c r="M116" s="4" t="b">
        <f>Table2[[#This Row],[HD]]=Table2[[#This Row],[estHD]]</f>
        <v>1</v>
      </c>
      <c r="N116" s="4" t="str">
        <f>IF(ISNUMBER([1]!Table2[[#This Row],[hatch_date]]), [1]!Table2[[#This Row],[hatch_date]]-28, "NA")</f>
        <v>NA</v>
      </c>
      <c r="O116" s="31">
        <v>58</v>
      </c>
      <c r="P116" s="23">
        <f>IF(ISNUMBER(Table2[[#This Row],[nest_age1]]),ABS(Table2[[#This Row],[nest_age1]]-Table2[[#This Row],[nest_age_feb]]),"NA")</f>
        <v>0</v>
      </c>
      <c r="Q116" s="24">
        <f>IF(ISNUMBER(Table2[[#This Row],[final_obs_int2]]),ABS(Table2[[#This Row],[final_obs_int2]]-Table2[[#This Row],[final_obs_int_feb]]), "NA")</f>
        <v>0</v>
      </c>
      <c r="R116" s="24"/>
      <c r="S116" s="57" t="s">
        <v>88</v>
      </c>
      <c r="T116" s="57" t="str">
        <f>Table2[[#This Row],[camera_old]]</f>
        <v>N</v>
      </c>
      <c r="U116" s="24"/>
      <c r="V116" s="16" t="s">
        <v>24</v>
      </c>
      <c r="W116" s="16">
        <v>23</v>
      </c>
      <c r="X116" s="145">
        <v>4</v>
      </c>
      <c r="Y116" s="149" t="s">
        <v>137</v>
      </c>
      <c r="Z116" s="146" t="s">
        <v>137</v>
      </c>
      <c r="AA116" s="4" t="str">
        <f>Table2[[#This Row],[field_fate]]</f>
        <v>F-A</v>
      </c>
      <c r="AB116" s="4" t="str">
        <f>Table2[[#This Row],[field_fate2]]</f>
        <v>F-A</v>
      </c>
      <c r="AC116" s="4" t="str">
        <f>Table2[[#This Row],[field_fate3]]</f>
        <v>F-A</v>
      </c>
      <c r="AD116" s="101" t="str">
        <f>Table2[[#This Row],[field_fate4]]</f>
        <v>F-A</v>
      </c>
      <c r="AE116" s="101" t="str">
        <f>Table2[[#This Row],[field_fate5]]</f>
        <v>F-A</v>
      </c>
      <c r="AF116" s="101" t="str">
        <f>Table2[[#This Row],[field_fate5]]</f>
        <v>F-A</v>
      </c>
      <c r="AG116" s="101" t="str">
        <f>Table2[[#This Row],[field_fate5]]</f>
        <v>F-A</v>
      </c>
      <c r="AH116" s="101" t="str">
        <f>Table2[[#This Row],[field_fate2]]</f>
        <v>F-A</v>
      </c>
      <c r="AI116" s="101" t="str">
        <f>Table2[[#This Row],[field_fate8]]</f>
        <v>F-A</v>
      </c>
      <c r="AJ116" s="101" t="str">
        <f>Table2[[#This Row],[field_fate10]]</f>
        <v>F-A</v>
      </c>
      <c r="AK116" s="101" t="b">
        <f>Table2[[#This Row],[field_fate_feb]]=Table2[[#This Row],[field_fate10]]</f>
        <v>1</v>
      </c>
      <c r="AL116" s="43" t="s">
        <v>24</v>
      </c>
      <c r="AM116" s="43" t="b">
        <f>Table2[[#This Row],[cam_fate2]]="NA"</f>
        <v>1</v>
      </c>
      <c r="AN116" s="19" t="str">
        <f>Table2[[#This Row],[cam_fate1]]</f>
        <v>NA</v>
      </c>
      <c r="AO116" s="2" t="s">
        <v>137</v>
      </c>
      <c r="AP116" s="5" t="str">
        <f>Table2[[#This Row],[final_fate1]]</f>
        <v>F-A</v>
      </c>
      <c r="AQ116" s="6">
        <v>23</v>
      </c>
      <c r="AR116" s="7">
        <v>23</v>
      </c>
      <c r="AS116" s="7">
        <f>Table2[[#This Row],[final_obs_date]]-Table2[[#This Row],[init_date]]</f>
        <v>23</v>
      </c>
      <c r="AT116" s="7">
        <f>(Table2[[#This Row],[final_obs_date2]]-Table2[[#This Row],[estHD]])+16</f>
        <v>11</v>
      </c>
      <c r="AU116" s="38">
        <v>4</v>
      </c>
      <c r="AV116" s="33">
        <v>4</v>
      </c>
      <c r="AW116" s="33">
        <f>Table2[[#This Row],[final_obs_date2]]-Table2[[#This Row],[pen_obs_date]]</f>
        <v>81</v>
      </c>
      <c r="AX116" s="67">
        <v>81</v>
      </c>
      <c r="AY116" s="6">
        <f>Table2[[#This Row],[final_obs_date]]</f>
        <v>81</v>
      </c>
      <c r="AZ116" s="6"/>
      <c r="BA116" s="91" t="s">
        <v>23</v>
      </c>
      <c r="BB116" s="6" t="b">
        <f>Table2[[#This Row],[final_obs_date]]&lt;(Table2[[#This Row],[estHD]]-2)</f>
        <v>1</v>
      </c>
      <c r="BC116" s="24">
        <f>IF(Table2[[#This Row],[field_fate]]="H",1,0)</f>
        <v>0</v>
      </c>
      <c r="BD116" s="16">
        <f>IF(Table2[[#This Row],[cam_fate2]]="H",1,0)</f>
        <v>0</v>
      </c>
      <c r="BE116" s="6" t="b">
        <f>NOT(Table2[[#This Row],[HF_C]]=Table2[[#This Row],[HF]])</f>
        <v>0</v>
      </c>
      <c r="BF116" s="6" t="b">
        <f>NOT(Table2[[#This Row],[cam_fate2]]=Table2[[#This Row],[field_fate3]])</f>
        <v>1</v>
      </c>
      <c r="BG116" s="6" t="b">
        <f>OR(Table2[[#This Row],[field_fate3]]="U",Table2[[#This Row],[field_fate3]]="U-H")</f>
        <v>0</v>
      </c>
      <c r="BH116" s="8">
        <v>63</v>
      </c>
      <c r="BI116" s="8">
        <v>77</v>
      </c>
      <c r="BJ116" s="14">
        <f>IF(ISTEXT(Table2[[#This Row],[j.cam]]),Table2[[#This Row],[j]],Table2[[#This Row],[j.cam]])</f>
        <v>77</v>
      </c>
      <c r="BK116" s="9">
        <v>81</v>
      </c>
      <c r="BL116" s="15">
        <f>IF(ISTEXT(Table2[[#This Row],[k.cam]]), Table2[[#This Row],[k]], Table2[[#This Row],[k.cam]])</f>
        <v>81</v>
      </c>
      <c r="BM116" s="4" t="s">
        <v>24</v>
      </c>
      <c r="BN116" s="8" t="s">
        <v>24</v>
      </c>
      <c r="BO116" s="4">
        <v>5</v>
      </c>
      <c r="BP116" s="4">
        <f>Table2[[#This Row],[final_obs_date]]-Table2[[#This Row],[i]]</f>
        <v>18</v>
      </c>
      <c r="BQ116" s="4" t="b">
        <f>Table2[[#This Row],[final_obs_date2]]&gt;Table2[[#This Row],[estHD]]+3</f>
        <v>0</v>
      </c>
      <c r="BR116" s="4" t="s">
        <v>58</v>
      </c>
      <c r="BS116" s="4" t="s">
        <v>58</v>
      </c>
      <c r="BT116" s="79" t="s">
        <v>1073</v>
      </c>
      <c r="BU116" s="26" t="s">
        <v>138</v>
      </c>
      <c r="BV116" s="79" t="s">
        <v>1482</v>
      </c>
      <c r="BW116" s="49"/>
      <c r="BX116" s="47"/>
      <c r="BY116" s="36" t="s">
        <v>24</v>
      </c>
    </row>
    <row r="117" spans="1:77" ht="15" hidden="1" thickBot="1" x14ac:dyDescent="0.4">
      <c r="A117" s="62">
        <v>10130</v>
      </c>
      <c r="B117" s="2" t="s">
        <v>111</v>
      </c>
      <c r="C117" s="44">
        <v>2019</v>
      </c>
      <c r="D117" s="3">
        <v>29.771650000000001</v>
      </c>
      <c r="E117" s="3">
        <v>-93.30247</v>
      </c>
      <c r="F117" s="3">
        <v>5</v>
      </c>
      <c r="G117" s="3">
        <v>10</v>
      </c>
      <c r="H117" s="3" t="s">
        <v>26</v>
      </c>
      <c r="I117" s="43"/>
      <c r="J117" s="55">
        <v>82</v>
      </c>
      <c r="K117" s="4">
        <v>78</v>
      </c>
      <c r="L117" s="22">
        <f>IF(ISNUMBER(Table2[[#This Row],[estHD]]),ABS(Table2[[#This Row],[HD]]-Table2[[#This Row],[estHD]]),"NA")</f>
        <v>4</v>
      </c>
      <c r="M117" s="4" t="b">
        <f>Table2[[#This Row],[HD]]=Table2[[#This Row],[estHD]]</f>
        <v>0</v>
      </c>
      <c r="N117" s="4" t="str">
        <f>IF(ISNUMBER([1]!Table2[[#This Row],[hatch_date]]), [1]!Table2[[#This Row],[hatch_date]]-28, "NA")</f>
        <v>NA</v>
      </c>
      <c r="O117" s="31">
        <v>50</v>
      </c>
      <c r="P117" s="23">
        <f>IF(ISNUMBER(Table2[[#This Row],[nest_age1]]),ABS(Table2[[#This Row],[nest_age1]]-Table2[[#This Row],[nest_age_feb]]),"NA")</f>
        <v>4</v>
      </c>
      <c r="Q117" s="24">
        <f>IF(ISNUMBER(Table2[[#This Row],[final_obs_int2]]),ABS(Table2[[#This Row],[final_obs_int2]]-Table2[[#This Row],[final_obs_int_feb]]), "NA")</f>
        <v>0</v>
      </c>
      <c r="R117" s="24"/>
      <c r="S117" s="57" t="s">
        <v>88</v>
      </c>
      <c r="T117" s="57" t="str">
        <f>Table2[[#This Row],[camera_old]]</f>
        <v>N</v>
      </c>
      <c r="U117" s="24"/>
      <c r="V117" s="16" t="s">
        <v>24</v>
      </c>
      <c r="W117" s="16">
        <v>24</v>
      </c>
      <c r="X117" s="145">
        <v>5</v>
      </c>
      <c r="Y117" s="147" t="s">
        <v>37</v>
      </c>
      <c r="Z117" s="146" t="s">
        <v>37</v>
      </c>
      <c r="AA117" s="4" t="str">
        <f>Table2[[#This Row],[field_fate]]</f>
        <v>H</v>
      </c>
      <c r="AB117" s="4" t="str">
        <f>Table2[[#This Row],[field_fate2]]</f>
        <v>H</v>
      </c>
      <c r="AC117" s="4" t="str">
        <f>Table2[[#This Row],[field_fate3]]</f>
        <v>H</v>
      </c>
      <c r="AD117" s="4" t="str">
        <f>Table2[[#This Row],[field_fate4]]</f>
        <v>H</v>
      </c>
      <c r="AE117" s="4" t="str">
        <f>Table2[[#This Row],[field_fate5]]</f>
        <v>H</v>
      </c>
      <c r="AF117" s="4" t="str">
        <f>Table2[[#This Row],[field_fate5]]</f>
        <v>H</v>
      </c>
      <c r="AG117" s="4" t="str">
        <f>Table2[[#This Row],[field_fate5]]</f>
        <v>H</v>
      </c>
      <c r="AH117" s="4" t="str">
        <f>Table2[[#This Row],[field_fate2]]</f>
        <v>H</v>
      </c>
      <c r="AI117" s="4" t="str">
        <f>Table2[[#This Row],[field_fate8]]</f>
        <v>H</v>
      </c>
      <c r="AJ117" s="4" t="str">
        <f>Table2[[#This Row],[field_fate10]]</f>
        <v>H</v>
      </c>
      <c r="AK117" s="4" t="b">
        <f>Table2[[#This Row],[field_fate_feb]]=Table2[[#This Row],[field_fate10]]</f>
        <v>1</v>
      </c>
      <c r="AL117" s="43" t="s">
        <v>24</v>
      </c>
      <c r="AM117" s="43" t="b">
        <f>Table2[[#This Row],[cam_fate2]]="NA"</f>
        <v>1</v>
      </c>
      <c r="AN117" s="19" t="str">
        <f>Table2[[#This Row],[cam_fate1]]</f>
        <v>NA</v>
      </c>
      <c r="AO117" s="2" t="s">
        <v>37</v>
      </c>
      <c r="AP117" s="5" t="str">
        <f>Table2[[#This Row],[final_fate1]]</f>
        <v>H</v>
      </c>
      <c r="AQ117" s="6">
        <v>28</v>
      </c>
      <c r="AR117" s="7">
        <v>24</v>
      </c>
      <c r="AS117" s="7">
        <f>Table2[[#This Row],[final_obs_date]]-Table2[[#This Row],[init_date]]</f>
        <v>28</v>
      </c>
      <c r="AT117" s="7">
        <f>(Table2[[#This Row],[final_obs_date2]]-Table2[[#This Row],[estHD]])+16</f>
        <v>12</v>
      </c>
      <c r="AU117" s="38">
        <v>5</v>
      </c>
      <c r="AV117" s="33">
        <v>5</v>
      </c>
      <c r="AW117" s="33">
        <f>Table2[[#This Row],[final_obs_date2]]-Table2[[#This Row],[pen_obs_date]]</f>
        <v>78</v>
      </c>
      <c r="AX117" s="67">
        <v>78</v>
      </c>
      <c r="AY117" s="6">
        <f>Table2[[#This Row],[final_obs_date]]</f>
        <v>78</v>
      </c>
      <c r="AZ117" s="6"/>
      <c r="BA117" s="91" t="s">
        <v>23</v>
      </c>
      <c r="BB117" s="6" t="b">
        <f>Table2[[#This Row],[final_obs_date]]&lt;(Table2[[#This Row],[estHD]]-2)</f>
        <v>1</v>
      </c>
      <c r="BC117" s="24">
        <f>IF(Table2[[#This Row],[field_fate]]="H",1,0)</f>
        <v>1</v>
      </c>
      <c r="BD117" s="16">
        <f>IF(Table2[[#This Row],[cam_fate2]]="H",1,0)</f>
        <v>0</v>
      </c>
      <c r="BE117" s="6" t="b">
        <f>NOT(Table2[[#This Row],[HF_C]]=Table2[[#This Row],[HF]])</f>
        <v>1</v>
      </c>
      <c r="BF117" s="6" t="b">
        <f>NOT(Table2[[#This Row],[cam_fate2]]=Table2[[#This Row],[field_fate3]])</f>
        <v>1</v>
      </c>
      <c r="BG117" s="6" t="b">
        <f>OR(Table2[[#This Row],[field_fate3]]="U",Table2[[#This Row],[field_fate3]]="U-H")</f>
        <v>0</v>
      </c>
      <c r="BH117" s="8">
        <v>66</v>
      </c>
      <c r="BI117" s="8">
        <v>78</v>
      </c>
      <c r="BJ117" s="14">
        <f>IF(ISTEXT(Table2[[#This Row],[j.cam]]),Table2[[#This Row],[j]],Table2[[#This Row],[j.cam]])</f>
        <v>78</v>
      </c>
      <c r="BK117" s="9">
        <v>78</v>
      </c>
      <c r="BL117" s="15">
        <f>IF(ISTEXT(Table2[[#This Row],[k.cam]]), Table2[[#This Row],[k]], Table2[[#This Row],[k.cam]])</f>
        <v>78</v>
      </c>
      <c r="BM117" s="4" t="s">
        <v>24</v>
      </c>
      <c r="BN117" s="8" t="s">
        <v>24</v>
      </c>
      <c r="BO117" s="4">
        <v>4</v>
      </c>
      <c r="BP117" s="4">
        <f>Table2[[#This Row],[final_obs_date]]-Table2[[#This Row],[i]]</f>
        <v>12</v>
      </c>
      <c r="BQ117" s="4" t="b">
        <f>Table2[[#This Row],[final_obs_date2]]&gt;Table2[[#This Row],[estHD]]+3</f>
        <v>0</v>
      </c>
      <c r="BR117" s="4" t="s">
        <v>33</v>
      </c>
      <c r="BS117" s="4" t="s">
        <v>139</v>
      </c>
      <c r="BT117" s="79" t="s">
        <v>1074</v>
      </c>
      <c r="BU117" s="26" t="s">
        <v>140</v>
      </c>
      <c r="BV117" s="79" t="s">
        <v>1483</v>
      </c>
      <c r="BW117" s="49"/>
      <c r="BX117" s="47"/>
      <c r="BY117" s="36" t="s">
        <v>550</v>
      </c>
    </row>
    <row r="118" spans="1:77" ht="15" hidden="1" thickBot="1" x14ac:dyDescent="0.4">
      <c r="A118" s="62">
        <v>10132</v>
      </c>
      <c r="B118" s="2" t="s">
        <v>111</v>
      </c>
      <c r="C118" s="44">
        <v>2019</v>
      </c>
      <c r="D118" s="3">
        <v>29.773610000000001</v>
      </c>
      <c r="E118" s="3">
        <v>-93.289630000000002</v>
      </c>
      <c r="F118" s="3">
        <v>0</v>
      </c>
      <c r="G118" s="3">
        <v>0</v>
      </c>
      <c r="H118" s="3" t="s">
        <v>26</v>
      </c>
      <c r="I118" s="43"/>
      <c r="J118" s="55">
        <v>86</v>
      </c>
      <c r="K118" s="4">
        <v>86</v>
      </c>
      <c r="L118" s="22">
        <f>IF(ISNUMBER(Table2[[#This Row],[estHD]]),ABS(Table2[[#This Row],[HD]]-Table2[[#This Row],[estHD]]),"NA")</f>
        <v>0</v>
      </c>
      <c r="M118" s="4" t="b">
        <f>Table2[[#This Row],[HD]]=Table2[[#This Row],[estHD]]</f>
        <v>1</v>
      </c>
      <c r="N118" s="4" t="str">
        <f>IF(ISNUMBER([1]!Table2[[#This Row],[hatch_date]]), [1]!Table2[[#This Row],[hatch_date]]-16, "NA")</f>
        <v>NA</v>
      </c>
      <c r="O118" s="31">
        <v>70</v>
      </c>
      <c r="P118" s="23">
        <f>IF(ISNUMBER(Table2[[#This Row],[nest_age1]]),ABS(Table2[[#This Row],[nest_age1]]-Table2[[#This Row],[nest_age_feb]]),"NA")</f>
        <v>0</v>
      </c>
      <c r="Q118" s="24">
        <f>IF(ISNUMBER(Table2[[#This Row],[final_obs_int2]]),ABS(Table2[[#This Row],[final_obs_int2]]-Table2[[#This Row],[final_obs_int_feb]]), "NA")</f>
        <v>0</v>
      </c>
      <c r="R118" s="24"/>
      <c r="S118" s="57" t="s">
        <v>88</v>
      </c>
      <c r="T118" s="57" t="str">
        <f>Table2[[#This Row],[camera_old]]</f>
        <v>N</v>
      </c>
      <c r="U118" s="24"/>
      <c r="V118" s="16" t="s">
        <v>24</v>
      </c>
      <c r="W118" s="16">
        <v>3</v>
      </c>
      <c r="X118" s="145">
        <v>4</v>
      </c>
      <c r="Y118" s="147" t="s">
        <v>31</v>
      </c>
      <c r="Z118" s="146" t="s">
        <v>31</v>
      </c>
      <c r="AA118" s="4" t="str">
        <f>Table2[[#This Row],[field_fate]]</f>
        <v>D</v>
      </c>
      <c r="AB118" s="4" t="str">
        <f>Table2[[#This Row],[field_fate2]]</f>
        <v>D</v>
      </c>
      <c r="AC118" s="4" t="str">
        <f>Table2[[#This Row],[field_fate3]]</f>
        <v>D</v>
      </c>
      <c r="AD118" s="4" t="str">
        <f>Table2[[#This Row],[field_fate4]]</f>
        <v>D</v>
      </c>
      <c r="AE118" s="4" t="str">
        <f>Table2[[#This Row],[field_fate5]]</f>
        <v>D</v>
      </c>
      <c r="AF118" s="4" t="str">
        <f>Table2[[#This Row],[field_fate5]]</f>
        <v>D</v>
      </c>
      <c r="AG118" s="4" t="str">
        <f>Table2[[#This Row],[field_fate5]]</f>
        <v>D</v>
      </c>
      <c r="AH118" s="4" t="str">
        <f>Table2[[#This Row],[field_fate2]]</f>
        <v>D</v>
      </c>
      <c r="AI118" s="4" t="str">
        <f>Table2[[#This Row],[field_fate8]]</f>
        <v>D</v>
      </c>
      <c r="AJ118" s="4" t="str">
        <f>Table2[[#This Row],[field_fate10]]</f>
        <v>D</v>
      </c>
      <c r="AK118" s="4" t="b">
        <f>Table2[[#This Row],[field_fate_feb]]=Table2[[#This Row],[field_fate10]]</f>
        <v>1</v>
      </c>
      <c r="AL118" s="43" t="s">
        <v>24</v>
      </c>
      <c r="AM118" s="43" t="b">
        <f>Table2[[#This Row],[cam_fate2]]="NA"</f>
        <v>1</v>
      </c>
      <c r="AN118" s="19" t="str">
        <f>Table2[[#This Row],[cam_fate1]]</f>
        <v>NA</v>
      </c>
      <c r="AO118" s="2" t="s">
        <v>31</v>
      </c>
      <c r="AP118" s="5" t="str">
        <f>Table2[[#This Row],[final_fate1]]</f>
        <v>D</v>
      </c>
      <c r="AQ118" s="6">
        <v>3</v>
      </c>
      <c r="AR118" s="7">
        <v>3</v>
      </c>
      <c r="AS118" s="7">
        <f>Table2[[#This Row],[final_obs_date]]-Table2[[#This Row],[init_date]]</f>
        <v>3</v>
      </c>
      <c r="AT118" s="7">
        <f>(Table2[[#This Row],[final_obs_date2]]-Table2[[#This Row],[estHD]])+16</f>
        <v>3</v>
      </c>
      <c r="AU118" s="38">
        <v>4</v>
      </c>
      <c r="AV118" s="33">
        <v>4</v>
      </c>
      <c r="AW118" s="33">
        <f>Table2[[#This Row],[final_obs_date2]]-Table2[[#This Row],[pen_obs_date]]</f>
        <v>73</v>
      </c>
      <c r="AX118" s="67">
        <v>73</v>
      </c>
      <c r="AY118" s="6">
        <f>Table2[[#This Row],[final_obs_date]]</f>
        <v>73</v>
      </c>
      <c r="AZ118" s="6"/>
      <c r="BA118" s="91" t="s">
        <v>60</v>
      </c>
      <c r="BB118" s="6" t="b">
        <f>Table2[[#This Row],[final_obs_date]]&lt;(Table2[[#This Row],[estHD]]-2)</f>
        <v>1</v>
      </c>
      <c r="BC118" s="24">
        <f>IF(Table2[[#This Row],[field_fate]]="H",1,0)</f>
        <v>0</v>
      </c>
      <c r="BD118" s="16">
        <f>IF(Table2[[#This Row],[cam_fate2]]="H",1,0)</f>
        <v>0</v>
      </c>
      <c r="BE118" s="6" t="b">
        <f>NOT(Table2[[#This Row],[HF_C]]=Table2[[#This Row],[HF]])</f>
        <v>0</v>
      </c>
      <c r="BF118" s="6" t="b">
        <f>NOT(Table2[[#This Row],[cam_fate2]]=Table2[[#This Row],[field_fate3]])</f>
        <v>1</v>
      </c>
      <c r="BG118" s="6" t="b">
        <f>OR(Table2[[#This Row],[field_fate3]]="U",Table2[[#This Row],[field_fate3]]="U-H")</f>
        <v>0</v>
      </c>
      <c r="BH118" s="8">
        <v>69</v>
      </c>
      <c r="BI118" s="8">
        <v>69</v>
      </c>
      <c r="BJ118" s="14">
        <f>IF(ISTEXT(Table2[[#This Row],[j.cam]]),Table2[[#This Row],[j]],Table2[[#This Row],[j.cam]])</f>
        <v>69</v>
      </c>
      <c r="BK118" s="9">
        <v>73</v>
      </c>
      <c r="BL118" s="15">
        <f>IF(ISTEXT(Table2[[#This Row],[k.cam]]), Table2[[#This Row],[k]], Table2[[#This Row],[k.cam]])</f>
        <v>73</v>
      </c>
      <c r="BM118" s="4" t="s">
        <v>24</v>
      </c>
      <c r="BN118" s="8" t="s">
        <v>24</v>
      </c>
      <c r="BO118" s="4">
        <v>2</v>
      </c>
      <c r="BP118" s="4">
        <f>Table2[[#This Row],[final_obs_date]]-Table2[[#This Row],[i]]</f>
        <v>4</v>
      </c>
      <c r="BQ118" s="4" t="b">
        <f>Table2[[#This Row],[final_obs_date2]]&gt;Table2[[#This Row],[estHD]]+3</f>
        <v>0</v>
      </c>
      <c r="BR118" s="4" t="s">
        <v>58</v>
      </c>
      <c r="BS118" s="4" t="s">
        <v>28</v>
      </c>
      <c r="BT118" s="79" t="s">
        <v>1075</v>
      </c>
      <c r="BU118" s="26" t="s">
        <v>59</v>
      </c>
      <c r="BV118" s="79" t="s">
        <v>1429</v>
      </c>
      <c r="BW118" s="49"/>
      <c r="BX118" s="47"/>
      <c r="BY118" s="36" t="s">
        <v>24</v>
      </c>
    </row>
    <row r="119" spans="1:77" ht="15" hidden="1" thickBot="1" x14ac:dyDescent="0.4">
      <c r="A119" s="62">
        <v>10133</v>
      </c>
      <c r="B119" s="2" t="s">
        <v>111</v>
      </c>
      <c r="C119" s="44">
        <v>2019</v>
      </c>
      <c r="D119" s="3">
        <v>29.773309999999999</v>
      </c>
      <c r="E119" s="3">
        <v>-93.292240000000007</v>
      </c>
      <c r="F119" s="3">
        <v>5</v>
      </c>
      <c r="G119" s="3">
        <v>15</v>
      </c>
      <c r="H119" s="3" t="s">
        <v>26</v>
      </c>
      <c r="I119" s="43"/>
      <c r="J119" s="55">
        <v>88</v>
      </c>
      <c r="K119" s="4">
        <v>88</v>
      </c>
      <c r="L119" s="22">
        <f>IF(ISNUMBER(Table2[[#This Row],[estHD]]),ABS(Table2[[#This Row],[HD]]-Table2[[#This Row],[estHD]]),"NA")</f>
        <v>0</v>
      </c>
      <c r="M119" s="4" t="b">
        <f>Table2[[#This Row],[HD]]=Table2[[#This Row],[estHD]]</f>
        <v>1</v>
      </c>
      <c r="N119" s="4" t="str">
        <f>IF(ISNUMBER([1]!Table2[[#This Row],[hatch_date]]), [1]!Table2[[#This Row],[hatch_date]]-28, "NA")</f>
        <v>NA</v>
      </c>
      <c r="O119" s="31">
        <v>60</v>
      </c>
      <c r="P119" s="23">
        <f>IF(ISNUMBER(Table2[[#This Row],[nest_age1]]),ABS(Table2[[#This Row],[nest_age1]]-Table2[[#This Row],[nest_age_feb]]),"NA")</f>
        <v>0</v>
      </c>
      <c r="Q119" s="24">
        <f>IF(ISNUMBER(Table2[[#This Row],[final_obs_int2]]),ABS(Table2[[#This Row],[final_obs_int2]]-Table2[[#This Row],[final_obs_int_feb]]), "NA")</f>
        <v>0</v>
      </c>
      <c r="R119" s="24"/>
      <c r="S119" s="57" t="s">
        <v>88</v>
      </c>
      <c r="T119" s="57" t="str">
        <f>Table2[[#This Row],[camera_old]]</f>
        <v>N</v>
      </c>
      <c r="U119" s="24"/>
      <c r="V119" s="16" t="s">
        <v>24</v>
      </c>
      <c r="W119" s="16">
        <v>13</v>
      </c>
      <c r="X119" s="145">
        <v>4</v>
      </c>
      <c r="Y119" s="147" t="s">
        <v>31</v>
      </c>
      <c r="Z119" s="146" t="s">
        <v>31</v>
      </c>
      <c r="AA119" s="4" t="str">
        <f>Table2[[#This Row],[field_fate]]</f>
        <v>D</v>
      </c>
      <c r="AB119" s="4" t="str">
        <f>Table2[[#This Row],[field_fate2]]</f>
        <v>D</v>
      </c>
      <c r="AC119" s="4" t="str">
        <f>Table2[[#This Row],[field_fate3]]</f>
        <v>D</v>
      </c>
      <c r="AD119" s="4" t="str">
        <f>Table2[[#This Row],[field_fate4]]</f>
        <v>D</v>
      </c>
      <c r="AE119" s="4" t="str">
        <f>Table2[[#This Row],[field_fate5]]</f>
        <v>D</v>
      </c>
      <c r="AF119" s="4" t="str">
        <f>Table2[[#This Row],[field_fate5]]</f>
        <v>D</v>
      </c>
      <c r="AG119" s="4" t="str">
        <f>Table2[[#This Row],[field_fate5]]</f>
        <v>D</v>
      </c>
      <c r="AH119" s="4" t="str">
        <f>Table2[[#This Row],[field_fate2]]</f>
        <v>D</v>
      </c>
      <c r="AI119" s="4" t="str">
        <f>Table2[[#This Row],[field_fate8]]</f>
        <v>D</v>
      </c>
      <c r="AJ119" s="4" t="str">
        <f>Table2[[#This Row],[field_fate10]]</f>
        <v>D</v>
      </c>
      <c r="AK119" s="4" t="b">
        <f>Table2[[#This Row],[field_fate_feb]]=Table2[[#This Row],[field_fate10]]</f>
        <v>1</v>
      </c>
      <c r="AL119" s="43" t="s">
        <v>24</v>
      </c>
      <c r="AM119" s="43" t="b">
        <f>Table2[[#This Row],[cam_fate2]]="NA"</f>
        <v>1</v>
      </c>
      <c r="AN119" s="19" t="str">
        <f>Table2[[#This Row],[cam_fate1]]</f>
        <v>NA</v>
      </c>
      <c r="AO119" s="2" t="s">
        <v>31</v>
      </c>
      <c r="AP119" s="5" t="str">
        <f>Table2[[#This Row],[final_fate1]]</f>
        <v>D</v>
      </c>
      <c r="AQ119" s="6">
        <v>13</v>
      </c>
      <c r="AR119" s="7">
        <v>13</v>
      </c>
      <c r="AS119" s="7">
        <f>Table2[[#This Row],[final_obs_date]]-Table2[[#This Row],[init_date]]</f>
        <v>13</v>
      </c>
      <c r="AT119" s="7">
        <f>(Table2[[#This Row],[final_obs_date2]]-Table2[[#This Row],[estHD]])+16</f>
        <v>1</v>
      </c>
      <c r="AU119" s="38">
        <v>4</v>
      </c>
      <c r="AV119" s="33">
        <v>4</v>
      </c>
      <c r="AW119" s="33">
        <f>Table2[[#This Row],[final_obs_date2]]-Table2[[#This Row],[pen_obs_date]]</f>
        <v>73</v>
      </c>
      <c r="AX119" s="67">
        <v>73</v>
      </c>
      <c r="AY119" s="6">
        <f>Table2[[#This Row],[final_obs_date]]</f>
        <v>73</v>
      </c>
      <c r="AZ119" s="6"/>
      <c r="BA119" s="91" t="s">
        <v>23</v>
      </c>
      <c r="BB119" s="6" t="b">
        <f>Table2[[#This Row],[final_obs_date]]&lt;(Table2[[#This Row],[estHD]]-2)</f>
        <v>1</v>
      </c>
      <c r="BC119" s="24">
        <f>IF(Table2[[#This Row],[field_fate]]="H",1,0)</f>
        <v>0</v>
      </c>
      <c r="BD119" s="16">
        <f>IF(Table2[[#This Row],[cam_fate2]]="H",1,0)</f>
        <v>0</v>
      </c>
      <c r="BE119" s="6" t="b">
        <f>NOT(Table2[[#This Row],[HF_C]]=Table2[[#This Row],[HF]])</f>
        <v>0</v>
      </c>
      <c r="BF119" s="6" t="b">
        <f>NOT(Table2[[#This Row],[cam_fate2]]=Table2[[#This Row],[field_fate3]])</f>
        <v>1</v>
      </c>
      <c r="BG119" s="6" t="b">
        <f>OR(Table2[[#This Row],[field_fate3]]="U",Table2[[#This Row],[field_fate3]]="U-H")</f>
        <v>0</v>
      </c>
      <c r="BH119" s="8">
        <v>69</v>
      </c>
      <c r="BI119" s="8">
        <v>69</v>
      </c>
      <c r="BJ119" s="14">
        <f>IF(ISTEXT(Table2[[#This Row],[j.cam]]),Table2[[#This Row],[j]],Table2[[#This Row],[j.cam]])</f>
        <v>69</v>
      </c>
      <c r="BK119" s="9">
        <v>73</v>
      </c>
      <c r="BL119" s="15">
        <f>IF(ISTEXT(Table2[[#This Row],[k.cam]]), Table2[[#This Row],[k]], Table2[[#This Row],[k.cam]])</f>
        <v>73</v>
      </c>
      <c r="BM119" s="4" t="s">
        <v>24</v>
      </c>
      <c r="BN119" s="8" t="s">
        <v>24</v>
      </c>
      <c r="BO119" s="4">
        <v>2</v>
      </c>
      <c r="BP119" s="4">
        <f>Table2[[#This Row],[final_obs_date]]-Table2[[#This Row],[i]]</f>
        <v>4</v>
      </c>
      <c r="BQ119" s="4" t="b">
        <f>Table2[[#This Row],[final_obs_date2]]&gt;Table2[[#This Row],[estHD]]+3</f>
        <v>0</v>
      </c>
      <c r="BR119" s="4" t="s">
        <v>27</v>
      </c>
      <c r="BS119" s="4" t="s">
        <v>28</v>
      </c>
      <c r="BT119" s="79" t="s">
        <v>1075</v>
      </c>
      <c r="BU119" s="26" t="s">
        <v>29</v>
      </c>
      <c r="BV119" s="79" t="s">
        <v>1429</v>
      </c>
      <c r="BW119" s="49"/>
      <c r="BX119" s="47"/>
      <c r="BY119" s="36" t="s">
        <v>24</v>
      </c>
    </row>
    <row r="120" spans="1:77" ht="15" hidden="1" thickBot="1" x14ac:dyDescent="0.4">
      <c r="A120" s="62">
        <v>10134</v>
      </c>
      <c r="B120" s="2" t="s">
        <v>111</v>
      </c>
      <c r="C120" s="44">
        <v>2019</v>
      </c>
      <c r="D120" s="3">
        <v>29.773119999999999</v>
      </c>
      <c r="E120" s="3">
        <v>-93.293530000000004</v>
      </c>
      <c r="F120" s="3">
        <v>80</v>
      </c>
      <c r="G120" s="3">
        <v>70</v>
      </c>
      <c r="H120" s="3" t="s">
        <v>26</v>
      </c>
      <c r="I120" s="43"/>
      <c r="J120" s="55">
        <v>81</v>
      </c>
      <c r="K120" s="4">
        <v>78</v>
      </c>
      <c r="L120" s="22">
        <f>IF(ISNUMBER(Table2[[#This Row],[estHD]]),ABS(Table2[[#This Row],[HD]]-Table2[[#This Row],[estHD]]),"NA")</f>
        <v>3</v>
      </c>
      <c r="M120" s="4" t="b">
        <f>Table2[[#This Row],[HD]]=Table2[[#This Row],[estHD]]</f>
        <v>0</v>
      </c>
      <c r="N120" s="4" t="str">
        <f>IF(ISNUMBER([1]!Table2[[#This Row],[hatch_date]]), [1]!Table2[[#This Row],[hatch_date]]-28, "NA")</f>
        <v>NA</v>
      </c>
      <c r="O120" s="31">
        <v>50</v>
      </c>
      <c r="P120" s="23">
        <f>IF(ISNUMBER(Table2[[#This Row],[nest_age1]]),ABS(Table2[[#This Row],[nest_age1]]-Table2[[#This Row],[nest_age_feb]]),"NA")</f>
        <v>3</v>
      </c>
      <c r="Q120" s="24">
        <f>IF(ISNUMBER(Table2[[#This Row],[final_obs_int2]]),ABS(Table2[[#This Row],[final_obs_int2]]-Table2[[#This Row],[final_obs_int_feb]]), "NA")</f>
        <v>0</v>
      </c>
      <c r="R120" s="24"/>
      <c r="S120" s="57" t="s">
        <v>88</v>
      </c>
      <c r="T120" s="57" t="str">
        <f>Table2[[#This Row],[camera_old]]</f>
        <v>N</v>
      </c>
      <c r="U120" s="24"/>
      <c r="V120" s="16" t="s">
        <v>24</v>
      </c>
      <c r="W120" s="16">
        <v>25</v>
      </c>
      <c r="X120" s="145">
        <v>5</v>
      </c>
      <c r="Y120" s="147" t="s">
        <v>37</v>
      </c>
      <c r="Z120" s="146" t="s">
        <v>37</v>
      </c>
      <c r="AA120" s="4" t="str">
        <f>Table2[[#This Row],[field_fate]]</f>
        <v>H</v>
      </c>
      <c r="AB120" s="4" t="str">
        <f>Table2[[#This Row],[field_fate2]]</f>
        <v>H</v>
      </c>
      <c r="AC120" s="4" t="str">
        <f>Table2[[#This Row],[field_fate3]]</f>
        <v>H</v>
      </c>
      <c r="AD120" s="4" t="str">
        <f>Table2[[#This Row],[field_fate4]]</f>
        <v>H</v>
      </c>
      <c r="AE120" s="4" t="str">
        <f>Table2[[#This Row],[field_fate5]]</f>
        <v>H</v>
      </c>
      <c r="AF120" s="4" t="str">
        <f>Table2[[#This Row],[field_fate5]]</f>
        <v>H</v>
      </c>
      <c r="AG120" s="4" t="str">
        <f>Table2[[#This Row],[field_fate5]]</f>
        <v>H</v>
      </c>
      <c r="AH120" s="4" t="str">
        <f>Table2[[#This Row],[field_fate2]]</f>
        <v>H</v>
      </c>
      <c r="AI120" s="4" t="str">
        <f>Table2[[#This Row],[field_fate8]]</f>
        <v>H</v>
      </c>
      <c r="AJ120" s="4" t="str">
        <f>Table2[[#This Row],[field_fate10]]</f>
        <v>H</v>
      </c>
      <c r="AK120" s="4" t="b">
        <f>Table2[[#This Row],[field_fate_feb]]=Table2[[#This Row],[field_fate10]]</f>
        <v>1</v>
      </c>
      <c r="AL120" s="43" t="s">
        <v>24</v>
      </c>
      <c r="AM120" s="43" t="b">
        <f>Table2[[#This Row],[cam_fate2]]="NA"</f>
        <v>1</v>
      </c>
      <c r="AN120" s="19" t="str">
        <f>Table2[[#This Row],[cam_fate1]]</f>
        <v>NA</v>
      </c>
      <c r="AO120" s="2" t="s">
        <v>37</v>
      </c>
      <c r="AP120" s="5" t="str">
        <f>Table2[[#This Row],[final_fate1]]</f>
        <v>H</v>
      </c>
      <c r="AQ120" s="6">
        <v>28</v>
      </c>
      <c r="AR120" s="7">
        <v>25</v>
      </c>
      <c r="AS120" s="7">
        <f>Table2[[#This Row],[final_obs_date]]-Table2[[#This Row],[init_date]]</f>
        <v>28</v>
      </c>
      <c r="AT120" s="7">
        <f>(Table2[[#This Row],[final_obs_date2]]-Table2[[#This Row],[estHD]])+16</f>
        <v>13</v>
      </c>
      <c r="AU120" s="38">
        <v>5</v>
      </c>
      <c r="AV120" s="33">
        <v>5</v>
      </c>
      <c r="AW120" s="33">
        <f>Table2[[#This Row],[final_obs_date2]]-Table2[[#This Row],[pen_obs_date]]</f>
        <v>78</v>
      </c>
      <c r="AX120" s="67">
        <v>78</v>
      </c>
      <c r="AY120" s="6">
        <f>Table2[[#This Row],[final_obs_date]]</f>
        <v>78</v>
      </c>
      <c r="AZ120" s="6"/>
      <c r="BA120" s="91" t="s">
        <v>23</v>
      </c>
      <c r="BB120" s="6" t="b">
        <f>Table2[[#This Row],[final_obs_date]]&lt;(Table2[[#This Row],[estHD]]-2)</f>
        <v>1</v>
      </c>
      <c r="BC120" s="24">
        <f>IF(Table2[[#This Row],[field_fate]]="H",1,0)</f>
        <v>1</v>
      </c>
      <c r="BD120" s="16">
        <f>IF(Table2[[#This Row],[cam_fate2]]="H",1,0)</f>
        <v>0</v>
      </c>
      <c r="BE120" s="6" t="b">
        <f>NOT(Table2[[#This Row],[HF_C]]=Table2[[#This Row],[HF]])</f>
        <v>1</v>
      </c>
      <c r="BF120" s="6" t="b">
        <f>NOT(Table2[[#This Row],[cam_fate2]]=Table2[[#This Row],[field_fate3]])</f>
        <v>1</v>
      </c>
      <c r="BG120" s="6" t="b">
        <f>OR(Table2[[#This Row],[field_fate3]]="U",Table2[[#This Row],[field_fate3]]="U-H")</f>
        <v>0</v>
      </c>
      <c r="BH120" s="8">
        <v>69</v>
      </c>
      <c r="BI120" s="8">
        <v>78</v>
      </c>
      <c r="BJ120" s="14">
        <f>IF(ISTEXT(Table2[[#This Row],[j.cam]]),Table2[[#This Row],[j]],Table2[[#This Row],[j.cam]])</f>
        <v>78</v>
      </c>
      <c r="BK120" s="9">
        <v>78</v>
      </c>
      <c r="BL120" s="15">
        <f>IF(ISTEXT(Table2[[#This Row],[k.cam]]), Table2[[#This Row],[k]], Table2[[#This Row],[k.cam]])</f>
        <v>78</v>
      </c>
      <c r="BM120" s="4" t="s">
        <v>24</v>
      </c>
      <c r="BN120" s="8" t="s">
        <v>24</v>
      </c>
      <c r="BO120" s="4">
        <v>3</v>
      </c>
      <c r="BP120" s="4">
        <f>Table2[[#This Row],[final_obs_date]]-Table2[[#This Row],[i]]</f>
        <v>9</v>
      </c>
      <c r="BQ120" s="4" t="b">
        <f>Table2[[#This Row],[final_obs_date2]]&gt;Table2[[#This Row],[estHD]]+3</f>
        <v>0</v>
      </c>
      <c r="BR120" s="4" t="s">
        <v>27</v>
      </c>
      <c r="BS120" s="4" t="s">
        <v>53</v>
      </c>
      <c r="BT120" s="79" t="s">
        <v>1076</v>
      </c>
      <c r="BU120" s="26" t="s">
        <v>141</v>
      </c>
      <c r="BV120" s="79" t="s">
        <v>1479</v>
      </c>
      <c r="BW120" s="49"/>
      <c r="BX120" s="47"/>
      <c r="BY120" s="36" t="s">
        <v>24</v>
      </c>
    </row>
    <row r="121" spans="1:77" ht="15" hidden="1" thickBot="1" x14ac:dyDescent="0.4">
      <c r="A121" s="62">
        <v>10135</v>
      </c>
      <c r="B121" s="2" t="s">
        <v>111</v>
      </c>
      <c r="C121" s="44">
        <v>2019</v>
      </c>
      <c r="D121" s="3">
        <v>29.77169</v>
      </c>
      <c r="E121" s="3">
        <v>-93.301580000000001</v>
      </c>
      <c r="F121" s="3">
        <v>0</v>
      </c>
      <c r="G121" s="3">
        <v>0</v>
      </c>
      <c r="H121" s="3" t="s">
        <v>26</v>
      </c>
      <c r="I121" s="43"/>
      <c r="J121" s="55">
        <v>96</v>
      </c>
      <c r="K121" s="4">
        <v>96</v>
      </c>
      <c r="L121" s="22">
        <f>IF(ISNUMBER(Table2[[#This Row],[estHD]]),ABS(Table2[[#This Row],[HD]]-Table2[[#This Row],[estHD]]),"NA")</f>
        <v>0</v>
      </c>
      <c r="M121" s="4" t="b">
        <f>Table2[[#This Row],[HD]]=Table2[[#This Row],[estHD]]</f>
        <v>1</v>
      </c>
      <c r="N121" s="4" t="str">
        <f>IF(ISNUMBER([1]!Table2[[#This Row],[hatch_date]]), [1]!Table2[[#This Row],[hatch_date]]-28, "NA")</f>
        <v>NA</v>
      </c>
      <c r="O121" s="31">
        <v>68</v>
      </c>
      <c r="P121" s="23">
        <f>IF(ISNUMBER(Table2[[#This Row],[nest_age1]]),ABS(Table2[[#This Row],[nest_age1]]-Table2[[#This Row],[nest_age_feb]]),"NA")</f>
        <v>0</v>
      </c>
      <c r="Q121" s="24">
        <f>IF(ISNUMBER(Table2[[#This Row],[final_obs_int2]]),ABS(Table2[[#This Row],[final_obs_int2]]-Table2[[#This Row],[final_obs_int_feb]]), "NA")</f>
        <v>0</v>
      </c>
      <c r="R121" s="24"/>
      <c r="S121" s="57" t="s">
        <v>88</v>
      </c>
      <c r="T121" s="57" t="str">
        <f>Table2[[#This Row],[camera_old]]</f>
        <v>N</v>
      </c>
      <c r="U121" s="24"/>
      <c r="V121" s="16" t="s">
        <v>24</v>
      </c>
      <c r="W121" s="16">
        <v>5</v>
      </c>
      <c r="X121" s="145">
        <v>4</v>
      </c>
      <c r="Y121" s="147" t="s">
        <v>48</v>
      </c>
      <c r="Z121" s="146" t="s">
        <v>48</v>
      </c>
      <c r="AA121" s="4" t="str">
        <f>Table2[[#This Row],[field_fate]]</f>
        <v>F</v>
      </c>
      <c r="AB121" s="4" t="str">
        <f>Table2[[#This Row],[field_fate2]]</f>
        <v>F</v>
      </c>
      <c r="AC121" s="4" t="str">
        <f>Table2[[#This Row],[field_fate3]]</f>
        <v>F</v>
      </c>
      <c r="AD121" s="4" t="str">
        <f>Table2[[#This Row],[field_fate4]]</f>
        <v>F</v>
      </c>
      <c r="AE121" s="4" t="str">
        <f>Table2[[#This Row],[field_fate5]]</f>
        <v>F</v>
      </c>
      <c r="AF121" s="4" t="str">
        <f>Table2[[#This Row],[field_fate5]]</f>
        <v>F</v>
      </c>
      <c r="AG121" s="4" t="str">
        <f>Table2[[#This Row],[field_fate5]]</f>
        <v>F</v>
      </c>
      <c r="AH121" s="4" t="str">
        <f>Table2[[#This Row],[field_fate2]]</f>
        <v>F</v>
      </c>
      <c r="AI121" s="4" t="str">
        <f>Table2[[#This Row],[field_fate8]]</f>
        <v>F</v>
      </c>
      <c r="AJ121" s="4" t="str">
        <f>Table2[[#This Row],[field_fate10]]</f>
        <v>F</v>
      </c>
      <c r="AK121" s="4" t="b">
        <f>Table2[[#This Row],[field_fate_feb]]=Table2[[#This Row],[field_fate10]]</f>
        <v>1</v>
      </c>
      <c r="AL121" s="43" t="s">
        <v>24</v>
      </c>
      <c r="AM121" s="43" t="b">
        <f>Table2[[#This Row],[cam_fate2]]="NA"</f>
        <v>1</v>
      </c>
      <c r="AN121" s="19" t="str">
        <f>Table2[[#This Row],[cam_fate1]]</f>
        <v>NA</v>
      </c>
      <c r="AO121" s="2" t="s">
        <v>48</v>
      </c>
      <c r="AP121" s="5" t="str">
        <f>Table2[[#This Row],[final_fate1]]</f>
        <v>F</v>
      </c>
      <c r="AQ121" s="6">
        <v>5</v>
      </c>
      <c r="AR121" s="7">
        <v>5</v>
      </c>
      <c r="AS121" s="7">
        <f>Table2[[#This Row],[final_obs_date]]-Table2[[#This Row],[init_date]]</f>
        <v>5</v>
      </c>
      <c r="AT121" s="7">
        <f>(Table2[[#This Row],[final_obs_date2]]-Table2[[#This Row],[estHD]])+16</f>
        <v>-7</v>
      </c>
      <c r="AU121" s="38">
        <v>4</v>
      </c>
      <c r="AV121" s="33">
        <v>4</v>
      </c>
      <c r="AW121" s="33">
        <f>Table2[[#This Row],[final_obs_date2]]-Table2[[#This Row],[pen_obs_date]]</f>
        <v>73</v>
      </c>
      <c r="AX121" s="67">
        <v>73</v>
      </c>
      <c r="AY121" s="6">
        <f>Table2[[#This Row],[final_obs_date]]</f>
        <v>73</v>
      </c>
      <c r="AZ121" s="6"/>
      <c r="BA121" s="91" t="s">
        <v>23</v>
      </c>
      <c r="BB121" s="6" t="b">
        <f>Table2[[#This Row],[final_obs_date]]&lt;(Table2[[#This Row],[estHD]]-2)</f>
        <v>1</v>
      </c>
      <c r="BC121" s="24">
        <f>IF(Table2[[#This Row],[field_fate]]="H",1,0)</f>
        <v>0</v>
      </c>
      <c r="BD121" s="16">
        <f>IF(Table2[[#This Row],[cam_fate2]]="H",1,0)</f>
        <v>0</v>
      </c>
      <c r="BE121" s="6" t="b">
        <f>NOT(Table2[[#This Row],[HF_C]]=Table2[[#This Row],[HF]])</f>
        <v>0</v>
      </c>
      <c r="BF121" s="6" t="b">
        <f>NOT(Table2[[#This Row],[cam_fate2]]=Table2[[#This Row],[field_fate3]])</f>
        <v>1</v>
      </c>
      <c r="BG121" s="6" t="b">
        <f>OR(Table2[[#This Row],[field_fate3]]="U",Table2[[#This Row],[field_fate3]]="U-H")</f>
        <v>0</v>
      </c>
      <c r="BH121" s="8">
        <v>69</v>
      </c>
      <c r="BI121" s="8">
        <v>69</v>
      </c>
      <c r="BJ121" s="14">
        <f>IF(ISTEXT(Table2[[#This Row],[j.cam]]),Table2[[#This Row],[j]],Table2[[#This Row],[j.cam]])</f>
        <v>69</v>
      </c>
      <c r="BK121" s="9">
        <v>73</v>
      </c>
      <c r="BL121" s="15">
        <f>IF(ISTEXT(Table2[[#This Row],[k.cam]]), Table2[[#This Row],[k]], Table2[[#This Row],[k.cam]])</f>
        <v>73</v>
      </c>
      <c r="BM121" s="4" t="s">
        <v>24</v>
      </c>
      <c r="BN121" s="8" t="s">
        <v>24</v>
      </c>
      <c r="BO121" s="4">
        <v>2</v>
      </c>
      <c r="BP121" s="4">
        <f>Table2[[#This Row],[final_obs_date]]-Table2[[#This Row],[i]]</f>
        <v>4</v>
      </c>
      <c r="BQ121" s="4" t="b">
        <f>Table2[[#This Row],[final_obs_date2]]&gt;Table2[[#This Row],[estHD]]+3</f>
        <v>0</v>
      </c>
      <c r="BR121" s="4" t="s">
        <v>58</v>
      </c>
      <c r="BS121" s="4" t="s">
        <v>28</v>
      </c>
      <c r="BT121" s="79" t="s">
        <v>1075</v>
      </c>
      <c r="BU121" s="26" t="s">
        <v>59</v>
      </c>
      <c r="BV121" s="79" t="s">
        <v>1429</v>
      </c>
      <c r="BW121" s="49"/>
      <c r="BX121" s="47"/>
      <c r="BY121" s="36" t="s">
        <v>551</v>
      </c>
    </row>
    <row r="122" spans="1:77" ht="19" hidden="1" thickBot="1" x14ac:dyDescent="0.4">
      <c r="A122" s="62">
        <v>10137</v>
      </c>
      <c r="B122" s="2" t="s">
        <v>111</v>
      </c>
      <c r="C122" s="44">
        <v>2019</v>
      </c>
      <c r="D122" s="3">
        <v>29.772169999999999</v>
      </c>
      <c r="E122" s="3">
        <v>-93.299019999999999</v>
      </c>
      <c r="F122" s="3">
        <v>20</v>
      </c>
      <c r="G122" s="3">
        <v>10</v>
      </c>
      <c r="H122" s="3" t="s">
        <v>26</v>
      </c>
      <c r="I122" s="43"/>
      <c r="J122" s="55">
        <v>88</v>
      </c>
      <c r="K122" s="4">
        <v>88</v>
      </c>
      <c r="L122" s="22">
        <f>IF(ISNUMBER(Table2[[#This Row],[estHD]]),ABS(Table2[[#This Row],[HD]]-Table2[[#This Row],[estHD]]),"NA")</f>
        <v>0</v>
      </c>
      <c r="M122" s="4" t="b">
        <f>Table2[[#This Row],[HD]]=Table2[[#This Row],[estHD]]</f>
        <v>1</v>
      </c>
      <c r="N122" s="4" t="str">
        <f>IF(ISNUMBER([1]!Table2[[#This Row],[hatch_date]]), [1]!Table2[[#This Row],[hatch_date]]-28, "NA")</f>
        <v>NA</v>
      </c>
      <c r="O122" s="31">
        <v>60</v>
      </c>
      <c r="P122" s="23">
        <f>IF(ISNUMBER(Table2[[#This Row],[nest_age1]]),ABS(Table2[[#This Row],[nest_age1]]-Table2[[#This Row],[nest_age_feb]]),"NA")</f>
        <v>0</v>
      </c>
      <c r="Q122" s="24">
        <f>IF(ISNUMBER(Table2[[#This Row],[final_obs_int2]]),ABS(Table2[[#This Row],[final_obs_int2]]-Table2[[#This Row],[final_obs_int_feb]]), "NA")</f>
        <v>0</v>
      </c>
      <c r="R122" s="24"/>
      <c r="S122" s="57" t="s">
        <v>88</v>
      </c>
      <c r="T122" s="57" t="str">
        <f>Table2[[#This Row],[camera_old]]</f>
        <v>N</v>
      </c>
      <c r="U122" s="24"/>
      <c r="V122" s="16" t="s">
        <v>24</v>
      </c>
      <c r="W122" s="16">
        <v>31</v>
      </c>
      <c r="X122" s="145">
        <v>5</v>
      </c>
      <c r="Y122" s="147" t="s">
        <v>142</v>
      </c>
      <c r="Z122" s="146" t="s">
        <v>142</v>
      </c>
      <c r="AA122" s="4" t="str">
        <f>Table2[[#This Row],[field_fate]]</f>
        <v>D-A</v>
      </c>
      <c r="AB122" s="4" t="str">
        <f>Table2[[#This Row],[field_fate2]]</f>
        <v>D-A</v>
      </c>
      <c r="AC122" s="4" t="str">
        <f>Table2[[#This Row],[field_fate3]]</f>
        <v>D-A</v>
      </c>
      <c r="AD122" s="4" t="str">
        <f>Table2[[#This Row],[field_fate4]]</f>
        <v>D-A</v>
      </c>
      <c r="AE122" s="4" t="str">
        <f>Table2[[#This Row],[field_fate5]]</f>
        <v>D-A</v>
      </c>
      <c r="AF122" s="4" t="str">
        <f>Table2[[#This Row],[field_fate5]]</f>
        <v>D-A</v>
      </c>
      <c r="AG122" s="4" t="str">
        <f>Table2[[#This Row],[field_fate5]]</f>
        <v>D-A</v>
      </c>
      <c r="AH122" s="4" t="str">
        <f>Table2[[#This Row],[field_fate2]]</f>
        <v>D-A</v>
      </c>
      <c r="AI122" s="4" t="str">
        <f>Table2[[#This Row],[field_fate8]]</f>
        <v>D-A</v>
      </c>
      <c r="AJ122" s="4" t="str">
        <f>Table2[[#This Row],[field_fate10]]</f>
        <v>D-A</v>
      </c>
      <c r="AK122" s="4" t="b">
        <f>Table2[[#This Row],[field_fate_feb]]=Table2[[#This Row],[field_fate10]]</f>
        <v>1</v>
      </c>
      <c r="AL122" s="43" t="s">
        <v>24</v>
      </c>
      <c r="AM122" s="43" t="b">
        <f>Table2[[#This Row],[cam_fate2]]="NA"</f>
        <v>1</v>
      </c>
      <c r="AN122" s="19" t="str">
        <f>Table2[[#This Row],[cam_fate1]]</f>
        <v>NA</v>
      </c>
      <c r="AO122" s="2" t="s">
        <v>142</v>
      </c>
      <c r="AP122" s="5" t="str">
        <f>Table2[[#This Row],[final_fate1]]</f>
        <v>D-A</v>
      </c>
      <c r="AQ122" s="6">
        <v>31</v>
      </c>
      <c r="AR122" s="7">
        <v>31</v>
      </c>
      <c r="AS122" s="7">
        <f>Table2[[#This Row],[final_obs_date]]-Table2[[#This Row],[init_date]]</f>
        <v>31</v>
      </c>
      <c r="AT122" s="7">
        <f>(Table2[[#This Row],[final_obs_date2]]-Table2[[#This Row],[estHD]])+16</f>
        <v>19</v>
      </c>
      <c r="AU122" s="38">
        <v>5</v>
      </c>
      <c r="AV122" s="33">
        <v>5</v>
      </c>
      <c r="AW122" s="33">
        <f>Table2[[#This Row],[final_obs_date2]]-Table2[[#This Row],[pen_obs_date]]</f>
        <v>91</v>
      </c>
      <c r="AX122" s="67">
        <v>91</v>
      </c>
      <c r="AY122" s="6">
        <f>Table2[[#This Row],[final_obs_date]]</f>
        <v>91</v>
      </c>
      <c r="AZ122" s="6"/>
      <c r="BA122" s="91" t="s">
        <v>23</v>
      </c>
      <c r="BB122" s="6" t="b">
        <f>Table2[[#This Row],[final_obs_date]]&lt;(Table2[[#This Row],[estHD]]-2)</f>
        <v>0</v>
      </c>
      <c r="BC122" s="24">
        <f>IF(Table2[[#This Row],[field_fate]]="H",1,0)</f>
        <v>0</v>
      </c>
      <c r="BD122" s="16">
        <f>IF(Table2[[#This Row],[cam_fate2]]="H",1,0)</f>
        <v>0</v>
      </c>
      <c r="BE122" s="6" t="b">
        <f>NOT(Table2[[#This Row],[HF_C]]=Table2[[#This Row],[HF]])</f>
        <v>0</v>
      </c>
      <c r="BF122" s="6" t="b">
        <f>NOT(Table2[[#This Row],[cam_fate2]]=Table2[[#This Row],[field_fate3]])</f>
        <v>1</v>
      </c>
      <c r="BG122" s="6" t="b">
        <f>OR(Table2[[#This Row],[field_fate3]]="U",Table2[[#This Row],[field_fate3]]="U-H")</f>
        <v>0</v>
      </c>
      <c r="BH122" s="8">
        <v>69</v>
      </c>
      <c r="BI122" s="8">
        <v>86</v>
      </c>
      <c r="BJ122" s="14">
        <f>IF(ISTEXT(Table2[[#This Row],[j.cam]]),Table2[[#This Row],[j]],Table2[[#This Row],[j.cam]])</f>
        <v>86</v>
      </c>
      <c r="BK122" s="9">
        <v>91</v>
      </c>
      <c r="BL122" s="15">
        <f>IF(ISTEXT(Table2[[#This Row],[k.cam]]), Table2[[#This Row],[k]], Table2[[#This Row],[k.cam]])</f>
        <v>91</v>
      </c>
      <c r="BM122" s="4" t="s">
        <v>24</v>
      </c>
      <c r="BN122" s="8" t="s">
        <v>24</v>
      </c>
      <c r="BO122" s="4">
        <v>8</v>
      </c>
      <c r="BP122" s="4">
        <f>Table2[[#This Row],[final_obs_date]]-Table2[[#This Row],[i]]</f>
        <v>22</v>
      </c>
      <c r="BQ122" s="4" t="b">
        <f>Table2[[#This Row],[final_obs_date2]]&gt;Table2[[#This Row],[estHD]]+3</f>
        <v>0</v>
      </c>
      <c r="BR122" s="4" t="s">
        <v>58</v>
      </c>
      <c r="BS122" s="4" t="s">
        <v>28</v>
      </c>
      <c r="BT122" s="79" t="s">
        <v>1077</v>
      </c>
      <c r="BU122" s="26" t="s">
        <v>143</v>
      </c>
      <c r="BV122" s="79" t="s">
        <v>1484</v>
      </c>
      <c r="BW122" s="49"/>
      <c r="BX122" s="47"/>
      <c r="BY122" s="36" t="s">
        <v>552</v>
      </c>
    </row>
    <row r="123" spans="1:77" ht="15" hidden="1" thickBot="1" x14ac:dyDescent="0.4">
      <c r="A123" s="62">
        <v>10138</v>
      </c>
      <c r="B123" s="2" t="s">
        <v>111</v>
      </c>
      <c r="C123" s="44">
        <v>2019</v>
      </c>
      <c r="D123" s="3">
        <v>29.772480000000002</v>
      </c>
      <c r="E123" s="3">
        <v>-93.296589999999995</v>
      </c>
      <c r="F123" s="3">
        <v>0</v>
      </c>
      <c r="G123" s="3">
        <v>0</v>
      </c>
      <c r="H123" s="3" t="s">
        <v>26</v>
      </c>
      <c r="I123" s="43"/>
      <c r="J123" s="55">
        <v>82</v>
      </c>
      <c r="K123" s="4">
        <v>82</v>
      </c>
      <c r="L123" s="22">
        <f>IF(ISNUMBER(Table2[[#This Row],[estHD]]),ABS(Table2[[#This Row],[HD]]-Table2[[#This Row],[estHD]]),"NA")</f>
        <v>0</v>
      </c>
      <c r="M123" s="4" t="b">
        <f>Table2[[#This Row],[HD]]=Table2[[#This Row],[estHD]]</f>
        <v>1</v>
      </c>
      <c r="N123" s="4" t="str">
        <f>IF(ISNUMBER([1]!Table2[[#This Row],[hatch_date]]),[1]!Table2[[#This Row],[hatch_date]]-19,"NA")</f>
        <v>NA</v>
      </c>
      <c r="O123" s="31">
        <v>63</v>
      </c>
      <c r="P123" s="23">
        <f>IF(ISNUMBER(Table2[[#This Row],[nest_age1]]),ABS(Table2[[#This Row],[nest_age1]]-Table2[[#This Row],[nest_age_feb]]),"NA")</f>
        <v>0</v>
      </c>
      <c r="Q123" s="24">
        <f>IF(ISNUMBER(Table2[[#This Row],[final_obs_int2]]),ABS(Table2[[#This Row],[final_obs_int2]]-Table2[[#This Row],[final_obs_int_feb]]), "NA")</f>
        <v>0</v>
      </c>
      <c r="R123" s="24"/>
      <c r="S123" s="57" t="s">
        <v>88</v>
      </c>
      <c r="T123" s="57" t="str">
        <f>Table2[[#This Row],[camera_old]]</f>
        <v>N</v>
      </c>
      <c r="U123" s="24"/>
      <c r="V123" s="16" t="s">
        <v>24</v>
      </c>
      <c r="W123" s="16">
        <v>10</v>
      </c>
      <c r="X123" s="145">
        <v>4</v>
      </c>
      <c r="Y123" s="147" t="s">
        <v>91</v>
      </c>
      <c r="Z123" s="146" t="s">
        <v>91</v>
      </c>
      <c r="AA123" s="4" t="str">
        <f>Table2[[#This Row],[field_fate]]</f>
        <v>Hu</v>
      </c>
      <c r="AB123" s="4" t="str">
        <f>Table2[[#This Row],[field_fate2]]</f>
        <v>Hu</v>
      </c>
      <c r="AC123" s="4" t="str">
        <f>Table2[[#This Row],[field_fate3]]</f>
        <v>Hu</v>
      </c>
      <c r="AD123" s="4" t="str">
        <f>Table2[[#This Row],[field_fate4]]</f>
        <v>Hu</v>
      </c>
      <c r="AE123" s="4" t="str">
        <f>Table2[[#This Row],[field_fate5]]</f>
        <v>Hu</v>
      </c>
      <c r="AF123" s="4" t="str">
        <f>Table2[[#This Row],[field_fate5]]</f>
        <v>Hu</v>
      </c>
      <c r="AG123" s="4" t="str">
        <f>Table2[[#This Row],[field_fate5]]</f>
        <v>Hu</v>
      </c>
      <c r="AH123" s="4" t="str">
        <f>Table2[[#This Row],[field_fate2]]</f>
        <v>Hu</v>
      </c>
      <c r="AI123" s="4" t="str">
        <f>Table2[[#This Row],[field_fate8]]</f>
        <v>Hu</v>
      </c>
      <c r="AJ123" s="4" t="str">
        <f>Table2[[#This Row],[field_fate10]]</f>
        <v>Hu</v>
      </c>
      <c r="AK123" s="4" t="b">
        <f>Table2[[#This Row],[field_fate_feb]]=Table2[[#This Row],[field_fate10]]</f>
        <v>1</v>
      </c>
      <c r="AL123" s="43" t="s">
        <v>24</v>
      </c>
      <c r="AM123" s="43" t="b">
        <f>Table2[[#This Row],[cam_fate2]]="NA"</f>
        <v>1</v>
      </c>
      <c r="AN123" s="19" t="str">
        <f>Table2[[#This Row],[cam_fate1]]</f>
        <v>NA</v>
      </c>
      <c r="AO123" s="2" t="s">
        <v>91</v>
      </c>
      <c r="AP123" s="5" t="str">
        <f>Table2[[#This Row],[final_fate1]]</f>
        <v>Hu</v>
      </c>
      <c r="AQ123" s="6">
        <v>10</v>
      </c>
      <c r="AR123" s="7">
        <v>10</v>
      </c>
      <c r="AS123" s="7">
        <f>Table2[[#This Row],[final_obs_date]]-Table2[[#This Row],[init_date]]</f>
        <v>10</v>
      </c>
      <c r="AT123" s="7">
        <f>(Table2[[#This Row],[final_obs_date2]]-Table2[[#This Row],[estHD]])+16</f>
        <v>7</v>
      </c>
      <c r="AU123" s="38">
        <v>4</v>
      </c>
      <c r="AV123" s="33">
        <v>4</v>
      </c>
      <c r="AW123" s="33">
        <f>Table2[[#This Row],[final_obs_date2]]-Table2[[#This Row],[pen_obs_date]]</f>
        <v>73</v>
      </c>
      <c r="AX123" s="67">
        <v>73</v>
      </c>
      <c r="AY123" s="6">
        <f>Table2[[#This Row],[final_obs_date]]</f>
        <v>73</v>
      </c>
      <c r="AZ123" s="6"/>
      <c r="BA123" s="91" t="s">
        <v>47</v>
      </c>
      <c r="BB123" s="6" t="b">
        <f>Table2[[#This Row],[final_obs_date]]&lt;(Table2[[#This Row],[estHD]]-2)</f>
        <v>1</v>
      </c>
      <c r="BC123" s="24">
        <f>IF(Table2[[#This Row],[field_fate]]="H",1,0)</f>
        <v>0</v>
      </c>
      <c r="BD123" s="16">
        <f>IF(Table2[[#This Row],[cam_fate2]]="H",1,0)</f>
        <v>0</v>
      </c>
      <c r="BE123" s="6" t="b">
        <f>NOT(Table2[[#This Row],[HF_C]]=Table2[[#This Row],[HF]])</f>
        <v>0</v>
      </c>
      <c r="BF123" s="6" t="b">
        <f>NOT(Table2[[#This Row],[cam_fate2]]=Table2[[#This Row],[field_fate3]])</f>
        <v>1</v>
      </c>
      <c r="BG123" s="6" t="b">
        <f>OR(Table2[[#This Row],[field_fate3]]="U",Table2[[#This Row],[field_fate3]]="U-H")</f>
        <v>0</v>
      </c>
      <c r="BH123" s="8">
        <v>69</v>
      </c>
      <c r="BI123" s="8">
        <v>69</v>
      </c>
      <c r="BJ123" s="14">
        <f>IF(ISTEXT(Table2[[#This Row],[j.cam]]),Table2[[#This Row],[j]],Table2[[#This Row],[j.cam]])</f>
        <v>69</v>
      </c>
      <c r="BK123" s="9">
        <v>73</v>
      </c>
      <c r="BL123" s="15">
        <f>IF(ISTEXT(Table2[[#This Row],[k.cam]]), Table2[[#This Row],[k]], Table2[[#This Row],[k.cam]])</f>
        <v>73</v>
      </c>
      <c r="BM123" s="4" t="s">
        <v>24</v>
      </c>
      <c r="BN123" s="8" t="s">
        <v>24</v>
      </c>
      <c r="BO123" s="4">
        <v>2</v>
      </c>
      <c r="BP123" s="4">
        <f>Table2[[#This Row],[final_obs_date]]-Table2[[#This Row],[i]]</f>
        <v>4</v>
      </c>
      <c r="BQ123" s="4" t="b">
        <f>Table2[[#This Row],[final_obs_date2]]&gt;Table2[[#This Row],[estHD]]+3</f>
        <v>0</v>
      </c>
      <c r="BR123" s="4" t="s">
        <v>27</v>
      </c>
      <c r="BS123" s="4" t="s">
        <v>28</v>
      </c>
      <c r="BT123" s="79" t="s">
        <v>1075</v>
      </c>
      <c r="BU123" s="26" t="s">
        <v>29</v>
      </c>
      <c r="BV123" s="79" t="s">
        <v>1429</v>
      </c>
      <c r="BW123" s="49"/>
      <c r="BX123" s="47"/>
      <c r="BY123" s="36" t="s">
        <v>553</v>
      </c>
    </row>
    <row r="124" spans="1:77" ht="15" hidden="1" thickBot="1" x14ac:dyDescent="0.4">
      <c r="A124" s="62">
        <v>10142</v>
      </c>
      <c r="B124" s="2" t="s">
        <v>144</v>
      </c>
      <c r="C124" s="44">
        <v>2019</v>
      </c>
      <c r="D124" s="3">
        <v>29.693280000000001</v>
      </c>
      <c r="E124" s="3">
        <v>-92.22533</v>
      </c>
      <c r="F124" s="3">
        <v>0</v>
      </c>
      <c r="G124" s="3">
        <v>0</v>
      </c>
      <c r="H124" s="3" t="s">
        <v>26</v>
      </c>
      <c r="I124" s="43"/>
      <c r="J124" s="55" t="s">
        <v>24</v>
      </c>
      <c r="K124" s="4" t="s">
        <v>24</v>
      </c>
      <c r="L124" s="22" t="str">
        <f>IF(ISNUMBER(Table2[[#This Row],[estHD]]),ABS(Table2[[#This Row],[HD]]-Table2[[#This Row],[estHD]]),"NA")</f>
        <v>NA</v>
      </c>
      <c r="M124" s="4" t="b">
        <f>Table2[[#This Row],[HD]]=Table2[[#This Row],[estHD]]</f>
        <v>1</v>
      </c>
      <c r="N124" s="4" t="str">
        <f>IF(ISNUMBER([1]!Table2[[#This Row],[hatch_date]]),[1]!Table2[[#This Row],[hatch_date]]-19,"NA")</f>
        <v>NA</v>
      </c>
      <c r="O124" s="31" t="s">
        <v>24</v>
      </c>
      <c r="P124" s="23" t="str">
        <f>IF(ISNUMBER(Table2[[#This Row],[nest_age1]]),ABS(Table2[[#This Row],[nest_age1]]-Table2[[#This Row],[nest_age_feb]]),"NA")</f>
        <v>NA</v>
      </c>
      <c r="Q124" s="24">
        <f>IF(ISNUMBER(Table2[[#This Row],[final_obs_int2]]),ABS(Table2[[#This Row],[final_obs_int2]]-Table2[[#This Row],[final_obs_int_feb]]), "NA")</f>
        <v>0</v>
      </c>
      <c r="R124" s="24"/>
      <c r="S124" s="57" t="s">
        <v>88</v>
      </c>
      <c r="T124" s="57" t="str">
        <f>Table2[[#This Row],[camera_old]]</f>
        <v>N</v>
      </c>
      <c r="U124" s="24"/>
      <c r="V124" s="16" t="s">
        <v>24</v>
      </c>
      <c r="W124" s="16" t="s">
        <v>24</v>
      </c>
      <c r="X124" s="145">
        <v>14</v>
      </c>
      <c r="Y124" s="147" t="s">
        <v>24</v>
      </c>
      <c r="Z124" s="146" t="s">
        <v>24</v>
      </c>
      <c r="AA124" s="4" t="str">
        <f>Table2[[#This Row],[field_fate]]</f>
        <v>NA</v>
      </c>
      <c r="AB124" s="4" t="str">
        <f>Table2[[#This Row],[field_fate2]]</f>
        <v>NA</v>
      </c>
      <c r="AC124" s="4" t="str">
        <f>Table2[[#This Row],[field_fate3]]</f>
        <v>NA</v>
      </c>
      <c r="AD124" s="4" t="str">
        <f>Table2[[#This Row],[field_fate4]]</f>
        <v>NA</v>
      </c>
      <c r="AE124" s="4" t="str">
        <f>Table2[[#This Row],[field_fate5]]</f>
        <v>NA</v>
      </c>
      <c r="AF124" s="4" t="str">
        <f>Table2[[#This Row],[field_fate5]]</f>
        <v>NA</v>
      </c>
      <c r="AG124" s="4" t="str">
        <f>Table2[[#This Row],[field_fate5]]</f>
        <v>NA</v>
      </c>
      <c r="AH124" s="4" t="str">
        <f>Table2[[#This Row],[field_fate2]]</f>
        <v>NA</v>
      </c>
      <c r="AI124" s="4" t="str">
        <f>Table2[[#This Row],[field_fate8]]</f>
        <v>NA</v>
      </c>
      <c r="AJ124" s="4" t="str">
        <f>Table2[[#This Row],[field_fate10]]</f>
        <v>NA</v>
      </c>
      <c r="AK124" s="4" t="b">
        <f>Table2[[#This Row],[field_fate_feb]]=Table2[[#This Row],[field_fate10]]</f>
        <v>1</v>
      </c>
      <c r="AL124" s="43" t="s">
        <v>24</v>
      </c>
      <c r="AM124" s="43" t="b">
        <f>Table2[[#This Row],[cam_fate2]]="NA"</f>
        <v>1</v>
      </c>
      <c r="AN124" s="19" t="str">
        <f>Table2[[#This Row],[cam_fate1]]</f>
        <v>NA</v>
      </c>
      <c r="AO124" s="2">
        <v>0</v>
      </c>
      <c r="AP124" s="5">
        <f>Table2[[#This Row],[final_fate1]]</f>
        <v>0</v>
      </c>
      <c r="AQ124" s="6" t="s">
        <v>24</v>
      </c>
      <c r="AR124" s="7" t="s">
        <v>24</v>
      </c>
      <c r="AS124" s="7" t="e">
        <f>Table2[[#This Row],[final_obs_date]]-Table2[[#This Row],[init_date]]</f>
        <v>#VALUE!</v>
      </c>
      <c r="AT124" s="7" t="e">
        <f>(Table2[[#This Row],[final_obs_date2]]-Table2[[#This Row],[estHD]])+16</f>
        <v>#VALUE!</v>
      </c>
      <c r="AU124" s="38">
        <v>14</v>
      </c>
      <c r="AV124" s="33">
        <v>14</v>
      </c>
      <c r="AW124" s="33">
        <f>Table2[[#This Row],[final_obs_date2]]-Table2[[#This Row],[pen_obs_date]]</f>
        <v>84</v>
      </c>
      <c r="AX124" s="67">
        <v>84</v>
      </c>
      <c r="AY124" s="6">
        <f>Table2[[#This Row],[final_obs_date]]</f>
        <v>84</v>
      </c>
      <c r="AZ124" s="6"/>
      <c r="BA124" s="91" t="s">
        <v>47</v>
      </c>
      <c r="BB124" s="6" t="e">
        <f>Table2[[#This Row],[final_obs_date]]&lt;(Table2[[#This Row],[estHD]]-2)</f>
        <v>#VALUE!</v>
      </c>
      <c r="BC124" s="24">
        <f>IF(Table2[[#This Row],[field_fate]]="H",1,0)</f>
        <v>0</v>
      </c>
      <c r="BD124" s="16">
        <f>IF(Table2[[#This Row],[cam_fate2]]="H",1,0)</f>
        <v>0</v>
      </c>
      <c r="BE124" s="6" t="b">
        <f>NOT(Table2[[#This Row],[HF_C]]=Table2[[#This Row],[HF]])</f>
        <v>0</v>
      </c>
      <c r="BF124" s="6" t="b">
        <f>NOT(Table2[[#This Row],[cam_fate2]]=Table2[[#This Row],[field_fate3]])</f>
        <v>0</v>
      </c>
      <c r="BG124" s="6" t="b">
        <f>OR(Table2[[#This Row],[field_fate3]]="U",Table2[[#This Row],[field_fate3]]="U-H")</f>
        <v>0</v>
      </c>
      <c r="BH124" s="8">
        <v>70</v>
      </c>
      <c r="BI124" s="8">
        <v>70</v>
      </c>
      <c r="BJ124" s="14">
        <f>IF(ISTEXT(Table2[[#This Row],[j.cam]]),Table2[[#This Row],[j]],Table2[[#This Row],[j.cam]])</f>
        <v>70</v>
      </c>
      <c r="BK124" s="9">
        <v>84</v>
      </c>
      <c r="BL124" s="15">
        <f>IF(ISTEXT(Table2[[#This Row],[k.cam]]), Table2[[#This Row],[k]], Table2[[#This Row],[k.cam]])</f>
        <v>84</v>
      </c>
      <c r="BM124" s="4" t="s">
        <v>24</v>
      </c>
      <c r="BN124" s="8" t="s">
        <v>24</v>
      </c>
      <c r="BO124" s="4">
        <v>2</v>
      </c>
      <c r="BP124" s="4">
        <f>Table2[[#This Row],[final_obs_date]]-Table2[[#This Row],[i]]</f>
        <v>14</v>
      </c>
      <c r="BQ124" s="4" t="e">
        <f>Table2[[#This Row],[final_obs_date2]]&gt;Table2[[#This Row],[estHD]]+3</f>
        <v>#VALUE!</v>
      </c>
      <c r="BR124" s="4" t="s">
        <v>33</v>
      </c>
      <c r="BS124" s="4" t="s">
        <v>28</v>
      </c>
      <c r="BT124" s="79" t="s">
        <v>1078</v>
      </c>
      <c r="BU124" s="26" t="s">
        <v>34</v>
      </c>
      <c r="BV124" s="79" t="s">
        <v>1485</v>
      </c>
      <c r="BW124" s="49"/>
      <c r="BX124" s="47"/>
      <c r="BY124" s="36" t="s">
        <v>554</v>
      </c>
    </row>
    <row r="125" spans="1:77" ht="15" hidden="1" thickBot="1" x14ac:dyDescent="0.4">
      <c r="A125" s="62">
        <v>10146</v>
      </c>
      <c r="B125" s="2" t="s">
        <v>111</v>
      </c>
      <c r="C125" s="44">
        <v>2019</v>
      </c>
      <c r="D125" s="3">
        <v>29.772480000000002</v>
      </c>
      <c r="E125" s="3">
        <v>-93.296449999999993</v>
      </c>
      <c r="F125" s="3">
        <v>0</v>
      </c>
      <c r="G125" s="3">
        <v>0</v>
      </c>
      <c r="H125" s="3" t="s">
        <v>26</v>
      </c>
      <c r="I125" s="43"/>
      <c r="J125" s="55">
        <v>89</v>
      </c>
      <c r="K125" s="4">
        <v>85</v>
      </c>
      <c r="L125" s="22">
        <f>IF(ISNUMBER(Table2[[#This Row],[estHD]]),ABS(Table2[[#This Row],[HD]]-Table2[[#This Row],[estHD]]),"NA")</f>
        <v>4</v>
      </c>
      <c r="M125" s="4" t="b">
        <f>Table2[[#This Row],[HD]]=Table2[[#This Row],[estHD]]</f>
        <v>0</v>
      </c>
      <c r="N125" s="4" t="str">
        <f>IF(ISNUMBER([1]!Table2[[#This Row],[hatch_date]]),[1]!Table2[[#This Row],[hatch_date]]-19,"NA")</f>
        <v>NA</v>
      </c>
      <c r="O125" s="31">
        <v>66</v>
      </c>
      <c r="P125" s="23">
        <f>IF(ISNUMBER(Table2[[#This Row],[nest_age1]]),ABS(Table2[[#This Row],[nest_age1]]-Table2[[#This Row],[nest_age_feb]]),"NA")</f>
        <v>4</v>
      </c>
      <c r="Q125" s="24">
        <f>IF(ISNUMBER(Table2[[#This Row],[final_obs_int2]]),ABS(Table2[[#This Row],[final_obs_int2]]-Table2[[#This Row],[final_obs_int_feb]]), "NA")</f>
        <v>2</v>
      </c>
      <c r="R125" s="24"/>
      <c r="S125" s="57" t="s">
        <v>88</v>
      </c>
      <c r="T125" s="57" t="str">
        <f>Table2[[#This Row],[camera_old]]</f>
        <v>N</v>
      </c>
      <c r="U125" s="24"/>
      <c r="V125" s="16" t="s">
        <v>24</v>
      </c>
      <c r="W125" s="16">
        <v>16</v>
      </c>
      <c r="X125" s="145">
        <v>3</v>
      </c>
      <c r="Y125" s="147" t="s">
        <v>37</v>
      </c>
      <c r="Z125" s="146" t="s">
        <v>37</v>
      </c>
      <c r="AA125" s="4" t="str">
        <f>Table2[[#This Row],[field_fate]]</f>
        <v>H</v>
      </c>
      <c r="AB125" s="4" t="str">
        <f>Table2[[#This Row],[field_fate2]]</f>
        <v>H</v>
      </c>
      <c r="AC125" s="4" t="str">
        <f>Table2[[#This Row],[field_fate3]]</f>
        <v>H</v>
      </c>
      <c r="AD125" s="4" t="str">
        <f>Table2[[#This Row],[field_fate4]]</f>
        <v>H</v>
      </c>
      <c r="AE125" s="4" t="str">
        <f>Table2[[#This Row],[field_fate5]]</f>
        <v>H</v>
      </c>
      <c r="AF125" s="4" t="str">
        <f>Table2[[#This Row],[field_fate5]]</f>
        <v>H</v>
      </c>
      <c r="AG125" s="4" t="str">
        <f>Table2[[#This Row],[field_fate5]]</f>
        <v>H</v>
      </c>
      <c r="AH125" s="4" t="str">
        <f>Table2[[#This Row],[field_fate2]]</f>
        <v>H</v>
      </c>
      <c r="AI125" s="4" t="str">
        <f>Table2[[#This Row],[field_fate8]]</f>
        <v>H</v>
      </c>
      <c r="AJ125" s="4" t="str">
        <f>Table2[[#This Row],[field_fate10]]</f>
        <v>H</v>
      </c>
      <c r="AK125" s="4" t="b">
        <f>Table2[[#This Row],[field_fate_feb]]=Table2[[#This Row],[field_fate10]]</f>
        <v>1</v>
      </c>
      <c r="AL125" s="43" t="s">
        <v>24</v>
      </c>
      <c r="AM125" s="43" t="b">
        <f>Table2[[#This Row],[cam_fate2]]="NA"</f>
        <v>1</v>
      </c>
      <c r="AN125" s="19" t="str">
        <f>Table2[[#This Row],[cam_fate1]]</f>
        <v>NA</v>
      </c>
      <c r="AO125" s="2" t="s">
        <v>37</v>
      </c>
      <c r="AP125" s="5" t="str">
        <f>Table2[[#This Row],[final_fate1]]</f>
        <v>H</v>
      </c>
      <c r="AQ125" s="6">
        <v>20</v>
      </c>
      <c r="AR125" s="7">
        <v>16</v>
      </c>
      <c r="AS125" s="7">
        <f>Table2[[#This Row],[final_obs_date]]-Table2[[#This Row],[init_date]]</f>
        <v>20</v>
      </c>
      <c r="AT125" s="7">
        <f>(Table2[[#This Row],[final_obs_date2]]-Table2[[#This Row],[estHD]])+16</f>
        <v>13</v>
      </c>
      <c r="AU125" s="38">
        <v>1</v>
      </c>
      <c r="AV125" s="33">
        <v>1</v>
      </c>
      <c r="AW125" s="33">
        <f>Table2[[#This Row],[final_obs_date2]]-Table2[[#This Row],[pen_obs_date]]</f>
        <v>86</v>
      </c>
      <c r="AX125" s="67">
        <v>86</v>
      </c>
      <c r="AY125" s="6">
        <f>Table2[[#This Row],[final_obs_date]]</f>
        <v>86</v>
      </c>
      <c r="AZ125" s="6"/>
      <c r="BA125" s="91" t="s">
        <v>47</v>
      </c>
      <c r="BB125" s="6" t="b">
        <f>Table2[[#This Row],[final_obs_date]]&lt;(Table2[[#This Row],[estHD]]-2)</f>
        <v>1</v>
      </c>
      <c r="BC125" s="24">
        <f>IF(Table2[[#This Row],[field_fate]]="H",1,0)</f>
        <v>1</v>
      </c>
      <c r="BD125" s="16">
        <f>IF(Table2[[#This Row],[cam_fate2]]="H",1,0)</f>
        <v>0</v>
      </c>
      <c r="BE125" s="6" t="b">
        <f>NOT(Table2[[#This Row],[HF_C]]=Table2[[#This Row],[HF]])</f>
        <v>1</v>
      </c>
      <c r="BF125" s="6" t="b">
        <f>NOT(Table2[[#This Row],[cam_fate2]]=Table2[[#This Row],[field_fate3]])</f>
        <v>1</v>
      </c>
      <c r="BG125" s="6" t="b">
        <f>OR(Table2[[#This Row],[field_fate3]]="U",Table2[[#This Row],[field_fate3]]="U-H")</f>
        <v>0</v>
      </c>
      <c r="BH125" s="8">
        <v>73</v>
      </c>
      <c r="BI125" s="8">
        <v>85</v>
      </c>
      <c r="BJ125" s="14">
        <f>IF(ISTEXT(Table2[[#This Row],[j.cam]]),Table2[[#This Row],[j]],Table2[[#This Row],[j.cam]])</f>
        <v>85</v>
      </c>
      <c r="BK125" s="9">
        <v>85</v>
      </c>
      <c r="BL125" s="15">
        <f>IF(ISTEXT(Table2[[#This Row],[k.cam]]), Table2[[#This Row],[k]], Table2[[#This Row],[k.cam]])</f>
        <v>85</v>
      </c>
      <c r="BM125" s="4" t="s">
        <v>24</v>
      </c>
      <c r="BN125" s="8" t="s">
        <v>24</v>
      </c>
      <c r="BO125" s="4">
        <v>4</v>
      </c>
      <c r="BP125" s="4">
        <f>Table2[[#This Row],[final_obs_date]]-Table2[[#This Row],[i]]</f>
        <v>13</v>
      </c>
      <c r="BQ125" s="4" t="b">
        <f>Table2[[#This Row],[final_obs_date2]]&gt;Table2[[#This Row],[estHD]]+3</f>
        <v>0</v>
      </c>
      <c r="BR125" s="4" t="s">
        <v>33</v>
      </c>
      <c r="BS125" s="4" t="s">
        <v>145</v>
      </c>
      <c r="BT125" s="79" t="s">
        <v>1079</v>
      </c>
      <c r="BU125" s="26" t="s">
        <v>146</v>
      </c>
      <c r="BV125" s="79" t="s">
        <v>1486</v>
      </c>
      <c r="BW125" s="49"/>
      <c r="BX125" s="47"/>
      <c r="BY125" s="36" t="s">
        <v>24</v>
      </c>
    </row>
    <row r="126" spans="1:77" ht="19" hidden="1" thickBot="1" x14ac:dyDescent="0.4">
      <c r="A126" s="62">
        <v>10147</v>
      </c>
      <c r="B126" s="2" t="s">
        <v>111</v>
      </c>
      <c r="C126" s="44">
        <v>2019</v>
      </c>
      <c r="D126" s="3">
        <v>29.77233</v>
      </c>
      <c r="E126" s="3">
        <v>-93.297499999999999</v>
      </c>
      <c r="F126" s="3">
        <v>0</v>
      </c>
      <c r="G126" s="3">
        <v>0</v>
      </c>
      <c r="H126" s="3" t="s">
        <v>26</v>
      </c>
      <c r="I126" s="43"/>
      <c r="J126" s="55">
        <v>89</v>
      </c>
      <c r="K126" s="4">
        <v>89</v>
      </c>
      <c r="L126" s="22">
        <f>IF(ISNUMBER(Table2[[#This Row],[estHD]]),ABS(Table2[[#This Row],[HD]]-Table2[[#This Row],[estHD]]),"NA")</f>
        <v>0</v>
      </c>
      <c r="M126" s="4" t="b">
        <f>Table2[[#This Row],[HD]]=Table2[[#This Row],[estHD]]</f>
        <v>1</v>
      </c>
      <c r="N126" s="4" t="str">
        <f>IF(ISNUMBER([1]!Table2[[#This Row],[hatch_date]]),[1]!Table2[[#This Row],[hatch_date]]-19,"NA")</f>
        <v>NA</v>
      </c>
      <c r="O126" s="31">
        <v>70</v>
      </c>
      <c r="P126" s="23">
        <f>IF(ISNUMBER(Table2[[#This Row],[nest_age1]]),ABS(Table2[[#This Row],[nest_age1]]-Table2[[#This Row],[nest_age_feb]]),"NA")</f>
        <v>2</v>
      </c>
      <c r="Q126" s="24">
        <f>IF(ISNUMBER(Table2[[#This Row],[final_obs_int2]]),ABS(Table2[[#This Row],[final_obs_int2]]-Table2[[#This Row],[final_obs_int_feb]]), "NA")</f>
        <v>1</v>
      </c>
      <c r="R126" s="24"/>
      <c r="S126" s="57" t="s">
        <v>88</v>
      </c>
      <c r="T126" s="57" t="str">
        <f>Table2[[#This Row],[camera_old]]</f>
        <v>N</v>
      </c>
      <c r="U126" s="24"/>
      <c r="V126" s="16" t="s">
        <v>24</v>
      </c>
      <c r="W126" s="16">
        <v>19</v>
      </c>
      <c r="X126" s="145">
        <v>3</v>
      </c>
      <c r="Y126" s="147" t="s">
        <v>37</v>
      </c>
      <c r="Z126" s="146" t="s">
        <v>37</v>
      </c>
      <c r="AA126" s="4" t="str">
        <f>Table2[[#This Row],[field_fate]]</f>
        <v>H</v>
      </c>
      <c r="AB126" s="4" t="str">
        <f>Table2[[#This Row],[field_fate2]]</f>
        <v>H</v>
      </c>
      <c r="AC126" s="4" t="str">
        <f>Table2[[#This Row],[field_fate3]]</f>
        <v>H</v>
      </c>
      <c r="AD126" s="4" t="str">
        <f>Table2[[#This Row],[field_fate4]]</f>
        <v>H</v>
      </c>
      <c r="AE126" s="4" t="str">
        <f>Table2[[#This Row],[field_fate5]]</f>
        <v>H</v>
      </c>
      <c r="AF126" s="4" t="str">
        <f>Table2[[#This Row],[field_fate5]]</f>
        <v>H</v>
      </c>
      <c r="AG126" s="4" t="str">
        <f>Table2[[#This Row],[field_fate5]]</f>
        <v>H</v>
      </c>
      <c r="AH126" s="4" t="str">
        <f>Table2[[#This Row],[field_fate2]]</f>
        <v>H</v>
      </c>
      <c r="AI126" s="4" t="str">
        <f>Table2[[#This Row],[field_fate8]]</f>
        <v>H</v>
      </c>
      <c r="AJ126" s="4" t="str">
        <f>Table2[[#This Row],[field_fate10]]</f>
        <v>H</v>
      </c>
      <c r="AK126" s="4" t="b">
        <f>Table2[[#This Row],[field_fate_feb]]=Table2[[#This Row],[field_fate10]]</f>
        <v>1</v>
      </c>
      <c r="AL126" s="43" t="s">
        <v>24</v>
      </c>
      <c r="AM126" s="43" t="b">
        <f>Table2[[#This Row],[cam_fate2]]="NA"</f>
        <v>1</v>
      </c>
      <c r="AN126" s="19" t="str">
        <f>Table2[[#This Row],[cam_fate1]]</f>
        <v>NA</v>
      </c>
      <c r="AO126" s="2" t="s">
        <v>37</v>
      </c>
      <c r="AP126" s="5" t="str">
        <f>Table2[[#This Row],[final_fate1]]</f>
        <v>H</v>
      </c>
      <c r="AQ126" s="6">
        <v>21</v>
      </c>
      <c r="AR126" s="7">
        <v>21</v>
      </c>
      <c r="AS126" s="7">
        <f>Table2[[#This Row],[final_obs_date]]-Table2[[#This Row],[init_date]]</f>
        <v>21</v>
      </c>
      <c r="AT126" s="7">
        <f>(Table2[[#This Row],[final_obs_date2]]-Table2[[#This Row],[estHD]])+16</f>
        <v>18</v>
      </c>
      <c r="AU126" s="38">
        <v>2</v>
      </c>
      <c r="AV126" s="33">
        <v>2</v>
      </c>
      <c r="AW126" s="33">
        <f>Table2[[#This Row],[final_obs_date2]]-Table2[[#This Row],[pen_obs_date]]</f>
        <v>91</v>
      </c>
      <c r="AX126" s="67">
        <v>91</v>
      </c>
      <c r="AY126" s="6">
        <f>Table2[[#This Row],[final_obs_date]]</f>
        <v>91</v>
      </c>
      <c r="AZ126" s="6"/>
      <c r="BA126" s="91" t="s">
        <v>47</v>
      </c>
      <c r="BB126" s="6" t="b">
        <f>Table2[[#This Row],[final_obs_date]]&lt;(Table2[[#This Row],[estHD]]-2)</f>
        <v>0</v>
      </c>
      <c r="BC126" s="24">
        <f>IF(Table2[[#This Row],[field_fate]]="H",1,0)</f>
        <v>1</v>
      </c>
      <c r="BD126" s="16">
        <f>IF(Table2[[#This Row],[cam_fate2]]="H",1,0)</f>
        <v>0</v>
      </c>
      <c r="BE126" s="6" t="b">
        <f>NOT(Table2[[#This Row],[HF_C]]=Table2[[#This Row],[HF]])</f>
        <v>1</v>
      </c>
      <c r="BF126" s="6" t="b">
        <f>NOT(Table2[[#This Row],[cam_fate2]]=Table2[[#This Row],[field_fate3]])</f>
        <v>1</v>
      </c>
      <c r="BG126" s="6" t="b">
        <f>OR(Table2[[#This Row],[field_fate3]]="U",Table2[[#This Row],[field_fate3]]="U-H")</f>
        <v>0</v>
      </c>
      <c r="BH126" s="8">
        <v>73</v>
      </c>
      <c r="BI126" s="8">
        <v>89</v>
      </c>
      <c r="BJ126" s="14">
        <f>IF(ISTEXT(Table2[[#This Row],[j.cam]]),Table2[[#This Row],[j]],Table2[[#This Row],[j.cam]])</f>
        <v>89</v>
      </c>
      <c r="BK126" s="9">
        <v>89</v>
      </c>
      <c r="BL126" s="15">
        <f>IF(ISTEXT(Table2[[#This Row],[k.cam]]), Table2[[#This Row],[k]], Table2[[#This Row],[k.cam]])</f>
        <v>89</v>
      </c>
      <c r="BM126" s="4" t="s">
        <v>24</v>
      </c>
      <c r="BN126" s="8" t="s">
        <v>24</v>
      </c>
      <c r="BO126" s="4">
        <v>5</v>
      </c>
      <c r="BP126" s="4">
        <f>Table2[[#This Row],[final_obs_date]]-Table2[[#This Row],[i]]</f>
        <v>18</v>
      </c>
      <c r="BQ126" s="4" t="b">
        <f>Table2[[#This Row],[final_obs_date2]]&gt;Table2[[#This Row],[estHD]]+3</f>
        <v>0</v>
      </c>
      <c r="BR126" s="4" t="s">
        <v>33</v>
      </c>
      <c r="BS126" s="4" t="s">
        <v>147</v>
      </c>
      <c r="BT126" s="79" t="s">
        <v>1080</v>
      </c>
      <c r="BU126" s="26" t="s">
        <v>148</v>
      </c>
      <c r="BV126" s="79" t="s">
        <v>1487</v>
      </c>
      <c r="BW126" s="49"/>
      <c r="BX126" s="47"/>
      <c r="BY126" s="36" t="s">
        <v>555</v>
      </c>
    </row>
    <row r="127" spans="1:77" ht="15" hidden="1" thickBot="1" x14ac:dyDescent="0.4">
      <c r="A127" s="62">
        <v>10148</v>
      </c>
      <c r="B127" s="2" t="s">
        <v>111</v>
      </c>
      <c r="C127" s="44">
        <v>2019</v>
      </c>
      <c r="D127" s="3">
        <v>29.771730000000002</v>
      </c>
      <c r="E127" s="3">
        <v>-93.301050000000004</v>
      </c>
      <c r="F127" s="3">
        <v>0</v>
      </c>
      <c r="G127" s="3">
        <v>0</v>
      </c>
      <c r="H127" s="3" t="s">
        <v>26</v>
      </c>
      <c r="I127" s="43"/>
      <c r="J127" s="55">
        <v>86</v>
      </c>
      <c r="K127" s="4">
        <v>86</v>
      </c>
      <c r="L127" s="22">
        <f>IF(ISNUMBER(Table2[[#This Row],[estHD]]),ABS(Table2[[#This Row],[HD]]-Table2[[#This Row],[estHD]]),"NA")</f>
        <v>0</v>
      </c>
      <c r="M127" s="4" t="b">
        <f>Table2[[#This Row],[HD]]=Table2[[#This Row],[estHD]]</f>
        <v>1</v>
      </c>
      <c r="N127" s="4" t="str">
        <f>IF(ISNUMBER([1]!Table2[[#This Row],[hatch_date]]),[1]!Table2[[#This Row],[hatch_date]]-19,"NA")</f>
        <v>NA</v>
      </c>
      <c r="O127" s="31">
        <v>67</v>
      </c>
      <c r="P127" s="23">
        <f>IF(ISNUMBER(Table2[[#This Row],[nest_age1]]),ABS(Table2[[#This Row],[nest_age1]]-Table2[[#This Row],[nest_age_feb]]),"NA")</f>
        <v>0</v>
      </c>
      <c r="Q127" s="24">
        <f>IF(ISNUMBER(Table2[[#This Row],[final_obs_int2]]),ABS(Table2[[#This Row],[final_obs_int2]]-Table2[[#This Row],[final_obs_int_feb]]), "NA")</f>
        <v>0</v>
      </c>
      <c r="R127" s="24"/>
      <c r="S127" s="57" t="s">
        <v>88</v>
      </c>
      <c r="T127" s="57" t="str">
        <f>Table2[[#This Row],[camera_old]]</f>
        <v>N</v>
      </c>
      <c r="U127" s="24"/>
      <c r="V127" s="16" t="s">
        <v>24</v>
      </c>
      <c r="W127" s="16">
        <v>11</v>
      </c>
      <c r="X127" s="145">
        <v>5</v>
      </c>
      <c r="Y127" s="147" t="s">
        <v>149</v>
      </c>
      <c r="Z127" s="146" t="s">
        <v>149</v>
      </c>
      <c r="AA127" s="4" t="str">
        <f>Table2[[#This Row],[field_fate]]</f>
        <v>W</v>
      </c>
      <c r="AB127" s="4" t="str">
        <f>Table2[[#This Row],[field_fate2]]</f>
        <v>W</v>
      </c>
      <c r="AC127" s="4" t="str">
        <f>Table2[[#This Row],[field_fate3]]</f>
        <v>W</v>
      </c>
      <c r="AD127" s="4" t="str">
        <f>Table2[[#This Row],[field_fate4]]</f>
        <v>W</v>
      </c>
      <c r="AE127" s="4" t="str">
        <f>Table2[[#This Row],[field_fate5]]</f>
        <v>W</v>
      </c>
      <c r="AF127" s="4" t="str">
        <f>Table2[[#This Row],[field_fate5]]</f>
        <v>W</v>
      </c>
      <c r="AG127" s="4" t="str">
        <f>Table2[[#This Row],[field_fate5]]</f>
        <v>W</v>
      </c>
      <c r="AH127" s="4" t="str">
        <f>Table2[[#This Row],[field_fate2]]</f>
        <v>W</v>
      </c>
      <c r="AI127" s="4" t="str">
        <f>Table2[[#This Row],[field_fate8]]</f>
        <v>W</v>
      </c>
      <c r="AJ127" s="4" t="str">
        <f>Table2[[#This Row],[field_fate10]]</f>
        <v>W</v>
      </c>
      <c r="AK127" s="4" t="b">
        <f>Table2[[#This Row],[field_fate_feb]]=Table2[[#This Row],[field_fate10]]</f>
        <v>1</v>
      </c>
      <c r="AL127" s="43" t="s">
        <v>24</v>
      </c>
      <c r="AM127" s="43" t="b">
        <f>Table2[[#This Row],[cam_fate2]]="NA"</f>
        <v>1</v>
      </c>
      <c r="AN127" s="19" t="str">
        <f>Table2[[#This Row],[cam_fate1]]</f>
        <v>NA</v>
      </c>
      <c r="AO127" s="2" t="s">
        <v>149</v>
      </c>
      <c r="AP127" s="5" t="str">
        <f>Table2[[#This Row],[final_fate1]]</f>
        <v>W</v>
      </c>
      <c r="AQ127" s="6">
        <v>11</v>
      </c>
      <c r="AR127" s="7">
        <v>11</v>
      </c>
      <c r="AS127" s="7">
        <f>Table2[[#This Row],[final_obs_date]]-Table2[[#This Row],[init_date]]</f>
        <v>11</v>
      </c>
      <c r="AT127" s="7">
        <f>(Table2[[#This Row],[final_obs_date2]]-Table2[[#This Row],[estHD]])+16</f>
        <v>8</v>
      </c>
      <c r="AU127" s="38">
        <v>5</v>
      </c>
      <c r="AV127" s="33">
        <v>5</v>
      </c>
      <c r="AW127" s="33">
        <f>Table2[[#This Row],[final_obs_date2]]-Table2[[#This Row],[pen_obs_date]]</f>
        <v>78</v>
      </c>
      <c r="AX127" s="67">
        <v>78</v>
      </c>
      <c r="AY127" s="6">
        <f>Table2[[#This Row],[final_obs_date]]</f>
        <v>78</v>
      </c>
      <c r="AZ127" s="6"/>
      <c r="BA127" s="91" t="s">
        <v>47</v>
      </c>
      <c r="BB127" s="6" t="b">
        <f>Table2[[#This Row],[final_obs_date]]&lt;(Table2[[#This Row],[estHD]]-2)</f>
        <v>1</v>
      </c>
      <c r="BC127" s="24">
        <f>IF(Table2[[#This Row],[field_fate]]="H",1,0)</f>
        <v>0</v>
      </c>
      <c r="BD127" s="16">
        <f>IF(Table2[[#This Row],[cam_fate2]]="H",1,0)</f>
        <v>0</v>
      </c>
      <c r="BE127" s="6" t="b">
        <f>NOT(Table2[[#This Row],[HF_C]]=Table2[[#This Row],[HF]])</f>
        <v>0</v>
      </c>
      <c r="BF127" s="6" t="b">
        <f>NOT(Table2[[#This Row],[cam_fate2]]=Table2[[#This Row],[field_fate3]])</f>
        <v>1</v>
      </c>
      <c r="BG127" s="6" t="b">
        <f>OR(Table2[[#This Row],[field_fate3]]="U",Table2[[#This Row],[field_fate3]]="U-H")</f>
        <v>0</v>
      </c>
      <c r="BH127" s="8">
        <v>73</v>
      </c>
      <c r="BI127" s="8">
        <v>73</v>
      </c>
      <c r="BJ127" s="14">
        <f>IF(ISTEXT(Table2[[#This Row],[j.cam]]),Table2[[#This Row],[j]],Table2[[#This Row],[j.cam]])</f>
        <v>73</v>
      </c>
      <c r="BK127" s="9">
        <v>78</v>
      </c>
      <c r="BL127" s="15">
        <f>IF(ISTEXT(Table2[[#This Row],[k.cam]]), Table2[[#This Row],[k]], Table2[[#This Row],[k.cam]])</f>
        <v>78</v>
      </c>
      <c r="BM127" s="4" t="s">
        <v>24</v>
      </c>
      <c r="BN127" s="8" t="s">
        <v>24</v>
      </c>
      <c r="BO127" s="4">
        <v>2</v>
      </c>
      <c r="BP127" s="4">
        <f>Table2[[#This Row],[final_obs_date]]-Table2[[#This Row],[i]]</f>
        <v>5</v>
      </c>
      <c r="BQ127" s="4" t="b">
        <f>Table2[[#This Row],[final_obs_date2]]&gt;Table2[[#This Row],[estHD]]+3</f>
        <v>0</v>
      </c>
      <c r="BR127" s="4" t="s">
        <v>33</v>
      </c>
      <c r="BS127" s="4" t="s">
        <v>28</v>
      </c>
      <c r="BT127" s="79" t="s">
        <v>1081</v>
      </c>
      <c r="BU127" s="26" t="s">
        <v>34</v>
      </c>
      <c r="BV127" s="79" t="s">
        <v>1464</v>
      </c>
      <c r="BW127" s="49"/>
      <c r="BX127" s="47"/>
      <c r="BY127" s="36" t="s">
        <v>24</v>
      </c>
    </row>
    <row r="128" spans="1:77" ht="15" hidden="1" thickBot="1" x14ac:dyDescent="0.4">
      <c r="A128" s="62">
        <v>10149</v>
      </c>
      <c r="B128" s="2" t="s">
        <v>111</v>
      </c>
      <c r="C128" s="44">
        <v>2019</v>
      </c>
      <c r="D128" s="3">
        <v>29.772570000000002</v>
      </c>
      <c r="E128" s="3">
        <v>-93.296000000000006</v>
      </c>
      <c r="F128" s="3">
        <v>0</v>
      </c>
      <c r="G128" s="3">
        <v>0</v>
      </c>
      <c r="H128" s="3" t="s">
        <v>26</v>
      </c>
      <c r="I128" s="43"/>
      <c r="J128" s="55">
        <v>92</v>
      </c>
      <c r="K128" s="4">
        <v>92</v>
      </c>
      <c r="L128" s="22">
        <f>IF(ISNUMBER(Table2[[#This Row],[estHD]]),ABS(Table2[[#This Row],[HD]]-Table2[[#This Row],[estHD]]),"NA")</f>
        <v>0</v>
      </c>
      <c r="M128" s="4" t="b">
        <f>Table2[[#This Row],[HD]]=Table2[[#This Row],[estHD]]</f>
        <v>1</v>
      </c>
      <c r="N128" s="4" t="str">
        <f>IF(ISNUMBER([1]!Table2[[#This Row],[hatch_date]]),[1]!Table2[[#This Row],[hatch_date]]-19,"NA")</f>
        <v>NA</v>
      </c>
      <c r="O128" s="31">
        <v>73</v>
      </c>
      <c r="P128" s="23">
        <f>IF(ISNUMBER(Table2[[#This Row],[nest_age1]]),ABS(Table2[[#This Row],[nest_age1]]-Table2[[#This Row],[nest_age_feb]]),"NA")</f>
        <v>0</v>
      </c>
      <c r="Q128" s="24">
        <f>IF(ISNUMBER(Table2[[#This Row],[final_obs_int2]]),ABS(Table2[[#This Row],[final_obs_int2]]-Table2[[#This Row],[final_obs_int_feb]]), "NA")</f>
        <v>0</v>
      </c>
      <c r="R128" s="24"/>
      <c r="S128" s="57" t="s">
        <v>88</v>
      </c>
      <c r="T128" s="57" t="str">
        <f>Table2[[#This Row],[camera_old]]</f>
        <v>N</v>
      </c>
      <c r="U128" s="24"/>
      <c r="V128" s="16" t="s">
        <v>24</v>
      </c>
      <c r="W128" s="16">
        <v>24</v>
      </c>
      <c r="X128" s="145">
        <v>6</v>
      </c>
      <c r="Y128" s="147" t="s">
        <v>25</v>
      </c>
      <c r="Z128" s="146" t="s">
        <v>25</v>
      </c>
      <c r="AA128" s="4" t="str">
        <f>Table2[[#This Row],[field_fate]]</f>
        <v>S</v>
      </c>
      <c r="AB128" s="4" t="str">
        <f>Table2[[#This Row],[field_fate2]]</f>
        <v>S</v>
      </c>
      <c r="AC128" s="4" t="str">
        <f>Table2[[#This Row],[field_fate3]]</f>
        <v>S</v>
      </c>
      <c r="AD128" s="4" t="str">
        <f>Table2[[#This Row],[field_fate4]]</f>
        <v>S</v>
      </c>
      <c r="AE128" s="4" t="str">
        <f>Table2[[#This Row],[field_fate5]]</f>
        <v>S</v>
      </c>
      <c r="AF128" s="4" t="str">
        <f>Table2[[#This Row],[field_fate5]]</f>
        <v>S</v>
      </c>
      <c r="AG128" s="4" t="str">
        <f>Table2[[#This Row],[field_fate5]]</f>
        <v>S</v>
      </c>
      <c r="AH128" s="4" t="str">
        <f>Table2[[#This Row],[field_fate2]]</f>
        <v>S</v>
      </c>
      <c r="AI128" s="4" t="str">
        <f>Table2[[#This Row],[field_fate8]]</f>
        <v>S</v>
      </c>
      <c r="AJ128" s="4" t="str">
        <f>Table2[[#This Row],[field_fate10]]</f>
        <v>S</v>
      </c>
      <c r="AK128" s="4" t="b">
        <f>Table2[[#This Row],[field_fate_feb]]=Table2[[#This Row],[field_fate10]]</f>
        <v>1</v>
      </c>
      <c r="AL128" s="43" t="s">
        <v>24</v>
      </c>
      <c r="AM128" s="43" t="b">
        <f>Table2[[#This Row],[cam_fate2]]="NA"</f>
        <v>1</v>
      </c>
      <c r="AN128" s="19" t="str">
        <f>Table2[[#This Row],[cam_fate1]]</f>
        <v>NA</v>
      </c>
      <c r="AO128" s="2" t="s">
        <v>25</v>
      </c>
      <c r="AP128" s="5" t="str">
        <f>Table2[[#This Row],[final_fate1]]</f>
        <v>S</v>
      </c>
      <c r="AQ128" s="6">
        <v>24</v>
      </c>
      <c r="AR128" s="7">
        <v>24</v>
      </c>
      <c r="AS128" s="7">
        <f>Table2[[#This Row],[final_obs_date]]-Table2[[#This Row],[init_date]]</f>
        <v>24</v>
      </c>
      <c r="AT128" s="7">
        <f>(Table2[[#This Row],[final_obs_date2]]-Table2[[#This Row],[estHD]])+16</f>
        <v>21</v>
      </c>
      <c r="AU128" s="38">
        <v>6</v>
      </c>
      <c r="AV128" s="33">
        <v>6</v>
      </c>
      <c r="AW128" s="33">
        <f>Table2[[#This Row],[final_obs_date2]]-Table2[[#This Row],[pen_obs_date]]</f>
        <v>97</v>
      </c>
      <c r="AX128" s="67">
        <v>97</v>
      </c>
      <c r="AY128" s="6">
        <f>Table2[[#This Row],[final_obs_date]]</f>
        <v>97</v>
      </c>
      <c r="AZ128" s="6"/>
      <c r="BA128" s="91" t="s">
        <v>47</v>
      </c>
      <c r="BB128" s="6" t="b">
        <f>Table2[[#This Row],[final_obs_date]]&lt;(Table2[[#This Row],[estHD]]-2)</f>
        <v>0</v>
      </c>
      <c r="BC128" s="24">
        <f>IF(Table2[[#This Row],[field_fate]]="H",1,0)</f>
        <v>0</v>
      </c>
      <c r="BD128" s="16">
        <f>IF(Table2[[#This Row],[cam_fate2]]="H",1,0)</f>
        <v>0</v>
      </c>
      <c r="BE128" s="6" t="b">
        <f>NOT(Table2[[#This Row],[HF_C]]=Table2[[#This Row],[HF]])</f>
        <v>0</v>
      </c>
      <c r="BF128" s="6" t="b">
        <f>NOT(Table2[[#This Row],[cam_fate2]]=Table2[[#This Row],[field_fate3]])</f>
        <v>1</v>
      </c>
      <c r="BG128" s="6" t="b">
        <f>OR(Table2[[#This Row],[field_fate3]]="U",Table2[[#This Row],[field_fate3]]="U-H")</f>
        <v>0</v>
      </c>
      <c r="BH128" s="8">
        <v>73</v>
      </c>
      <c r="BI128" s="8">
        <v>91</v>
      </c>
      <c r="BJ128" s="14">
        <f>IF(ISTEXT(Table2[[#This Row],[j.cam]]),Table2[[#This Row],[j]],Table2[[#This Row],[j.cam]])</f>
        <v>91</v>
      </c>
      <c r="BK128" s="9">
        <v>97</v>
      </c>
      <c r="BL128" s="15">
        <f>IF(ISTEXT(Table2[[#This Row],[k.cam]]), Table2[[#This Row],[k]], Table2[[#This Row],[k.cam]])</f>
        <v>97</v>
      </c>
      <c r="BM128" s="4" t="s">
        <v>24</v>
      </c>
      <c r="BN128" s="8" t="s">
        <v>24</v>
      </c>
      <c r="BO128" s="4">
        <v>6</v>
      </c>
      <c r="BP128" s="4">
        <f>Table2[[#This Row],[final_obs_date]]-Table2[[#This Row],[i]]</f>
        <v>24</v>
      </c>
      <c r="BQ128" s="4" t="b">
        <f>Table2[[#This Row],[final_obs_date2]]&gt;Table2[[#This Row],[estHD]]+3</f>
        <v>1</v>
      </c>
      <c r="BR128" s="4" t="s">
        <v>33</v>
      </c>
      <c r="BS128" s="4" t="s">
        <v>28</v>
      </c>
      <c r="BT128" s="79" t="s">
        <v>1082</v>
      </c>
      <c r="BU128" s="26" t="s">
        <v>150</v>
      </c>
      <c r="BV128" s="79" t="s">
        <v>1488</v>
      </c>
      <c r="BW128" s="49"/>
      <c r="BX128" s="47"/>
      <c r="BY128" s="36" t="s">
        <v>24</v>
      </c>
    </row>
    <row r="129" spans="1:77" ht="15" hidden="1" thickBot="1" x14ac:dyDescent="0.4">
      <c r="A129" s="62">
        <v>10150</v>
      </c>
      <c r="B129" s="2" t="s">
        <v>35</v>
      </c>
      <c r="C129" s="44">
        <v>2019</v>
      </c>
      <c r="D129" s="3">
        <v>29.7639</v>
      </c>
      <c r="E129" s="3">
        <v>-93.144000000000005</v>
      </c>
      <c r="F129" s="3">
        <v>60</v>
      </c>
      <c r="G129" s="3">
        <v>70</v>
      </c>
      <c r="H129" s="3" t="s">
        <v>26</v>
      </c>
      <c r="I129" s="43"/>
      <c r="J129" s="55" t="s">
        <v>24</v>
      </c>
      <c r="K129" s="4">
        <v>77</v>
      </c>
      <c r="L129" s="22" t="str">
        <f>IF(ISNUMBER(Table2[[#This Row],[estHD]]),ABS(Table2[[#This Row],[HD]]-Table2[[#This Row],[estHD]]),"NA")</f>
        <v>NA</v>
      </c>
      <c r="M129" s="4" t="b">
        <f>Table2[[#This Row],[HD]]=Table2[[#This Row],[estHD]]</f>
        <v>0</v>
      </c>
      <c r="N129" s="4" t="str">
        <f>IF(ISNUMBER([1]!Table2[[#This Row],[hatch_date]]), [1]!Table2[[#This Row],[hatch_date]]-16, "NA")</f>
        <v>NA</v>
      </c>
      <c r="O129" s="31">
        <v>61</v>
      </c>
      <c r="P129" s="23">
        <f>IF(ISNUMBER(Table2[[#This Row],[nest_age1]]),ABS(Table2[[#This Row],[nest_age1]]-Table2[[#This Row],[nest_age_feb]]),"NA")</f>
        <v>0</v>
      </c>
      <c r="Q129" s="24">
        <f>IF(ISNUMBER(Table2[[#This Row],[final_obs_int2]]),ABS(Table2[[#This Row],[final_obs_int2]]-Table2[[#This Row],[final_obs_int_feb]]), "NA")</f>
        <v>0</v>
      </c>
      <c r="R129" s="24"/>
      <c r="S129" s="57" t="s">
        <v>88</v>
      </c>
      <c r="T129" s="57" t="str">
        <f>Table2[[#This Row],[camera_old]]</f>
        <v>N</v>
      </c>
      <c r="U129" s="24"/>
      <c r="V129" s="16" t="s">
        <v>24</v>
      </c>
      <c r="W129" s="16">
        <v>16</v>
      </c>
      <c r="X129" s="145">
        <v>3</v>
      </c>
      <c r="Y129" s="147" t="s">
        <v>37</v>
      </c>
      <c r="Z129" s="146" t="s">
        <v>37</v>
      </c>
      <c r="AA129" s="4" t="str">
        <f>Table2[[#This Row],[field_fate]]</f>
        <v>H</v>
      </c>
      <c r="AB129" s="4" t="str">
        <f>Table2[[#This Row],[field_fate2]]</f>
        <v>H</v>
      </c>
      <c r="AC129" s="4" t="str">
        <f>Table2[[#This Row],[field_fate3]]</f>
        <v>H</v>
      </c>
      <c r="AD129" s="4" t="str">
        <f>Table2[[#This Row],[field_fate4]]</f>
        <v>H</v>
      </c>
      <c r="AE129" s="4" t="str">
        <f>Table2[[#This Row],[field_fate5]]</f>
        <v>H</v>
      </c>
      <c r="AF129" s="4" t="str">
        <f>Table2[[#This Row],[field_fate5]]</f>
        <v>H</v>
      </c>
      <c r="AG129" s="4" t="str">
        <f>Table2[[#This Row],[field_fate5]]</f>
        <v>H</v>
      </c>
      <c r="AH129" s="4" t="str">
        <f>Table2[[#This Row],[field_fate2]]</f>
        <v>H</v>
      </c>
      <c r="AI129" s="4" t="str">
        <f>Table2[[#This Row],[field_fate8]]</f>
        <v>H</v>
      </c>
      <c r="AJ129" s="4" t="str">
        <f>Table2[[#This Row],[field_fate10]]</f>
        <v>H</v>
      </c>
      <c r="AK129" s="4" t="b">
        <f>Table2[[#This Row],[field_fate_feb]]=Table2[[#This Row],[field_fate10]]</f>
        <v>1</v>
      </c>
      <c r="AL129" s="43" t="s">
        <v>24</v>
      </c>
      <c r="AM129" s="43" t="b">
        <f>Table2[[#This Row],[cam_fate2]]="NA"</f>
        <v>1</v>
      </c>
      <c r="AN129" s="19" t="str">
        <f>Table2[[#This Row],[cam_fate1]]</f>
        <v>NA</v>
      </c>
      <c r="AO129" s="2" t="s">
        <v>37</v>
      </c>
      <c r="AP129" s="5" t="str">
        <f>Table2[[#This Row],[final_fate1]]</f>
        <v>H</v>
      </c>
      <c r="AQ129" s="6">
        <v>16</v>
      </c>
      <c r="AR129" s="7">
        <v>16</v>
      </c>
      <c r="AS129" s="7">
        <f>Table2[[#This Row],[final_obs_date]]-Table2[[#This Row],[init_date]]</f>
        <v>16</v>
      </c>
      <c r="AT129" s="7" t="e">
        <f>(Table2[[#This Row],[final_obs_date2]]-Table2[[#This Row],[estHD]])+16</f>
        <v>#VALUE!</v>
      </c>
      <c r="AU129" s="38">
        <v>3</v>
      </c>
      <c r="AV129" s="33">
        <v>3</v>
      </c>
      <c r="AW129" s="33">
        <f>Table2[[#This Row],[final_obs_date2]]-Table2[[#This Row],[pen_obs_date]]</f>
        <v>77</v>
      </c>
      <c r="AX129" s="67">
        <v>77</v>
      </c>
      <c r="AY129" s="6">
        <f>Table2[[#This Row],[final_obs_date]]</f>
        <v>77</v>
      </c>
      <c r="AZ129" s="6"/>
      <c r="BA129" s="91" t="s">
        <v>60</v>
      </c>
      <c r="BB129" s="6" t="e">
        <f>Table2[[#This Row],[final_obs_date]]&lt;(Table2[[#This Row],[estHD]]-2)</f>
        <v>#VALUE!</v>
      </c>
      <c r="BC129" s="24">
        <f>IF(Table2[[#This Row],[field_fate]]="H",1,0)</f>
        <v>1</v>
      </c>
      <c r="BD129" s="16">
        <f>IF(Table2[[#This Row],[cam_fate2]]="H",1,0)</f>
        <v>0</v>
      </c>
      <c r="BE129" s="6" t="b">
        <f>NOT(Table2[[#This Row],[HF_C]]=Table2[[#This Row],[HF]])</f>
        <v>1</v>
      </c>
      <c r="BF129" s="6" t="b">
        <f>NOT(Table2[[#This Row],[cam_fate2]]=Table2[[#This Row],[field_fate3]])</f>
        <v>1</v>
      </c>
      <c r="BG129" s="6" t="b">
        <f>OR(Table2[[#This Row],[field_fate3]]="U",Table2[[#This Row],[field_fate3]]="U-H")</f>
        <v>0</v>
      </c>
      <c r="BH129" s="8">
        <v>74</v>
      </c>
      <c r="BI129" s="8">
        <v>77</v>
      </c>
      <c r="BJ129" s="14">
        <f>IF(ISTEXT(Table2[[#This Row],[j.cam]]),Table2[[#This Row],[j]],Table2[[#This Row],[j.cam]])</f>
        <v>77</v>
      </c>
      <c r="BK129" s="9">
        <v>77</v>
      </c>
      <c r="BL129" s="15">
        <f>IF(ISTEXT(Table2[[#This Row],[k.cam]]), Table2[[#This Row],[k]], Table2[[#This Row],[k.cam]])</f>
        <v>77</v>
      </c>
      <c r="BM129" s="4" t="s">
        <v>24</v>
      </c>
      <c r="BN129" s="8" t="s">
        <v>24</v>
      </c>
      <c r="BO129" s="4">
        <v>2</v>
      </c>
      <c r="BP129" s="4">
        <f>Table2[[#This Row],[final_obs_date]]-Table2[[#This Row],[i]]</f>
        <v>3</v>
      </c>
      <c r="BQ129" s="4" t="e">
        <f>Table2[[#This Row],[final_obs_date2]]&gt;Table2[[#This Row],[estHD]]+3</f>
        <v>#VALUE!</v>
      </c>
      <c r="BR129" s="4" t="s">
        <v>33</v>
      </c>
      <c r="BS129" s="4" t="s">
        <v>151</v>
      </c>
      <c r="BT129" s="79" t="s">
        <v>1083</v>
      </c>
      <c r="BU129" s="26" t="s">
        <v>152</v>
      </c>
      <c r="BV129" s="79" t="s">
        <v>1430</v>
      </c>
      <c r="BW129" s="49"/>
      <c r="BX129" s="47"/>
      <c r="BY129" s="36" t="s">
        <v>556</v>
      </c>
    </row>
    <row r="130" spans="1:77" ht="24.5" hidden="1" thickBot="1" x14ac:dyDescent="0.4">
      <c r="A130" s="62">
        <v>10153</v>
      </c>
      <c r="B130" s="2" t="s">
        <v>122</v>
      </c>
      <c r="C130" s="44">
        <v>2019</v>
      </c>
      <c r="D130" s="3">
        <v>29.756730000000001</v>
      </c>
      <c r="E130" s="3">
        <v>-93.114609999999999</v>
      </c>
      <c r="F130" s="3">
        <v>70</v>
      </c>
      <c r="G130" s="3">
        <v>75</v>
      </c>
      <c r="H130" s="3" t="s">
        <v>24</v>
      </c>
      <c r="I130" s="43"/>
      <c r="J130" s="55">
        <v>93</v>
      </c>
      <c r="K130" s="4">
        <v>93</v>
      </c>
      <c r="L130" s="22">
        <f>IF(ISNUMBER(Table2[[#This Row],[estHD]]),ABS(Table2[[#This Row],[HD]]-Table2[[#This Row],[estHD]]),"NA")</f>
        <v>0</v>
      </c>
      <c r="M130" s="4" t="b">
        <f>Table2[[#This Row],[HD]]=Table2[[#This Row],[estHD]]</f>
        <v>1</v>
      </c>
      <c r="N130" s="4" t="str">
        <f>IF(ISNUMBER([1]!Table2[[#This Row],[hatch_date]]), [1]!Table2[[#This Row],[hatch_date]]-16, "NA")</f>
        <v>NA</v>
      </c>
      <c r="O130" s="31">
        <v>77</v>
      </c>
      <c r="P130" s="23">
        <f>IF(ISNUMBER(Table2[[#This Row],[nest_age1]]),ABS(Table2[[#This Row],[nest_age1]]-Table2[[#This Row],[nest_age_feb]]),"NA")</f>
        <v>0</v>
      </c>
      <c r="Q130" s="24">
        <f>IF(ISNUMBER(Table2[[#This Row],[final_obs_int2]]),ABS(Table2[[#This Row],[final_obs_int2]]-Table2[[#This Row],[final_obs_int_feb]]), "NA")</f>
        <v>0</v>
      </c>
      <c r="R130" s="24"/>
      <c r="S130" s="57" t="s">
        <v>88</v>
      </c>
      <c r="T130" s="57" t="str">
        <f>Table2[[#This Row],[camera_old]]</f>
        <v>N</v>
      </c>
      <c r="U130" s="24"/>
      <c r="V130" s="16" t="s">
        <v>24</v>
      </c>
      <c r="W130" s="16">
        <v>25</v>
      </c>
      <c r="X130" s="145">
        <v>3</v>
      </c>
      <c r="Y130" s="147" t="s">
        <v>36</v>
      </c>
      <c r="Z130" s="146" t="s">
        <v>36</v>
      </c>
      <c r="AA130" s="4" t="str">
        <f>Table2[[#This Row],[field_fate]]</f>
        <v>A</v>
      </c>
      <c r="AB130" s="4" t="str">
        <f>Table2[[#This Row],[field_fate2]]</f>
        <v>A</v>
      </c>
      <c r="AC130" s="4" t="str">
        <f>Table2[[#This Row],[field_fate3]]</f>
        <v>A</v>
      </c>
      <c r="AD130" s="4" t="str">
        <f>Table2[[#This Row],[field_fate4]]</f>
        <v>A</v>
      </c>
      <c r="AE130" s="4" t="str">
        <f>Table2[[#This Row],[field_fate5]]</f>
        <v>A</v>
      </c>
      <c r="AF130" s="4" t="str">
        <f>Table2[[#This Row],[field_fate5]]</f>
        <v>A</v>
      </c>
      <c r="AG130" s="4" t="str">
        <f>Table2[[#This Row],[field_fate5]]</f>
        <v>A</v>
      </c>
      <c r="AH130" s="4" t="str">
        <f>Table2[[#This Row],[field_fate2]]</f>
        <v>A</v>
      </c>
      <c r="AI130" s="4" t="str">
        <f>Table2[[#This Row],[field_fate8]]</f>
        <v>A</v>
      </c>
      <c r="AJ130" s="4" t="str">
        <f>Table2[[#This Row],[field_fate10]]</f>
        <v>A</v>
      </c>
      <c r="AK130" s="4" t="b">
        <f>Table2[[#This Row],[field_fate_feb]]=Table2[[#This Row],[field_fate10]]</f>
        <v>1</v>
      </c>
      <c r="AL130" s="43" t="s">
        <v>24</v>
      </c>
      <c r="AM130" s="43" t="b">
        <f>Table2[[#This Row],[cam_fate2]]="NA"</f>
        <v>1</v>
      </c>
      <c r="AN130" s="19" t="str">
        <f>Table2[[#This Row],[cam_fate1]]</f>
        <v>NA</v>
      </c>
      <c r="AO130" s="2" t="s">
        <v>36</v>
      </c>
      <c r="AP130" s="5" t="str">
        <f>Table2[[#This Row],[final_fate1]]</f>
        <v>A</v>
      </c>
      <c r="AQ130" s="6">
        <v>25</v>
      </c>
      <c r="AR130" s="7">
        <v>25</v>
      </c>
      <c r="AS130" s="7">
        <f>Table2[[#This Row],[final_obs_date]]-Table2[[#This Row],[init_date]]</f>
        <v>25</v>
      </c>
      <c r="AT130" s="7">
        <f>(Table2[[#This Row],[final_obs_date2]]-Table2[[#This Row],[estHD]])+16</f>
        <v>25</v>
      </c>
      <c r="AU130" s="38">
        <v>3</v>
      </c>
      <c r="AV130" s="33">
        <v>3</v>
      </c>
      <c r="AW130" s="33">
        <f>Table2[[#This Row],[final_obs_date2]]-Table2[[#This Row],[pen_obs_date]]</f>
        <v>102</v>
      </c>
      <c r="AX130" s="67">
        <v>102</v>
      </c>
      <c r="AY130" s="6">
        <f>Table2[[#This Row],[final_obs_date]]</f>
        <v>102</v>
      </c>
      <c r="AZ130" s="6"/>
      <c r="BA130" s="91" t="s">
        <v>60</v>
      </c>
      <c r="BB130" s="6" t="b">
        <f>Table2[[#This Row],[final_obs_date]]&lt;(Table2[[#This Row],[estHD]]-2)</f>
        <v>0</v>
      </c>
      <c r="BC130" s="24">
        <f>IF(Table2[[#This Row],[field_fate]]="H",1,0)</f>
        <v>0</v>
      </c>
      <c r="BD130" s="16">
        <f>IF(Table2[[#This Row],[cam_fate2]]="H",1,0)</f>
        <v>0</v>
      </c>
      <c r="BE130" s="6" t="b">
        <f>NOT(Table2[[#This Row],[HF_C]]=Table2[[#This Row],[HF]])</f>
        <v>0</v>
      </c>
      <c r="BF130" s="6" t="b">
        <f>NOT(Table2[[#This Row],[cam_fate2]]=Table2[[#This Row],[field_fate3]])</f>
        <v>1</v>
      </c>
      <c r="BG130" s="6" t="b">
        <f>OR(Table2[[#This Row],[field_fate3]]="U",Table2[[#This Row],[field_fate3]]="U-H")</f>
        <v>0</v>
      </c>
      <c r="BH130" s="8">
        <v>89</v>
      </c>
      <c r="BI130" s="8">
        <v>99</v>
      </c>
      <c r="BJ130" s="14">
        <f>IF(ISTEXT(Table2[[#This Row],[j.cam]]),Table2[[#This Row],[j]],Table2[[#This Row],[j.cam]])</f>
        <v>99</v>
      </c>
      <c r="BK130" s="9">
        <v>102</v>
      </c>
      <c r="BL130" s="15">
        <f>IF(ISTEXT(Table2[[#This Row],[k.cam]]), Table2[[#This Row],[k]], Table2[[#This Row],[k.cam]])</f>
        <v>102</v>
      </c>
      <c r="BM130" s="4" t="s">
        <v>24</v>
      </c>
      <c r="BN130" s="8" t="s">
        <v>24</v>
      </c>
      <c r="BO130" s="4">
        <v>7</v>
      </c>
      <c r="BP130" s="4">
        <f>Table2[[#This Row],[final_obs_date]]-Table2[[#This Row],[i]]</f>
        <v>13</v>
      </c>
      <c r="BQ130" s="4" t="b">
        <f>Table2[[#This Row],[final_obs_date2]]&gt;Table2[[#This Row],[estHD]]+3</f>
        <v>1</v>
      </c>
      <c r="BR130" s="4" t="s">
        <v>58</v>
      </c>
      <c r="BS130" s="4" t="s">
        <v>134</v>
      </c>
      <c r="BT130" s="79" t="s">
        <v>1084</v>
      </c>
      <c r="BU130" s="26" t="s">
        <v>153</v>
      </c>
      <c r="BV130" s="79" t="s">
        <v>1489</v>
      </c>
      <c r="BW130" s="49"/>
      <c r="BX130" s="47"/>
      <c r="BY130" s="36" t="s">
        <v>557</v>
      </c>
    </row>
    <row r="131" spans="1:77" ht="15" hidden="1" thickBot="1" x14ac:dyDescent="0.4">
      <c r="A131" s="62">
        <v>10154</v>
      </c>
      <c r="B131" s="2" t="s">
        <v>111</v>
      </c>
      <c r="C131" s="44">
        <v>2019</v>
      </c>
      <c r="D131" s="3">
        <v>29.772670000000002</v>
      </c>
      <c r="E131" s="3">
        <v>-93.295330000000007</v>
      </c>
      <c r="F131" s="3">
        <v>0</v>
      </c>
      <c r="G131" s="3">
        <v>0</v>
      </c>
      <c r="H131" s="3" t="s">
        <v>24</v>
      </c>
      <c r="I131" s="43"/>
      <c r="J131" s="55">
        <v>97</v>
      </c>
      <c r="K131" s="4">
        <v>97</v>
      </c>
      <c r="L131" s="22">
        <f>IF(ISNUMBER(Table2[[#This Row],[estHD]]),ABS(Table2[[#This Row],[HD]]-Table2[[#This Row],[estHD]]),"NA")</f>
        <v>0</v>
      </c>
      <c r="M131" s="4" t="b">
        <f>Table2[[#This Row],[HD]]=Table2[[#This Row],[estHD]]</f>
        <v>1</v>
      </c>
      <c r="N131" s="4" t="str">
        <f>IF(ISNUMBER([1]!Table2[[#This Row],[hatch_date]]),[1]!Table2[[#This Row],[hatch_date]]-19,"NA")</f>
        <v>NA</v>
      </c>
      <c r="O131" s="31">
        <v>78</v>
      </c>
      <c r="P131" s="23">
        <f>IF(ISNUMBER(Table2[[#This Row],[nest_age1]]),ABS(Table2[[#This Row],[nest_age1]]-Table2[[#This Row],[nest_age_feb]]),"NA")</f>
        <v>0</v>
      </c>
      <c r="Q131" s="24">
        <f>IF(ISNUMBER(Table2[[#This Row],[final_obs_int2]]),ABS(Table2[[#This Row],[final_obs_int2]]-Table2[[#This Row],[final_obs_int_feb]]), "NA")</f>
        <v>0</v>
      </c>
      <c r="R131" s="24"/>
      <c r="S131" s="57" t="s">
        <v>88</v>
      </c>
      <c r="T131" s="57" t="str">
        <f>Table2[[#This Row],[camera_old]]</f>
        <v>N</v>
      </c>
      <c r="U131" s="24"/>
      <c r="V131" s="16" t="s">
        <v>24</v>
      </c>
      <c r="W131" s="16">
        <v>19</v>
      </c>
      <c r="X131" s="145">
        <v>6</v>
      </c>
      <c r="Y131" s="147" t="s">
        <v>25</v>
      </c>
      <c r="Z131" s="146" t="s">
        <v>25</v>
      </c>
      <c r="AA131" s="4" t="str">
        <f>Table2[[#This Row],[field_fate]]</f>
        <v>S</v>
      </c>
      <c r="AB131" s="4" t="str">
        <f>Table2[[#This Row],[field_fate2]]</f>
        <v>S</v>
      </c>
      <c r="AC131" s="4" t="str">
        <f>Table2[[#This Row],[field_fate3]]</f>
        <v>S</v>
      </c>
      <c r="AD131" s="4" t="str">
        <f>Table2[[#This Row],[field_fate4]]</f>
        <v>S</v>
      </c>
      <c r="AE131" s="4" t="str">
        <f>Table2[[#This Row],[field_fate5]]</f>
        <v>S</v>
      </c>
      <c r="AF131" s="4" t="str">
        <f>Table2[[#This Row],[field_fate5]]</f>
        <v>S</v>
      </c>
      <c r="AG131" s="4" t="str">
        <f>Table2[[#This Row],[field_fate5]]</f>
        <v>S</v>
      </c>
      <c r="AH131" s="4" t="str">
        <f>Table2[[#This Row],[field_fate2]]</f>
        <v>S</v>
      </c>
      <c r="AI131" s="4" t="str">
        <f>Table2[[#This Row],[field_fate8]]</f>
        <v>S</v>
      </c>
      <c r="AJ131" s="4" t="str">
        <f>Table2[[#This Row],[field_fate10]]</f>
        <v>S</v>
      </c>
      <c r="AK131" s="4" t="b">
        <f>Table2[[#This Row],[field_fate_feb]]=Table2[[#This Row],[field_fate10]]</f>
        <v>1</v>
      </c>
      <c r="AL131" s="43" t="s">
        <v>24</v>
      </c>
      <c r="AM131" s="43" t="b">
        <f>Table2[[#This Row],[cam_fate2]]="NA"</f>
        <v>1</v>
      </c>
      <c r="AN131" s="19" t="str">
        <f>Table2[[#This Row],[cam_fate1]]</f>
        <v>NA</v>
      </c>
      <c r="AO131" s="2" t="s">
        <v>25</v>
      </c>
      <c r="AP131" s="5" t="str">
        <f>Table2[[#This Row],[final_fate1]]</f>
        <v>S</v>
      </c>
      <c r="AQ131" s="6">
        <v>19</v>
      </c>
      <c r="AR131" s="7">
        <v>19</v>
      </c>
      <c r="AS131" s="7">
        <f>Table2[[#This Row],[final_obs_date]]-Table2[[#This Row],[init_date]]</f>
        <v>19</v>
      </c>
      <c r="AT131" s="7">
        <f>(Table2[[#This Row],[final_obs_date2]]-Table2[[#This Row],[estHD]])+16</f>
        <v>16</v>
      </c>
      <c r="AU131" s="38">
        <v>6</v>
      </c>
      <c r="AV131" s="33">
        <v>6</v>
      </c>
      <c r="AW131" s="33">
        <f>Table2[[#This Row],[final_obs_date2]]-Table2[[#This Row],[pen_obs_date]]</f>
        <v>97</v>
      </c>
      <c r="AX131" s="67">
        <v>97</v>
      </c>
      <c r="AY131" s="6">
        <f>Table2[[#This Row],[final_obs_date]]</f>
        <v>97</v>
      </c>
      <c r="AZ131" s="6"/>
      <c r="BA131" s="91" t="s">
        <v>47</v>
      </c>
      <c r="BB131" s="6" t="b">
        <f>Table2[[#This Row],[final_obs_date]]&lt;(Table2[[#This Row],[estHD]]-2)</f>
        <v>0</v>
      </c>
      <c r="BC131" s="24">
        <f>IF(Table2[[#This Row],[field_fate]]="H",1,0)</f>
        <v>0</v>
      </c>
      <c r="BD131" s="16">
        <f>IF(Table2[[#This Row],[cam_fate2]]="H",1,0)</f>
        <v>0</v>
      </c>
      <c r="BE131" s="6" t="b">
        <f>NOT(Table2[[#This Row],[HF_C]]=Table2[[#This Row],[HF]])</f>
        <v>0</v>
      </c>
      <c r="BF131" s="6" t="b">
        <f>NOT(Table2[[#This Row],[cam_fate2]]=Table2[[#This Row],[field_fate3]])</f>
        <v>1</v>
      </c>
      <c r="BG131" s="6" t="b">
        <f>OR(Table2[[#This Row],[field_fate3]]="U",Table2[[#This Row],[field_fate3]]="U-H")</f>
        <v>0</v>
      </c>
      <c r="BH131" s="8">
        <v>78</v>
      </c>
      <c r="BI131" s="8">
        <v>91</v>
      </c>
      <c r="BJ131" s="14">
        <f>IF(ISTEXT(Table2[[#This Row],[j.cam]]),Table2[[#This Row],[j]],Table2[[#This Row],[j.cam]])</f>
        <v>91</v>
      </c>
      <c r="BK131" s="9">
        <v>97</v>
      </c>
      <c r="BL131" s="15">
        <f>IF(ISTEXT(Table2[[#This Row],[k.cam]]), Table2[[#This Row],[k]], Table2[[#This Row],[k.cam]])</f>
        <v>97</v>
      </c>
      <c r="BM131" s="4" t="s">
        <v>24</v>
      </c>
      <c r="BN131" s="8" t="s">
        <v>24</v>
      </c>
      <c r="BO131" s="4">
        <v>5</v>
      </c>
      <c r="BP131" s="4">
        <f>Table2[[#This Row],[final_obs_date]]-Table2[[#This Row],[i]]</f>
        <v>19</v>
      </c>
      <c r="BQ131" s="4" t="b">
        <f>Table2[[#This Row],[final_obs_date2]]&gt;Table2[[#This Row],[estHD]]+3</f>
        <v>0</v>
      </c>
      <c r="BR131" s="4" t="s">
        <v>33</v>
      </c>
      <c r="BS131" s="4" t="s">
        <v>28</v>
      </c>
      <c r="BT131" s="79" t="s">
        <v>1085</v>
      </c>
      <c r="BU131" s="26" t="s">
        <v>154</v>
      </c>
      <c r="BV131" s="79" t="s">
        <v>1490</v>
      </c>
      <c r="BW131" s="49"/>
      <c r="BX131" s="47"/>
      <c r="BY131" s="36" t="s">
        <v>558</v>
      </c>
    </row>
    <row r="132" spans="1:77" ht="15" hidden="1" thickBot="1" x14ac:dyDescent="0.4">
      <c r="A132" s="62">
        <v>10155</v>
      </c>
      <c r="B132" s="2" t="s">
        <v>111</v>
      </c>
      <c r="C132" s="44">
        <v>2019</v>
      </c>
      <c r="D132" s="3">
        <v>29.77244</v>
      </c>
      <c r="E132" s="3">
        <v>-93.296660000000003</v>
      </c>
      <c r="F132" s="3">
        <v>0</v>
      </c>
      <c r="G132" s="3">
        <v>0</v>
      </c>
      <c r="H132" s="3" t="s">
        <v>24</v>
      </c>
      <c r="I132" s="43"/>
      <c r="J132" s="55">
        <v>87</v>
      </c>
      <c r="K132" s="4">
        <v>86</v>
      </c>
      <c r="L132" s="22">
        <f>IF(ISNUMBER(Table2[[#This Row],[estHD]]),ABS(Table2[[#This Row],[HD]]-Table2[[#This Row],[estHD]]),"NA")</f>
        <v>1</v>
      </c>
      <c r="M132" s="4" t="b">
        <f>Table2[[#This Row],[HD]]=Table2[[#This Row],[estHD]]</f>
        <v>0</v>
      </c>
      <c r="N132" s="4" t="str">
        <f>IF(ISNUMBER([1]!Table2[[#This Row],[hatch_date]]),[1]!Table2[[#This Row],[hatch_date]]-19,"NA")</f>
        <v>NA</v>
      </c>
      <c r="O132" s="31">
        <v>67</v>
      </c>
      <c r="P132" s="23">
        <f>IF(ISNUMBER(Table2[[#This Row],[nest_age1]]),ABS(Table2[[#This Row],[nest_age1]]-Table2[[#This Row],[nest_age_feb]]),"NA")</f>
        <v>1</v>
      </c>
      <c r="Q132" s="24">
        <f>IF(ISNUMBER(Table2[[#This Row],[final_obs_int2]]),ABS(Table2[[#This Row],[final_obs_int2]]-Table2[[#This Row],[final_obs_int_feb]]), "NA")</f>
        <v>0</v>
      </c>
      <c r="R132" s="24"/>
      <c r="S132" s="57" t="s">
        <v>88</v>
      </c>
      <c r="T132" s="57" t="str">
        <f>Table2[[#This Row],[camera_old]]</f>
        <v>N</v>
      </c>
      <c r="U132" s="24"/>
      <c r="V132" s="16" t="s">
        <v>24</v>
      </c>
      <c r="W132" s="16">
        <v>18</v>
      </c>
      <c r="X132" s="145">
        <v>3</v>
      </c>
      <c r="Y132" s="147" t="s">
        <v>37</v>
      </c>
      <c r="Z132" s="146" t="s">
        <v>37</v>
      </c>
      <c r="AA132" s="4" t="str">
        <f>Table2[[#This Row],[field_fate]]</f>
        <v>H</v>
      </c>
      <c r="AB132" s="4" t="str">
        <f>Table2[[#This Row],[field_fate2]]</f>
        <v>H</v>
      </c>
      <c r="AC132" s="4" t="str">
        <f>Table2[[#This Row],[field_fate3]]</f>
        <v>H</v>
      </c>
      <c r="AD132" s="4" t="str">
        <f>Table2[[#This Row],[field_fate4]]</f>
        <v>H</v>
      </c>
      <c r="AE132" s="4" t="str">
        <f>Table2[[#This Row],[field_fate5]]</f>
        <v>H</v>
      </c>
      <c r="AF132" s="4" t="str">
        <f>Table2[[#This Row],[field_fate5]]</f>
        <v>H</v>
      </c>
      <c r="AG132" s="4" t="str">
        <f>Table2[[#This Row],[field_fate5]]</f>
        <v>H</v>
      </c>
      <c r="AH132" s="4" t="str">
        <f>Table2[[#This Row],[field_fate2]]</f>
        <v>H</v>
      </c>
      <c r="AI132" s="4" t="str">
        <f>Table2[[#This Row],[field_fate8]]</f>
        <v>H</v>
      </c>
      <c r="AJ132" s="4" t="str">
        <f>Table2[[#This Row],[field_fate10]]</f>
        <v>H</v>
      </c>
      <c r="AK132" s="4" t="b">
        <f>Table2[[#This Row],[field_fate_feb]]=Table2[[#This Row],[field_fate10]]</f>
        <v>1</v>
      </c>
      <c r="AL132" s="43" t="s">
        <v>24</v>
      </c>
      <c r="AM132" s="43" t="b">
        <f>Table2[[#This Row],[cam_fate2]]="NA"</f>
        <v>1</v>
      </c>
      <c r="AN132" s="19" t="str">
        <f>Table2[[#This Row],[cam_fate1]]</f>
        <v>NA</v>
      </c>
      <c r="AO132" s="2" t="s">
        <v>37</v>
      </c>
      <c r="AP132" s="5" t="str">
        <f>Table2[[#This Row],[final_fate1]]</f>
        <v>H</v>
      </c>
      <c r="AQ132" s="6">
        <v>19</v>
      </c>
      <c r="AR132" s="7">
        <v>18</v>
      </c>
      <c r="AS132" s="7">
        <f>Table2[[#This Row],[final_obs_date]]-Table2[[#This Row],[init_date]]</f>
        <v>19</v>
      </c>
      <c r="AT132" s="7">
        <f>(Table2[[#This Row],[final_obs_date2]]-Table2[[#This Row],[estHD]])+16</f>
        <v>15</v>
      </c>
      <c r="AU132" s="38">
        <v>3</v>
      </c>
      <c r="AV132" s="33">
        <v>3</v>
      </c>
      <c r="AW132" s="33">
        <f>Table2[[#This Row],[final_obs_date2]]-Table2[[#This Row],[pen_obs_date]]</f>
        <v>86</v>
      </c>
      <c r="AX132" s="67">
        <v>86</v>
      </c>
      <c r="AY132" s="6">
        <f>Table2[[#This Row],[final_obs_date]]</f>
        <v>86</v>
      </c>
      <c r="AZ132" s="6"/>
      <c r="BA132" s="91" t="s">
        <v>47</v>
      </c>
      <c r="BB132" s="6" t="b">
        <f>Table2[[#This Row],[final_obs_date]]&lt;(Table2[[#This Row],[estHD]]-2)</f>
        <v>0</v>
      </c>
      <c r="BC132" s="24">
        <f>IF(Table2[[#This Row],[field_fate]]="H",1,0)</f>
        <v>1</v>
      </c>
      <c r="BD132" s="16">
        <f>IF(Table2[[#This Row],[cam_fate2]]="H",1,0)</f>
        <v>0</v>
      </c>
      <c r="BE132" s="6" t="b">
        <f>NOT(Table2[[#This Row],[HF_C]]=Table2[[#This Row],[HF]])</f>
        <v>1</v>
      </c>
      <c r="BF132" s="6" t="b">
        <f>NOT(Table2[[#This Row],[cam_fate2]]=Table2[[#This Row],[field_fate3]])</f>
        <v>1</v>
      </c>
      <c r="BG132" s="6" t="b">
        <f>OR(Table2[[#This Row],[field_fate3]]="U",Table2[[#This Row],[field_fate3]]="U-H")</f>
        <v>0</v>
      </c>
      <c r="BH132" s="8">
        <v>78</v>
      </c>
      <c r="BI132" s="8">
        <v>86</v>
      </c>
      <c r="BJ132" s="14">
        <f>IF(ISTEXT(Table2[[#This Row],[j.cam]]),Table2[[#This Row],[j]],Table2[[#This Row],[j.cam]])</f>
        <v>86</v>
      </c>
      <c r="BK132" s="9">
        <v>86</v>
      </c>
      <c r="BL132" s="15">
        <f>IF(ISTEXT(Table2[[#This Row],[k.cam]]), Table2[[#This Row],[k]], Table2[[#This Row],[k.cam]])</f>
        <v>86</v>
      </c>
      <c r="BM132" s="4" t="s">
        <v>24</v>
      </c>
      <c r="BN132" s="8" t="s">
        <v>24</v>
      </c>
      <c r="BO132" s="4">
        <v>3</v>
      </c>
      <c r="BP132" s="4">
        <f>Table2[[#This Row],[final_obs_date]]-Table2[[#This Row],[i]]</f>
        <v>8</v>
      </c>
      <c r="BQ132" s="4" t="b">
        <f>Table2[[#This Row],[final_obs_date2]]&gt;Table2[[#This Row],[estHD]]+3</f>
        <v>0</v>
      </c>
      <c r="BR132" s="4" t="s">
        <v>27</v>
      </c>
      <c r="BS132" s="4" t="s">
        <v>155</v>
      </c>
      <c r="BT132" s="79" t="s">
        <v>1086</v>
      </c>
      <c r="BU132" s="26" t="s">
        <v>156</v>
      </c>
      <c r="BV132" s="79" t="s">
        <v>1434</v>
      </c>
      <c r="BW132" s="49"/>
      <c r="BX132" s="47"/>
      <c r="BY132" s="36" t="s">
        <v>24</v>
      </c>
    </row>
    <row r="133" spans="1:77" ht="15" hidden="1" thickBot="1" x14ac:dyDescent="0.4">
      <c r="A133" s="62">
        <v>10166</v>
      </c>
      <c r="B133" s="2" t="s">
        <v>157</v>
      </c>
      <c r="C133" s="44">
        <v>2019</v>
      </c>
      <c r="D133" s="3">
        <v>29.766079999999999</v>
      </c>
      <c r="E133" s="3">
        <v>-93.384699999999995</v>
      </c>
      <c r="F133" s="3">
        <v>0</v>
      </c>
      <c r="G133" s="3">
        <v>0</v>
      </c>
      <c r="H133" s="3" t="s">
        <v>26</v>
      </c>
      <c r="I133" s="43"/>
      <c r="J133" s="55" t="s">
        <v>24</v>
      </c>
      <c r="K133" s="4" t="s">
        <v>24</v>
      </c>
      <c r="L133" s="22" t="str">
        <f>IF(ISNUMBER(Table2[[#This Row],[estHD]]),ABS(Table2[[#This Row],[HD]]-Table2[[#This Row],[estHD]]),"NA")</f>
        <v>NA</v>
      </c>
      <c r="M133" s="4" t="b">
        <f>Table2[[#This Row],[HD]]=Table2[[#This Row],[estHD]]</f>
        <v>1</v>
      </c>
      <c r="N133" s="4" t="str">
        <f>IF(ISNUMBER([1]!Table2[[#This Row],[hatch_date]]),[1]!Table2[[#This Row],[hatch_date]]-19,"NA")</f>
        <v>NA</v>
      </c>
      <c r="O133" s="31" t="s">
        <v>24</v>
      </c>
      <c r="P133" s="23" t="str">
        <f>IF(ISNUMBER(Table2[[#This Row],[nest_age1]]),ABS(Table2[[#This Row],[nest_age1]]-Table2[[#This Row],[nest_age_feb]]),"NA")</f>
        <v>NA</v>
      </c>
      <c r="Q133" s="24">
        <f>IF(ISNUMBER(Table2[[#This Row],[final_obs_int2]]),ABS(Table2[[#This Row],[final_obs_int2]]-Table2[[#This Row],[final_obs_int_feb]]), "NA")</f>
        <v>0</v>
      </c>
      <c r="R133" s="24"/>
      <c r="S133" s="57" t="s">
        <v>88</v>
      </c>
      <c r="T133" s="57" t="str">
        <f>Table2[[#This Row],[camera_old]]</f>
        <v>N</v>
      </c>
      <c r="U133" s="24"/>
      <c r="V133" s="16" t="s">
        <v>24</v>
      </c>
      <c r="W133" s="16" t="s">
        <v>24</v>
      </c>
      <c r="X133" s="145">
        <v>9</v>
      </c>
      <c r="Y133" s="147" t="s">
        <v>25</v>
      </c>
      <c r="Z133" s="146" t="s">
        <v>25</v>
      </c>
      <c r="AA133" s="4" t="str">
        <f>Table2[[#This Row],[field_fate]]</f>
        <v>S</v>
      </c>
      <c r="AB133" s="4" t="str">
        <f>Table2[[#This Row],[field_fate2]]</f>
        <v>S</v>
      </c>
      <c r="AC133" s="4" t="str">
        <f>Table2[[#This Row],[field_fate3]]</f>
        <v>S</v>
      </c>
      <c r="AD133" s="4" t="str">
        <f>Table2[[#This Row],[field_fate4]]</f>
        <v>S</v>
      </c>
      <c r="AE133" s="4" t="str">
        <f>Table2[[#This Row],[field_fate5]]</f>
        <v>S</v>
      </c>
      <c r="AF133" s="4" t="str">
        <f>Table2[[#This Row],[field_fate5]]</f>
        <v>S</v>
      </c>
      <c r="AG133" s="4" t="str">
        <f>Table2[[#This Row],[field_fate5]]</f>
        <v>S</v>
      </c>
      <c r="AH133" s="4" t="str">
        <f>Table2[[#This Row],[field_fate2]]</f>
        <v>S</v>
      </c>
      <c r="AI133" s="4" t="str">
        <f>Table2[[#This Row],[field_fate8]]</f>
        <v>S</v>
      </c>
      <c r="AJ133" s="4" t="str">
        <f>Table2[[#This Row],[field_fate10]]</f>
        <v>S</v>
      </c>
      <c r="AK133" s="4" t="b">
        <f>Table2[[#This Row],[field_fate_feb]]=Table2[[#This Row],[field_fate10]]</f>
        <v>1</v>
      </c>
      <c r="AL133" s="43" t="s">
        <v>24</v>
      </c>
      <c r="AM133" s="43" t="b">
        <f>Table2[[#This Row],[cam_fate2]]="NA"</f>
        <v>1</v>
      </c>
      <c r="AN133" s="19" t="str">
        <f>Table2[[#This Row],[cam_fate1]]</f>
        <v>NA</v>
      </c>
      <c r="AO133" s="2" t="s">
        <v>25</v>
      </c>
      <c r="AP133" s="5" t="str">
        <f>Table2[[#This Row],[final_fate1]]</f>
        <v>S</v>
      </c>
      <c r="AQ133" s="6" t="s">
        <v>24</v>
      </c>
      <c r="AR133" s="7" t="s">
        <v>24</v>
      </c>
      <c r="AS133" s="7" t="e">
        <f>Table2[[#This Row],[final_obs_date]]-Table2[[#This Row],[init_date]]</f>
        <v>#VALUE!</v>
      </c>
      <c r="AT133" s="7" t="e">
        <f>(Table2[[#This Row],[final_obs_date2]]-Table2[[#This Row],[estHD]])+16</f>
        <v>#VALUE!</v>
      </c>
      <c r="AU133" s="38">
        <v>9</v>
      </c>
      <c r="AV133" s="33">
        <v>9</v>
      </c>
      <c r="AW133" s="33">
        <f>Table2[[#This Row],[final_obs_date2]]-Table2[[#This Row],[pen_obs_date]]</f>
        <v>100</v>
      </c>
      <c r="AX133" s="67">
        <v>100</v>
      </c>
      <c r="AY133" s="6">
        <f>Table2[[#This Row],[final_obs_date]]</f>
        <v>100</v>
      </c>
      <c r="AZ133" s="6"/>
      <c r="BA133" s="91" t="s">
        <v>47</v>
      </c>
      <c r="BB133" s="6" t="e">
        <f>Table2[[#This Row],[final_obs_date]]&lt;(Table2[[#This Row],[estHD]]-2)</f>
        <v>#VALUE!</v>
      </c>
      <c r="BC133" s="24">
        <f>IF(Table2[[#This Row],[field_fate]]="H",1,0)</f>
        <v>0</v>
      </c>
      <c r="BD133" s="16">
        <f>IF(Table2[[#This Row],[cam_fate2]]="H",1,0)</f>
        <v>0</v>
      </c>
      <c r="BE133" s="6" t="b">
        <f>NOT(Table2[[#This Row],[HF_C]]=Table2[[#This Row],[HF]])</f>
        <v>0</v>
      </c>
      <c r="BF133" s="6" t="b">
        <f>NOT(Table2[[#This Row],[cam_fate2]]=Table2[[#This Row],[field_fate3]])</f>
        <v>1</v>
      </c>
      <c r="BG133" s="6" t="b">
        <f>OR(Table2[[#This Row],[field_fate3]]="U",Table2[[#This Row],[field_fate3]]="U-H")</f>
        <v>0</v>
      </c>
      <c r="BH133" s="8">
        <v>88</v>
      </c>
      <c r="BI133" s="8">
        <v>91</v>
      </c>
      <c r="BJ133" s="14">
        <f>IF(ISTEXT(Table2[[#This Row],[j.cam]]),Table2[[#This Row],[j]],Table2[[#This Row],[j.cam]])</f>
        <v>91</v>
      </c>
      <c r="BK133" s="9">
        <v>100</v>
      </c>
      <c r="BL133" s="15">
        <f>IF(ISTEXT(Table2[[#This Row],[k.cam]]), Table2[[#This Row],[k]], Table2[[#This Row],[k.cam]])</f>
        <v>100</v>
      </c>
      <c r="BM133" s="4" t="s">
        <v>24</v>
      </c>
      <c r="BN133" s="8" t="s">
        <v>24</v>
      </c>
      <c r="BO133" s="4">
        <v>3</v>
      </c>
      <c r="BP133" s="4">
        <f>Table2[[#This Row],[final_obs_date]]-Table2[[#This Row],[i]]</f>
        <v>12</v>
      </c>
      <c r="BQ133" s="4" t="e">
        <f>Table2[[#This Row],[final_obs_date2]]&gt;Table2[[#This Row],[estHD]]+3</f>
        <v>#VALUE!</v>
      </c>
      <c r="BR133" s="4" t="s">
        <v>33</v>
      </c>
      <c r="BS133" s="4" t="s">
        <v>28</v>
      </c>
      <c r="BT133" s="79" t="s">
        <v>1087</v>
      </c>
      <c r="BU133" s="26" t="s">
        <v>130</v>
      </c>
      <c r="BV133" s="79" t="s">
        <v>1491</v>
      </c>
      <c r="BW133" s="49"/>
      <c r="BX133" s="47"/>
      <c r="BY133" s="36" t="s">
        <v>559</v>
      </c>
    </row>
    <row r="134" spans="1:77" ht="15" hidden="1" thickBot="1" x14ac:dyDescent="0.4">
      <c r="A134" s="62">
        <v>10167</v>
      </c>
      <c r="B134" s="2" t="s">
        <v>157</v>
      </c>
      <c r="C134" s="44">
        <v>2019</v>
      </c>
      <c r="D134" s="3">
        <v>29.765979999999999</v>
      </c>
      <c r="E134" s="3">
        <v>-93.384609999999995</v>
      </c>
      <c r="F134" s="3">
        <v>0</v>
      </c>
      <c r="G134" s="3">
        <v>0</v>
      </c>
      <c r="H134" s="3" t="s">
        <v>26</v>
      </c>
      <c r="I134" s="43"/>
      <c r="J134" s="55" t="s">
        <v>24</v>
      </c>
      <c r="K134" s="4" t="s">
        <v>24</v>
      </c>
      <c r="L134" s="22" t="str">
        <f>IF(ISNUMBER(Table2[[#This Row],[estHD]]),ABS(Table2[[#This Row],[HD]]-Table2[[#This Row],[estHD]]),"NA")</f>
        <v>NA</v>
      </c>
      <c r="M134" s="4" t="b">
        <f>Table2[[#This Row],[HD]]=Table2[[#This Row],[estHD]]</f>
        <v>1</v>
      </c>
      <c r="N134" s="4" t="str">
        <f>IF(ISNUMBER([1]!Table2[[#This Row],[hatch_date]]),[1]!Table2[[#This Row],[hatch_date]]-19,"NA")</f>
        <v>NA</v>
      </c>
      <c r="O134" s="31" t="s">
        <v>24</v>
      </c>
      <c r="P134" s="23" t="str">
        <f>IF(ISNUMBER(Table2[[#This Row],[nest_age1]]),ABS(Table2[[#This Row],[nest_age1]]-Table2[[#This Row],[nest_age_feb]]),"NA")</f>
        <v>NA</v>
      </c>
      <c r="Q134" s="24">
        <f>IF(ISNUMBER(Table2[[#This Row],[final_obs_int2]]),ABS(Table2[[#This Row],[final_obs_int2]]-Table2[[#This Row],[final_obs_int_feb]]), "NA")</f>
        <v>0</v>
      </c>
      <c r="R134" s="24"/>
      <c r="S134" s="57" t="s">
        <v>88</v>
      </c>
      <c r="T134" s="57" t="str">
        <f>Table2[[#This Row],[camera_old]]</f>
        <v>N</v>
      </c>
      <c r="U134" s="24"/>
      <c r="V134" s="16" t="s">
        <v>24</v>
      </c>
      <c r="W134" s="16" t="s">
        <v>24</v>
      </c>
      <c r="X134" s="145">
        <v>9</v>
      </c>
      <c r="Y134" s="147" t="s">
        <v>25</v>
      </c>
      <c r="Z134" s="146" t="s">
        <v>25</v>
      </c>
      <c r="AA134" s="4" t="str">
        <f>Table2[[#This Row],[field_fate]]</f>
        <v>S</v>
      </c>
      <c r="AB134" s="4" t="str">
        <f>Table2[[#This Row],[field_fate2]]</f>
        <v>S</v>
      </c>
      <c r="AC134" s="4" t="str">
        <f>Table2[[#This Row],[field_fate3]]</f>
        <v>S</v>
      </c>
      <c r="AD134" s="4" t="str">
        <f>Table2[[#This Row],[field_fate4]]</f>
        <v>S</v>
      </c>
      <c r="AE134" s="4" t="str">
        <f>Table2[[#This Row],[field_fate5]]</f>
        <v>S</v>
      </c>
      <c r="AF134" s="4" t="str">
        <f>Table2[[#This Row],[field_fate5]]</f>
        <v>S</v>
      </c>
      <c r="AG134" s="4" t="str">
        <f>Table2[[#This Row],[field_fate5]]</f>
        <v>S</v>
      </c>
      <c r="AH134" s="4" t="str">
        <f>Table2[[#This Row],[field_fate2]]</f>
        <v>S</v>
      </c>
      <c r="AI134" s="4" t="str">
        <f>Table2[[#This Row],[field_fate8]]</f>
        <v>S</v>
      </c>
      <c r="AJ134" s="4" t="str">
        <f>Table2[[#This Row],[field_fate10]]</f>
        <v>S</v>
      </c>
      <c r="AK134" s="4" t="b">
        <f>Table2[[#This Row],[field_fate_feb]]=Table2[[#This Row],[field_fate10]]</f>
        <v>1</v>
      </c>
      <c r="AL134" s="43" t="s">
        <v>24</v>
      </c>
      <c r="AM134" s="43" t="b">
        <f>Table2[[#This Row],[cam_fate2]]="NA"</f>
        <v>1</v>
      </c>
      <c r="AN134" s="19" t="str">
        <f>Table2[[#This Row],[cam_fate1]]</f>
        <v>NA</v>
      </c>
      <c r="AO134" s="2" t="s">
        <v>25</v>
      </c>
      <c r="AP134" s="5" t="str">
        <f>Table2[[#This Row],[final_fate1]]</f>
        <v>S</v>
      </c>
      <c r="AQ134" s="6" t="s">
        <v>24</v>
      </c>
      <c r="AR134" s="7" t="s">
        <v>24</v>
      </c>
      <c r="AS134" s="7" t="e">
        <f>Table2[[#This Row],[final_obs_date]]-Table2[[#This Row],[init_date]]</f>
        <v>#VALUE!</v>
      </c>
      <c r="AT134" s="7" t="e">
        <f>(Table2[[#This Row],[final_obs_date2]]-Table2[[#This Row],[estHD]])+16</f>
        <v>#VALUE!</v>
      </c>
      <c r="AU134" s="38">
        <v>9</v>
      </c>
      <c r="AV134" s="33">
        <v>9</v>
      </c>
      <c r="AW134" s="33">
        <f>Table2[[#This Row],[final_obs_date2]]-Table2[[#This Row],[pen_obs_date]]</f>
        <v>100</v>
      </c>
      <c r="AX134" s="67">
        <v>100</v>
      </c>
      <c r="AY134" s="6">
        <f>Table2[[#This Row],[final_obs_date]]</f>
        <v>100</v>
      </c>
      <c r="AZ134" s="6"/>
      <c r="BA134" s="91" t="s">
        <v>47</v>
      </c>
      <c r="BB134" s="6" t="e">
        <f>Table2[[#This Row],[final_obs_date]]&lt;(Table2[[#This Row],[estHD]]-2)</f>
        <v>#VALUE!</v>
      </c>
      <c r="BC134" s="24">
        <f>IF(Table2[[#This Row],[field_fate]]="H",1,0)</f>
        <v>0</v>
      </c>
      <c r="BD134" s="16">
        <f>IF(Table2[[#This Row],[cam_fate2]]="H",1,0)</f>
        <v>0</v>
      </c>
      <c r="BE134" s="6" t="b">
        <f>NOT(Table2[[#This Row],[HF_C]]=Table2[[#This Row],[HF]])</f>
        <v>0</v>
      </c>
      <c r="BF134" s="6" t="b">
        <f>NOT(Table2[[#This Row],[cam_fate2]]=Table2[[#This Row],[field_fate3]])</f>
        <v>1</v>
      </c>
      <c r="BG134" s="6" t="b">
        <f>OR(Table2[[#This Row],[field_fate3]]="U",Table2[[#This Row],[field_fate3]]="U-H")</f>
        <v>0</v>
      </c>
      <c r="BH134" s="8">
        <v>88</v>
      </c>
      <c r="BI134" s="8">
        <v>91</v>
      </c>
      <c r="BJ134" s="14">
        <f>IF(ISTEXT(Table2[[#This Row],[j.cam]]),Table2[[#This Row],[j]],Table2[[#This Row],[j.cam]])</f>
        <v>91</v>
      </c>
      <c r="BK134" s="9">
        <v>100</v>
      </c>
      <c r="BL134" s="15">
        <f>IF(ISTEXT(Table2[[#This Row],[k.cam]]), Table2[[#This Row],[k]], Table2[[#This Row],[k.cam]])</f>
        <v>100</v>
      </c>
      <c r="BM134" s="4" t="s">
        <v>24</v>
      </c>
      <c r="BN134" s="8" t="s">
        <v>24</v>
      </c>
      <c r="BO134" s="4">
        <v>3</v>
      </c>
      <c r="BP134" s="4">
        <f>Table2[[#This Row],[final_obs_date]]-Table2[[#This Row],[i]]</f>
        <v>12</v>
      </c>
      <c r="BQ134" s="4" t="e">
        <f>Table2[[#This Row],[final_obs_date2]]&gt;Table2[[#This Row],[estHD]]+3</f>
        <v>#VALUE!</v>
      </c>
      <c r="BR134" s="4" t="s">
        <v>33</v>
      </c>
      <c r="BS134" s="4" t="s">
        <v>28</v>
      </c>
      <c r="BT134" s="79" t="s">
        <v>1087</v>
      </c>
      <c r="BU134" s="26" t="s">
        <v>64</v>
      </c>
      <c r="BV134" s="79" t="s">
        <v>1491</v>
      </c>
      <c r="BW134" s="49"/>
      <c r="BX134" s="47"/>
      <c r="BY134" s="36" t="s">
        <v>559</v>
      </c>
    </row>
    <row r="135" spans="1:77" ht="15" hidden="1" thickBot="1" x14ac:dyDescent="0.4">
      <c r="A135" s="62">
        <v>10168</v>
      </c>
      <c r="B135" s="2" t="s">
        <v>157</v>
      </c>
      <c r="C135" s="44">
        <v>2019</v>
      </c>
      <c r="D135" s="3">
        <v>29.765529999999998</v>
      </c>
      <c r="E135" s="3">
        <v>-93.38167</v>
      </c>
      <c r="F135" s="3">
        <v>0</v>
      </c>
      <c r="G135" s="3">
        <v>0</v>
      </c>
      <c r="H135" s="3" t="s">
        <v>26</v>
      </c>
      <c r="I135" s="43"/>
      <c r="J135" s="55" t="s">
        <v>24</v>
      </c>
      <c r="K135" s="4" t="s">
        <v>24</v>
      </c>
      <c r="L135" s="22" t="str">
        <f>IF(ISNUMBER(Table2[[#This Row],[estHD]]),ABS(Table2[[#This Row],[HD]]-Table2[[#This Row],[estHD]]),"NA")</f>
        <v>NA</v>
      </c>
      <c r="M135" s="4" t="b">
        <f>Table2[[#This Row],[HD]]=Table2[[#This Row],[estHD]]</f>
        <v>1</v>
      </c>
      <c r="N135" s="4" t="str">
        <f>IF(ISNUMBER([1]!Table2[[#This Row],[hatch_date]]),[1]!Table2[[#This Row],[hatch_date]]-19,"NA")</f>
        <v>NA</v>
      </c>
      <c r="O135" s="31" t="s">
        <v>24</v>
      </c>
      <c r="P135" s="23" t="str">
        <f>IF(ISNUMBER(Table2[[#This Row],[nest_age1]]),ABS(Table2[[#This Row],[nest_age1]]-Table2[[#This Row],[nest_age_feb]]),"NA")</f>
        <v>NA</v>
      </c>
      <c r="Q135" s="24">
        <f>IF(ISNUMBER(Table2[[#This Row],[final_obs_int2]]),ABS(Table2[[#This Row],[final_obs_int2]]-Table2[[#This Row],[final_obs_int_feb]]), "NA")</f>
        <v>3</v>
      </c>
      <c r="R135" s="24"/>
      <c r="S135" s="57" t="s">
        <v>88</v>
      </c>
      <c r="T135" s="57" t="str">
        <f>Table2[[#This Row],[camera_old]]</f>
        <v>N</v>
      </c>
      <c r="U135" s="24"/>
      <c r="V135" s="16" t="s">
        <v>24</v>
      </c>
      <c r="W135" s="16" t="s">
        <v>24</v>
      </c>
      <c r="X135" s="145">
        <v>9</v>
      </c>
      <c r="Y135" s="147" t="s">
        <v>48</v>
      </c>
      <c r="Z135" s="146" t="s">
        <v>48</v>
      </c>
      <c r="AA135" s="4" t="str">
        <f>Table2[[#This Row],[field_fate]]</f>
        <v>F</v>
      </c>
      <c r="AB135" s="4" t="str">
        <f>Table2[[#This Row],[field_fate2]]</f>
        <v>F</v>
      </c>
      <c r="AC135" s="4" t="str">
        <f>Table2[[#This Row],[field_fate3]]</f>
        <v>F</v>
      </c>
      <c r="AD135" s="4" t="str">
        <f>Table2[[#This Row],[field_fate4]]</f>
        <v>F</v>
      </c>
      <c r="AE135" s="4" t="str">
        <f>Table2[[#This Row],[field_fate5]]</f>
        <v>F</v>
      </c>
      <c r="AF135" s="4" t="str">
        <f>Table2[[#This Row],[field_fate5]]</f>
        <v>F</v>
      </c>
      <c r="AG135" s="4" t="str">
        <f>Table2[[#This Row],[field_fate5]]</f>
        <v>F</v>
      </c>
      <c r="AH135" s="4" t="str">
        <f>Table2[[#This Row],[field_fate2]]</f>
        <v>F</v>
      </c>
      <c r="AI135" s="4" t="str">
        <f>Table2[[#This Row],[field_fate8]]</f>
        <v>F</v>
      </c>
      <c r="AJ135" s="4" t="str">
        <f>Table2[[#This Row],[field_fate10]]</f>
        <v>F</v>
      </c>
      <c r="AK135" s="4" t="b">
        <f>Table2[[#This Row],[field_fate_feb]]=Table2[[#This Row],[field_fate10]]</f>
        <v>1</v>
      </c>
      <c r="AL135" s="43" t="s">
        <v>24</v>
      </c>
      <c r="AM135" s="43" t="b">
        <f>Table2[[#This Row],[cam_fate2]]="NA"</f>
        <v>1</v>
      </c>
      <c r="AN135" s="19" t="str">
        <f>Table2[[#This Row],[cam_fate1]]</f>
        <v>NA</v>
      </c>
      <c r="AO135" s="2" t="s">
        <v>48</v>
      </c>
      <c r="AP135" s="5" t="str">
        <f>Table2[[#This Row],[final_fate1]]</f>
        <v>F</v>
      </c>
      <c r="AQ135" s="6" t="s">
        <v>24</v>
      </c>
      <c r="AR135" s="7" t="s">
        <v>24</v>
      </c>
      <c r="AS135" s="7" t="e">
        <f>Table2[[#This Row],[final_obs_date]]-Table2[[#This Row],[init_date]]</f>
        <v>#VALUE!</v>
      </c>
      <c r="AT135" s="7" t="e">
        <f>(Table2[[#This Row],[final_obs_date2]]-Table2[[#This Row],[estHD]])+16</f>
        <v>#VALUE!</v>
      </c>
      <c r="AU135" s="39">
        <v>9</v>
      </c>
      <c r="AV135" s="33">
        <v>12</v>
      </c>
      <c r="AW135" s="33">
        <f>Table2[[#This Row],[final_obs_date2]]-Table2[[#This Row],[pen_obs_date]]</f>
        <v>100</v>
      </c>
      <c r="AX135" s="67">
        <v>100</v>
      </c>
      <c r="AY135" s="6">
        <f>Table2[[#This Row],[final_obs_date]]</f>
        <v>100</v>
      </c>
      <c r="AZ135" s="6"/>
      <c r="BA135" s="91" t="s">
        <v>47</v>
      </c>
      <c r="BB135" s="6" t="e">
        <f>Table2[[#This Row],[final_obs_date]]&lt;(Table2[[#This Row],[estHD]]-2)</f>
        <v>#VALUE!</v>
      </c>
      <c r="BC135" s="24">
        <f>IF(Table2[[#This Row],[field_fate]]="H",1,0)</f>
        <v>0</v>
      </c>
      <c r="BD135" s="16">
        <f>IF(Table2[[#This Row],[cam_fate2]]="H",1,0)</f>
        <v>0</v>
      </c>
      <c r="BE135" s="6" t="b">
        <f>NOT(Table2[[#This Row],[HF_C]]=Table2[[#This Row],[HF]])</f>
        <v>0</v>
      </c>
      <c r="BF135" s="6" t="b">
        <f>NOT(Table2[[#This Row],[cam_fate2]]=Table2[[#This Row],[field_fate3]])</f>
        <v>1</v>
      </c>
      <c r="BG135" s="6" t="b">
        <f>OR(Table2[[#This Row],[field_fate3]]="U",Table2[[#This Row],[field_fate3]]="U-H")</f>
        <v>0</v>
      </c>
      <c r="BH135" s="8">
        <v>88</v>
      </c>
      <c r="BI135" s="8">
        <v>88</v>
      </c>
      <c r="BJ135" s="14">
        <f>IF(ISTEXT(Table2[[#This Row],[j.cam]]),Table2[[#This Row],[j]],Table2[[#This Row],[j.cam]])</f>
        <v>88</v>
      </c>
      <c r="BK135" s="9">
        <v>100</v>
      </c>
      <c r="BL135" s="15">
        <f>IF(ISTEXT(Table2[[#This Row],[k.cam]]), Table2[[#This Row],[k]], Table2[[#This Row],[k.cam]])</f>
        <v>100</v>
      </c>
      <c r="BM135" s="4" t="s">
        <v>24</v>
      </c>
      <c r="BN135" s="8" t="s">
        <v>24</v>
      </c>
      <c r="BO135" s="4">
        <v>3</v>
      </c>
      <c r="BP135" s="4">
        <f>Table2[[#This Row],[final_obs_date]]-Table2[[#This Row],[i]]</f>
        <v>12</v>
      </c>
      <c r="BQ135" s="4" t="e">
        <f>Table2[[#This Row],[final_obs_date2]]&gt;Table2[[#This Row],[estHD]]+3</f>
        <v>#VALUE!</v>
      </c>
      <c r="BR135" s="11" t="s">
        <v>62</v>
      </c>
      <c r="BS135" s="4" t="s">
        <v>28</v>
      </c>
      <c r="BT135" s="79" t="s">
        <v>1087</v>
      </c>
      <c r="BU135" s="26" t="s">
        <v>158</v>
      </c>
      <c r="BV135" s="79" t="s">
        <v>1491</v>
      </c>
      <c r="BW135" s="49"/>
      <c r="BX135" s="47"/>
      <c r="BY135" s="36" t="s">
        <v>560</v>
      </c>
    </row>
    <row r="136" spans="1:77" ht="15" hidden="1" thickBot="1" x14ac:dyDescent="0.4">
      <c r="A136" s="62">
        <v>10169</v>
      </c>
      <c r="B136" s="2" t="s">
        <v>157</v>
      </c>
      <c r="C136" s="44">
        <v>2019</v>
      </c>
      <c r="D136" s="3">
        <v>29.764659999999999</v>
      </c>
      <c r="E136" s="3">
        <v>-93.370199999999997</v>
      </c>
      <c r="F136" s="3">
        <v>5</v>
      </c>
      <c r="G136" s="3">
        <v>5</v>
      </c>
      <c r="H136" s="3" t="s">
        <v>26</v>
      </c>
      <c r="I136" s="43"/>
      <c r="J136" s="55" t="s">
        <v>24</v>
      </c>
      <c r="K136" s="4" t="s">
        <v>24</v>
      </c>
      <c r="L136" s="22" t="str">
        <f>IF(ISNUMBER(Table2[[#This Row],[estHD]]),ABS(Table2[[#This Row],[HD]]-Table2[[#This Row],[estHD]]),"NA")</f>
        <v>NA</v>
      </c>
      <c r="M136" s="4" t="b">
        <f>Table2[[#This Row],[HD]]=Table2[[#This Row],[estHD]]</f>
        <v>1</v>
      </c>
      <c r="N136" s="4" t="str">
        <f>IF(ISNUMBER([1]!Table2[[#This Row],[hatch_date]]), [1]!Table2[[#This Row],[hatch_date]]-16, "NA")</f>
        <v>NA</v>
      </c>
      <c r="O136" s="31" t="s">
        <v>24</v>
      </c>
      <c r="P136" s="23" t="str">
        <f>IF(ISNUMBER(Table2[[#This Row],[nest_age1]]),ABS(Table2[[#This Row],[nest_age1]]-Table2[[#This Row],[nest_age_feb]]),"NA")</f>
        <v>NA</v>
      </c>
      <c r="Q136" s="24">
        <f>IF(ISNUMBER(Table2[[#This Row],[final_obs_int2]]),ABS(Table2[[#This Row],[final_obs_int2]]-Table2[[#This Row],[final_obs_int_feb]]), "NA")</f>
        <v>3</v>
      </c>
      <c r="R136" s="24"/>
      <c r="S136" s="57" t="s">
        <v>88</v>
      </c>
      <c r="T136" s="57" t="str">
        <f>Table2[[#This Row],[camera_old]]</f>
        <v>N</v>
      </c>
      <c r="U136" s="24"/>
      <c r="V136" s="16" t="s">
        <v>24</v>
      </c>
      <c r="W136" s="16" t="s">
        <v>24</v>
      </c>
      <c r="X136" s="145">
        <v>9</v>
      </c>
      <c r="Y136" s="147" t="s">
        <v>48</v>
      </c>
      <c r="Z136" s="146" t="s">
        <v>48</v>
      </c>
      <c r="AA136" s="4" t="str">
        <f>Table2[[#This Row],[field_fate]]</f>
        <v>F</v>
      </c>
      <c r="AB136" s="4" t="str">
        <f>Table2[[#This Row],[field_fate2]]</f>
        <v>F</v>
      </c>
      <c r="AC136" s="4" t="str">
        <f>Table2[[#This Row],[field_fate3]]</f>
        <v>F</v>
      </c>
      <c r="AD136" s="4" t="str">
        <f>Table2[[#This Row],[field_fate4]]</f>
        <v>F</v>
      </c>
      <c r="AE136" s="4" t="str">
        <f>Table2[[#This Row],[field_fate5]]</f>
        <v>F</v>
      </c>
      <c r="AF136" s="4" t="str">
        <f>Table2[[#This Row],[field_fate5]]</f>
        <v>F</v>
      </c>
      <c r="AG136" s="4" t="str">
        <f>Table2[[#This Row],[field_fate5]]</f>
        <v>F</v>
      </c>
      <c r="AH136" s="4" t="str">
        <f>Table2[[#This Row],[field_fate2]]</f>
        <v>F</v>
      </c>
      <c r="AI136" s="4" t="str">
        <f>Table2[[#This Row],[field_fate8]]</f>
        <v>F</v>
      </c>
      <c r="AJ136" s="4" t="str">
        <f>Table2[[#This Row],[field_fate10]]</f>
        <v>F</v>
      </c>
      <c r="AK136" s="4" t="b">
        <f>Table2[[#This Row],[field_fate_feb]]=Table2[[#This Row],[field_fate10]]</f>
        <v>1</v>
      </c>
      <c r="AL136" s="43" t="s">
        <v>24</v>
      </c>
      <c r="AM136" s="43" t="b">
        <f>Table2[[#This Row],[cam_fate2]]="NA"</f>
        <v>1</v>
      </c>
      <c r="AN136" s="19" t="str">
        <f>Table2[[#This Row],[cam_fate1]]</f>
        <v>NA</v>
      </c>
      <c r="AO136" s="2" t="s">
        <v>48</v>
      </c>
      <c r="AP136" s="5" t="str">
        <f>Table2[[#This Row],[final_fate1]]</f>
        <v>F</v>
      </c>
      <c r="AQ136" s="6" t="s">
        <v>24</v>
      </c>
      <c r="AR136" s="7" t="s">
        <v>24</v>
      </c>
      <c r="AS136" s="7" t="e">
        <f>Table2[[#This Row],[final_obs_date]]-Table2[[#This Row],[init_date]]</f>
        <v>#VALUE!</v>
      </c>
      <c r="AT136" s="7" t="e">
        <f>(Table2[[#This Row],[final_obs_date2]]-Table2[[#This Row],[estHD]])+16</f>
        <v>#VALUE!</v>
      </c>
      <c r="AU136" s="39">
        <v>9</v>
      </c>
      <c r="AV136" s="33">
        <v>12</v>
      </c>
      <c r="AW136" s="33">
        <f>Table2[[#This Row],[final_obs_date2]]-Table2[[#This Row],[pen_obs_date]]</f>
        <v>100</v>
      </c>
      <c r="AX136" s="67">
        <v>100</v>
      </c>
      <c r="AY136" s="6">
        <f>Table2[[#This Row],[final_obs_date]]</f>
        <v>100</v>
      </c>
      <c r="AZ136" s="6"/>
      <c r="BA136" s="91" t="s">
        <v>60</v>
      </c>
      <c r="BB136" s="6" t="e">
        <f>Table2[[#This Row],[final_obs_date]]&lt;(Table2[[#This Row],[estHD]]-2)</f>
        <v>#VALUE!</v>
      </c>
      <c r="BC136" s="24">
        <f>IF(Table2[[#This Row],[field_fate]]="H",1,0)</f>
        <v>0</v>
      </c>
      <c r="BD136" s="16">
        <f>IF(Table2[[#This Row],[cam_fate2]]="H",1,0)</f>
        <v>0</v>
      </c>
      <c r="BE136" s="6" t="b">
        <f>NOT(Table2[[#This Row],[HF_C]]=Table2[[#This Row],[HF]])</f>
        <v>0</v>
      </c>
      <c r="BF136" s="6" t="b">
        <f>NOT(Table2[[#This Row],[cam_fate2]]=Table2[[#This Row],[field_fate3]])</f>
        <v>1</v>
      </c>
      <c r="BG136" s="6" t="b">
        <f>OR(Table2[[#This Row],[field_fate3]]="U",Table2[[#This Row],[field_fate3]]="U-H")</f>
        <v>0</v>
      </c>
      <c r="BH136" s="8">
        <v>88</v>
      </c>
      <c r="BI136" s="8">
        <v>88</v>
      </c>
      <c r="BJ136" s="14">
        <f>IF(ISTEXT(Table2[[#This Row],[j.cam]]),Table2[[#This Row],[j]],Table2[[#This Row],[j.cam]])</f>
        <v>88</v>
      </c>
      <c r="BK136" s="9">
        <v>100</v>
      </c>
      <c r="BL136" s="15">
        <f>IF(ISTEXT(Table2[[#This Row],[k.cam]]), Table2[[#This Row],[k]], Table2[[#This Row],[k.cam]])</f>
        <v>100</v>
      </c>
      <c r="BM136" s="4" t="s">
        <v>24</v>
      </c>
      <c r="BN136" s="8" t="s">
        <v>24</v>
      </c>
      <c r="BO136" s="4">
        <v>3</v>
      </c>
      <c r="BP136" s="4">
        <f>Table2[[#This Row],[final_obs_date]]-Table2[[#This Row],[i]]</f>
        <v>12</v>
      </c>
      <c r="BQ136" s="4" t="e">
        <f>Table2[[#This Row],[final_obs_date2]]&gt;Table2[[#This Row],[estHD]]+3</f>
        <v>#VALUE!</v>
      </c>
      <c r="BR136" s="11" t="s">
        <v>62</v>
      </c>
      <c r="BS136" s="4" t="s">
        <v>28</v>
      </c>
      <c r="BT136" s="79" t="s">
        <v>1087</v>
      </c>
      <c r="BU136" s="26" t="s">
        <v>158</v>
      </c>
      <c r="BV136" s="79" t="s">
        <v>1491</v>
      </c>
      <c r="BW136" s="49"/>
      <c r="BX136" s="47"/>
      <c r="BY136" s="36" t="s">
        <v>560</v>
      </c>
    </row>
    <row r="137" spans="1:77" ht="15" hidden="1" thickBot="1" x14ac:dyDescent="0.4">
      <c r="A137" s="62">
        <v>10170</v>
      </c>
      <c r="B137" s="2" t="s">
        <v>159</v>
      </c>
      <c r="C137" s="44">
        <v>2019</v>
      </c>
      <c r="D137" s="3">
        <v>29.768809999999998</v>
      </c>
      <c r="E137" s="3">
        <v>-93.439319999999995</v>
      </c>
      <c r="F137" s="3">
        <v>0</v>
      </c>
      <c r="G137" s="3">
        <v>0</v>
      </c>
      <c r="H137" s="3" t="s">
        <v>26</v>
      </c>
      <c r="I137" s="43"/>
      <c r="J137" s="55" t="s">
        <v>24</v>
      </c>
      <c r="K137" s="4" t="s">
        <v>24</v>
      </c>
      <c r="L137" s="22" t="str">
        <f>IF(ISNUMBER(Table2[[#This Row],[estHD]]),ABS(Table2[[#This Row],[HD]]-Table2[[#This Row],[estHD]]),"NA")</f>
        <v>NA</v>
      </c>
      <c r="M137" s="4" t="b">
        <f>Table2[[#This Row],[HD]]=Table2[[#This Row],[estHD]]</f>
        <v>1</v>
      </c>
      <c r="N137" s="4" t="str">
        <f>IF(ISNUMBER([1]!Table2[[#This Row],[hatch_date]]),[1]!Table2[[#This Row],[hatch_date]]-19,"NA")</f>
        <v>NA</v>
      </c>
      <c r="O137" s="31" t="s">
        <v>24</v>
      </c>
      <c r="P137" s="23" t="str">
        <f>IF(ISNUMBER(Table2[[#This Row],[nest_age1]]),ABS(Table2[[#This Row],[nest_age1]]-Table2[[#This Row],[nest_age_feb]]),"NA")</f>
        <v>NA</v>
      </c>
      <c r="Q137" s="24">
        <f>IF(ISNUMBER(Table2[[#This Row],[final_obs_int2]]),ABS(Table2[[#This Row],[final_obs_int2]]-Table2[[#This Row],[final_obs_int_feb]]), "NA")</f>
        <v>0</v>
      </c>
      <c r="R137" s="24"/>
      <c r="S137" s="57" t="s">
        <v>88</v>
      </c>
      <c r="T137" s="57" t="str">
        <f>Table2[[#This Row],[camera_old]]</f>
        <v>N</v>
      </c>
      <c r="U137" s="24"/>
      <c r="V137" s="16" t="s">
        <v>24</v>
      </c>
      <c r="W137" s="16" t="s">
        <v>24</v>
      </c>
      <c r="X137" s="145">
        <v>12</v>
      </c>
      <c r="Y137" s="147" t="s">
        <v>48</v>
      </c>
      <c r="Z137" s="146" t="s">
        <v>48</v>
      </c>
      <c r="AA137" s="4" t="str">
        <f>Table2[[#This Row],[field_fate]]</f>
        <v>F</v>
      </c>
      <c r="AB137" s="4" t="str">
        <f>Table2[[#This Row],[field_fate2]]</f>
        <v>F</v>
      </c>
      <c r="AC137" s="4" t="str">
        <f>Table2[[#This Row],[field_fate3]]</f>
        <v>F</v>
      </c>
      <c r="AD137" s="4" t="str">
        <f>Table2[[#This Row],[field_fate4]]</f>
        <v>F</v>
      </c>
      <c r="AE137" s="4" t="str">
        <f>Table2[[#This Row],[field_fate5]]</f>
        <v>F</v>
      </c>
      <c r="AF137" s="4" t="str">
        <f>Table2[[#This Row],[field_fate5]]</f>
        <v>F</v>
      </c>
      <c r="AG137" s="4" t="str">
        <f>Table2[[#This Row],[field_fate5]]</f>
        <v>F</v>
      </c>
      <c r="AH137" s="4" t="str">
        <f>Table2[[#This Row],[field_fate2]]</f>
        <v>F</v>
      </c>
      <c r="AI137" s="4" t="str">
        <f>Table2[[#This Row],[field_fate8]]</f>
        <v>F</v>
      </c>
      <c r="AJ137" s="4" t="str">
        <f>Table2[[#This Row],[field_fate10]]</f>
        <v>F</v>
      </c>
      <c r="AK137" s="4" t="b">
        <f>Table2[[#This Row],[field_fate_feb]]=Table2[[#This Row],[field_fate10]]</f>
        <v>1</v>
      </c>
      <c r="AL137" s="43" t="s">
        <v>24</v>
      </c>
      <c r="AM137" s="43" t="b">
        <f>Table2[[#This Row],[cam_fate2]]="NA"</f>
        <v>1</v>
      </c>
      <c r="AN137" s="19" t="str">
        <f>Table2[[#This Row],[cam_fate1]]</f>
        <v>NA</v>
      </c>
      <c r="AO137" s="2" t="s">
        <v>48</v>
      </c>
      <c r="AP137" s="5" t="str">
        <f>Table2[[#This Row],[final_fate1]]</f>
        <v>F</v>
      </c>
      <c r="AQ137" s="6" t="s">
        <v>24</v>
      </c>
      <c r="AR137" s="7" t="s">
        <v>24</v>
      </c>
      <c r="AS137" s="7" t="e">
        <f>Table2[[#This Row],[final_obs_date]]-Table2[[#This Row],[init_date]]</f>
        <v>#VALUE!</v>
      </c>
      <c r="AT137" s="7" t="e">
        <f>(Table2[[#This Row],[final_obs_date2]]-Table2[[#This Row],[estHD]])+16</f>
        <v>#VALUE!</v>
      </c>
      <c r="AU137" s="38">
        <v>12</v>
      </c>
      <c r="AV137" s="33">
        <v>12</v>
      </c>
      <c r="AW137" s="33">
        <f>Table2[[#This Row],[final_obs_date2]]-Table2[[#This Row],[pen_obs_date]]</f>
        <v>100</v>
      </c>
      <c r="AX137" s="67">
        <v>100</v>
      </c>
      <c r="AY137" s="6">
        <f>Table2[[#This Row],[final_obs_date]]</f>
        <v>100</v>
      </c>
      <c r="AZ137" s="6"/>
      <c r="BA137" s="91" t="s">
        <v>47</v>
      </c>
      <c r="BB137" s="6" t="e">
        <f>Table2[[#This Row],[final_obs_date]]&lt;(Table2[[#This Row],[estHD]]-2)</f>
        <v>#VALUE!</v>
      </c>
      <c r="BC137" s="24">
        <f>IF(Table2[[#This Row],[field_fate]]="H",1,0)</f>
        <v>0</v>
      </c>
      <c r="BD137" s="16">
        <f>IF(Table2[[#This Row],[cam_fate2]]="H",1,0)</f>
        <v>0</v>
      </c>
      <c r="BE137" s="6" t="b">
        <f>NOT(Table2[[#This Row],[HF_C]]=Table2[[#This Row],[HF]])</f>
        <v>0</v>
      </c>
      <c r="BF137" s="6" t="b">
        <f>NOT(Table2[[#This Row],[cam_fate2]]=Table2[[#This Row],[field_fate3]])</f>
        <v>1</v>
      </c>
      <c r="BG137" s="6" t="b">
        <f>OR(Table2[[#This Row],[field_fate3]]="U",Table2[[#This Row],[field_fate3]]="U-H")</f>
        <v>0</v>
      </c>
      <c r="BH137" s="8">
        <v>88</v>
      </c>
      <c r="BI137" s="8">
        <v>88</v>
      </c>
      <c r="BJ137" s="14">
        <f>IF(ISTEXT(Table2[[#This Row],[j.cam]]),Table2[[#This Row],[j]],Table2[[#This Row],[j.cam]])</f>
        <v>88</v>
      </c>
      <c r="BK137" s="9">
        <v>100</v>
      </c>
      <c r="BL137" s="15">
        <f>IF(ISTEXT(Table2[[#This Row],[k.cam]]), Table2[[#This Row],[k]], Table2[[#This Row],[k.cam]])</f>
        <v>100</v>
      </c>
      <c r="BM137" s="4" t="s">
        <v>24</v>
      </c>
      <c r="BN137" s="8" t="s">
        <v>24</v>
      </c>
      <c r="BO137" s="4">
        <v>2</v>
      </c>
      <c r="BP137" s="4">
        <f>Table2[[#This Row],[final_obs_date]]-Table2[[#This Row],[i]]</f>
        <v>12</v>
      </c>
      <c r="BQ137" s="4" t="e">
        <f>Table2[[#This Row],[final_obs_date2]]&gt;Table2[[#This Row],[estHD]]+3</f>
        <v>#VALUE!</v>
      </c>
      <c r="BR137" s="4" t="s">
        <v>58</v>
      </c>
      <c r="BS137" s="4" t="s">
        <v>28</v>
      </c>
      <c r="BT137" s="79" t="s">
        <v>1088</v>
      </c>
      <c r="BU137" s="26" t="s">
        <v>59</v>
      </c>
      <c r="BV137" s="79" t="s">
        <v>1492</v>
      </c>
      <c r="BW137" s="49"/>
      <c r="BX137" s="47"/>
      <c r="BY137" s="36" t="s">
        <v>560</v>
      </c>
    </row>
    <row r="138" spans="1:77" ht="15" hidden="1" thickBot="1" x14ac:dyDescent="0.4">
      <c r="A138" s="62">
        <v>10171</v>
      </c>
      <c r="B138" s="2" t="s">
        <v>159</v>
      </c>
      <c r="C138" s="44">
        <v>2019</v>
      </c>
      <c r="D138" s="3">
        <v>29.768789999999999</v>
      </c>
      <c r="E138" s="3">
        <v>-93.438720000000004</v>
      </c>
      <c r="F138" s="3">
        <v>0</v>
      </c>
      <c r="G138" s="3">
        <v>0</v>
      </c>
      <c r="H138" s="3" t="s">
        <v>26</v>
      </c>
      <c r="I138" s="43"/>
      <c r="J138" s="55" t="s">
        <v>24</v>
      </c>
      <c r="K138" s="4" t="s">
        <v>24</v>
      </c>
      <c r="L138" s="22" t="str">
        <f>IF(ISNUMBER(Table2[[#This Row],[estHD]]),ABS(Table2[[#This Row],[HD]]-Table2[[#This Row],[estHD]]),"NA")</f>
        <v>NA</v>
      </c>
      <c r="M138" s="4" t="b">
        <f>Table2[[#This Row],[HD]]=Table2[[#This Row],[estHD]]</f>
        <v>1</v>
      </c>
      <c r="N138" s="4" t="str">
        <f>IF(ISNUMBER([1]!Table2[[#This Row],[hatch_date]]),[1]!Table2[[#This Row],[hatch_date]]-19,"NA")</f>
        <v>NA</v>
      </c>
      <c r="O138" s="31" t="s">
        <v>24</v>
      </c>
      <c r="P138" s="23" t="str">
        <f>IF(ISNUMBER(Table2[[#This Row],[nest_age1]]),ABS(Table2[[#This Row],[nest_age1]]-Table2[[#This Row],[nest_age_feb]]),"NA")</f>
        <v>NA</v>
      </c>
      <c r="Q138" s="24">
        <f>IF(ISNUMBER(Table2[[#This Row],[final_obs_int2]]),ABS(Table2[[#This Row],[final_obs_int2]]-Table2[[#This Row],[final_obs_int_feb]]), "NA")</f>
        <v>0</v>
      </c>
      <c r="R138" s="24"/>
      <c r="S138" s="57" t="s">
        <v>88</v>
      </c>
      <c r="T138" s="57" t="str">
        <f>Table2[[#This Row],[camera_old]]</f>
        <v>N</v>
      </c>
      <c r="U138" s="24"/>
      <c r="V138" s="16" t="s">
        <v>24</v>
      </c>
      <c r="W138" s="16" t="s">
        <v>24</v>
      </c>
      <c r="X138" s="145">
        <v>12</v>
      </c>
      <c r="Y138" s="147" t="s">
        <v>48</v>
      </c>
      <c r="Z138" s="146" t="s">
        <v>48</v>
      </c>
      <c r="AA138" s="4" t="str">
        <f>Table2[[#This Row],[field_fate]]</f>
        <v>F</v>
      </c>
      <c r="AB138" s="4" t="str">
        <f>Table2[[#This Row],[field_fate2]]</f>
        <v>F</v>
      </c>
      <c r="AC138" s="4" t="str">
        <f>Table2[[#This Row],[field_fate3]]</f>
        <v>F</v>
      </c>
      <c r="AD138" s="4" t="str">
        <f>Table2[[#This Row],[field_fate4]]</f>
        <v>F</v>
      </c>
      <c r="AE138" s="4" t="str">
        <f>Table2[[#This Row],[field_fate5]]</f>
        <v>F</v>
      </c>
      <c r="AF138" s="4" t="str">
        <f>Table2[[#This Row],[field_fate5]]</f>
        <v>F</v>
      </c>
      <c r="AG138" s="4" t="str">
        <f>Table2[[#This Row],[field_fate5]]</f>
        <v>F</v>
      </c>
      <c r="AH138" s="4" t="str">
        <f>Table2[[#This Row],[field_fate2]]</f>
        <v>F</v>
      </c>
      <c r="AI138" s="4" t="str">
        <f>Table2[[#This Row],[field_fate8]]</f>
        <v>F</v>
      </c>
      <c r="AJ138" s="4" t="str">
        <f>Table2[[#This Row],[field_fate10]]</f>
        <v>F</v>
      </c>
      <c r="AK138" s="4" t="b">
        <f>Table2[[#This Row],[field_fate_feb]]=Table2[[#This Row],[field_fate10]]</f>
        <v>1</v>
      </c>
      <c r="AL138" s="43" t="s">
        <v>24</v>
      </c>
      <c r="AM138" s="43" t="b">
        <f>Table2[[#This Row],[cam_fate2]]="NA"</f>
        <v>1</v>
      </c>
      <c r="AN138" s="19" t="str">
        <f>Table2[[#This Row],[cam_fate1]]</f>
        <v>NA</v>
      </c>
      <c r="AO138" s="2" t="s">
        <v>48</v>
      </c>
      <c r="AP138" s="5" t="str">
        <f>Table2[[#This Row],[final_fate1]]</f>
        <v>F</v>
      </c>
      <c r="AQ138" s="6" t="s">
        <v>24</v>
      </c>
      <c r="AR138" s="7" t="s">
        <v>24</v>
      </c>
      <c r="AS138" s="7" t="e">
        <f>Table2[[#This Row],[final_obs_date]]-Table2[[#This Row],[init_date]]</f>
        <v>#VALUE!</v>
      </c>
      <c r="AT138" s="7" t="e">
        <f>(Table2[[#This Row],[final_obs_date2]]-Table2[[#This Row],[estHD]])+16</f>
        <v>#VALUE!</v>
      </c>
      <c r="AU138" s="38">
        <v>12</v>
      </c>
      <c r="AV138" s="33">
        <v>12</v>
      </c>
      <c r="AW138" s="33">
        <f>Table2[[#This Row],[final_obs_date2]]-Table2[[#This Row],[pen_obs_date]]</f>
        <v>100</v>
      </c>
      <c r="AX138" s="67">
        <v>100</v>
      </c>
      <c r="AY138" s="6">
        <f>Table2[[#This Row],[final_obs_date]]</f>
        <v>100</v>
      </c>
      <c r="AZ138" s="6"/>
      <c r="BA138" s="91" t="s">
        <v>47</v>
      </c>
      <c r="BB138" s="6" t="e">
        <f>Table2[[#This Row],[final_obs_date]]&lt;(Table2[[#This Row],[estHD]]-2)</f>
        <v>#VALUE!</v>
      </c>
      <c r="BC138" s="24">
        <f>IF(Table2[[#This Row],[field_fate]]="H",1,0)</f>
        <v>0</v>
      </c>
      <c r="BD138" s="16">
        <f>IF(Table2[[#This Row],[cam_fate2]]="H",1,0)</f>
        <v>0</v>
      </c>
      <c r="BE138" s="6" t="b">
        <f>NOT(Table2[[#This Row],[HF_C]]=Table2[[#This Row],[HF]])</f>
        <v>0</v>
      </c>
      <c r="BF138" s="6" t="b">
        <f>NOT(Table2[[#This Row],[cam_fate2]]=Table2[[#This Row],[field_fate3]])</f>
        <v>1</v>
      </c>
      <c r="BG138" s="6" t="b">
        <f>OR(Table2[[#This Row],[field_fate3]]="U",Table2[[#This Row],[field_fate3]]="U-H")</f>
        <v>0</v>
      </c>
      <c r="BH138" s="8">
        <v>88</v>
      </c>
      <c r="BI138" s="8">
        <v>88</v>
      </c>
      <c r="BJ138" s="14">
        <f>IF(ISTEXT(Table2[[#This Row],[j.cam]]),Table2[[#This Row],[j]],Table2[[#This Row],[j.cam]])</f>
        <v>88</v>
      </c>
      <c r="BK138" s="9">
        <v>100</v>
      </c>
      <c r="BL138" s="15">
        <f>IF(ISTEXT(Table2[[#This Row],[k.cam]]), Table2[[#This Row],[k]], Table2[[#This Row],[k.cam]])</f>
        <v>100</v>
      </c>
      <c r="BM138" s="4" t="s">
        <v>24</v>
      </c>
      <c r="BN138" s="8" t="s">
        <v>24</v>
      </c>
      <c r="BO138" s="4">
        <v>2</v>
      </c>
      <c r="BP138" s="4">
        <f>Table2[[#This Row],[final_obs_date]]-Table2[[#This Row],[i]]</f>
        <v>12</v>
      </c>
      <c r="BQ138" s="4" t="e">
        <f>Table2[[#This Row],[final_obs_date2]]&gt;Table2[[#This Row],[estHD]]+3</f>
        <v>#VALUE!</v>
      </c>
      <c r="BR138" s="4" t="s">
        <v>58</v>
      </c>
      <c r="BS138" s="4" t="s">
        <v>28</v>
      </c>
      <c r="BT138" s="79" t="s">
        <v>1088</v>
      </c>
      <c r="BU138" s="26" t="s">
        <v>59</v>
      </c>
      <c r="BV138" s="79" t="s">
        <v>1492</v>
      </c>
      <c r="BW138" s="49"/>
      <c r="BX138" s="47"/>
      <c r="BY138" s="36" t="s">
        <v>560</v>
      </c>
    </row>
    <row r="139" spans="1:77" ht="15" hidden="1" thickBot="1" x14ac:dyDescent="0.4">
      <c r="A139" s="62">
        <v>10172</v>
      </c>
      <c r="B139" s="2" t="s">
        <v>159</v>
      </c>
      <c r="C139" s="44">
        <v>2019</v>
      </c>
      <c r="D139" s="3">
        <v>29.768789999999999</v>
      </c>
      <c r="E139" s="3">
        <v>-93.438220000000001</v>
      </c>
      <c r="F139" s="3">
        <v>0</v>
      </c>
      <c r="G139" s="3">
        <v>0</v>
      </c>
      <c r="H139" s="3" t="s">
        <v>26</v>
      </c>
      <c r="I139" s="43"/>
      <c r="J139" s="55" t="s">
        <v>24</v>
      </c>
      <c r="K139" s="4" t="s">
        <v>24</v>
      </c>
      <c r="L139" s="22" t="str">
        <f>IF(ISNUMBER(Table2[[#This Row],[estHD]]),ABS(Table2[[#This Row],[HD]]-Table2[[#This Row],[estHD]]),"NA")</f>
        <v>NA</v>
      </c>
      <c r="M139" s="4" t="b">
        <f>Table2[[#This Row],[HD]]=Table2[[#This Row],[estHD]]</f>
        <v>1</v>
      </c>
      <c r="N139" s="4" t="str">
        <f>IF(ISNUMBER([1]!Table2[[#This Row],[hatch_date]]),[1]!Table2[[#This Row],[hatch_date]]-19,"NA")</f>
        <v>NA</v>
      </c>
      <c r="O139" s="31" t="s">
        <v>24</v>
      </c>
      <c r="P139" s="23" t="str">
        <f>IF(ISNUMBER(Table2[[#This Row],[nest_age1]]),ABS(Table2[[#This Row],[nest_age1]]-Table2[[#This Row],[nest_age_feb]]),"NA")</f>
        <v>NA</v>
      </c>
      <c r="Q139" s="24">
        <f>IF(ISNUMBER(Table2[[#This Row],[final_obs_int2]]),ABS(Table2[[#This Row],[final_obs_int2]]-Table2[[#This Row],[final_obs_int_feb]]), "NA")</f>
        <v>0</v>
      </c>
      <c r="R139" s="24"/>
      <c r="S139" s="57" t="s">
        <v>88</v>
      </c>
      <c r="T139" s="57" t="str">
        <f>Table2[[#This Row],[camera_old]]</f>
        <v>N</v>
      </c>
      <c r="U139" s="24"/>
      <c r="V139" s="16" t="s">
        <v>24</v>
      </c>
      <c r="W139" s="16" t="s">
        <v>24</v>
      </c>
      <c r="X139" s="145">
        <v>12</v>
      </c>
      <c r="Y139" s="147" t="s">
        <v>48</v>
      </c>
      <c r="Z139" s="146" t="s">
        <v>48</v>
      </c>
      <c r="AA139" s="4" t="str">
        <f>Table2[[#This Row],[field_fate]]</f>
        <v>F</v>
      </c>
      <c r="AB139" s="4" t="str">
        <f>Table2[[#This Row],[field_fate2]]</f>
        <v>F</v>
      </c>
      <c r="AC139" s="4" t="str">
        <f>Table2[[#This Row],[field_fate3]]</f>
        <v>F</v>
      </c>
      <c r="AD139" s="4" t="str">
        <f>Table2[[#This Row],[field_fate4]]</f>
        <v>F</v>
      </c>
      <c r="AE139" s="4" t="str">
        <f>Table2[[#This Row],[field_fate5]]</f>
        <v>F</v>
      </c>
      <c r="AF139" s="4" t="str">
        <f>Table2[[#This Row],[field_fate5]]</f>
        <v>F</v>
      </c>
      <c r="AG139" s="4" t="str">
        <f>Table2[[#This Row],[field_fate5]]</f>
        <v>F</v>
      </c>
      <c r="AH139" s="4" t="str">
        <f>Table2[[#This Row],[field_fate2]]</f>
        <v>F</v>
      </c>
      <c r="AI139" s="4" t="str">
        <f>Table2[[#This Row],[field_fate8]]</f>
        <v>F</v>
      </c>
      <c r="AJ139" s="4" t="str">
        <f>Table2[[#This Row],[field_fate10]]</f>
        <v>F</v>
      </c>
      <c r="AK139" s="4" t="b">
        <f>Table2[[#This Row],[field_fate_feb]]=Table2[[#This Row],[field_fate10]]</f>
        <v>1</v>
      </c>
      <c r="AL139" s="43" t="s">
        <v>24</v>
      </c>
      <c r="AM139" s="43" t="b">
        <f>Table2[[#This Row],[cam_fate2]]="NA"</f>
        <v>1</v>
      </c>
      <c r="AN139" s="19" t="str">
        <f>Table2[[#This Row],[cam_fate1]]</f>
        <v>NA</v>
      </c>
      <c r="AO139" s="2" t="s">
        <v>48</v>
      </c>
      <c r="AP139" s="5" t="str">
        <f>Table2[[#This Row],[final_fate1]]</f>
        <v>F</v>
      </c>
      <c r="AQ139" s="6" t="s">
        <v>24</v>
      </c>
      <c r="AR139" s="7" t="s">
        <v>24</v>
      </c>
      <c r="AS139" s="7" t="e">
        <f>Table2[[#This Row],[final_obs_date]]-Table2[[#This Row],[init_date]]</f>
        <v>#VALUE!</v>
      </c>
      <c r="AT139" s="7" t="e">
        <f>(Table2[[#This Row],[final_obs_date2]]-Table2[[#This Row],[estHD]])+16</f>
        <v>#VALUE!</v>
      </c>
      <c r="AU139" s="38">
        <v>12</v>
      </c>
      <c r="AV139" s="33">
        <v>12</v>
      </c>
      <c r="AW139" s="33">
        <f>Table2[[#This Row],[final_obs_date2]]-Table2[[#This Row],[pen_obs_date]]</f>
        <v>100</v>
      </c>
      <c r="AX139" s="67">
        <v>100</v>
      </c>
      <c r="AY139" s="6">
        <f>Table2[[#This Row],[final_obs_date]]</f>
        <v>100</v>
      </c>
      <c r="AZ139" s="6"/>
      <c r="BA139" s="91" t="s">
        <v>47</v>
      </c>
      <c r="BB139" s="6" t="e">
        <f>Table2[[#This Row],[final_obs_date]]&lt;(Table2[[#This Row],[estHD]]-2)</f>
        <v>#VALUE!</v>
      </c>
      <c r="BC139" s="24">
        <f>IF(Table2[[#This Row],[field_fate]]="H",1,0)</f>
        <v>0</v>
      </c>
      <c r="BD139" s="16">
        <f>IF(Table2[[#This Row],[cam_fate2]]="H",1,0)</f>
        <v>0</v>
      </c>
      <c r="BE139" s="6" t="b">
        <f>NOT(Table2[[#This Row],[HF_C]]=Table2[[#This Row],[HF]])</f>
        <v>0</v>
      </c>
      <c r="BF139" s="6" t="b">
        <f>NOT(Table2[[#This Row],[cam_fate2]]=Table2[[#This Row],[field_fate3]])</f>
        <v>1</v>
      </c>
      <c r="BG139" s="6" t="b">
        <f>OR(Table2[[#This Row],[field_fate3]]="U",Table2[[#This Row],[field_fate3]]="U-H")</f>
        <v>0</v>
      </c>
      <c r="BH139" s="8">
        <v>88</v>
      </c>
      <c r="BI139" s="8">
        <v>88</v>
      </c>
      <c r="BJ139" s="14">
        <f>IF(ISTEXT(Table2[[#This Row],[j.cam]]),Table2[[#This Row],[j]],Table2[[#This Row],[j.cam]])</f>
        <v>88</v>
      </c>
      <c r="BK139" s="9">
        <v>100</v>
      </c>
      <c r="BL139" s="15">
        <f>IF(ISTEXT(Table2[[#This Row],[k.cam]]), Table2[[#This Row],[k]], Table2[[#This Row],[k.cam]])</f>
        <v>100</v>
      </c>
      <c r="BM139" s="4" t="s">
        <v>24</v>
      </c>
      <c r="BN139" s="8" t="s">
        <v>24</v>
      </c>
      <c r="BO139" s="4">
        <v>2</v>
      </c>
      <c r="BP139" s="4">
        <f>Table2[[#This Row],[final_obs_date]]-Table2[[#This Row],[i]]</f>
        <v>12</v>
      </c>
      <c r="BQ139" s="4" t="e">
        <f>Table2[[#This Row],[final_obs_date2]]&gt;Table2[[#This Row],[estHD]]+3</f>
        <v>#VALUE!</v>
      </c>
      <c r="BR139" s="4" t="s">
        <v>58</v>
      </c>
      <c r="BS139" s="4" t="s">
        <v>28</v>
      </c>
      <c r="BT139" s="79" t="s">
        <v>1088</v>
      </c>
      <c r="BU139" s="26" t="s">
        <v>59</v>
      </c>
      <c r="BV139" s="79" t="s">
        <v>1492</v>
      </c>
      <c r="BW139" s="49"/>
      <c r="BX139" s="47"/>
      <c r="BY139" s="36" t="s">
        <v>560</v>
      </c>
    </row>
    <row r="140" spans="1:77" ht="15" hidden="1" thickBot="1" x14ac:dyDescent="0.4">
      <c r="A140" s="62">
        <v>10173</v>
      </c>
      <c r="B140" s="2" t="s">
        <v>159</v>
      </c>
      <c r="C140" s="44">
        <v>2019</v>
      </c>
      <c r="D140" s="3">
        <v>29.768740000000001</v>
      </c>
      <c r="E140" s="3">
        <v>-93.437240000000003</v>
      </c>
      <c r="F140" s="3">
        <v>0</v>
      </c>
      <c r="G140" s="3">
        <v>0</v>
      </c>
      <c r="H140" s="3" t="s">
        <v>26</v>
      </c>
      <c r="I140" s="43"/>
      <c r="J140" s="55" t="s">
        <v>24</v>
      </c>
      <c r="K140" s="4" t="s">
        <v>24</v>
      </c>
      <c r="L140" s="22" t="str">
        <f>IF(ISNUMBER(Table2[[#This Row],[estHD]]),ABS(Table2[[#This Row],[HD]]-Table2[[#This Row],[estHD]]),"NA")</f>
        <v>NA</v>
      </c>
      <c r="M140" s="4" t="b">
        <f>Table2[[#This Row],[HD]]=Table2[[#This Row],[estHD]]</f>
        <v>1</v>
      </c>
      <c r="N140" s="4" t="str">
        <f>IF(ISNUMBER([1]!Table2[[#This Row],[hatch_date]]),[1]!Table2[[#This Row],[hatch_date]]-19,"NA")</f>
        <v>NA</v>
      </c>
      <c r="O140" s="31" t="s">
        <v>24</v>
      </c>
      <c r="P140" s="23" t="str">
        <f>IF(ISNUMBER(Table2[[#This Row],[nest_age1]]),ABS(Table2[[#This Row],[nest_age1]]-Table2[[#This Row],[nest_age_feb]]),"NA")</f>
        <v>NA</v>
      </c>
      <c r="Q140" s="24">
        <f>IF(ISNUMBER(Table2[[#This Row],[final_obs_int2]]),ABS(Table2[[#This Row],[final_obs_int2]]-Table2[[#This Row],[final_obs_int_feb]]), "NA")</f>
        <v>0</v>
      </c>
      <c r="R140" s="24"/>
      <c r="S140" s="57" t="s">
        <v>88</v>
      </c>
      <c r="T140" s="57" t="str">
        <f>Table2[[#This Row],[camera_old]]</f>
        <v>N</v>
      </c>
      <c r="U140" s="24"/>
      <c r="V140" s="16" t="s">
        <v>24</v>
      </c>
      <c r="W140" s="16" t="s">
        <v>24</v>
      </c>
      <c r="X140" s="145">
        <v>12</v>
      </c>
      <c r="Y140" s="147" t="s">
        <v>48</v>
      </c>
      <c r="Z140" s="146" t="s">
        <v>48</v>
      </c>
      <c r="AA140" s="4" t="str">
        <f>Table2[[#This Row],[field_fate]]</f>
        <v>F</v>
      </c>
      <c r="AB140" s="4" t="str">
        <f>Table2[[#This Row],[field_fate2]]</f>
        <v>F</v>
      </c>
      <c r="AC140" s="4" t="str">
        <f>Table2[[#This Row],[field_fate3]]</f>
        <v>F</v>
      </c>
      <c r="AD140" s="4" t="str">
        <f>Table2[[#This Row],[field_fate4]]</f>
        <v>F</v>
      </c>
      <c r="AE140" s="4" t="str">
        <f>Table2[[#This Row],[field_fate5]]</f>
        <v>F</v>
      </c>
      <c r="AF140" s="4" t="str">
        <f>Table2[[#This Row],[field_fate5]]</f>
        <v>F</v>
      </c>
      <c r="AG140" s="4" t="str">
        <f>Table2[[#This Row],[field_fate5]]</f>
        <v>F</v>
      </c>
      <c r="AH140" s="4" t="str">
        <f>Table2[[#This Row],[field_fate2]]</f>
        <v>F</v>
      </c>
      <c r="AI140" s="4" t="str">
        <f>Table2[[#This Row],[field_fate8]]</f>
        <v>F</v>
      </c>
      <c r="AJ140" s="4" t="str">
        <f>Table2[[#This Row],[field_fate10]]</f>
        <v>F</v>
      </c>
      <c r="AK140" s="4" t="b">
        <f>Table2[[#This Row],[field_fate_feb]]=Table2[[#This Row],[field_fate10]]</f>
        <v>1</v>
      </c>
      <c r="AL140" s="43" t="s">
        <v>24</v>
      </c>
      <c r="AM140" s="43" t="b">
        <f>Table2[[#This Row],[cam_fate2]]="NA"</f>
        <v>1</v>
      </c>
      <c r="AN140" s="19" t="str">
        <f>Table2[[#This Row],[cam_fate1]]</f>
        <v>NA</v>
      </c>
      <c r="AO140" s="2" t="s">
        <v>48</v>
      </c>
      <c r="AP140" s="5" t="str">
        <f>Table2[[#This Row],[final_fate1]]</f>
        <v>F</v>
      </c>
      <c r="AQ140" s="6" t="s">
        <v>24</v>
      </c>
      <c r="AR140" s="7" t="s">
        <v>24</v>
      </c>
      <c r="AS140" s="7" t="e">
        <f>Table2[[#This Row],[final_obs_date]]-Table2[[#This Row],[init_date]]</f>
        <v>#VALUE!</v>
      </c>
      <c r="AT140" s="7" t="e">
        <f>(Table2[[#This Row],[final_obs_date2]]-Table2[[#This Row],[estHD]])+16</f>
        <v>#VALUE!</v>
      </c>
      <c r="AU140" s="38">
        <v>12</v>
      </c>
      <c r="AV140" s="33">
        <v>12</v>
      </c>
      <c r="AW140" s="33">
        <f>Table2[[#This Row],[final_obs_date2]]-Table2[[#This Row],[pen_obs_date]]</f>
        <v>100</v>
      </c>
      <c r="AX140" s="67">
        <v>100</v>
      </c>
      <c r="AY140" s="6">
        <f>Table2[[#This Row],[final_obs_date]]</f>
        <v>100</v>
      </c>
      <c r="AZ140" s="6"/>
      <c r="BA140" s="91" t="s">
        <v>47</v>
      </c>
      <c r="BB140" s="6" t="e">
        <f>Table2[[#This Row],[final_obs_date]]&lt;(Table2[[#This Row],[estHD]]-2)</f>
        <v>#VALUE!</v>
      </c>
      <c r="BC140" s="24">
        <f>IF(Table2[[#This Row],[field_fate]]="H",1,0)</f>
        <v>0</v>
      </c>
      <c r="BD140" s="16">
        <f>IF(Table2[[#This Row],[cam_fate2]]="H",1,0)</f>
        <v>0</v>
      </c>
      <c r="BE140" s="6" t="b">
        <f>NOT(Table2[[#This Row],[HF_C]]=Table2[[#This Row],[HF]])</f>
        <v>0</v>
      </c>
      <c r="BF140" s="6" t="b">
        <f>NOT(Table2[[#This Row],[cam_fate2]]=Table2[[#This Row],[field_fate3]])</f>
        <v>1</v>
      </c>
      <c r="BG140" s="6" t="b">
        <f>OR(Table2[[#This Row],[field_fate3]]="U",Table2[[#This Row],[field_fate3]]="U-H")</f>
        <v>0</v>
      </c>
      <c r="BH140" s="8">
        <v>88</v>
      </c>
      <c r="BI140" s="8">
        <v>88</v>
      </c>
      <c r="BJ140" s="14">
        <f>IF(ISTEXT(Table2[[#This Row],[j.cam]]),Table2[[#This Row],[j]],Table2[[#This Row],[j.cam]])</f>
        <v>88</v>
      </c>
      <c r="BK140" s="9">
        <v>100</v>
      </c>
      <c r="BL140" s="15">
        <f>IF(ISTEXT(Table2[[#This Row],[k.cam]]), Table2[[#This Row],[k]], Table2[[#This Row],[k.cam]])</f>
        <v>100</v>
      </c>
      <c r="BM140" s="4" t="s">
        <v>24</v>
      </c>
      <c r="BN140" s="8" t="s">
        <v>24</v>
      </c>
      <c r="BO140" s="4">
        <v>2</v>
      </c>
      <c r="BP140" s="4">
        <f>Table2[[#This Row],[final_obs_date]]-Table2[[#This Row],[i]]</f>
        <v>12</v>
      </c>
      <c r="BQ140" s="4" t="e">
        <f>Table2[[#This Row],[final_obs_date2]]&gt;Table2[[#This Row],[estHD]]+3</f>
        <v>#VALUE!</v>
      </c>
      <c r="BR140" s="4" t="s">
        <v>58</v>
      </c>
      <c r="BS140" s="4" t="s">
        <v>28</v>
      </c>
      <c r="BT140" s="79" t="s">
        <v>1088</v>
      </c>
      <c r="BU140" s="26" t="s">
        <v>59</v>
      </c>
      <c r="BV140" s="79" t="s">
        <v>1492</v>
      </c>
      <c r="BW140" s="49"/>
      <c r="BX140" s="47"/>
      <c r="BY140" s="36" t="s">
        <v>560</v>
      </c>
    </row>
    <row r="141" spans="1:77" ht="15" hidden="1" thickBot="1" x14ac:dyDescent="0.4">
      <c r="A141" s="62">
        <v>10174</v>
      </c>
      <c r="B141" s="2" t="s">
        <v>159</v>
      </c>
      <c r="C141" s="44">
        <v>2019</v>
      </c>
      <c r="D141" s="3">
        <v>29.768740000000001</v>
      </c>
      <c r="E141" s="3">
        <v>-93.436999999999998</v>
      </c>
      <c r="F141" s="3">
        <v>0</v>
      </c>
      <c r="G141" s="3">
        <v>0</v>
      </c>
      <c r="H141" s="3" t="s">
        <v>26</v>
      </c>
      <c r="I141" s="43"/>
      <c r="J141" s="55" t="s">
        <v>24</v>
      </c>
      <c r="K141" s="4" t="s">
        <v>24</v>
      </c>
      <c r="L141" s="22" t="str">
        <f>IF(ISNUMBER(Table2[[#This Row],[estHD]]),ABS(Table2[[#This Row],[HD]]-Table2[[#This Row],[estHD]]),"NA")</f>
        <v>NA</v>
      </c>
      <c r="M141" s="4" t="b">
        <f>Table2[[#This Row],[HD]]=Table2[[#This Row],[estHD]]</f>
        <v>1</v>
      </c>
      <c r="N141" s="4" t="str">
        <f>IF(ISNUMBER([1]!Table2[[#This Row],[hatch_date]]),[1]!Table2[[#This Row],[hatch_date]]-19,"NA")</f>
        <v>NA</v>
      </c>
      <c r="O141" s="31" t="s">
        <v>24</v>
      </c>
      <c r="P141" s="23" t="str">
        <f>IF(ISNUMBER(Table2[[#This Row],[nest_age1]]),ABS(Table2[[#This Row],[nest_age1]]-Table2[[#This Row],[nest_age_feb]]),"NA")</f>
        <v>NA</v>
      </c>
      <c r="Q141" s="24">
        <f>IF(ISNUMBER(Table2[[#This Row],[final_obs_int2]]),ABS(Table2[[#This Row],[final_obs_int2]]-Table2[[#This Row],[final_obs_int_feb]]), "NA")</f>
        <v>0</v>
      </c>
      <c r="R141" s="24"/>
      <c r="S141" s="57" t="s">
        <v>88</v>
      </c>
      <c r="T141" s="57" t="str">
        <f>Table2[[#This Row],[camera_old]]</f>
        <v>N</v>
      </c>
      <c r="U141" s="24"/>
      <c r="V141" s="16" t="s">
        <v>24</v>
      </c>
      <c r="W141" s="16" t="s">
        <v>24</v>
      </c>
      <c r="X141" s="145">
        <v>12</v>
      </c>
      <c r="Y141" s="147" t="s">
        <v>48</v>
      </c>
      <c r="Z141" s="146" t="s">
        <v>48</v>
      </c>
      <c r="AA141" s="4" t="str">
        <f>Table2[[#This Row],[field_fate]]</f>
        <v>F</v>
      </c>
      <c r="AB141" s="4" t="str">
        <f>Table2[[#This Row],[field_fate2]]</f>
        <v>F</v>
      </c>
      <c r="AC141" s="4" t="str">
        <f>Table2[[#This Row],[field_fate3]]</f>
        <v>F</v>
      </c>
      <c r="AD141" s="4" t="str">
        <f>Table2[[#This Row],[field_fate4]]</f>
        <v>F</v>
      </c>
      <c r="AE141" s="4" t="str">
        <f>Table2[[#This Row],[field_fate5]]</f>
        <v>F</v>
      </c>
      <c r="AF141" s="4" t="str">
        <f>Table2[[#This Row],[field_fate5]]</f>
        <v>F</v>
      </c>
      <c r="AG141" s="4" t="str">
        <f>Table2[[#This Row],[field_fate5]]</f>
        <v>F</v>
      </c>
      <c r="AH141" s="4" t="str">
        <f>Table2[[#This Row],[field_fate2]]</f>
        <v>F</v>
      </c>
      <c r="AI141" s="4" t="str">
        <f>Table2[[#This Row],[field_fate8]]</f>
        <v>F</v>
      </c>
      <c r="AJ141" s="4" t="str">
        <f>Table2[[#This Row],[field_fate10]]</f>
        <v>F</v>
      </c>
      <c r="AK141" s="4" t="b">
        <f>Table2[[#This Row],[field_fate_feb]]=Table2[[#This Row],[field_fate10]]</f>
        <v>1</v>
      </c>
      <c r="AL141" s="43" t="s">
        <v>24</v>
      </c>
      <c r="AM141" s="43" t="b">
        <f>Table2[[#This Row],[cam_fate2]]="NA"</f>
        <v>1</v>
      </c>
      <c r="AN141" s="19" t="str">
        <f>Table2[[#This Row],[cam_fate1]]</f>
        <v>NA</v>
      </c>
      <c r="AO141" s="2" t="s">
        <v>48</v>
      </c>
      <c r="AP141" s="5" t="str">
        <f>Table2[[#This Row],[final_fate1]]</f>
        <v>F</v>
      </c>
      <c r="AQ141" s="6" t="s">
        <v>24</v>
      </c>
      <c r="AR141" s="7" t="s">
        <v>24</v>
      </c>
      <c r="AS141" s="7" t="e">
        <f>Table2[[#This Row],[final_obs_date]]-Table2[[#This Row],[init_date]]</f>
        <v>#VALUE!</v>
      </c>
      <c r="AT141" s="7" t="e">
        <f>(Table2[[#This Row],[final_obs_date2]]-Table2[[#This Row],[estHD]])+16</f>
        <v>#VALUE!</v>
      </c>
      <c r="AU141" s="38">
        <v>12</v>
      </c>
      <c r="AV141" s="33">
        <v>12</v>
      </c>
      <c r="AW141" s="33">
        <f>Table2[[#This Row],[final_obs_date2]]-Table2[[#This Row],[pen_obs_date]]</f>
        <v>100</v>
      </c>
      <c r="AX141" s="67">
        <v>100</v>
      </c>
      <c r="AY141" s="6">
        <f>Table2[[#This Row],[final_obs_date]]</f>
        <v>100</v>
      </c>
      <c r="AZ141" s="6"/>
      <c r="BA141" s="91" t="s">
        <v>47</v>
      </c>
      <c r="BB141" s="6" t="e">
        <f>Table2[[#This Row],[final_obs_date]]&lt;(Table2[[#This Row],[estHD]]-2)</f>
        <v>#VALUE!</v>
      </c>
      <c r="BC141" s="24">
        <f>IF(Table2[[#This Row],[field_fate]]="H",1,0)</f>
        <v>0</v>
      </c>
      <c r="BD141" s="16">
        <f>IF(Table2[[#This Row],[cam_fate2]]="H",1,0)</f>
        <v>0</v>
      </c>
      <c r="BE141" s="6" t="b">
        <f>NOT(Table2[[#This Row],[HF_C]]=Table2[[#This Row],[HF]])</f>
        <v>0</v>
      </c>
      <c r="BF141" s="6" t="b">
        <f>NOT(Table2[[#This Row],[cam_fate2]]=Table2[[#This Row],[field_fate3]])</f>
        <v>1</v>
      </c>
      <c r="BG141" s="6" t="b">
        <f>OR(Table2[[#This Row],[field_fate3]]="U",Table2[[#This Row],[field_fate3]]="U-H")</f>
        <v>0</v>
      </c>
      <c r="BH141" s="8">
        <v>88</v>
      </c>
      <c r="BI141" s="8">
        <v>88</v>
      </c>
      <c r="BJ141" s="14">
        <f>IF(ISTEXT(Table2[[#This Row],[j.cam]]),Table2[[#This Row],[j]],Table2[[#This Row],[j.cam]])</f>
        <v>88</v>
      </c>
      <c r="BK141" s="9">
        <v>100</v>
      </c>
      <c r="BL141" s="15">
        <f>IF(ISTEXT(Table2[[#This Row],[k.cam]]), Table2[[#This Row],[k]], Table2[[#This Row],[k.cam]])</f>
        <v>100</v>
      </c>
      <c r="BM141" s="4" t="s">
        <v>24</v>
      </c>
      <c r="BN141" s="8" t="s">
        <v>24</v>
      </c>
      <c r="BO141" s="4">
        <v>2</v>
      </c>
      <c r="BP141" s="4">
        <f>Table2[[#This Row],[final_obs_date]]-Table2[[#This Row],[i]]</f>
        <v>12</v>
      </c>
      <c r="BQ141" s="4" t="e">
        <f>Table2[[#This Row],[final_obs_date2]]&gt;Table2[[#This Row],[estHD]]+3</f>
        <v>#VALUE!</v>
      </c>
      <c r="BR141" s="4" t="s">
        <v>58</v>
      </c>
      <c r="BS141" s="4" t="s">
        <v>28</v>
      </c>
      <c r="BT141" s="79" t="s">
        <v>1088</v>
      </c>
      <c r="BU141" s="26" t="s">
        <v>59</v>
      </c>
      <c r="BV141" s="79" t="s">
        <v>1492</v>
      </c>
      <c r="BW141" s="49"/>
      <c r="BX141" s="47"/>
      <c r="BY141" s="36" t="s">
        <v>560</v>
      </c>
    </row>
    <row r="142" spans="1:77" ht="15" hidden="1" thickBot="1" x14ac:dyDescent="0.4">
      <c r="A142" s="62">
        <v>10175</v>
      </c>
      <c r="B142" s="2" t="s">
        <v>35</v>
      </c>
      <c r="C142" s="44">
        <v>2019</v>
      </c>
      <c r="D142" s="3">
        <v>29.760570000000001</v>
      </c>
      <c r="E142" s="3">
        <v>-93.130459999999999</v>
      </c>
      <c r="F142" s="3">
        <v>15</v>
      </c>
      <c r="G142" s="3">
        <v>25</v>
      </c>
      <c r="H142" s="3" t="s">
        <v>26</v>
      </c>
      <c r="I142" s="43"/>
      <c r="J142" s="55" t="s">
        <v>24</v>
      </c>
      <c r="K142" s="4">
        <v>106</v>
      </c>
      <c r="L142" s="22" t="str">
        <f>IF(ISNUMBER(Table2[[#This Row],[estHD]]),ABS(Table2[[#This Row],[HD]]-Table2[[#This Row],[estHD]]),"NA")</f>
        <v>NA</v>
      </c>
      <c r="M142" s="4" t="b">
        <f>Table2[[#This Row],[HD]]=Table2[[#This Row],[estHD]]</f>
        <v>0</v>
      </c>
      <c r="N142" s="4" t="str">
        <f>IF(ISNUMBER([1]!Table2[[#This Row],[hatch_date]]), [1]!Table2[[#This Row],[hatch_date]]-16, "NA")</f>
        <v>NA</v>
      </c>
      <c r="O142" s="31">
        <v>90</v>
      </c>
      <c r="P142" s="23">
        <f>IF(ISNUMBER(Table2[[#This Row],[nest_age1]]),ABS(Table2[[#This Row],[nest_age1]]-Table2[[#This Row],[nest_age_feb]]),"NA")</f>
        <v>0</v>
      </c>
      <c r="Q142" s="24">
        <f>IF(ISNUMBER(Table2[[#This Row],[final_obs_int2]]),ABS(Table2[[#This Row],[final_obs_int2]]-Table2[[#This Row],[final_obs_int_feb]]), "NA")</f>
        <v>0</v>
      </c>
      <c r="R142" s="24"/>
      <c r="S142" s="57" t="s">
        <v>88</v>
      </c>
      <c r="T142" s="57" t="str">
        <f>Table2[[#This Row],[camera_old]]</f>
        <v>N</v>
      </c>
      <c r="U142" s="24"/>
      <c r="V142" s="16" t="s">
        <v>24</v>
      </c>
      <c r="W142" s="16">
        <v>16</v>
      </c>
      <c r="X142" s="145">
        <v>2</v>
      </c>
      <c r="Y142" s="147" t="s">
        <v>37</v>
      </c>
      <c r="Z142" s="146" t="s">
        <v>37</v>
      </c>
      <c r="AA142" s="4" t="str">
        <f>Table2[[#This Row],[field_fate]]</f>
        <v>H</v>
      </c>
      <c r="AB142" s="4" t="str">
        <f>Table2[[#This Row],[field_fate2]]</f>
        <v>H</v>
      </c>
      <c r="AC142" s="4" t="str">
        <f>Table2[[#This Row],[field_fate3]]</f>
        <v>H</v>
      </c>
      <c r="AD142" s="4" t="str">
        <f>Table2[[#This Row],[field_fate4]]</f>
        <v>H</v>
      </c>
      <c r="AE142" s="4" t="str">
        <f>Table2[[#This Row],[field_fate5]]</f>
        <v>H</v>
      </c>
      <c r="AF142" s="4" t="str">
        <f>Table2[[#This Row],[field_fate5]]</f>
        <v>H</v>
      </c>
      <c r="AG142" s="4" t="str">
        <f>Table2[[#This Row],[field_fate5]]</f>
        <v>H</v>
      </c>
      <c r="AH142" s="4" t="str">
        <f>Table2[[#This Row],[field_fate2]]</f>
        <v>H</v>
      </c>
      <c r="AI142" s="4" t="str">
        <f>Table2[[#This Row],[field_fate8]]</f>
        <v>H</v>
      </c>
      <c r="AJ142" s="4" t="str">
        <f>Table2[[#This Row],[field_fate10]]</f>
        <v>H</v>
      </c>
      <c r="AK142" s="4" t="b">
        <f>Table2[[#This Row],[field_fate_feb]]=Table2[[#This Row],[field_fate10]]</f>
        <v>1</v>
      </c>
      <c r="AL142" s="43" t="s">
        <v>24</v>
      </c>
      <c r="AM142" s="43" t="b">
        <f>Table2[[#This Row],[cam_fate2]]="NA"</f>
        <v>1</v>
      </c>
      <c r="AN142" s="19" t="str">
        <f>Table2[[#This Row],[cam_fate1]]</f>
        <v>NA</v>
      </c>
      <c r="AO142" s="2" t="s">
        <v>37</v>
      </c>
      <c r="AP142" s="5" t="str">
        <f>Table2[[#This Row],[final_fate1]]</f>
        <v>H</v>
      </c>
      <c r="AQ142" s="6">
        <v>16</v>
      </c>
      <c r="AR142" s="7">
        <v>16</v>
      </c>
      <c r="AS142" s="7">
        <f>Table2[[#This Row],[final_obs_date]]-Table2[[#This Row],[init_date]]</f>
        <v>16</v>
      </c>
      <c r="AT142" s="7" t="e">
        <f>(Table2[[#This Row],[final_obs_date2]]-Table2[[#This Row],[estHD]])+16</f>
        <v>#VALUE!</v>
      </c>
      <c r="AU142" s="38">
        <v>2</v>
      </c>
      <c r="AV142" s="33">
        <v>2</v>
      </c>
      <c r="AW142" s="33">
        <f>Table2[[#This Row],[final_obs_date2]]-Table2[[#This Row],[pen_obs_date]]</f>
        <v>106</v>
      </c>
      <c r="AX142" s="67">
        <v>106</v>
      </c>
      <c r="AY142" s="6">
        <f>Table2[[#This Row],[final_obs_date]]</f>
        <v>106</v>
      </c>
      <c r="AZ142" s="6"/>
      <c r="BA142" s="91" t="s">
        <v>60</v>
      </c>
      <c r="BB142" s="6" t="e">
        <f>Table2[[#This Row],[final_obs_date]]&lt;(Table2[[#This Row],[estHD]]-2)</f>
        <v>#VALUE!</v>
      </c>
      <c r="BC142" s="24">
        <f>IF(Table2[[#This Row],[field_fate]]="H",1,0)</f>
        <v>1</v>
      </c>
      <c r="BD142" s="16">
        <f>IF(Table2[[#This Row],[cam_fate2]]="H",1,0)</f>
        <v>0</v>
      </c>
      <c r="BE142" s="6" t="b">
        <f>NOT(Table2[[#This Row],[HF_C]]=Table2[[#This Row],[HF]])</f>
        <v>1</v>
      </c>
      <c r="BF142" s="6" t="b">
        <f>NOT(Table2[[#This Row],[cam_fate2]]=Table2[[#This Row],[field_fate3]])</f>
        <v>1</v>
      </c>
      <c r="BG142" s="6" t="b">
        <f>OR(Table2[[#This Row],[field_fate3]]="U",Table2[[#This Row],[field_fate3]]="U-H")</f>
        <v>0</v>
      </c>
      <c r="BH142" s="8">
        <v>89</v>
      </c>
      <c r="BI142" s="8">
        <v>106</v>
      </c>
      <c r="BJ142" s="14">
        <f>IF(ISTEXT(Table2[[#This Row],[j.cam]]),Table2[[#This Row],[j]],Table2[[#This Row],[j.cam]])</f>
        <v>106</v>
      </c>
      <c r="BK142" s="9">
        <v>106</v>
      </c>
      <c r="BL142" s="15">
        <f>IF(ISTEXT(Table2[[#This Row],[k.cam]]), Table2[[#This Row],[k]], Table2[[#This Row],[k.cam]])</f>
        <v>106</v>
      </c>
      <c r="BM142" s="4" t="s">
        <v>24</v>
      </c>
      <c r="BN142" s="8" t="s">
        <v>24</v>
      </c>
      <c r="BO142" s="4">
        <v>5</v>
      </c>
      <c r="BP142" s="4">
        <f>Table2[[#This Row],[final_obs_date]]-Table2[[#This Row],[i]]</f>
        <v>17</v>
      </c>
      <c r="BQ142" s="4" t="e">
        <f>Table2[[#This Row],[final_obs_date2]]&gt;Table2[[#This Row],[estHD]]+3</f>
        <v>#VALUE!</v>
      </c>
      <c r="BR142" s="4" t="s">
        <v>33</v>
      </c>
      <c r="BS142" s="4" t="s">
        <v>53</v>
      </c>
      <c r="BT142" s="79" t="s">
        <v>1089</v>
      </c>
      <c r="BU142" s="26" t="s">
        <v>54</v>
      </c>
      <c r="BV142" s="79" t="s">
        <v>1493</v>
      </c>
      <c r="BW142" s="49"/>
      <c r="BX142" s="47"/>
      <c r="BY142" s="36" t="s">
        <v>561</v>
      </c>
    </row>
    <row r="143" spans="1:77" ht="15" hidden="1" thickBot="1" x14ac:dyDescent="0.4">
      <c r="A143" s="62">
        <v>10176</v>
      </c>
      <c r="B143" s="2" t="s">
        <v>111</v>
      </c>
      <c r="C143" s="44">
        <v>2019</v>
      </c>
      <c r="D143" s="3">
        <v>29.77271</v>
      </c>
      <c r="E143" s="3">
        <v>-93.294989999999999</v>
      </c>
      <c r="F143" s="3">
        <v>0</v>
      </c>
      <c r="G143" s="3">
        <v>0</v>
      </c>
      <c r="H143" s="3" t="s">
        <v>26</v>
      </c>
      <c r="I143" s="43"/>
      <c r="J143" s="55" t="s">
        <v>24</v>
      </c>
      <c r="K143" s="4" t="s">
        <v>24</v>
      </c>
      <c r="L143" s="22" t="str">
        <f>IF(ISNUMBER(Table2[[#This Row],[estHD]]),ABS(Table2[[#This Row],[HD]]-Table2[[#This Row],[estHD]]),"NA")</f>
        <v>NA</v>
      </c>
      <c r="M143" s="4" t="b">
        <f>Table2[[#This Row],[HD]]=Table2[[#This Row],[estHD]]</f>
        <v>1</v>
      </c>
      <c r="N143" s="4" t="str">
        <f>IF(ISNUMBER([1]!Table2[[#This Row],[hatch_date]]),[1]!Table2[[#This Row],[hatch_date]]-19,"NA")</f>
        <v>NA</v>
      </c>
      <c r="O143" s="31" t="s">
        <v>24</v>
      </c>
      <c r="P143" s="23" t="str">
        <f>IF(ISNUMBER(Table2[[#This Row],[nest_age1]]),ABS(Table2[[#This Row],[nest_age1]]-Table2[[#This Row],[nest_age_feb]]),"NA")</f>
        <v>NA</v>
      </c>
      <c r="Q143" s="24">
        <f>IF(ISNUMBER(Table2[[#This Row],[final_obs_int2]]),ABS(Table2[[#This Row],[final_obs_int2]]-Table2[[#This Row],[final_obs_int_feb]]), "NA")</f>
        <v>0</v>
      </c>
      <c r="R143" s="24"/>
      <c r="S143" s="57" t="s">
        <v>88</v>
      </c>
      <c r="T143" s="57" t="str">
        <f>Table2[[#This Row],[camera_old]]</f>
        <v>N</v>
      </c>
      <c r="U143" s="24"/>
      <c r="V143" s="16" t="s">
        <v>24</v>
      </c>
      <c r="W143" s="16" t="s">
        <v>24</v>
      </c>
      <c r="X143" s="145">
        <v>6</v>
      </c>
      <c r="Y143" s="147" t="s">
        <v>25</v>
      </c>
      <c r="Z143" s="146" t="s">
        <v>25</v>
      </c>
      <c r="AA143" s="4" t="str">
        <f>Table2[[#This Row],[field_fate]]</f>
        <v>S</v>
      </c>
      <c r="AB143" s="4" t="str">
        <f>Table2[[#This Row],[field_fate2]]</f>
        <v>S</v>
      </c>
      <c r="AC143" s="4" t="str">
        <f>Table2[[#This Row],[field_fate3]]</f>
        <v>S</v>
      </c>
      <c r="AD143" s="4" t="str">
        <f>Table2[[#This Row],[field_fate4]]</f>
        <v>S</v>
      </c>
      <c r="AE143" s="4" t="str">
        <f>Table2[[#This Row],[field_fate5]]</f>
        <v>S</v>
      </c>
      <c r="AF143" s="4" t="str">
        <f>Table2[[#This Row],[field_fate5]]</f>
        <v>S</v>
      </c>
      <c r="AG143" s="4" t="str">
        <f>Table2[[#This Row],[field_fate5]]</f>
        <v>S</v>
      </c>
      <c r="AH143" s="4" t="str">
        <f>Table2[[#This Row],[field_fate2]]</f>
        <v>S</v>
      </c>
      <c r="AI143" s="4" t="str">
        <f>Table2[[#This Row],[field_fate8]]</f>
        <v>S</v>
      </c>
      <c r="AJ143" s="4" t="str">
        <f>Table2[[#This Row],[field_fate10]]</f>
        <v>S</v>
      </c>
      <c r="AK143" s="4" t="b">
        <f>Table2[[#This Row],[field_fate_feb]]=Table2[[#This Row],[field_fate10]]</f>
        <v>1</v>
      </c>
      <c r="AL143" s="43" t="s">
        <v>24</v>
      </c>
      <c r="AM143" s="43" t="b">
        <f>Table2[[#This Row],[cam_fate2]]="NA"</f>
        <v>1</v>
      </c>
      <c r="AN143" s="19" t="str">
        <f>Table2[[#This Row],[cam_fate1]]</f>
        <v>NA</v>
      </c>
      <c r="AO143" s="2" t="s">
        <v>25</v>
      </c>
      <c r="AP143" s="5" t="str">
        <f>Table2[[#This Row],[final_fate1]]</f>
        <v>S</v>
      </c>
      <c r="AQ143" s="6" t="s">
        <v>24</v>
      </c>
      <c r="AR143" s="7" t="s">
        <v>24</v>
      </c>
      <c r="AS143" s="7" t="e">
        <f>Table2[[#This Row],[final_obs_date]]-Table2[[#This Row],[init_date]]</f>
        <v>#VALUE!</v>
      </c>
      <c r="AT143" s="7" t="e">
        <f>(Table2[[#This Row],[final_obs_date2]]-Table2[[#This Row],[estHD]])+16</f>
        <v>#VALUE!</v>
      </c>
      <c r="AU143" s="38">
        <v>6</v>
      </c>
      <c r="AV143" s="33">
        <v>6</v>
      </c>
      <c r="AW143" s="33">
        <f>Table2[[#This Row],[final_obs_date2]]-Table2[[#This Row],[pen_obs_date]]</f>
        <v>97</v>
      </c>
      <c r="AX143" s="67">
        <v>97</v>
      </c>
      <c r="AY143" s="6">
        <f>Table2[[#This Row],[final_obs_date]]</f>
        <v>97</v>
      </c>
      <c r="AZ143" s="6"/>
      <c r="BA143" s="91" t="s">
        <v>47</v>
      </c>
      <c r="BB143" s="6" t="e">
        <f>Table2[[#This Row],[final_obs_date]]&lt;(Table2[[#This Row],[estHD]]-2)</f>
        <v>#VALUE!</v>
      </c>
      <c r="BC143" s="24">
        <f>IF(Table2[[#This Row],[field_fate]]="H",1,0)</f>
        <v>0</v>
      </c>
      <c r="BD143" s="16">
        <f>IF(Table2[[#This Row],[cam_fate2]]="H",1,0)</f>
        <v>0</v>
      </c>
      <c r="BE143" s="6" t="b">
        <f>NOT(Table2[[#This Row],[HF_C]]=Table2[[#This Row],[HF]])</f>
        <v>0</v>
      </c>
      <c r="BF143" s="6" t="b">
        <f>NOT(Table2[[#This Row],[cam_fate2]]=Table2[[#This Row],[field_fate3]])</f>
        <v>1</v>
      </c>
      <c r="BG143" s="6" t="b">
        <f>OR(Table2[[#This Row],[field_fate3]]="U",Table2[[#This Row],[field_fate3]]="U-H")</f>
        <v>0</v>
      </c>
      <c r="BH143" s="8">
        <v>91</v>
      </c>
      <c r="BI143" s="8">
        <v>91</v>
      </c>
      <c r="BJ143" s="14">
        <f>IF(ISTEXT(Table2[[#This Row],[j.cam]]),Table2[[#This Row],[j]],Table2[[#This Row],[j.cam]])</f>
        <v>91</v>
      </c>
      <c r="BK143" s="9">
        <v>97</v>
      </c>
      <c r="BL143" s="15">
        <f>IF(ISTEXT(Table2[[#This Row],[k.cam]]), Table2[[#This Row],[k]], Table2[[#This Row],[k.cam]])</f>
        <v>97</v>
      </c>
      <c r="BM143" s="4" t="s">
        <v>24</v>
      </c>
      <c r="BN143" s="8" t="s">
        <v>24</v>
      </c>
      <c r="BO143" s="4">
        <v>2</v>
      </c>
      <c r="BP143" s="4">
        <f>Table2[[#This Row],[final_obs_date]]-Table2[[#This Row],[i]]</f>
        <v>6</v>
      </c>
      <c r="BQ143" s="4" t="e">
        <f>Table2[[#This Row],[final_obs_date2]]&gt;Table2[[#This Row],[estHD]]+3</f>
        <v>#VALUE!</v>
      </c>
      <c r="BR143" s="4" t="s">
        <v>33</v>
      </c>
      <c r="BS143" s="4" t="s">
        <v>28</v>
      </c>
      <c r="BT143" s="79" t="s">
        <v>1090</v>
      </c>
      <c r="BU143" s="26" t="s">
        <v>34</v>
      </c>
      <c r="BV143" s="79" t="s">
        <v>1437</v>
      </c>
      <c r="BW143" s="49"/>
      <c r="BX143" s="47"/>
      <c r="BY143" s="36" t="s">
        <v>562</v>
      </c>
    </row>
    <row r="144" spans="1:77" ht="15" hidden="1" thickBot="1" x14ac:dyDescent="0.4">
      <c r="A144" s="62">
        <v>10177</v>
      </c>
      <c r="B144" s="2" t="s">
        <v>111</v>
      </c>
      <c r="C144" s="44">
        <v>2019</v>
      </c>
      <c r="D144" s="3">
        <v>29.77206</v>
      </c>
      <c r="E144" s="3">
        <v>-93.298810000000003</v>
      </c>
      <c r="F144" s="3">
        <v>0</v>
      </c>
      <c r="G144" s="3">
        <v>0</v>
      </c>
      <c r="H144" s="3" t="s">
        <v>26</v>
      </c>
      <c r="I144" s="43"/>
      <c r="J144" s="55" t="s">
        <v>24</v>
      </c>
      <c r="K144" s="4" t="s">
        <v>24</v>
      </c>
      <c r="L144" s="22" t="str">
        <f>IF(ISNUMBER(Table2[[#This Row],[estHD]]),ABS(Table2[[#This Row],[HD]]-Table2[[#This Row],[estHD]]),"NA")</f>
        <v>NA</v>
      </c>
      <c r="M144" s="4" t="b">
        <f>Table2[[#This Row],[HD]]=Table2[[#This Row],[estHD]]</f>
        <v>1</v>
      </c>
      <c r="N144" s="4" t="str">
        <f>IF(ISNUMBER([1]!Table2[[#This Row],[hatch_date]]),[1]!Table2[[#This Row],[hatch_date]]-19,"NA")</f>
        <v>NA</v>
      </c>
      <c r="O144" s="31" t="s">
        <v>24</v>
      </c>
      <c r="P144" s="23" t="str">
        <f>IF(ISNUMBER(Table2[[#This Row],[nest_age1]]),ABS(Table2[[#This Row],[nest_age1]]-Table2[[#This Row],[nest_age_feb]]),"NA")</f>
        <v>NA</v>
      </c>
      <c r="Q144" s="24">
        <f>IF(ISNUMBER(Table2[[#This Row],[final_obs_int2]]),ABS(Table2[[#This Row],[final_obs_int2]]-Table2[[#This Row],[final_obs_int_feb]]), "NA")</f>
        <v>0</v>
      </c>
      <c r="R144" s="24"/>
      <c r="S144" s="57" t="s">
        <v>88</v>
      </c>
      <c r="T144" s="57" t="str">
        <f>Table2[[#This Row],[camera_old]]</f>
        <v>N</v>
      </c>
      <c r="U144" s="24"/>
      <c r="V144" s="16" t="s">
        <v>24</v>
      </c>
      <c r="W144" s="16" t="s">
        <v>24</v>
      </c>
      <c r="X144" s="145">
        <v>6</v>
      </c>
      <c r="Y144" s="147" t="s">
        <v>25</v>
      </c>
      <c r="Z144" s="146" t="s">
        <v>25</v>
      </c>
      <c r="AA144" s="4" t="str">
        <f>Table2[[#This Row],[field_fate]]</f>
        <v>S</v>
      </c>
      <c r="AB144" s="4" t="str">
        <f>Table2[[#This Row],[field_fate2]]</f>
        <v>S</v>
      </c>
      <c r="AC144" s="4" t="str">
        <f>Table2[[#This Row],[field_fate3]]</f>
        <v>S</v>
      </c>
      <c r="AD144" s="4" t="str">
        <f>Table2[[#This Row],[field_fate4]]</f>
        <v>S</v>
      </c>
      <c r="AE144" s="4" t="str">
        <f>Table2[[#This Row],[field_fate5]]</f>
        <v>S</v>
      </c>
      <c r="AF144" s="4" t="str">
        <f>Table2[[#This Row],[field_fate5]]</f>
        <v>S</v>
      </c>
      <c r="AG144" s="4" t="str">
        <f>Table2[[#This Row],[field_fate5]]</f>
        <v>S</v>
      </c>
      <c r="AH144" s="4" t="str">
        <f>Table2[[#This Row],[field_fate2]]</f>
        <v>S</v>
      </c>
      <c r="AI144" s="4" t="str">
        <f>Table2[[#This Row],[field_fate8]]</f>
        <v>S</v>
      </c>
      <c r="AJ144" s="4" t="str">
        <f>Table2[[#This Row],[field_fate10]]</f>
        <v>S</v>
      </c>
      <c r="AK144" s="4" t="b">
        <f>Table2[[#This Row],[field_fate_feb]]=Table2[[#This Row],[field_fate10]]</f>
        <v>1</v>
      </c>
      <c r="AL144" s="43" t="s">
        <v>24</v>
      </c>
      <c r="AM144" s="43" t="b">
        <f>Table2[[#This Row],[cam_fate2]]="NA"</f>
        <v>1</v>
      </c>
      <c r="AN144" s="19" t="str">
        <f>Table2[[#This Row],[cam_fate1]]</f>
        <v>NA</v>
      </c>
      <c r="AO144" s="2" t="s">
        <v>25</v>
      </c>
      <c r="AP144" s="5" t="str">
        <f>Table2[[#This Row],[final_fate1]]</f>
        <v>S</v>
      </c>
      <c r="AQ144" s="6" t="s">
        <v>24</v>
      </c>
      <c r="AR144" s="7" t="s">
        <v>24</v>
      </c>
      <c r="AS144" s="7" t="e">
        <f>Table2[[#This Row],[final_obs_date]]-Table2[[#This Row],[init_date]]</f>
        <v>#VALUE!</v>
      </c>
      <c r="AT144" s="7" t="e">
        <f>(Table2[[#This Row],[final_obs_date2]]-Table2[[#This Row],[estHD]])+16</f>
        <v>#VALUE!</v>
      </c>
      <c r="AU144" s="38">
        <v>6</v>
      </c>
      <c r="AV144" s="33">
        <v>6</v>
      </c>
      <c r="AW144" s="33">
        <f>Table2[[#This Row],[final_obs_date2]]-Table2[[#This Row],[pen_obs_date]]</f>
        <v>97</v>
      </c>
      <c r="AX144" s="67">
        <v>97</v>
      </c>
      <c r="AY144" s="6">
        <f>Table2[[#This Row],[final_obs_date]]</f>
        <v>97</v>
      </c>
      <c r="AZ144" s="6"/>
      <c r="BA144" s="91" t="s">
        <v>47</v>
      </c>
      <c r="BB144" s="6" t="e">
        <f>Table2[[#This Row],[final_obs_date]]&lt;(Table2[[#This Row],[estHD]]-2)</f>
        <v>#VALUE!</v>
      </c>
      <c r="BC144" s="24">
        <f>IF(Table2[[#This Row],[field_fate]]="H",1,0)</f>
        <v>0</v>
      </c>
      <c r="BD144" s="16">
        <f>IF(Table2[[#This Row],[cam_fate2]]="H",1,0)</f>
        <v>0</v>
      </c>
      <c r="BE144" s="6" t="b">
        <f>NOT(Table2[[#This Row],[HF_C]]=Table2[[#This Row],[HF]])</f>
        <v>0</v>
      </c>
      <c r="BF144" s="6" t="b">
        <f>NOT(Table2[[#This Row],[cam_fate2]]=Table2[[#This Row],[field_fate3]])</f>
        <v>1</v>
      </c>
      <c r="BG144" s="6" t="b">
        <f>OR(Table2[[#This Row],[field_fate3]]="U",Table2[[#This Row],[field_fate3]]="U-H")</f>
        <v>0</v>
      </c>
      <c r="BH144" s="8">
        <v>91</v>
      </c>
      <c r="BI144" s="8">
        <v>91</v>
      </c>
      <c r="BJ144" s="14">
        <f>IF(ISTEXT(Table2[[#This Row],[j.cam]]),Table2[[#This Row],[j]],Table2[[#This Row],[j.cam]])</f>
        <v>91</v>
      </c>
      <c r="BK144" s="9">
        <v>97</v>
      </c>
      <c r="BL144" s="15">
        <f>IF(ISTEXT(Table2[[#This Row],[k.cam]]), Table2[[#This Row],[k]], Table2[[#This Row],[k.cam]])</f>
        <v>97</v>
      </c>
      <c r="BM144" s="4" t="s">
        <v>24</v>
      </c>
      <c r="BN144" s="8" t="s">
        <v>24</v>
      </c>
      <c r="BO144" s="4">
        <v>2</v>
      </c>
      <c r="BP144" s="4">
        <f>Table2[[#This Row],[final_obs_date]]-Table2[[#This Row],[i]]</f>
        <v>6</v>
      </c>
      <c r="BQ144" s="4" t="e">
        <f>Table2[[#This Row],[final_obs_date2]]&gt;Table2[[#This Row],[estHD]]+3</f>
        <v>#VALUE!</v>
      </c>
      <c r="BR144" s="4" t="s">
        <v>33</v>
      </c>
      <c r="BS144" s="4" t="s">
        <v>28</v>
      </c>
      <c r="BT144" s="79" t="s">
        <v>1090</v>
      </c>
      <c r="BU144" s="26" t="s">
        <v>34</v>
      </c>
      <c r="BV144" s="79" t="s">
        <v>1437</v>
      </c>
      <c r="BW144" s="49"/>
      <c r="BX144" s="47"/>
      <c r="BY144" s="36" t="s">
        <v>562</v>
      </c>
    </row>
    <row r="145" spans="1:77" ht="15" hidden="1" thickBot="1" x14ac:dyDescent="0.4">
      <c r="A145" s="62">
        <v>10200</v>
      </c>
      <c r="B145" s="2" t="s">
        <v>22</v>
      </c>
      <c r="C145" s="44">
        <v>2019</v>
      </c>
      <c r="D145" s="3">
        <v>29.667079999999999</v>
      </c>
      <c r="E145" s="3">
        <v>-92.842960000000005</v>
      </c>
      <c r="F145" s="3">
        <v>5</v>
      </c>
      <c r="G145" s="3">
        <v>5</v>
      </c>
      <c r="H145" s="3" t="s">
        <v>26</v>
      </c>
      <c r="I145" s="43"/>
      <c r="J145" s="55">
        <v>41</v>
      </c>
      <c r="K145" s="4">
        <v>41</v>
      </c>
      <c r="L145" s="22">
        <f>IF(ISNUMBER(Table2[[#This Row],[estHD]]),ABS(Table2[[#This Row],[HD]]-Table2[[#This Row],[estHD]]),"NA")</f>
        <v>0</v>
      </c>
      <c r="M145" s="4" t="b">
        <f>Table2[[#This Row],[HD]]=Table2[[#This Row],[estHD]]</f>
        <v>1</v>
      </c>
      <c r="N145" s="4" t="str">
        <f>IF(ISNUMBER([1]!Table2[[#This Row],[hatch_date]]), [1]!Table2[[#This Row],[hatch_date]]-28, "NA")</f>
        <v>NA</v>
      </c>
      <c r="O145" s="31">
        <v>13</v>
      </c>
      <c r="P145" s="23">
        <f>IF(ISNUMBER(Table2[[#This Row],[nest_age1]]),ABS(Table2[[#This Row],[nest_age1]]-Table2[[#This Row],[nest_age_feb]]),"NA")</f>
        <v>0</v>
      </c>
      <c r="Q145" s="24">
        <f>IF(ISNUMBER(Table2[[#This Row],[final_obs_int2]]),ABS(Table2[[#This Row],[final_obs_int2]]-Table2[[#This Row],[final_obs_int_feb]]), "NA")</f>
        <v>5</v>
      </c>
      <c r="R145" s="24"/>
      <c r="S145" s="57" t="s">
        <v>88</v>
      </c>
      <c r="T145" s="57" t="str">
        <f>Table2[[#This Row],[camera_old]]</f>
        <v>N</v>
      </c>
      <c r="U145" s="24"/>
      <c r="V145" s="16" t="s">
        <v>24</v>
      </c>
      <c r="W145" s="16">
        <v>18</v>
      </c>
      <c r="X145" s="145">
        <v>3</v>
      </c>
      <c r="Y145" s="147" t="s">
        <v>25</v>
      </c>
      <c r="Z145" s="146" t="s">
        <v>25</v>
      </c>
      <c r="AA145" s="4" t="str">
        <f>Table2[[#This Row],[field_fate]]</f>
        <v>S</v>
      </c>
      <c r="AB145" s="4" t="str">
        <f>Table2[[#This Row],[field_fate2]]</f>
        <v>S</v>
      </c>
      <c r="AC145" s="4" t="str">
        <f>Table2[[#This Row],[field_fate3]]</f>
        <v>S</v>
      </c>
      <c r="AD145" s="4" t="str">
        <f>Table2[[#This Row],[field_fate4]]</f>
        <v>S</v>
      </c>
      <c r="AE145" s="4" t="str">
        <f>Table2[[#This Row],[field_fate5]]</f>
        <v>S</v>
      </c>
      <c r="AF145" s="4" t="str">
        <f>Table2[[#This Row],[field_fate5]]</f>
        <v>S</v>
      </c>
      <c r="AG145" s="4" t="str">
        <f>Table2[[#This Row],[field_fate5]]</f>
        <v>S</v>
      </c>
      <c r="AH145" s="4" t="str">
        <f>Table2[[#This Row],[field_fate2]]</f>
        <v>S</v>
      </c>
      <c r="AI145" s="4" t="str">
        <f>Table2[[#This Row],[field_fate8]]</f>
        <v>S</v>
      </c>
      <c r="AJ145" s="4" t="str">
        <f>Table2[[#This Row],[field_fate10]]</f>
        <v>S</v>
      </c>
      <c r="AK145" s="4" t="b">
        <f>Table2[[#This Row],[field_fate_feb]]=Table2[[#This Row],[field_fate10]]</f>
        <v>1</v>
      </c>
      <c r="AL145" s="43" t="s">
        <v>24</v>
      </c>
      <c r="AM145" s="43" t="b">
        <f>Table2[[#This Row],[cam_fate2]]="NA"</f>
        <v>1</v>
      </c>
      <c r="AN145" s="19" t="str">
        <f>Table2[[#This Row],[cam_fate1]]</f>
        <v>NA</v>
      </c>
      <c r="AO145" s="2" t="s">
        <v>25</v>
      </c>
      <c r="AP145" s="5" t="str">
        <f>Table2[[#This Row],[final_fate1]]</f>
        <v>S</v>
      </c>
      <c r="AQ145" s="6">
        <v>18</v>
      </c>
      <c r="AR145" s="7">
        <v>18</v>
      </c>
      <c r="AS145" s="7">
        <f>Table2[[#This Row],[final_obs_date]]-Table2[[#This Row],[init_date]]</f>
        <v>18</v>
      </c>
      <c r="AT145" s="7">
        <f>(Table2[[#This Row],[final_obs_date2]]-Table2[[#This Row],[estHD]])+16</f>
        <v>6</v>
      </c>
      <c r="AU145" s="39">
        <v>3</v>
      </c>
      <c r="AV145" s="33">
        <v>8</v>
      </c>
      <c r="AW145" s="33">
        <f>Table2[[#This Row],[final_obs_date2]]-Table2[[#This Row],[pen_obs_date]]</f>
        <v>31</v>
      </c>
      <c r="AX145" s="67">
        <v>31</v>
      </c>
      <c r="AY145" s="6">
        <f>Table2[[#This Row],[final_obs_date]]</f>
        <v>31</v>
      </c>
      <c r="AZ145" s="6"/>
      <c r="BA145" s="91" t="s">
        <v>23</v>
      </c>
      <c r="BB145" s="6" t="b">
        <f>Table2[[#This Row],[final_obs_date]]&lt;(Table2[[#This Row],[estHD]]-2)</f>
        <v>1</v>
      </c>
      <c r="BC145" s="24">
        <f>IF(Table2[[#This Row],[field_fate]]="H",1,0)</f>
        <v>0</v>
      </c>
      <c r="BD145" s="16">
        <f>IF(Table2[[#This Row],[cam_fate2]]="H",1,0)</f>
        <v>0</v>
      </c>
      <c r="BE145" s="6" t="b">
        <f>NOT(Table2[[#This Row],[HF_C]]=Table2[[#This Row],[HF]])</f>
        <v>0</v>
      </c>
      <c r="BF145" s="6" t="b">
        <f>NOT(Table2[[#This Row],[cam_fate2]]=Table2[[#This Row],[field_fate3]])</f>
        <v>1</v>
      </c>
      <c r="BG145" s="6" t="b">
        <f>OR(Table2[[#This Row],[field_fate3]]="U",Table2[[#This Row],[field_fate3]]="U-H")</f>
        <v>0</v>
      </c>
      <c r="BH145" s="8">
        <v>11</v>
      </c>
      <c r="BI145" s="8">
        <v>23</v>
      </c>
      <c r="BJ145" s="14">
        <f>IF(ISTEXT(Table2[[#This Row],[j.cam]]),Table2[[#This Row],[j]],Table2[[#This Row],[j.cam]])</f>
        <v>23</v>
      </c>
      <c r="BK145" s="9">
        <v>31</v>
      </c>
      <c r="BL145" s="15">
        <f>IF(ISTEXT(Table2[[#This Row],[k.cam]]), Table2[[#This Row],[k]], Table2[[#This Row],[k.cam]])</f>
        <v>31</v>
      </c>
      <c r="BM145" s="4" t="s">
        <v>24</v>
      </c>
      <c r="BN145" s="8" t="s">
        <v>24</v>
      </c>
      <c r="BO145" s="4">
        <v>6</v>
      </c>
      <c r="BP145" s="4">
        <f>Table2[[#This Row],[final_obs_date]]-Table2[[#This Row],[i]]</f>
        <v>20</v>
      </c>
      <c r="BQ145" s="4" t="b">
        <f>Table2[[#This Row],[final_obs_date2]]&gt;Table2[[#This Row],[estHD]]+3</f>
        <v>0</v>
      </c>
      <c r="BR145" s="11" t="s">
        <v>62</v>
      </c>
      <c r="BS145" s="4" t="s">
        <v>28</v>
      </c>
      <c r="BT145" s="79" t="s">
        <v>1091</v>
      </c>
      <c r="BU145" s="26" t="s">
        <v>160</v>
      </c>
      <c r="BV145" s="79" t="s">
        <v>1494</v>
      </c>
      <c r="BW145" s="49"/>
      <c r="BX145" s="47"/>
      <c r="BY145" s="36" t="s">
        <v>505</v>
      </c>
    </row>
    <row r="146" spans="1:77" ht="19" hidden="1" thickBot="1" x14ac:dyDescent="0.4">
      <c r="A146" s="62">
        <v>10201</v>
      </c>
      <c r="B146" s="2" t="s">
        <v>22</v>
      </c>
      <c r="C146" s="44">
        <v>2019</v>
      </c>
      <c r="D146" s="3">
        <v>29.662500000000001</v>
      </c>
      <c r="E146" s="3">
        <v>-92.831249999999997</v>
      </c>
      <c r="F146" s="3">
        <v>50</v>
      </c>
      <c r="G146" s="3">
        <v>5</v>
      </c>
      <c r="H146" s="3" t="s">
        <v>26</v>
      </c>
      <c r="I146" s="43"/>
      <c r="J146" s="55">
        <v>41</v>
      </c>
      <c r="K146" s="4">
        <v>41</v>
      </c>
      <c r="L146" s="22">
        <f>IF(ISNUMBER(Table2[[#This Row],[estHD]]),ABS(Table2[[#This Row],[HD]]-Table2[[#This Row],[estHD]]),"NA")</f>
        <v>0</v>
      </c>
      <c r="M146" s="4" t="b">
        <f>Table2[[#This Row],[HD]]=Table2[[#This Row],[estHD]]</f>
        <v>1</v>
      </c>
      <c r="N146" s="4" t="str">
        <f>IF(ISNUMBER([1]!Table2[[#This Row],[hatch_date]]), [1]!Table2[[#This Row],[hatch_date]]-28, "NA")</f>
        <v>NA</v>
      </c>
      <c r="O146" s="31">
        <v>13</v>
      </c>
      <c r="P146" s="23">
        <f>IF(ISNUMBER(Table2[[#This Row],[nest_age1]]),ABS(Table2[[#This Row],[nest_age1]]-Table2[[#This Row],[nest_age_feb]]),"NA")</f>
        <v>0</v>
      </c>
      <c r="Q146" s="24">
        <f>IF(ISNUMBER(Table2[[#This Row],[final_obs_int2]]),ABS(Table2[[#This Row],[final_obs_int2]]-Table2[[#This Row],[final_obs_int_feb]]), "NA")</f>
        <v>0</v>
      </c>
      <c r="R146" s="24"/>
      <c r="S146" s="57" t="s">
        <v>88</v>
      </c>
      <c r="T146" s="57" t="str">
        <f>Table2[[#This Row],[camera_old]]</f>
        <v>N</v>
      </c>
      <c r="U146" s="24"/>
      <c r="V146" s="16" t="s">
        <v>24</v>
      </c>
      <c r="W146" s="16">
        <v>2</v>
      </c>
      <c r="X146" s="145">
        <v>4</v>
      </c>
      <c r="Y146" s="147" t="s">
        <v>25</v>
      </c>
      <c r="Z146" s="146" t="s">
        <v>25</v>
      </c>
      <c r="AA146" s="4" t="str">
        <f>Table2[[#This Row],[field_fate]]</f>
        <v>S</v>
      </c>
      <c r="AB146" s="4" t="str">
        <f>Table2[[#This Row],[field_fate2]]</f>
        <v>S</v>
      </c>
      <c r="AC146" s="4" t="str">
        <f>Table2[[#This Row],[field_fate3]]</f>
        <v>S</v>
      </c>
      <c r="AD146" s="4" t="str">
        <f>Table2[[#This Row],[field_fate4]]</f>
        <v>S</v>
      </c>
      <c r="AE146" s="4" t="str">
        <f>Table2[[#This Row],[field_fate5]]</f>
        <v>S</v>
      </c>
      <c r="AF146" s="4" t="str">
        <f>Table2[[#This Row],[field_fate5]]</f>
        <v>S</v>
      </c>
      <c r="AG146" s="4" t="str">
        <f>Table2[[#This Row],[field_fate5]]</f>
        <v>S</v>
      </c>
      <c r="AH146" s="4" t="str">
        <f>Table2[[#This Row],[field_fate2]]</f>
        <v>S</v>
      </c>
      <c r="AI146" s="4" t="str">
        <f>Table2[[#This Row],[field_fate8]]</f>
        <v>S</v>
      </c>
      <c r="AJ146" s="4" t="str">
        <f>Table2[[#This Row],[field_fate10]]</f>
        <v>S</v>
      </c>
      <c r="AK146" s="4" t="b">
        <f>Table2[[#This Row],[field_fate_feb]]=Table2[[#This Row],[field_fate10]]</f>
        <v>1</v>
      </c>
      <c r="AL146" s="43" t="s">
        <v>24</v>
      </c>
      <c r="AM146" s="43" t="b">
        <f>Table2[[#This Row],[cam_fate2]]="NA"</f>
        <v>1</v>
      </c>
      <c r="AN146" s="19" t="str">
        <f>Table2[[#This Row],[cam_fate1]]</f>
        <v>NA</v>
      </c>
      <c r="AO146" s="2" t="s">
        <v>25</v>
      </c>
      <c r="AP146" s="5" t="str">
        <f>Table2[[#This Row],[final_fate1]]</f>
        <v>S</v>
      </c>
      <c r="AQ146" s="6">
        <v>2</v>
      </c>
      <c r="AR146" s="7">
        <v>2</v>
      </c>
      <c r="AS146" s="7">
        <f>Table2[[#This Row],[final_obs_date]]-Table2[[#This Row],[init_date]]</f>
        <v>2</v>
      </c>
      <c r="AT146" s="7">
        <f>(Table2[[#This Row],[final_obs_date2]]-Table2[[#This Row],[estHD]])+16</f>
        <v>-10</v>
      </c>
      <c r="AU146" s="38">
        <v>4</v>
      </c>
      <c r="AV146" s="33">
        <v>4</v>
      </c>
      <c r="AW146" s="33">
        <f>Table2[[#This Row],[final_obs_date2]]-Table2[[#This Row],[pen_obs_date]]</f>
        <v>15</v>
      </c>
      <c r="AX146" s="67">
        <v>15</v>
      </c>
      <c r="AY146" s="6">
        <f>Table2[[#This Row],[final_obs_date]]</f>
        <v>15</v>
      </c>
      <c r="AZ146" s="6"/>
      <c r="BA146" s="91" t="s">
        <v>23</v>
      </c>
      <c r="BB146" s="6" t="b">
        <f>Table2[[#This Row],[final_obs_date]]&lt;(Table2[[#This Row],[estHD]]-2)</f>
        <v>1</v>
      </c>
      <c r="BC146" s="24">
        <f>IF(Table2[[#This Row],[field_fate]]="H",1,0)</f>
        <v>0</v>
      </c>
      <c r="BD146" s="16">
        <f>IF(Table2[[#This Row],[cam_fate2]]="H",1,0)</f>
        <v>0</v>
      </c>
      <c r="BE146" s="6" t="b">
        <f>NOT(Table2[[#This Row],[HF_C]]=Table2[[#This Row],[HF]])</f>
        <v>0</v>
      </c>
      <c r="BF146" s="6" t="b">
        <f>NOT(Table2[[#This Row],[cam_fate2]]=Table2[[#This Row],[field_fate3]])</f>
        <v>1</v>
      </c>
      <c r="BG146" s="6" t="b">
        <f>OR(Table2[[#This Row],[field_fate3]]="U",Table2[[#This Row],[field_fate3]]="U-H")</f>
        <v>0</v>
      </c>
      <c r="BH146" s="8">
        <v>11</v>
      </c>
      <c r="BI146" s="8">
        <v>11</v>
      </c>
      <c r="BJ146" s="14">
        <f>IF(ISTEXT(Table2[[#This Row],[j.cam]]),Table2[[#This Row],[j]],Table2[[#This Row],[j.cam]])</f>
        <v>11</v>
      </c>
      <c r="BK146" s="9">
        <v>15</v>
      </c>
      <c r="BL146" s="15">
        <f>IF(ISTEXT(Table2[[#This Row],[k.cam]]), Table2[[#This Row],[k]], Table2[[#This Row],[k.cam]])</f>
        <v>15</v>
      </c>
      <c r="BM146" s="4" t="s">
        <v>24</v>
      </c>
      <c r="BN146" s="8" t="s">
        <v>24</v>
      </c>
      <c r="BO146" s="4">
        <v>2</v>
      </c>
      <c r="BP146" s="4">
        <f>Table2[[#This Row],[final_obs_date]]-Table2[[#This Row],[i]]</f>
        <v>4</v>
      </c>
      <c r="BQ146" s="4" t="b">
        <f>Table2[[#This Row],[final_obs_date2]]&gt;Table2[[#This Row],[estHD]]+3</f>
        <v>0</v>
      </c>
      <c r="BR146" s="4" t="s">
        <v>58</v>
      </c>
      <c r="BS146" s="4" t="s">
        <v>28</v>
      </c>
      <c r="BT146" s="79" t="s">
        <v>1092</v>
      </c>
      <c r="BU146" s="26" t="s">
        <v>59</v>
      </c>
      <c r="BV146" s="79" t="s">
        <v>1429</v>
      </c>
      <c r="BW146" s="49"/>
      <c r="BX146" s="47"/>
      <c r="BY146" s="36" t="s">
        <v>563</v>
      </c>
    </row>
    <row r="147" spans="1:77" ht="15" hidden="1" thickBot="1" x14ac:dyDescent="0.4">
      <c r="A147" s="62">
        <v>10202</v>
      </c>
      <c r="B147" s="2" t="s">
        <v>22</v>
      </c>
      <c r="C147" s="44">
        <v>2019</v>
      </c>
      <c r="D147" s="3">
        <v>29.661570000000001</v>
      </c>
      <c r="E147" s="3">
        <v>-92.82929</v>
      </c>
      <c r="F147" s="3">
        <v>20</v>
      </c>
      <c r="G147" s="3">
        <v>30</v>
      </c>
      <c r="H147" s="3" t="s">
        <v>26</v>
      </c>
      <c r="I147" s="43"/>
      <c r="J147" s="55">
        <v>46</v>
      </c>
      <c r="K147" s="4">
        <v>46</v>
      </c>
      <c r="L147" s="22">
        <f>IF(ISNUMBER(Table2[[#This Row],[estHD]]),ABS(Table2[[#This Row],[HD]]-Table2[[#This Row],[estHD]]),"NA")</f>
        <v>0</v>
      </c>
      <c r="M147" s="4" t="b">
        <f>Table2[[#This Row],[HD]]=Table2[[#This Row],[estHD]]</f>
        <v>1</v>
      </c>
      <c r="N147" s="4" t="str">
        <f>IF(ISNUMBER([1]!Table2[[#This Row],[hatch_date]]), [1]!Table2[[#This Row],[hatch_date]]-28, "NA")</f>
        <v>NA</v>
      </c>
      <c r="O147" s="31">
        <v>18</v>
      </c>
      <c r="P147" s="23">
        <f>IF(ISNUMBER(Table2[[#This Row],[nest_age1]]),ABS(Table2[[#This Row],[nest_age1]]-Table2[[#This Row],[nest_age_feb]]),"NA")</f>
        <v>0</v>
      </c>
      <c r="Q147" s="24">
        <f>IF(ISNUMBER(Table2[[#This Row],[final_obs_int2]]),ABS(Table2[[#This Row],[final_obs_int2]]-Table2[[#This Row],[final_obs_int_feb]]), "NA")</f>
        <v>0</v>
      </c>
      <c r="R147" s="24"/>
      <c r="S147" s="57" t="s">
        <v>88</v>
      </c>
      <c r="T147" s="57" t="str">
        <f>Table2[[#This Row],[camera_old]]</f>
        <v>N</v>
      </c>
      <c r="U147" s="24"/>
      <c r="V147" s="16" t="s">
        <v>24</v>
      </c>
      <c r="W147" s="16">
        <v>5</v>
      </c>
      <c r="X147" s="145">
        <v>4</v>
      </c>
      <c r="Y147" s="147" t="s">
        <v>31</v>
      </c>
      <c r="Z147" s="146" t="s">
        <v>31</v>
      </c>
      <c r="AA147" s="4" t="str">
        <f>Table2[[#This Row],[field_fate]]</f>
        <v>D</v>
      </c>
      <c r="AB147" s="4" t="str">
        <f>Table2[[#This Row],[field_fate2]]</f>
        <v>D</v>
      </c>
      <c r="AC147" s="4" t="str">
        <f>Table2[[#This Row],[field_fate3]]</f>
        <v>D</v>
      </c>
      <c r="AD147" s="4" t="str">
        <f>Table2[[#This Row],[field_fate4]]</f>
        <v>D</v>
      </c>
      <c r="AE147" s="4" t="str">
        <f>Table2[[#This Row],[field_fate5]]</f>
        <v>D</v>
      </c>
      <c r="AF147" s="4" t="str">
        <f>Table2[[#This Row],[field_fate5]]</f>
        <v>D</v>
      </c>
      <c r="AG147" s="4" t="str">
        <f>Table2[[#This Row],[field_fate5]]</f>
        <v>D</v>
      </c>
      <c r="AH147" s="4" t="str">
        <f>Table2[[#This Row],[field_fate2]]</f>
        <v>D</v>
      </c>
      <c r="AI147" s="4" t="str">
        <f>Table2[[#This Row],[field_fate8]]</f>
        <v>D</v>
      </c>
      <c r="AJ147" s="4" t="str">
        <f>Table2[[#This Row],[field_fate10]]</f>
        <v>D</v>
      </c>
      <c r="AK147" s="4" t="b">
        <f>Table2[[#This Row],[field_fate_feb]]=Table2[[#This Row],[field_fate10]]</f>
        <v>1</v>
      </c>
      <c r="AL147" s="43" t="s">
        <v>24</v>
      </c>
      <c r="AM147" s="43" t="b">
        <f>Table2[[#This Row],[cam_fate2]]="NA"</f>
        <v>1</v>
      </c>
      <c r="AN147" s="19" t="str">
        <f>Table2[[#This Row],[cam_fate1]]</f>
        <v>NA</v>
      </c>
      <c r="AO147" s="2" t="s">
        <v>31</v>
      </c>
      <c r="AP147" s="5" t="str">
        <f>Table2[[#This Row],[final_fate1]]</f>
        <v>D</v>
      </c>
      <c r="AQ147" s="6">
        <v>5</v>
      </c>
      <c r="AR147" s="7">
        <v>5</v>
      </c>
      <c r="AS147" s="7">
        <f>Table2[[#This Row],[final_obs_date]]-Table2[[#This Row],[init_date]]</f>
        <v>5</v>
      </c>
      <c r="AT147" s="7">
        <f>(Table2[[#This Row],[final_obs_date2]]-Table2[[#This Row],[estHD]])+16</f>
        <v>-7</v>
      </c>
      <c r="AU147" s="38">
        <v>4</v>
      </c>
      <c r="AV147" s="33">
        <v>4</v>
      </c>
      <c r="AW147" s="33">
        <f>Table2[[#This Row],[final_obs_date2]]-Table2[[#This Row],[pen_obs_date]]</f>
        <v>23</v>
      </c>
      <c r="AX147" s="67">
        <v>23</v>
      </c>
      <c r="AY147" s="6">
        <f>Table2[[#This Row],[final_obs_date]]</f>
        <v>23</v>
      </c>
      <c r="AZ147" s="6"/>
      <c r="BA147" s="91" t="s">
        <v>23</v>
      </c>
      <c r="BB147" s="6" t="b">
        <f>Table2[[#This Row],[final_obs_date]]&lt;(Table2[[#This Row],[estHD]]-2)</f>
        <v>1</v>
      </c>
      <c r="BC147" s="24">
        <f>IF(Table2[[#This Row],[field_fate]]="H",1,0)</f>
        <v>0</v>
      </c>
      <c r="BD147" s="16">
        <f>IF(Table2[[#This Row],[cam_fate2]]="H",1,0)</f>
        <v>0</v>
      </c>
      <c r="BE147" s="6" t="b">
        <f>NOT(Table2[[#This Row],[HF_C]]=Table2[[#This Row],[HF]])</f>
        <v>0</v>
      </c>
      <c r="BF147" s="6" t="b">
        <f>NOT(Table2[[#This Row],[cam_fate2]]=Table2[[#This Row],[field_fate3]])</f>
        <v>1</v>
      </c>
      <c r="BG147" s="6" t="b">
        <f>OR(Table2[[#This Row],[field_fate3]]="U",Table2[[#This Row],[field_fate3]]="U-H")</f>
        <v>0</v>
      </c>
      <c r="BH147" s="8">
        <v>19</v>
      </c>
      <c r="BI147" s="8">
        <v>19</v>
      </c>
      <c r="BJ147" s="14">
        <f>IF(ISTEXT(Table2[[#This Row],[j.cam]]),Table2[[#This Row],[j]],Table2[[#This Row],[j.cam]])</f>
        <v>19</v>
      </c>
      <c r="BK147" s="9">
        <v>23</v>
      </c>
      <c r="BL147" s="15">
        <f>IF(ISTEXT(Table2[[#This Row],[k.cam]]), Table2[[#This Row],[k]], Table2[[#This Row],[k.cam]])</f>
        <v>23</v>
      </c>
      <c r="BM147" s="4" t="s">
        <v>24</v>
      </c>
      <c r="BN147" s="8" t="s">
        <v>24</v>
      </c>
      <c r="BO147" s="4">
        <v>2</v>
      </c>
      <c r="BP147" s="4">
        <f>Table2[[#This Row],[final_obs_date]]-Table2[[#This Row],[i]]</f>
        <v>4</v>
      </c>
      <c r="BQ147" s="4" t="b">
        <f>Table2[[#This Row],[final_obs_date2]]&gt;Table2[[#This Row],[estHD]]+3</f>
        <v>0</v>
      </c>
      <c r="BR147" s="4" t="s">
        <v>58</v>
      </c>
      <c r="BS147" s="4" t="s">
        <v>28</v>
      </c>
      <c r="BT147" s="79" t="s">
        <v>1093</v>
      </c>
      <c r="BU147" s="26" t="s">
        <v>59</v>
      </c>
      <c r="BV147" s="79" t="s">
        <v>1429</v>
      </c>
      <c r="BW147" s="49"/>
      <c r="BX147" s="47"/>
      <c r="BY147" s="36" t="s">
        <v>564</v>
      </c>
    </row>
    <row r="148" spans="1:77" ht="15" hidden="1" thickBot="1" x14ac:dyDescent="0.4">
      <c r="A148" s="62">
        <v>10205</v>
      </c>
      <c r="B148" s="2" t="s">
        <v>22</v>
      </c>
      <c r="C148" s="44">
        <v>2019</v>
      </c>
      <c r="D148" s="3">
        <v>29.661359999999998</v>
      </c>
      <c r="E148" s="3">
        <v>-92.828800000000001</v>
      </c>
      <c r="F148" s="3">
        <v>10</v>
      </c>
      <c r="G148" s="3">
        <v>10</v>
      </c>
      <c r="H148" s="3" t="s">
        <v>26</v>
      </c>
      <c r="I148" s="43"/>
      <c r="J148" s="55">
        <v>46</v>
      </c>
      <c r="K148" s="4">
        <v>46</v>
      </c>
      <c r="L148" s="22">
        <f>IF(ISNUMBER(Table2[[#This Row],[estHD]]),ABS(Table2[[#This Row],[HD]]-Table2[[#This Row],[estHD]]),"NA")</f>
        <v>0</v>
      </c>
      <c r="M148" s="4" t="b">
        <f>Table2[[#This Row],[HD]]=Table2[[#This Row],[estHD]]</f>
        <v>1</v>
      </c>
      <c r="N148" s="4" t="str">
        <f>IF(ISNUMBER([1]!Table2[[#This Row],[hatch_date]]), [1]!Table2[[#This Row],[hatch_date]]-28, "NA")</f>
        <v>NA</v>
      </c>
      <c r="O148" s="31">
        <v>18</v>
      </c>
      <c r="P148" s="23">
        <f>IF(ISNUMBER(Table2[[#This Row],[nest_age1]]),ABS(Table2[[#This Row],[nest_age1]]-Table2[[#This Row],[nest_age_feb]]),"NA")</f>
        <v>0</v>
      </c>
      <c r="Q148" s="24">
        <f>IF(ISNUMBER(Table2[[#This Row],[final_obs_int2]]),ABS(Table2[[#This Row],[final_obs_int2]]-Table2[[#This Row],[final_obs_int_feb]]), "NA")</f>
        <v>0</v>
      </c>
      <c r="R148" s="24"/>
      <c r="S148" s="57" t="s">
        <v>88</v>
      </c>
      <c r="T148" s="57" t="str">
        <f>Table2[[#This Row],[camera_old]]</f>
        <v>N</v>
      </c>
      <c r="U148" s="24"/>
      <c r="V148" s="16" t="s">
        <v>24</v>
      </c>
      <c r="W148" s="16">
        <v>5</v>
      </c>
      <c r="X148" s="145">
        <v>4</v>
      </c>
      <c r="Y148" s="148" t="s">
        <v>31</v>
      </c>
      <c r="Z148" s="146" t="s">
        <v>31</v>
      </c>
      <c r="AA148" s="4" t="str">
        <f>Table2[[#This Row],[field_fate]]</f>
        <v>D</v>
      </c>
      <c r="AB148" s="4" t="str">
        <f>Table2[[#This Row],[field_fate2]]</f>
        <v>D</v>
      </c>
      <c r="AC148" s="4" t="str">
        <f>Table2[[#This Row],[field_fate3]]</f>
        <v>D</v>
      </c>
      <c r="AD148" s="103" t="str">
        <f>Table2[[#This Row],[field_fate4]]</f>
        <v>D</v>
      </c>
      <c r="AE148" s="103" t="str">
        <f>Table2[[#This Row],[field_fate5]]</f>
        <v>D</v>
      </c>
      <c r="AF148" s="103" t="str">
        <f>Table2[[#This Row],[field_fate5]]</f>
        <v>D</v>
      </c>
      <c r="AG148" s="103" t="str">
        <f>Table2[[#This Row],[field_fate5]]</f>
        <v>D</v>
      </c>
      <c r="AH148" s="103" t="str">
        <f>Table2[[#This Row],[field_fate2]]</f>
        <v>D</v>
      </c>
      <c r="AI148" s="103" t="str">
        <f>Table2[[#This Row],[field_fate8]]</f>
        <v>D</v>
      </c>
      <c r="AJ148" s="103" t="str">
        <f>Table2[[#This Row],[field_fate10]]</f>
        <v>D</v>
      </c>
      <c r="AK148" s="103" t="b">
        <f>Table2[[#This Row],[field_fate_feb]]=Table2[[#This Row],[field_fate10]]</f>
        <v>1</v>
      </c>
      <c r="AL148" s="43" t="s">
        <v>24</v>
      </c>
      <c r="AM148" s="43" t="b">
        <f>Table2[[#This Row],[cam_fate2]]="NA"</f>
        <v>1</v>
      </c>
      <c r="AN148" s="19" t="str">
        <f>Table2[[#This Row],[cam_fate1]]</f>
        <v>NA</v>
      </c>
      <c r="AO148" s="2" t="s">
        <v>31</v>
      </c>
      <c r="AP148" s="5" t="str">
        <f>Table2[[#This Row],[final_fate1]]</f>
        <v>D</v>
      </c>
      <c r="AQ148" s="6">
        <v>5</v>
      </c>
      <c r="AR148" s="7">
        <v>5</v>
      </c>
      <c r="AS148" s="7">
        <f>Table2[[#This Row],[final_obs_date]]-Table2[[#This Row],[init_date]]</f>
        <v>5</v>
      </c>
      <c r="AT148" s="7">
        <f>(Table2[[#This Row],[final_obs_date2]]-Table2[[#This Row],[estHD]])+16</f>
        <v>-7</v>
      </c>
      <c r="AU148" s="38">
        <v>4</v>
      </c>
      <c r="AV148" s="33">
        <v>4</v>
      </c>
      <c r="AW148" s="33">
        <f>Table2[[#This Row],[final_obs_date2]]-Table2[[#This Row],[pen_obs_date]]</f>
        <v>23</v>
      </c>
      <c r="AX148" s="67">
        <v>23</v>
      </c>
      <c r="AY148" s="6">
        <f>Table2[[#This Row],[final_obs_date]]</f>
        <v>23</v>
      </c>
      <c r="AZ148" s="6"/>
      <c r="BA148" s="91" t="s">
        <v>23</v>
      </c>
      <c r="BB148" s="6" t="b">
        <f>Table2[[#This Row],[final_obs_date]]&lt;(Table2[[#This Row],[estHD]]-2)</f>
        <v>1</v>
      </c>
      <c r="BC148" s="24">
        <f>IF(Table2[[#This Row],[field_fate]]="H",1,0)</f>
        <v>0</v>
      </c>
      <c r="BD148" s="16">
        <f>IF(Table2[[#This Row],[cam_fate2]]="H",1,0)</f>
        <v>0</v>
      </c>
      <c r="BE148" s="6" t="b">
        <f>NOT(Table2[[#This Row],[HF_C]]=Table2[[#This Row],[HF]])</f>
        <v>0</v>
      </c>
      <c r="BF148" s="6" t="b">
        <f>NOT(Table2[[#This Row],[cam_fate2]]=Table2[[#This Row],[field_fate3]])</f>
        <v>1</v>
      </c>
      <c r="BG148" s="6" t="b">
        <f>OR(Table2[[#This Row],[field_fate3]]="U",Table2[[#This Row],[field_fate3]]="U-H")</f>
        <v>0</v>
      </c>
      <c r="BH148" s="8">
        <v>19</v>
      </c>
      <c r="BI148" s="8">
        <v>19</v>
      </c>
      <c r="BJ148" s="14">
        <f>IF(ISTEXT(Table2[[#This Row],[j.cam]]),Table2[[#This Row],[j]],Table2[[#This Row],[j.cam]])</f>
        <v>19</v>
      </c>
      <c r="BK148" s="9">
        <v>23</v>
      </c>
      <c r="BL148" s="15">
        <f>IF(ISTEXT(Table2[[#This Row],[k.cam]]), Table2[[#This Row],[k]], Table2[[#This Row],[k.cam]])</f>
        <v>23</v>
      </c>
      <c r="BM148" s="4" t="s">
        <v>24</v>
      </c>
      <c r="BN148" s="8" t="s">
        <v>24</v>
      </c>
      <c r="BO148" s="4">
        <v>2</v>
      </c>
      <c r="BP148" s="4">
        <f>Table2[[#This Row],[final_obs_date]]-Table2[[#This Row],[i]]</f>
        <v>4</v>
      </c>
      <c r="BQ148" s="4" t="b">
        <f>Table2[[#This Row],[final_obs_date2]]&gt;Table2[[#This Row],[estHD]]+3</f>
        <v>0</v>
      </c>
      <c r="BR148" s="4" t="s">
        <v>58</v>
      </c>
      <c r="BS148" s="4" t="s">
        <v>28</v>
      </c>
      <c r="BT148" s="79" t="s">
        <v>1093</v>
      </c>
      <c r="BU148" s="26" t="s">
        <v>59</v>
      </c>
      <c r="BV148" s="79" t="s">
        <v>1429</v>
      </c>
      <c r="BW148" s="49"/>
      <c r="BX148" s="47"/>
      <c r="BY148" s="36" t="s">
        <v>565</v>
      </c>
    </row>
    <row r="149" spans="1:77" ht="24.5" thickBot="1" x14ac:dyDescent="0.4">
      <c r="A149" s="130">
        <v>10206</v>
      </c>
      <c r="B149" s="2" t="s">
        <v>35</v>
      </c>
      <c r="C149" s="44">
        <v>2019</v>
      </c>
      <c r="D149" s="3">
        <v>29.77008</v>
      </c>
      <c r="E149" s="3">
        <v>-93.177430000000001</v>
      </c>
      <c r="F149" s="3">
        <v>15</v>
      </c>
      <c r="G149" s="3">
        <v>15</v>
      </c>
      <c r="H149" s="3" t="s">
        <v>26</v>
      </c>
      <c r="I149" s="43"/>
      <c r="J149" s="116">
        <v>40</v>
      </c>
      <c r="K149" s="4">
        <v>40</v>
      </c>
      <c r="L149" s="22">
        <f>IF(ISNUMBER(Table2[[#This Row],[estHD]]),ABS(Table2[[#This Row],[HD]]-Table2[[#This Row],[estHD]]),"NA")</f>
        <v>0</v>
      </c>
      <c r="M149" s="4" t="b">
        <f>Table2[[#This Row],[HD]]=Table2[[#This Row],[estHD]]</f>
        <v>1</v>
      </c>
      <c r="N149" s="4">
        <f>IF(ISNUMBER(Table2[[#This Row],[HD]]),Table2[[#This Row],[HD]]-19,"NA")</f>
        <v>21</v>
      </c>
      <c r="O149" s="89">
        <v>21</v>
      </c>
      <c r="P149" s="23" t="e">
        <f>IF(ISNUMBER(Table2[[#This Row],[nest_age1]]),ABS(Table2[[#This Row],[nest_age1]]-Table2[[#This Row],[nest_age_feb]]),"NA")</f>
        <v>#VALUE!</v>
      </c>
      <c r="Q149" s="24">
        <f>IF(ISNUMBER(Table2[[#This Row],[final_obs_int2]]),ABS(Table2[[#This Row],[final_obs_int2]]-Table2[[#This Row],[final_obs_int_feb]]), "NA")</f>
        <v>0</v>
      </c>
      <c r="R149" s="24"/>
      <c r="S149" s="21" t="s">
        <v>75</v>
      </c>
      <c r="T149" s="21" t="str">
        <f>Table2[[#This Row],[camera_old]]</f>
        <v>Y</v>
      </c>
      <c r="U149" s="25"/>
      <c r="V149" s="16" t="s">
        <v>24</v>
      </c>
      <c r="W149" s="16" t="s">
        <v>24</v>
      </c>
      <c r="X149" s="145">
        <v>5</v>
      </c>
      <c r="Y149" s="153" t="s">
        <v>104</v>
      </c>
      <c r="Z149" s="146" t="s">
        <v>104</v>
      </c>
      <c r="AA149" s="5" t="s">
        <v>37</v>
      </c>
      <c r="AB149" s="2" t="str">
        <f>Table2[[#This Row],[field_fate]]</f>
        <v>U-H</v>
      </c>
      <c r="AC149" s="127" t="str">
        <f>Table2[[#This Row],[field_fate3]]</f>
        <v>U-H</v>
      </c>
      <c r="AD149" s="142" t="s">
        <v>90</v>
      </c>
      <c r="AE149" s="110" t="s">
        <v>104</v>
      </c>
      <c r="AF149" s="110" t="str">
        <f>Table2[[#This Row],[field_fate5]]</f>
        <v>U</v>
      </c>
      <c r="AG149" s="110" t="s">
        <v>37</v>
      </c>
      <c r="AH149" s="110" t="str">
        <f>Table2[[#This Row],[field_fate2]]</f>
        <v>H</v>
      </c>
      <c r="AI149" s="162" t="s">
        <v>37</v>
      </c>
      <c r="AJ149" s="110" t="s">
        <v>37</v>
      </c>
      <c r="AK149" s="110" t="b">
        <f>Table2[[#This Row],[field_fate_feb]]=Table2[[#This Row],[field_fate10]]</f>
        <v>0</v>
      </c>
      <c r="AL149" s="99" t="s">
        <v>36</v>
      </c>
      <c r="AM149" s="161" t="b">
        <f>Table2[[#This Row],[cam_fate2]]="NA"</f>
        <v>0</v>
      </c>
      <c r="AN149" s="159" t="str">
        <f>Table2[[#This Row],[cam_fate1]]</f>
        <v>A</v>
      </c>
      <c r="AO149" s="2" t="s">
        <v>36</v>
      </c>
      <c r="AP149" s="5" t="str">
        <f>Table2[[#This Row],[final_fate1]]</f>
        <v>A</v>
      </c>
      <c r="AQ149" s="6">
        <v>29</v>
      </c>
      <c r="AR149" s="72">
        <v>29</v>
      </c>
      <c r="AS149" s="155">
        <f>Table2[[#This Row],[final_obs_date]]-Table2[[#This Row],[init_date]]</f>
        <v>28</v>
      </c>
      <c r="AT149" s="155">
        <f>(Table2[[#This Row],[final_obs_date2]]-Table2[[#This Row],[estHD]])+19</f>
        <v>28</v>
      </c>
      <c r="AU149" s="38">
        <v>5</v>
      </c>
      <c r="AV149" s="33">
        <v>5</v>
      </c>
      <c r="AW149" s="33">
        <f>Table2[[#This Row],[final_obs_date2]]-Table2[[#This Row],[pen_obs_date]]</f>
        <v>5</v>
      </c>
      <c r="AX149" s="74">
        <v>49</v>
      </c>
      <c r="AY149" s="158">
        <f>Table2[[#This Row],[final_obs_date]]</f>
        <v>49</v>
      </c>
      <c r="AZ149" s="6">
        <v>44</v>
      </c>
      <c r="BA149" s="92" t="s">
        <v>47</v>
      </c>
      <c r="BB149" s="86" t="b">
        <f>Table2[[#This Row],[final_obs_date]]&lt;(Table2[[#This Row],[estHD]]-2)</f>
        <v>0</v>
      </c>
      <c r="BC149" s="83">
        <v>7</v>
      </c>
      <c r="BD149" s="82">
        <f>IF(Table2[[#This Row],[cam_fate2]]="H",1,0)</f>
        <v>0</v>
      </c>
      <c r="BE149" s="84" t="b">
        <f>NOT(Table2[[#This Row],[HF_C]]=Table2[[#This Row],[HF]])</f>
        <v>1</v>
      </c>
      <c r="BF149" s="85" t="b">
        <f>NOT(Table2[[#This Row],[cam_fate2]]=Table2[[#This Row],[field_fate3]])</f>
        <v>1</v>
      </c>
      <c r="BG149" s="85" t="b">
        <f>OR(Table2[[#This Row],[field_fate3]]="U",Table2[[#This Row],[field_fate3]]="U-H")</f>
        <v>1</v>
      </c>
      <c r="BH149" s="8">
        <v>24</v>
      </c>
      <c r="BI149" s="8">
        <v>50</v>
      </c>
      <c r="BJ149" s="81">
        <v>45</v>
      </c>
      <c r="BK149" s="8">
        <v>50</v>
      </c>
      <c r="BL149" s="14">
        <f>IF(ISTEXT(Table2[[#This Row],[k.cam]]), Table2[[#This Row],[k]], Table2[[#This Row],[k.cam]])</f>
        <v>50</v>
      </c>
      <c r="BM149" s="87" t="s">
        <v>24</v>
      </c>
      <c r="BN149" s="87" t="s">
        <v>24</v>
      </c>
      <c r="BO149" s="4">
        <v>6</v>
      </c>
      <c r="BP149" s="4">
        <f>Table2[[#This Row],[final_obs_date]]-Table2[[#This Row],[i]]</f>
        <v>25</v>
      </c>
      <c r="BQ149" s="4" t="b">
        <f>Table2[[#This Row],[final_obs_date2]]&gt;Table2[[#This Row],[estHD]]+3</f>
        <v>1</v>
      </c>
      <c r="BR149" s="3" t="s">
        <v>58</v>
      </c>
      <c r="BS149" s="28" t="s">
        <v>58</v>
      </c>
      <c r="BT149" s="125" t="s">
        <v>1094</v>
      </c>
      <c r="BU149" s="123" t="s">
        <v>161</v>
      </c>
      <c r="BV149" s="88" t="s">
        <v>1495</v>
      </c>
      <c r="BW149" s="70" t="s">
        <v>1701</v>
      </c>
      <c r="BX149" s="36" t="s">
        <v>1703</v>
      </c>
      <c r="BY149" s="36" t="s">
        <v>566</v>
      </c>
    </row>
    <row r="150" spans="1:77" hidden="1" x14ac:dyDescent="0.35">
      <c r="A150" s="62">
        <v>10208</v>
      </c>
      <c r="B150" s="2" t="s">
        <v>22</v>
      </c>
      <c r="C150" s="44">
        <v>2019</v>
      </c>
      <c r="D150" s="3">
        <v>29.661999999999999</v>
      </c>
      <c r="E150" s="3">
        <v>-92.829949999999997</v>
      </c>
      <c r="F150" s="3">
        <v>10</v>
      </c>
      <c r="G150" s="3">
        <v>5</v>
      </c>
      <c r="H150" s="3" t="s">
        <v>26</v>
      </c>
      <c r="I150" s="43"/>
      <c r="J150" s="55">
        <v>45</v>
      </c>
      <c r="K150" s="4">
        <v>45</v>
      </c>
      <c r="L150" s="22">
        <f>IF(ISNUMBER(Table2[[#This Row],[estHD]]),ABS(Table2[[#This Row],[HD]]-Table2[[#This Row],[estHD]]),"NA")</f>
        <v>0</v>
      </c>
      <c r="M150" s="4" t="b">
        <f>Table2[[#This Row],[HD]]=Table2[[#This Row],[estHD]]</f>
        <v>1</v>
      </c>
      <c r="N150" s="4" t="str">
        <f>IF(ISNUMBER([1]!Table2[[#This Row],[hatch_date]]), [1]!Table2[[#This Row],[hatch_date]]-28, "NA")</f>
        <v>NA</v>
      </c>
      <c r="O150" s="31">
        <v>17</v>
      </c>
      <c r="P150" s="23">
        <f>IF(ISNUMBER(Table2[[#This Row],[nest_age1]]),ABS(Table2[[#This Row],[nest_age1]]-Table2[[#This Row],[nest_age_feb]]),"NA")</f>
        <v>0</v>
      </c>
      <c r="Q150" s="24">
        <f>IF(ISNUMBER(Table2[[#This Row],[final_obs_int2]]),ABS(Table2[[#This Row],[final_obs_int2]]-Table2[[#This Row],[final_obs_int_feb]]), "NA")</f>
        <v>5</v>
      </c>
      <c r="R150" s="24"/>
      <c r="S150" s="57" t="s">
        <v>88</v>
      </c>
      <c r="T150" s="57" t="str">
        <f>Table2[[#This Row],[camera_old]]</f>
        <v>N</v>
      </c>
      <c r="U150" s="24"/>
      <c r="V150" s="16" t="s">
        <v>24</v>
      </c>
      <c r="W150" s="16">
        <v>14</v>
      </c>
      <c r="X150" s="145">
        <v>3</v>
      </c>
      <c r="Y150" s="149" t="s">
        <v>25</v>
      </c>
      <c r="Z150" s="146" t="s">
        <v>25</v>
      </c>
      <c r="AA150" s="4" t="str">
        <f>Table2[[#This Row],[field_fate]]</f>
        <v>S</v>
      </c>
      <c r="AB150" s="4" t="str">
        <f>Table2[[#This Row],[field_fate2]]</f>
        <v>S</v>
      </c>
      <c r="AC150" s="4" t="str">
        <f>Table2[[#This Row],[field_fate3]]</f>
        <v>S</v>
      </c>
      <c r="AD150" s="101" t="str">
        <f>Table2[[#This Row],[field_fate4]]</f>
        <v>S</v>
      </c>
      <c r="AE150" s="101" t="str">
        <f>Table2[[#This Row],[field_fate5]]</f>
        <v>S</v>
      </c>
      <c r="AF150" s="101" t="str">
        <f>Table2[[#This Row],[field_fate5]]</f>
        <v>S</v>
      </c>
      <c r="AG150" s="101" t="str">
        <f>Table2[[#This Row],[field_fate5]]</f>
        <v>S</v>
      </c>
      <c r="AH150" s="101" t="str">
        <f>Table2[[#This Row],[field_fate2]]</f>
        <v>S</v>
      </c>
      <c r="AI150" s="101" t="str">
        <f>Table2[[#This Row],[field_fate8]]</f>
        <v>S</v>
      </c>
      <c r="AJ150" s="101" t="str">
        <f>Table2[[#This Row],[field_fate10]]</f>
        <v>S</v>
      </c>
      <c r="AK150" s="101" t="b">
        <f>Table2[[#This Row],[field_fate_feb]]=Table2[[#This Row],[field_fate10]]</f>
        <v>1</v>
      </c>
      <c r="AL150" s="43" t="s">
        <v>24</v>
      </c>
      <c r="AM150" s="43" t="b">
        <f>Table2[[#This Row],[cam_fate2]]="NA"</f>
        <v>1</v>
      </c>
      <c r="AN150" s="19" t="str">
        <f>Table2[[#This Row],[cam_fate1]]</f>
        <v>NA</v>
      </c>
      <c r="AO150" s="2" t="s">
        <v>25</v>
      </c>
      <c r="AP150" s="5" t="str">
        <f>Table2[[#This Row],[final_fate1]]</f>
        <v>S</v>
      </c>
      <c r="AQ150" s="6">
        <v>14</v>
      </c>
      <c r="AR150" s="7">
        <v>14</v>
      </c>
      <c r="AS150" s="7">
        <f>Table2[[#This Row],[final_obs_date]]-Table2[[#This Row],[init_date]]</f>
        <v>14</v>
      </c>
      <c r="AT150" s="7">
        <f>(Table2[[#This Row],[final_obs_date2]]-Table2[[#This Row],[estHD]])+16</f>
        <v>2</v>
      </c>
      <c r="AU150" s="39">
        <v>3</v>
      </c>
      <c r="AV150" s="33">
        <v>8</v>
      </c>
      <c r="AW150" s="33">
        <f>Table2[[#This Row],[final_obs_date2]]-Table2[[#This Row],[pen_obs_date]]</f>
        <v>31</v>
      </c>
      <c r="AX150" s="67">
        <v>31</v>
      </c>
      <c r="AY150" s="6">
        <f>Table2[[#This Row],[final_obs_date]]</f>
        <v>31</v>
      </c>
      <c r="AZ150" s="6"/>
      <c r="BA150" s="91" t="s">
        <v>23</v>
      </c>
      <c r="BB150" s="6" t="b">
        <f>Table2[[#This Row],[final_obs_date]]&lt;(Table2[[#This Row],[estHD]]-2)</f>
        <v>1</v>
      </c>
      <c r="BC150" s="24">
        <f>IF(Table2[[#This Row],[field_fate]]="H",1,0)</f>
        <v>0</v>
      </c>
      <c r="BD150" s="16">
        <f>IF(Table2[[#This Row],[cam_fate2]]="H",1,0)</f>
        <v>0</v>
      </c>
      <c r="BE150" s="6" t="b">
        <f>NOT(Table2[[#This Row],[HF_C]]=Table2[[#This Row],[HF]])</f>
        <v>0</v>
      </c>
      <c r="BF150" s="6" t="b">
        <f>NOT(Table2[[#This Row],[cam_fate2]]=Table2[[#This Row],[field_fate3]])</f>
        <v>1</v>
      </c>
      <c r="BG150" s="6" t="b">
        <f>OR(Table2[[#This Row],[field_fate3]]="U",Table2[[#This Row],[field_fate3]]="U-H")</f>
        <v>0</v>
      </c>
      <c r="BH150" s="8">
        <v>19</v>
      </c>
      <c r="BI150" s="8">
        <v>23</v>
      </c>
      <c r="BJ150" s="14">
        <f>IF(ISTEXT(Table2[[#This Row],[j.cam]]),Table2[[#This Row],[j]],Table2[[#This Row],[j.cam]])</f>
        <v>23</v>
      </c>
      <c r="BK150" s="9">
        <v>31</v>
      </c>
      <c r="BL150" s="15">
        <f>IF(ISTEXT(Table2[[#This Row],[k.cam]]), Table2[[#This Row],[k]], Table2[[#This Row],[k.cam]])</f>
        <v>31</v>
      </c>
      <c r="BM150" s="4" t="s">
        <v>24</v>
      </c>
      <c r="BN150" s="8" t="s">
        <v>24</v>
      </c>
      <c r="BO150" s="4">
        <v>4</v>
      </c>
      <c r="BP150" s="4">
        <f>Table2[[#This Row],[final_obs_date]]-Table2[[#This Row],[i]]</f>
        <v>12</v>
      </c>
      <c r="BQ150" s="4" t="b">
        <f>Table2[[#This Row],[final_obs_date2]]&gt;Table2[[#This Row],[estHD]]+3</f>
        <v>0</v>
      </c>
      <c r="BR150" s="11" t="s">
        <v>62</v>
      </c>
      <c r="BS150" s="4" t="s">
        <v>28</v>
      </c>
      <c r="BT150" s="79" t="s">
        <v>1095</v>
      </c>
      <c r="BU150" s="26" t="s">
        <v>162</v>
      </c>
      <c r="BV150" s="79" t="s">
        <v>1496</v>
      </c>
      <c r="BW150" s="49"/>
      <c r="BX150" s="47"/>
      <c r="BY150" s="36" t="s">
        <v>505</v>
      </c>
    </row>
    <row r="151" spans="1:77" ht="15" hidden="1" x14ac:dyDescent="0.35">
      <c r="A151" s="62">
        <v>10210</v>
      </c>
      <c r="B151" s="2" t="s">
        <v>35</v>
      </c>
      <c r="C151" s="44">
        <v>2019</v>
      </c>
      <c r="D151" s="3">
        <v>29.767990000000001</v>
      </c>
      <c r="E151" s="3">
        <v>-93.165949999999995</v>
      </c>
      <c r="F151" s="3">
        <v>5</v>
      </c>
      <c r="G151" s="3">
        <v>5</v>
      </c>
      <c r="H151" s="3" t="s">
        <v>26</v>
      </c>
      <c r="I151" s="43"/>
      <c r="J151" s="116">
        <v>42</v>
      </c>
      <c r="K151" s="4">
        <v>44</v>
      </c>
      <c r="L151" s="22">
        <f>IF(ISNUMBER(Table2[[#This Row],[estHD]]),ABS(Table2[[#This Row],[HD]]-Table2[[#This Row],[estHD]]),"NA")</f>
        <v>2</v>
      </c>
      <c r="M151" s="4" t="b">
        <f>Table2[[#This Row],[HD]]=Table2[[#This Row],[estHD]]</f>
        <v>0</v>
      </c>
      <c r="N151" s="4">
        <f>IF(ISNUMBER(Table2[[#This Row],[HD]]),Table2[[#This Row],[HD]]-19,"NA")</f>
        <v>25</v>
      </c>
      <c r="O151" s="31">
        <v>25</v>
      </c>
      <c r="P151" s="23">
        <f>IF(ISNUMBER(Table2[[#This Row],[nest_age1]]),ABS(Table2[[#This Row],[nest_age1]]-Table2[[#This Row],[nest_age_feb]]),"NA")</f>
        <v>2</v>
      </c>
      <c r="Q151" s="24">
        <f>IF(ISNUMBER(Table2[[#This Row],[final_obs_int2]]),ABS(Table2[[#This Row],[final_obs_int2]]-Table2[[#This Row],[final_obs_int_feb]]), "NA")</f>
        <v>0</v>
      </c>
      <c r="R151" s="24">
        <f>(Table2[[#This Row],[k_adj]]-Table2[[#This Row],[estHD]])/Table2[[#This Row],[estHD]]</f>
        <v>4.7619047619047616E-2</v>
      </c>
      <c r="S151" s="20" t="s">
        <v>75</v>
      </c>
      <c r="T151" s="20" t="str">
        <f>Table2[[#This Row],[camera_old]]</f>
        <v>Y</v>
      </c>
      <c r="U151" s="22" t="s">
        <v>88</v>
      </c>
      <c r="V151" s="16" t="s">
        <v>37</v>
      </c>
      <c r="W151" s="16">
        <v>26</v>
      </c>
      <c r="X151" s="145">
        <v>5</v>
      </c>
      <c r="Y151" s="147" t="s">
        <v>90</v>
      </c>
      <c r="Z151" s="146" t="s">
        <v>90</v>
      </c>
      <c r="AA151" s="4" t="str">
        <f>Table2[[#This Row],[field_fate]]</f>
        <v>U</v>
      </c>
      <c r="AB151" s="65" t="str">
        <f>Table2[[#This Row],[field_fate2]]</f>
        <v>U</v>
      </c>
      <c r="AC151" s="106" t="str">
        <f>Table2[[#This Row],[field_fate3]]</f>
        <v>U</v>
      </c>
      <c r="AD151" s="140" t="str">
        <f>Table2[[#This Row],[field_fate4]]</f>
        <v>U</v>
      </c>
      <c r="AE151" s="134" t="str">
        <f>Table2[[#This Row],[field_fate5]]</f>
        <v>U</v>
      </c>
      <c r="AF151" s="93" t="str">
        <f>Table2[[#This Row],[field_fate5]]</f>
        <v>U</v>
      </c>
      <c r="AG151" s="93" t="str">
        <f>Table2[[#This Row],[field_fate5]]</f>
        <v>U</v>
      </c>
      <c r="AH151" s="93" t="str">
        <f>Table2[[#This Row],[field_fate2]]</f>
        <v>U</v>
      </c>
      <c r="AI151" s="93" t="str">
        <f>Table2[[#This Row],[field_fate8]]</f>
        <v>U</v>
      </c>
      <c r="AJ151" s="93" t="str">
        <f>Table2[[#This Row],[field_fate10]]</f>
        <v>U</v>
      </c>
      <c r="AK151" s="93" t="b">
        <f>Table2[[#This Row],[field_fate_feb]]=Table2[[#This Row],[field_fate10]]</f>
        <v>1</v>
      </c>
      <c r="AL151" s="43" t="s">
        <v>37</v>
      </c>
      <c r="AM151" s="160" t="b">
        <f>Table2[[#This Row],[cam_fate2]]="NA"</f>
        <v>0</v>
      </c>
      <c r="AN151" s="19" t="str">
        <f>Table2[[#This Row],[cam_fate1]]</f>
        <v>H</v>
      </c>
      <c r="AO151" s="2" t="s">
        <v>37</v>
      </c>
      <c r="AP151" s="5" t="str">
        <f>Table2[[#This Row],[final_fate1]]</f>
        <v>H</v>
      </c>
      <c r="AQ151" s="6">
        <v>24</v>
      </c>
      <c r="AR151" s="72">
        <v>26</v>
      </c>
      <c r="AS151" s="155">
        <f>Table2[[#This Row],[final_obs_date]]-Table2[[#This Row],[init_date]]</f>
        <v>24</v>
      </c>
      <c r="AT151" s="155">
        <f>(Table2[[#This Row],[final_obs_date2]]-Table2[[#This Row],[estHD]])+19</f>
        <v>26</v>
      </c>
      <c r="AU151" s="38">
        <v>5</v>
      </c>
      <c r="AV151" s="33">
        <v>5</v>
      </c>
      <c r="AW151" s="33">
        <f>Table2[[#This Row],[final_obs_date2]]-Table2[[#This Row],[pen_obs_date]]</f>
        <v>5</v>
      </c>
      <c r="AX151" s="67">
        <v>49</v>
      </c>
      <c r="AY151" s="157">
        <f>Table2[[#This Row],[final_obs_date]]</f>
        <v>49</v>
      </c>
      <c r="AZ151" s="6">
        <v>44</v>
      </c>
      <c r="BA151" s="92" t="s">
        <v>47</v>
      </c>
      <c r="BB151" s="6" t="b">
        <f>Table2[[#This Row],[final_obs_date]]&lt;(Table2[[#This Row],[estHD]]-2)</f>
        <v>0</v>
      </c>
      <c r="BC151" s="32">
        <v>7</v>
      </c>
      <c r="BD151" s="16">
        <f>IF(Table2[[#This Row],[cam_fate2]]="H",1,0)</f>
        <v>1</v>
      </c>
      <c r="BE151" s="6" t="b">
        <f>NOT(Table2[[#This Row],[HF_C]]=Table2[[#This Row],[HF]])</f>
        <v>1</v>
      </c>
      <c r="BF151" s="38" t="b">
        <f>NOT(Table2[[#This Row],[cam_fate2]]=Table2[[#This Row],[field_fate3]])</f>
        <v>1</v>
      </c>
      <c r="BG151" s="38" t="b">
        <f>OR(Table2[[#This Row],[field_fate3]]="U",Table2[[#This Row],[field_fate3]]="U-H")</f>
        <v>1</v>
      </c>
      <c r="BH151" s="8">
        <v>23</v>
      </c>
      <c r="BI151" s="8">
        <v>44</v>
      </c>
      <c r="BJ151" s="14">
        <f>IF(ISTEXT(Table2[[#This Row],[j.cam]]),Table2[[#This Row],[j]],Table2[[#This Row],[j.cam]])</f>
        <v>44</v>
      </c>
      <c r="BK151" s="8">
        <v>49</v>
      </c>
      <c r="BL151" s="14">
        <f>IF(ISTEXT(Table2[[#This Row],[k.cam]]), Table2[[#This Row],[k]], Table2[[#This Row],[k.cam]])</f>
        <v>44</v>
      </c>
      <c r="BM151" s="4">
        <v>44</v>
      </c>
      <c r="BN151" s="8">
        <v>44</v>
      </c>
      <c r="BO151" s="4">
        <v>6</v>
      </c>
      <c r="BP151" s="4">
        <f>Table2[[#This Row],[final_obs_date]]-Table2[[#This Row],[i]]</f>
        <v>26</v>
      </c>
      <c r="BQ151" s="4" t="b">
        <f>Table2[[#This Row],[final_obs_date2]]&gt;Table2[[#This Row],[estHD]]+3</f>
        <v>1</v>
      </c>
      <c r="BR151" s="3" t="s">
        <v>33</v>
      </c>
      <c r="BS151" s="3" t="s">
        <v>45</v>
      </c>
      <c r="BT151" s="125" t="s">
        <v>1094</v>
      </c>
      <c r="BU151" s="4" t="s">
        <v>163</v>
      </c>
      <c r="BV151" s="79" t="s">
        <v>1495</v>
      </c>
      <c r="BW151" s="69"/>
      <c r="BX151" s="36" t="s">
        <v>992</v>
      </c>
      <c r="BY151" s="47" t="s">
        <v>567</v>
      </c>
    </row>
    <row r="152" spans="1:77" hidden="1" x14ac:dyDescent="0.35">
      <c r="A152" s="62">
        <v>10211</v>
      </c>
      <c r="B152" s="2" t="s">
        <v>35</v>
      </c>
      <c r="C152" s="44">
        <v>2019</v>
      </c>
      <c r="D152" s="3">
        <v>29.76784</v>
      </c>
      <c r="E152" s="3">
        <v>-93.165289999999999</v>
      </c>
      <c r="F152" s="3">
        <v>5</v>
      </c>
      <c r="G152" s="3">
        <v>5</v>
      </c>
      <c r="H152" s="3" t="s">
        <v>26</v>
      </c>
      <c r="I152" s="43"/>
      <c r="J152" s="116">
        <v>40</v>
      </c>
      <c r="K152" s="4">
        <v>43</v>
      </c>
      <c r="L152" s="22">
        <f>IF(ISNUMBER(Table2[[#This Row],[estHD]]),ABS(Table2[[#This Row],[HD]]-Table2[[#This Row],[estHD]]),"NA")</f>
        <v>3</v>
      </c>
      <c r="M152" s="4" t="b">
        <f>Table2[[#This Row],[HD]]=Table2[[#This Row],[estHD]]</f>
        <v>0</v>
      </c>
      <c r="N152" s="4">
        <f>IF(ISNUMBER(Table2[[#This Row],[HD]]),Table2[[#This Row],[HD]]-19,"NA")</f>
        <v>24</v>
      </c>
      <c r="O152" s="31">
        <v>24</v>
      </c>
      <c r="P152" s="23">
        <f>IF(ISNUMBER(Table2[[#This Row],[nest_age1]]),ABS(Table2[[#This Row],[nest_age1]]-Table2[[#This Row],[nest_age_feb]]),"NA")</f>
        <v>3</v>
      </c>
      <c r="Q152" s="24">
        <f>IF(ISNUMBER(Table2[[#This Row],[final_obs_int2]]),ABS(Table2[[#This Row],[final_obs_int2]]-Table2[[#This Row],[final_obs_int_feb]]), "NA")</f>
        <v>3</v>
      </c>
      <c r="R152" s="24"/>
      <c r="S152" s="21" t="s">
        <v>448</v>
      </c>
      <c r="T152" s="21" t="s">
        <v>75</v>
      </c>
      <c r="U152" s="25"/>
      <c r="V152" s="16" t="s">
        <v>24</v>
      </c>
      <c r="W152" s="16">
        <v>23</v>
      </c>
      <c r="X152" s="145">
        <v>4</v>
      </c>
      <c r="Y152" s="147" t="s">
        <v>37</v>
      </c>
      <c r="Z152" s="146" t="s">
        <v>37</v>
      </c>
      <c r="AA152" s="4" t="str">
        <f>Table2[[#This Row],[field_fate]]</f>
        <v>H</v>
      </c>
      <c r="AB152" s="4" t="str">
        <f>Table2[[#This Row],[field_fate2]]</f>
        <v>H</v>
      </c>
      <c r="AC152" s="94" t="str">
        <f>Table2[[#This Row],[field_fate3]]</f>
        <v>H</v>
      </c>
      <c r="AD152" s="94" t="str">
        <f>Table2[[#This Row],[field_fate4]]</f>
        <v>H</v>
      </c>
      <c r="AE152" s="94" t="str">
        <f>Table2[[#This Row],[field_fate5]]</f>
        <v>H</v>
      </c>
      <c r="AF152" s="94" t="str">
        <f>Table2[[#This Row],[field_fate5]]</f>
        <v>H</v>
      </c>
      <c r="AG152" s="94" t="str">
        <f>Table2[[#This Row],[field_fate5]]</f>
        <v>H</v>
      </c>
      <c r="AH152" s="94" t="str">
        <f>Table2[[#This Row],[field_fate2]]</f>
        <v>H</v>
      </c>
      <c r="AI152" s="94" t="str">
        <f>Table2[[#This Row],[field_fate8]]</f>
        <v>H</v>
      </c>
      <c r="AJ152" s="94" t="str">
        <f>Table2[[#This Row],[field_fate10]]</f>
        <v>H</v>
      </c>
      <c r="AK152" s="94" t="b">
        <f>Table2[[#This Row],[field_fate_feb]]=Table2[[#This Row],[field_fate10]]</f>
        <v>1</v>
      </c>
      <c r="AL152" s="43" t="s">
        <v>37</v>
      </c>
      <c r="AM152" s="160" t="b">
        <f>Table2[[#This Row],[cam_fate2]]="NA"</f>
        <v>0</v>
      </c>
      <c r="AN152" s="19" t="str">
        <f>Table2[[#This Row],[cam_fate1]]</f>
        <v>H</v>
      </c>
      <c r="AO152" s="2" t="s">
        <v>37</v>
      </c>
      <c r="AP152" s="5" t="str">
        <f>Table2[[#This Row],[final_fate1]]</f>
        <v>H</v>
      </c>
      <c r="AQ152" s="6">
        <v>20</v>
      </c>
      <c r="AR152" s="72">
        <v>23</v>
      </c>
      <c r="AS152" s="155">
        <f>Table2[[#This Row],[final_obs_date]]-Table2[[#This Row],[init_date]]</f>
        <v>20</v>
      </c>
      <c r="AT152" s="155">
        <f>(Table2[[#This Row],[final_obs_date2]]-Table2[[#This Row],[estHD]])+19</f>
        <v>23</v>
      </c>
      <c r="AU152" s="38">
        <v>1</v>
      </c>
      <c r="AV152" s="33">
        <v>1</v>
      </c>
      <c r="AW152" s="33">
        <f>Table2[[#This Row],[final_obs_date2]]-Table2[[#This Row],[pen_obs_date]]</f>
        <v>4</v>
      </c>
      <c r="AX152" s="67">
        <v>44</v>
      </c>
      <c r="AY152" s="157">
        <f>Table2[[#This Row],[final_obs_date]]</f>
        <v>44</v>
      </c>
      <c r="AZ152" s="6">
        <v>40</v>
      </c>
      <c r="BA152" s="92" t="s">
        <v>47</v>
      </c>
      <c r="BB152" s="6" t="b">
        <f>Table2[[#This Row],[final_obs_date]]&lt;(Table2[[#This Row],[estHD]]-2)</f>
        <v>0</v>
      </c>
      <c r="BC152" s="25">
        <f>IF(Table2[[#This Row],[field_fate]]="H",1,0)</f>
        <v>1</v>
      </c>
      <c r="BD152" s="16">
        <f>IF(Table2[[#This Row],[cam_fate2]]="H",1,0)</f>
        <v>1</v>
      </c>
      <c r="BE152" s="6" t="b">
        <f>NOT(Table2[[#This Row],[HF_C]]=Table2[[#This Row],[HF]])</f>
        <v>0</v>
      </c>
      <c r="BF152" s="38" t="b">
        <f>NOT(Table2[[#This Row],[cam_fate2]]=Table2[[#This Row],[field_fate3]])</f>
        <v>0</v>
      </c>
      <c r="BG152" s="38" t="b">
        <f>OR(Table2[[#This Row],[field_fate3]]="U",Table2[[#This Row],[field_fate3]]="U-H")</f>
        <v>0</v>
      </c>
      <c r="BH152" s="8">
        <v>23</v>
      </c>
      <c r="BI152" s="8">
        <v>43</v>
      </c>
      <c r="BJ152" s="14">
        <f>IF(ISTEXT(Table2[[#This Row],[j.cam]]),Table2[[#This Row],[j]],Table2[[#This Row],[j.cam]])</f>
        <v>43</v>
      </c>
      <c r="BK152" s="8">
        <v>43</v>
      </c>
      <c r="BL152" s="14">
        <f>IF(ISTEXT(Table2[[#This Row],[k.cam]]), Table2[[#This Row],[k]], Table2[[#This Row],[k.cam]])</f>
        <v>43</v>
      </c>
      <c r="BM152" s="4" t="s">
        <v>24</v>
      </c>
      <c r="BN152" s="8" t="s">
        <v>24</v>
      </c>
      <c r="BO152" s="4">
        <v>5</v>
      </c>
      <c r="BP152" s="4">
        <f>Table2[[#This Row],[final_obs_date]]-Table2[[#This Row],[i]]</f>
        <v>21</v>
      </c>
      <c r="BQ152" s="4" t="b">
        <f>Table2[[#This Row],[final_obs_date2]]&gt;Table2[[#This Row],[estHD]]+3</f>
        <v>1</v>
      </c>
      <c r="BR152" s="3" t="s">
        <v>27</v>
      </c>
      <c r="BS152" s="3" t="s">
        <v>53</v>
      </c>
      <c r="BT152" s="125" t="s">
        <v>1096</v>
      </c>
      <c r="BU152" s="4" t="s">
        <v>164</v>
      </c>
      <c r="BV152" s="79" t="s">
        <v>1497</v>
      </c>
      <c r="BW152" s="69"/>
      <c r="BX152" s="36" t="s">
        <v>961</v>
      </c>
      <c r="BY152" s="36" t="s">
        <v>568</v>
      </c>
    </row>
    <row r="153" spans="1:77" hidden="1" x14ac:dyDescent="0.35">
      <c r="A153" s="62">
        <v>10213</v>
      </c>
      <c r="B153" s="2" t="s">
        <v>35</v>
      </c>
      <c r="C153" s="44">
        <v>2019</v>
      </c>
      <c r="D153" s="3">
        <v>29.770489999999999</v>
      </c>
      <c r="E153" s="3">
        <v>-93.179479999999998</v>
      </c>
      <c r="F153" s="3">
        <v>5</v>
      </c>
      <c r="G153" s="3">
        <v>5</v>
      </c>
      <c r="H153" s="3" t="s">
        <v>26</v>
      </c>
      <c r="I153" s="43"/>
      <c r="J153" s="55">
        <v>41</v>
      </c>
      <c r="K153" s="4">
        <v>41</v>
      </c>
      <c r="L153" s="22">
        <f>IF(ISNUMBER(Table2[[#This Row],[estHD]]),ABS(Table2[[#This Row],[HD]]-Table2[[#This Row],[estHD]]),"NA")</f>
        <v>0</v>
      </c>
      <c r="M153" s="4" t="b">
        <f>Table2[[#This Row],[HD]]=Table2[[#This Row],[estHD]]</f>
        <v>1</v>
      </c>
      <c r="N153" s="4" t="str">
        <f>IF(ISNUMBER([1]!Table2[[#This Row],[hatch_date]]),[1]!Table2[[#This Row],[hatch_date]]-19,"NA")</f>
        <v>NA</v>
      </c>
      <c r="O153" s="31">
        <v>22</v>
      </c>
      <c r="P153" s="23">
        <f>IF(ISNUMBER(Table2[[#This Row],[nest_age1]]),ABS(Table2[[#This Row],[nest_age1]]-Table2[[#This Row],[nest_age_feb]]),"NA")</f>
        <v>0</v>
      </c>
      <c r="Q153" s="24">
        <f>IF(ISNUMBER(Table2[[#This Row],[final_obs_int2]]),ABS(Table2[[#This Row],[final_obs_int2]]-Table2[[#This Row],[final_obs_int_feb]]), "NA")</f>
        <v>0</v>
      </c>
      <c r="R153" s="24"/>
      <c r="S153" s="57" t="s">
        <v>88</v>
      </c>
      <c r="T153" s="57" t="str">
        <f>Table2[[#This Row],[camera_old]]</f>
        <v>N</v>
      </c>
      <c r="U153" s="24"/>
      <c r="V153" s="16" t="s">
        <v>24</v>
      </c>
      <c r="W153" s="16">
        <v>4</v>
      </c>
      <c r="X153" s="145">
        <v>3</v>
      </c>
      <c r="Y153" s="147" t="s">
        <v>91</v>
      </c>
      <c r="Z153" s="146" t="s">
        <v>91</v>
      </c>
      <c r="AA153" s="4" t="str">
        <f>Table2[[#This Row],[field_fate]]</f>
        <v>Hu</v>
      </c>
      <c r="AB153" s="4" t="str">
        <f>Table2[[#This Row],[field_fate2]]</f>
        <v>Hu</v>
      </c>
      <c r="AC153" s="4" t="str">
        <f>Table2[[#This Row],[field_fate3]]</f>
        <v>Hu</v>
      </c>
      <c r="AD153" s="4" t="str">
        <f>Table2[[#This Row],[field_fate4]]</f>
        <v>Hu</v>
      </c>
      <c r="AE153" s="4" t="str">
        <f>Table2[[#This Row],[field_fate5]]</f>
        <v>Hu</v>
      </c>
      <c r="AF153" s="4" t="str">
        <f>Table2[[#This Row],[field_fate5]]</f>
        <v>Hu</v>
      </c>
      <c r="AG153" s="4" t="str">
        <f>Table2[[#This Row],[field_fate5]]</f>
        <v>Hu</v>
      </c>
      <c r="AH153" s="4" t="str">
        <f>Table2[[#This Row],[field_fate2]]</f>
        <v>Hu</v>
      </c>
      <c r="AI153" s="4" t="str">
        <f>Table2[[#This Row],[field_fate8]]</f>
        <v>Hu</v>
      </c>
      <c r="AJ153" s="4" t="str">
        <f>Table2[[#This Row],[field_fate10]]</f>
        <v>Hu</v>
      </c>
      <c r="AK153" s="4" t="b">
        <f>Table2[[#This Row],[field_fate_feb]]=Table2[[#This Row],[field_fate10]]</f>
        <v>1</v>
      </c>
      <c r="AL153" s="43" t="s">
        <v>24</v>
      </c>
      <c r="AM153" s="43" t="b">
        <f>Table2[[#This Row],[cam_fate2]]="NA"</f>
        <v>1</v>
      </c>
      <c r="AN153" s="19" t="str">
        <f>Table2[[#This Row],[cam_fate1]]</f>
        <v>NA</v>
      </c>
      <c r="AO153" s="2" t="s">
        <v>91</v>
      </c>
      <c r="AP153" s="5" t="str">
        <f>Table2[[#This Row],[final_fate1]]</f>
        <v>Hu</v>
      </c>
      <c r="AQ153" s="6">
        <v>4</v>
      </c>
      <c r="AR153" s="7">
        <v>4</v>
      </c>
      <c r="AS153" s="7">
        <f>Table2[[#This Row],[final_obs_date]]-Table2[[#This Row],[init_date]]</f>
        <v>4</v>
      </c>
      <c r="AT153" s="7">
        <f>(Table2[[#This Row],[final_obs_date2]]-Table2[[#This Row],[estHD]])+16</f>
        <v>1</v>
      </c>
      <c r="AU153" s="38">
        <v>3</v>
      </c>
      <c r="AV153" s="33">
        <v>3</v>
      </c>
      <c r="AW153" s="33">
        <f>Table2[[#This Row],[final_obs_date2]]-Table2[[#This Row],[pen_obs_date]]</f>
        <v>26</v>
      </c>
      <c r="AX153" s="67">
        <v>26</v>
      </c>
      <c r="AY153" s="6">
        <f>Table2[[#This Row],[final_obs_date]]</f>
        <v>26</v>
      </c>
      <c r="AZ153" s="6"/>
      <c r="BA153" s="91" t="s">
        <v>47</v>
      </c>
      <c r="BB153" s="6" t="b">
        <f>Table2[[#This Row],[final_obs_date]]&lt;(Table2[[#This Row],[estHD]]-2)</f>
        <v>1</v>
      </c>
      <c r="BC153" s="24">
        <f>IF(Table2[[#This Row],[field_fate]]="H",1,0)</f>
        <v>0</v>
      </c>
      <c r="BD153" s="16">
        <f>IF(Table2[[#This Row],[cam_fate2]]="H",1,0)</f>
        <v>0</v>
      </c>
      <c r="BE153" s="6" t="b">
        <f>NOT(Table2[[#This Row],[HF_C]]=Table2[[#This Row],[HF]])</f>
        <v>0</v>
      </c>
      <c r="BF153" s="6" t="b">
        <f>NOT(Table2[[#This Row],[cam_fate2]]=Table2[[#This Row],[field_fate3]])</f>
        <v>1</v>
      </c>
      <c r="BG153" s="6" t="b">
        <f>OR(Table2[[#This Row],[field_fate3]]="U",Table2[[#This Row],[field_fate3]]="U-H")</f>
        <v>0</v>
      </c>
      <c r="BH153" s="8">
        <v>23</v>
      </c>
      <c r="BI153" s="8">
        <v>23</v>
      </c>
      <c r="BJ153" s="14">
        <f>IF(ISTEXT(Table2[[#This Row],[j.cam]]),Table2[[#This Row],[j]],Table2[[#This Row],[j.cam]])</f>
        <v>23</v>
      </c>
      <c r="BK153" s="9">
        <v>26</v>
      </c>
      <c r="BL153" s="15">
        <f>IF(ISTEXT(Table2[[#This Row],[k.cam]]), Table2[[#This Row],[k]], Table2[[#This Row],[k.cam]])</f>
        <v>26</v>
      </c>
      <c r="BM153" s="4" t="s">
        <v>24</v>
      </c>
      <c r="BN153" s="8" t="s">
        <v>24</v>
      </c>
      <c r="BO153" s="4">
        <v>2</v>
      </c>
      <c r="BP153" s="4">
        <f>Table2[[#This Row],[final_obs_date]]-Table2[[#This Row],[i]]</f>
        <v>3</v>
      </c>
      <c r="BQ153" s="4" t="b">
        <f>Table2[[#This Row],[final_obs_date2]]&gt;Table2[[#This Row],[estHD]]+3</f>
        <v>0</v>
      </c>
      <c r="BR153" s="4" t="s">
        <v>33</v>
      </c>
      <c r="BS153" s="4" t="s">
        <v>28</v>
      </c>
      <c r="BT153" s="79" t="s">
        <v>1097</v>
      </c>
      <c r="BU153" s="26" t="s">
        <v>34</v>
      </c>
      <c r="BV153" s="79" t="s">
        <v>1430</v>
      </c>
      <c r="BW153" s="49"/>
      <c r="BX153" s="47"/>
      <c r="BY153" s="36" t="s">
        <v>569</v>
      </c>
    </row>
    <row r="154" spans="1:77" hidden="1" x14ac:dyDescent="0.35">
      <c r="A154" s="62">
        <v>10220</v>
      </c>
      <c r="B154" s="2" t="s">
        <v>35</v>
      </c>
      <c r="C154" s="44">
        <v>2019</v>
      </c>
      <c r="D154" s="3">
        <v>29.76998</v>
      </c>
      <c r="E154" s="3">
        <v>-93.176869999999994</v>
      </c>
      <c r="F154" s="3">
        <v>5</v>
      </c>
      <c r="G154" s="3">
        <v>5</v>
      </c>
      <c r="H154" s="3" t="s">
        <v>26</v>
      </c>
      <c r="I154" s="43"/>
      <c r="J154" s="55">
        <v>40</v>
      </c>
      <c r="K154" s="4">
        <v>44</v>
      </c>
      <c r="L154" s="22">
        <f>IF(ISNUMBER(Table2[[#This Row],[estHD]]),ABS(Table2[[#This Row],[HD]]-Table2[[#This Row],[estHD]]),"NA")</f>
        <v>4</v>
      </c>
      <c r="M154" s="4" t="b">
        <f>Table2[[#This Row],[HD]]=Table2[[#This Row],[estHD]]</f>
        <v>0</v>
      </c>
      <c r="N154" s="4" t="str">
        <f>IF(ISNUMBER([1]!Table2[[#This Row],[hatch_date]]),[1]!Table2[[#This Row],[hatch_date]]-19,"NA")</f>
        <v>NA</v>
      </c>
      <c r="O154" s="31">
        <v>25</v>
      </c>
      <c r="P154" s="23">
        <f>IF(ISNUMBER(Table2[[#This Row],[nest_age1]]),ABS(Table2[[#This Row],[nest_age1]]-Table2[[#This Row],[nest_age_feb]]),"NA")</f>
        <v>4</v>
      </c>
      <c r="Q154" s="24">
        <f>IF(ISNUMBER(Table2[[#This Row],[final_obs_int2]]),ABS(Table2[[#This Row],[final_obs_int2]]-Table2[[#This Row],[final_obs_int_feb]]), "NA")</f>
        <v>0</v>
      </c>
      <c r="R154" s="24"/>
      <c r="S154" s="57" t="s">
        <v>88</v>
      </c>
      <c r="T154" s="57" t="str">
        <f>Table2[[#This Row],[camera_old]]</f>
        <v>N</v>
      </c>
      <c r="U154" s="24"/>
      <c r="V154" s="16" t="s">
        <v>24</v>
      </c>
      <c r="W154" s="16">
        <v>23</v>
      </c>
      <c r="X154" s="145">
        <v>4</v>
      </c>
      <c r="Y154" s="147" t="s">
        <v>37</v>
      </c>
      <c r="Z154" s="146" t="s">
        <v>37</v>
      </c>
      <c r="AA154" s="4" t="str">
        <f>Table2[[#This Row],[field_fate]]</f>
        <v>H</v>
      </c>
      <c r="AB154" s="4" t="str">
        <f>Table2[[#This Row],[field_fate2]]</f>
        <v>H</v>
      </c>
      <c r="AC154" s="4" t="str">
        <f>Table2[[#This Row],[field_fate3]]</f>
        <v>H</v>
      </c>
      <c r="AD154" s="4" t="str">
        <f>Table2[[#This Row],[field_fate4]]</f>
        <v>H</v>
      </c>
      <c r="AE154" s="4" t="str">
        <f>Table2[[#This Row],[field_fate5]]</f>
        <v>H</v>
      </c>
      <c r="AF154" s="4" t="str">
        <f>Table2[[#This Row],[field_fate5]]</f>
        <v>H</v>
      </c>
      <c r="AG154" s="4" t="str">
        <f>Table2[[#This Row],[field_fate5]]</f>
        <v>H</v>
      </c>
      <c r="AH154" s="4" t="str">
        <f>Table2[[#This Row],[field_fate2]]</f>
        <v>H</v>
      </c>
      <c r="AI154" s="4" t="str">
        <f>Table2[[#This Row],[field_fate8]]</f>
        <v>H</v>
      </c>
      <c r="AJ154" s="4" t="str">
        <f>Table2[[#This Row],[field_fate10]]</f>
        <v>H</v>
      </c>
      <c r="AK154" s="4" t="b">
        <f>Table2[[#This Row],[field_fate_feb]]=Table2[[#This Row],[field_fate10]]</f>
        <v>1</v>
      </c>
      <c r="AL154" s="43" t="s">
        <v>24</v>
      </c>
      <c r="AM154" s="43" t="b">
        <f>Table2[[#This Row],[cam_fate2]]="NA"</f>
        <v>1</v>
      </c>
      <c r="AN154" s="19" t="str">
        <f>Table2[[#This Row],[cam_fate1]]</f>
        <v>NA</v>
      </c>
      <c r="AO154" s="2" t="s">
        <v>37</v>
      </c>
      <c r="AP154" s="5" t="str">
        <f>Table2[[#This Row],[final_fate1]]</f>
        <v>H</v>
      </c>
      <c r="AQ154" s="6">
        <v>19</v>
      </c>
      <c r="AR154" s="7">
        <v>23</v>
      </c>
      <c r="AS154" s="7">
        <f>Table2[[#This Row],[final_obs_date]]-Table2[[#This Row],[init_date]]</f>
        <v>19</v>
      </c>
      <c r="AT154" s="7">
        <f>(Table2[[#This Row],[final_obs_date2]]-Table2[[#This Row],[estHD]])+16</f>
        <v>20</v>
      </c>
      <c r="AU154" s="38">
        <v>4</v>
      </c>
      <c r="AV154" s="33">
        <v>4</v>
      </c>
      <c r="AW154" s="33">
        <f>Table2[[#This Row],[final_obs_date2]]-Table2[[#This Row],[pen_obs_date]]</f>
        <v>44</v>
      </c>
      <c r="AX154" s="67">
        <v>44</v>
      </c>
      <c r="AY154" s="6">
        <f>Table2[[#This Row],[final_obs_date]]</f>
        <v>44</v>
      </c>
      <c r="AZ154" s="6"/>
      <c r="BA154" s="91" t="s">
        <v>47</v>
      </c>
      <c r="BB154" s="6" t="b">
        <f>Table2[[#This Row],[final_obs_date]]&lt;(Table2[[#This Row],[estHD]]-2)</f>
        <v>0</v>
      </c>
      <c r="BC154" s="24">
        <f>IF(Table2[[#This Row],[field_fate]]="H",1,0)</f>
        <v>1</v>
      </c>
      <c r="BD154" s="16">
        <f>IF(Table2[[#This Row],[cam_fate2]]="H",1,0)</f>
        <v>0</v>
      </c>
      <c r="BE154" s="6" t="b">
        <f>NOT(Table2[[#This Row],[HF_C]]=Table2[[#This Row],[HF]])</f>
        <v>1</v>
      </c>
      <c r="BF154" s="6" t="b">
        <f>NOT(Table2[[#This Row],[cam_fate2]]=Table2[[#This Row],[field_fate3]])</f>
        <v>1</v>
      </c>
      <c r="BG154" s="6" t="b">
        <f>OR(Table2[[#This Row],[field_fate3]]="U",Table2[[#This Row],[field_fate3]]="U-H")</f>
        <v>0</v>
      </c>
      <c r="BH154" s="8">
        <v>23</v>
      </c>
      <c r="BI154" s="8">
        <v>44</v>
      </c>
      <c r="BJ154" s="14">
        <f>IF(ISTEXT(Table2[[#This Row],[j.cam]]),Table2[[#This Row],[j]],Table2[[#This Row],[j.cam]])</f>
        <v>44</v>
      </c>
      <c r="BK154" s="9">
        <v>44</v>
      </c>
      <c r="BL154" s="15">
        <f>IF(ISTEXT(Table2[[#This Row],[k.cam]]), Table2[[#This Row],[k]], Table2[[#This Row],[k.cam]])</f>
        <v>44</v>
      </c>
      <c r="BM154" s="4" t="s">
        <v>24</v>
      </c>
      <c r="BN154" s="8" t="s">
        <v>24</v>
      </c>
      <c r="BO154" s="4">
        <v>5</v>
      </c>
      <c r="BP154" s="4">
        <f>Table2[[#This Row],[final_obs_date]]-Table2[[#This Row],[i]]</f>
        <v>21</v>
      </c>
      <c r="BQ154" s="4" t="b">
        <f>Table2[[#This Row],[final_obs_date2]]&gt;Table2[[#This Row],[estHD]]+3</f>
        <v>1</v>
      </c>
      <c r="BR154" s="4" t="s">
        <v>27</v>
      </c>
      <c r="BS154" s="4" t="s">
        <v>165</v>
      </c>
      <c r="BT154" s="79" t="s">
        <v>1096</v>
      </c>
      <c r="BU154" s="26" t="s">
        <v>166</v>
      </c>
      <c r="BV154" s="79" t="s">
        <v>1498</v>
      </c>
      <c r="BW154" s="49"/>
      <c r="BX154" s="47"/>
      <c r="BY154" s="36" t="s">
        <v>24</v>
      </c>
    </row>
    <row r="155" spans="1:77" hidden="1" x14ac:dyDescent="0.35">
      <c r="A155" s="62">
        <v>10223</v>
      </c>
      <c r="B155" s="2" t="s">
        <v>35</v>
      </c>
      <c r="C155" s="44">
        <v>2019</v>
      </c>
      <c r="D155" s="3">
        <v>29.76699</v>
      </c>
      <c r="E155" s="3">
        <v>-93.161370000000005</v>
      </c>
      <c r="F155" s="3" t="s">
        <v>24</v>
      </c>
      <c r="G155" s="3" t="s">
        <v>24</v>
      </c>
      <c r="H155" s="3" t="s">
        <v>26</v>
      </c>
      <c r="I155" s="43"/>
      <c r="J155" s="116">
        <v>54</v>
      </c>
      <c r="K155" s="4">
        <v>54</v>
      </c>
      <c r="L155" s="22">
        <f>IF(ISNUMBER(Table2[[#This Row],[estHD]]),ABS(Table2[[#This Row],[HD]]-Table2[[#This Row],[estHD]]),"NA")</f>
        <v>0</v>
      </c>
      <c r="M155" s="4" t="b">
        <f>Table2[[#This Row],[HD]]=Table2[[#This Row],[estHD]]</f>
        <v>1</v>
      </c>
      <c r="N155" s="4" t="str">
        <f>IF(ISNUMBER([1]!Table2[[#This Row],[hatch_date]]),[1]!Table2[[#This Row],[hatch_date]]-19,"NA")</f>
        <v>NA</v>
      </c>
      <c r="O155" s="31">
        <v>35</v>
      </c>
      <c r="P155" s="23">
        <f>IF(ISNUMBER(Table2[[#This Row],[nest_age1]]),ABS(Table2[[#This Row],[nest_age1]]-Table2[[#This Row],[nest_age_feb]]),"NA")</f>
        <v>0</v>
      </c>
      <c r="Q155" s="24">
        <f>IF(ISNUMBER(Table2[[#This Row],[final_obs_int2]]),ABS(Table2[[#This Row],[final_obs_int2]]-Table2[[#This Row],[final_obs_int_feb]]), "NA")</f>
        <v>0</v>
      </c>
      <c r="R155" s="24"/>
      <c r="S155" s="20" t="s">
        <v>75</v>
      </c>
      <c r="T155" s="20" t="str">
        <f>Table2[[#This Row],[camera_old]]</f>
        <v>Y</v>
      </c>
      <c r="U155" s="22" t="s">
        <v>88</v>
      </c>
      <c r="V155" s="16" t="s">
        <v>65</v>
      </c>
      <c r="W155" s="16">
        <v>18</v>
      </c>
      <c r="X155" s="145">
        <v>4</v>
      </c>
      <c r="Y155" s="147" t="s">
        <v>48</v>
      </c>
      <c r="Z155" s="146" t="s">
        <v>48</v>
      </c>
      <c r="AA155" s="4" t="str">
        <f>Table2[[#This Row],[field_fate]]</f>
        <v>F</v>
      </c>
      <c r="AB155" s="4" t="str">
        <f>Table2[[#This Row],[field_fate2]]</f>
        <v>F</v>
      </c>
      <c r="AC155" s="94" t="str">
        <f>Table2[[#This Row],[field_fate3]]</f>
        <v>F</v>
      </c>
      <c r="AD155" s="94" t="str">
        <f>Table2[[#This Row],[field_fate4]]</f>
        <v>F</v>
      </c>
      <c r="AE155" s="94" t="str">
        <f>Table2[[#This Row],[field_fate5]]</f>
        <v>F</v>
      </c>
      <c r="AF155" s="94" t="str">
        <f>Table2[[#This Row],[field_fate5]]</f>
        <v>F</v>
      </c>
      <c r="AG155" s="94" t="str">
        <f>Table2[[#This Row],[field_fate5]]</f>
        <v>F</v>
      </c>
      <c r="AH155" s="94" t="str">
        <f>Table2[[#This Row],[field_fate2]]</f>
        <v>F</v>
      </c>
      <c r="AI155" s="94" t="str">
        <f>Table2[[#This Row],[field_fate8]]</f>
        <v>F</v>
      </c>
      <c r="AJ155" s="94" t="str">
        <f>Table2[[#This Row],[field_fate10]]</f>
        <v>F</v>
      </c>
      <c r="AK155" s="94" t="b">
        <f>Table2[[#This Row],[field_fate_feb]]=Table2[[#This Row],[field_fate10]]</f>
        <v>1</v>
      </c>
      <c r="AL155" s="43" t="s">
        <v>65</v>
      </c>
      <c r="AM155" s="160" t="b">
        <f>Table2[[#This Row],[cam_fate2]]="NA"</f>
        <v>0</v>
      </c>
      <c r="AN155" s="19" t="str">
        <f>Table2[[#This Row],[cam_fate1]]</f>
        <v>Ca</v>
      </c>
      <c r="AO155" s="2" t="s">
        <v>65</v>
      </c>
      <c r="AP155" s="5" t="str">
        <f>Table2[[#This Row],[final_fate1]]</f>
        <v>Ca</v>
      </c>
      <c r="AQ155" s="6">
        <v>18</v>
      </c>
      <c r="AR155" s="72">
        <v>18</v>
      </c>
      <c r="AS155" s="155">
        <f>Table2[[#This Row],[final_obs_date]]-Table2[[#This Row],[init_date]]</f>
        <v>18</v>
      </c>
      <c r="AT155" s="155">
        <f>(Table2[[#This Row],[final_obs_date2]]-Table2[[#This Row],[estHD]])+19</f>
        <v>18</v>
      </c>
      <c r="AU155" s="38">
        <v>4</v>
      </c>
      <c r="AV155" s="33">
        <v>4</v>
      </c>
      <c r="AW155" s="33">
        <f>Table2[[#This Row],[final_obs_date2]]-Table2[[#This Row],[pen_obs_date]]</f>
        <v>4</v>
      </c>
      <c r="AX155" s="67">
        <v>53</v>
      </c>
      <c r="AY155" s="157">
        <f>Table2[[#This Row],[final_obs_date]]</f>
        <v>53</v>
      </c>
      <c r="AZ155" s="6">
        <v>49</v>
      </c>
      <c r="BA155" s="92" t="s">
        <v>47</v>
      </c>
      <c r="BB155" s="6" t="b">
        <f>Table2[[#This Row],[final_obs_date]]&lt;(Table2[[#This Row],[estHD]]-2)</f>
        <v>0</v>
      </c>
      <c r="BC155" s="32">
        <f>IF(Table2[[#This Row],[field_fate]]="H",1,0)</f>
        <v>0</v>
      </c>
      <c r="BD155" s="16">
        <f>IF(Table2[[#This Row],[cam_fate2]]="H",1,0)</f>
        <v>0</v>
      </c>
      <c r="BE155" s="6" t="b">
        <f>NOT(Table2[[#This Row],[HF_C]]=Table2[[#This Row],[HF]])</f>
        <v>0</v>
      </c>
      <c r="BF155" s="38" t="b">
        <f>NOT(Table2[[#This Row],[cam_fate2]]=Table2[[#This Row],[field_fate3]])</f>
        <v>1</v>
      </c>
      <c r="BG155" s="38" t="b">
        <f>OR(Table2[[#This Row],[field_fate3]]="U",Table2[[#This Row],[field_fate3]]="U-H")</f>
        <v>0</v>
      </c>
      <c r="BH155" s="8">
        <v>40</v>
      </c>
      <c r="BI155" s="8">
        <v>49</v>
      </c>
      <c r="BJ155" s="14">
        <f>IF(ISTEXT(Table2[[#This Row],[j.cam]]),Table2[[#This Row],[j]],Table2[[#This Row],[j.cam]])</f>
        <v>49</v>
      </c>
      <c r="BK155" s="8">
        <v>53</v>
      </c>
      <c r="BL155" s="14">
        <f>IF(ISTEXT(Table2[[#This Row],[k.cam]]), Table2[[#This Row],[k]], Table2[[#This Row],[k.cam]])</f>
        <v>53</v>
      </c>
      <c r="BM155" s="4" t="s">
        <v>24</v>
      </c>
      <c r="BN155" s="8" t="s">
        <v>24</v>
      </c>
      <c r="BO155" s="4">
        <v>4</v>
      </c>
      <c r="BP155" s="4">
        <f>Table2[[#This Row],[final_obs_date]]-Table2[[#This Row],[i]]</f>
        <v>13</v>
      </c>
      <c r="BQ155" s="4" t="b">
        <f>Table2[[#This Row],[final_obs_date2]]&gt;Table2[[#This Row],[estHD]]+3</f>
        <v>0</v>
      </c>
      <c r="BR155" s="3" t="s">
        <v>33</v>
      </c>
      <c r="BS155" s="3" t="s">
        <v>28</v>
      </c>
      <c r="BT155" s="125" t="s">
        <v>1098</v>
      </c>
      <c r="BU155" s="4" t="s">
        <v>167</v>
      </c>
      <c r="BV155" s="79" t="s">
        <v>1499</v>
      </c>
      <c r="BW155" s="69"/>
      <c r="BX155" s="36"/>
      <c r="BY155" s="36" t="s">
        <v>570</v>
      </c>
    </row>
    <row r="156" spans="1:77" hidden="1" x14ac:dyDescent="0.35">
      <c r="A156" s="62">
        <v>10224</v>
      </c>
      <c r="B156" s="2" t="s">
        <v>35</v>
      </c>
      <c r="C156" s="44">
        <v>2019</v>
      </c>
      <c r="D156" s="3">
        <v>29.767019999999999</v>
      </c>
      <c r="E156" s="3">
        <v>-93.161420000000007</v>
      </c>
      <c r="F156" s="3" t="s">
        <v>24</v>
      </c>
      <c r="G156" s="3" t="s">
        <v>24</v>
      </c>
      <c r="H156" s="3" t="s">
        <v>26</v>
      </c>
      <c r="I156" s="43"/>
      <c r="J156" s="55" t="s">
        <v>24</v>
      </c>
      <c r="K156" s="4" t="s">
        <v>24</v>
      </c>
      <c r="L156" s="22" t="str">
        <f>IF(ISNUMBER(Table2[[#This Row],[estHD]]),ABS(Table2[[#This Row],[HD]]-Table2[[#This Row],[estHD]]),"NA")</f>
        <v>NA</v>
      </c>
      <c r="M156" s="4" t="b">
        <f>Table2[[#This Row],[HD]]=Table2[[#This Row],[estHD]]</f>
        <v>1</v>
      </c>
      <c r="N156" s="4" t="str">
        <f>IF(ISNUMBER([1]!Table2[[#This Row],[hatch_date]]),[1]!Table2[[#This Row],[hatch_date]]-19,"NA")</f>
        <v>NA</v>
      </c>
      <c r="O156" s="31" t="s">
        <v>24</v>
      </c>
      <c r="P156" s="23" t="str">
        <f>IF(ISNUMBER(Table2[[#This Row],[nest_age1]]),ABS(Table2[[#This Row],[nest_age1]]-Table2[[#This Row],[nest_age_feb]]),"NA")</f>
        <v>NA</v>
      </c>
      <c r="Q156" s="24">
        <f>IF(ISNUMBER(Table2[[#This Row],[final_obs_int2]]),ABS(Table2[[#This Row],[final_obs_int2]]-Table2[[#This Row],[final_obs_int_feb]]), "NA")</f>
        <v>0</v>
      </c>
      <c r="R156" s="24"/>
      <c r="S156" s="57" t="s">
        <v>88</v>
      </c>
      <c r="T156" s="57" t="str">
        <f>Table2[[#This Row],[camera_old]]</f>
        <v>N</v>
      </c>
      <c r="U156" s="24"/>
      <c r="V156" s="16" t="s">
        <v>24</v>
      </c>
      <c r="W156" s="16" t="s">
        <v>24</v>
      </c>
      <c r="X156" s="145">
        <v>5</v>
      </c>
      <c r="Y156" s="147" t="s">
        <v>36</v>
      </c>
      <c r="Z156" s="146" t="s">
        <v>36</v>
      </c>
      <c r="AA156" s="4" t="str">
        <f>Table2[[#This Row],[field_fate]]</f>
        <v>A</v>
      </c>
      <c r="AB156" s="4" t="str">
        <f>Table2[[#This Row],[field_fate2]]</f>
        <v>A</v>
      </c>
      <c r="AC156" s="4" t="str">
        <f>Table2[[#This Row],[field_fate3]]</f>
        <v>A</v>
      </c>
      <c r="AD156" s="4" t="str">
        <f>Table2[[#This Row],[field_fate4]]</f>
        <v>A</v>
      </c>
      <c r="AE156" s="4" t="str">
        <f>Table2[[#This Row],[field_fate5]]</f>
        <v>A</v>
      </c>
      <c r="AF156" s="4" t="str">
        <f>Table2[[#This Row],[field_fate5]]</f>
        <v>A</v>
      </c>
      <c r="AG156" s="4" t="str">
        <f>Table2[[#This Row],[field_fate5]]</f>
        <v>A</v>
      </c>
      <c r="AH156" s="4" t="str">
        <f>Table2[[#This Row],[field_fate2]]</f>
        <v>A</v>
      </c>
      <c r="AI156" s="4" t="str">
        <f>Table2[[#This Row],[field_fate8]]</f>
        <v>A</v>
      </c>
      <c r="AJ156" s="4" t="str">
        <f>Table2[[#This Row],[field_fate10]]</f>
        <v>A</v>
      </c>
      <c r="AK156" s="4" t="b">
        <f>Table2[[#This Row],[field_fate_feb]]=Table2[[#This Row],[field_fate10]]</f>
        <v>1</v>
      </c>
      <c r="AL156" s="43" t="s">
        <v>24</v>
      </c>
      <c r="AM156" s="43" t="b">
        <f>Table2[[#This Row],[cam_fate2]]="NA"</f>
        <v>1</v>
      </c>
      <c r="AN156" s="19" t="str">
        <f>Table2[[#This Row],[cam_fate1]]</f>
        <v>NA</v>
      </c>
      <c r="AO156" s="2" t="s">
        <v>36</v>
      </c>
      <c r="AP156" s="5" t="str">
        <f>Table2[[#This Row],[final_fate1]]</f>
        <v>A</v>
      </c>
      <c r="AQ156" s="6" t="s">
        <v>24</v>
      </c>
      <c r="AR156" s="7" t="s">
        <v>24</v>
      </c>
      <c r="AS156" s="7" t="e">
        <f>Table2[[#This Row],[final_obs_date]]-Table2[[#This Row],[init_date]]</f>
        <v>#VALUE!</v>
      </c>
      <c r="AT156" s="7" t="e">
        <f>(Table2[[#This Row],[final_obs_date2]]-Table2[[#This Row],[estHD]])+16</f>
        <v>#VALUE!</v>
      </c>
      <c r="AU156" s="38">
        <v>5</v>
      </c>
      <c r="AV156" s="33">
        <v>5</v>
      </c>
      <c r="AW156" s="33">
        <f>Table2[[#This Row],[final_obs_date2]]-Table2[[#This Row],[pen_obs_date]]</f>
        <v>40</v>
      </c>
      <c r="AX156" s="67">
        <v>40</v>
      </c>
      <c r="AY156" s="6">
        <f>Table2[[#This Row],[final_obs_date]]</f>
        <v>40</v>
      </c>
      <c r="AZ156" s="6"/>
      <c r="BA156" s="91" t="s">
        <v>47</v>
      </c>
      <c r="BB156" s="6" t="e">
        <f>Table2[[#This Row],[final_obs_date]]&lt;(Table2[[#This Row],[estHD]]-2)</f>
        <v>#VALUE!</v>
      </c>
      <c r="BC156" s="24">
        <f>IF(Table2[[#This Row],[field_fate]]="H",1,0)</f>
        <v>0</v>
      </c>
      <c r="BD156" s="16">
        <f>IF(Table2[[#This Row],[cam_fate2]]="H",1,0)</f>
        <v>0</v>
      </c>
      <c r="BE156" s="6" t="b">
        <f>NOT(Table2[[#This Row],[HF_C]]=Table2[[#This Row],[HF]])</f>
        <v>0</v>
      </c>
      <c r="BF156" s="6" t="b">
        <f>NOT(Table2[[#This Row],[cam_fate2]]=Table2[[#This Row],[field_fate3]])</f>
        <v>1</v>
      </c>
      <c r="BG156" s="6" t="b">
        <f>OR(Table2[[#This Row],[field_fate3]]="U",Table2[[#This Row],[field_fate3]]="U-H")</f>
        <v>0</v>
      </c>
      <c r="BH156" s="8">
        <v>35</v>
      </c>
      <c r="BI156" s="8">
        <v>35</v>
      </c>
      <c r="BJ156" s="14">
        <f>IF(ISTEXT(Table2[[#This Row],[j.cam]]),Table2[[#This Row],[j]],Table2[[#This Row],[j.cam]])</f>
        <v>35</v>
      </c>
      <c r="BK156" s="9">
        <v>40</v>
      </c>
      <c r="BL156" s="15">
        <f>IF(ISTEXT(Table2[[#This Row],[k.cam]]), Table2[[#This Row],[k]], Table2[[#This Row],[k.cam]])</f>
        <v>40</v>
      </c>
      <c r="BM156" s="4" t="s">
        <v>24</v>
      </c>
      <c r="BN156" s="8" t="s">
        <v>24</v>
      </c>
      <c r="BO156" s="4">
        <v>2</v>
      </c>
      <c r="BP156" s="4">
        <f>Table2[[#This Row],[final_obs_date]]-Table2[[#This Row],[i]]</f>
        <v>5</v>
      </c>
      <c r="BQ156" s="4" t="e">
        <f>Table2[[#This Row],[final_obs_date2]]&gt;Table2[[#This Row],[estHD]]+3</f>
        <v>#VALUE!</v>
      </c>
      <c r="BR156" s="4" t="s">
        <v>33</v>
      </c>
      <c r="BS156" s="4" t="s">
        <v>33</v>
      </c>
      <c r="BT156" s="79" t="s">
        <v>1099</v>
      </c>
      <c r="BU156" s="26" t="s">
        <v>99</v>
      </c>
      <c r="BV156" s="79" t="s">
        <v>1464</v>
      </c>
      <c r="BW156" s="49"/>
      <c r="BX156" s="47"/>
      <c r="BY156" s="36" t="s">
        <v>24</v>
      </c>
    </row>
    <row r="157" spans="1:77" ht="15" hidden="1" x14ac:dyDescent="0.35">
      <c r="A157" s="62">
        <v>10225</v>
      </c>
      <c r="B157" s="2" t="s">
        <v>35</v>
      </c>
      <c r="C157" s="44">
        <v>2019</v>
      </c>
      <c r="D157" s="3">
        <v>29.76707</v>
      </c>
      <c r="E157" s="3">
        <v>-93.161640000000006</v>
      </c>
      <c r="F157" s="3" t="s">
        <v>24</v>
      </c>
      <c r="G157" s="3" t="s">
        <v>24</v>
      </c>
      <c r="H157" s="3" t="s">
        <v>26</v>
      </c>
      <c r="I157" s="43"/>
      <c r="J157" s="116">
        <v>53</v>
      </c>
      <c r="K157" s="4">
        <v>55</v>
      </c>
      <c r="L157" s="22">
        <f>IF(ISNUMBER(Table2[[#This Row],[estHD]]),ABS(Table2[[#This Row],[HD]]-Table2[[#This Row],[estHD]]),"NA")</f>
        <v>2</v>
      </c>
      <c r="M157" s="4" t="b">
        <f>Table2[[#This Row],[HD]]=Table2[[#This Row],[estHD]]</f>
        <v>0</v>
      </c>
      <c r="N157" s="4">
        <f>IF(ISNUMBER(Table2[[#This Row],[HD]]),Table2[[#This Row],[HD]]-19,"NA")</f>
        <v>36</v>
      </c>
      <c r="O157" s="31">
        <v>36</v>
      </c>
      <c r="P157" s="23">
        <f>IF(ISNUMBER(Table2[[#This Row],[nest_age1]]),ABS(Table2[[#This Row],[nest_age1]]-Table2[[#This Row],[nest_age_feb]]),"NA")</f>
        <v>8</v>
      </c>
      <c r="Q157" s="25">
        <f>IF(ISNUMBER(Table2[[#This Row],[final_obs_int2]]),ABS(Table2[[#This Row],[final_obs_int2]]-Table2[[#This Row],[final_obs_int_feb]]), "NA")</f>
        <v>6</v>
      </c>
      <c r="R157" s="24">
        <f>(Table2[[#This Row],[k_adj]]-Table2[[#This Row],[estHD]])/Table2[[#This Row],[estHD]]</f>
        <v>3.7735849056603772E-2</v>
      </c>
      <c r="S157" s="20" t="s">
        <v>75</v>
      </c>
      <c r="T157" s="20" t="str">
        <f>Table2[[#This Row],[camera_old]]</f>
        <v>Y</v>
      </c>
      <c r="U157" s="22" t="s">
        <v>88</v>
      </c>
      <c r="V157" s="16" t="s">
        <v>37</v>
      </c>
      <c r="W157" s="16">
        <v>19</v>
      </c>
      <c r="X157" s="145">
        <v>4</v>
      </c>
      <c r="Y157" s="147" t="s">
        <v>90</v>
      </c>
      <c r="Z157" s="146" t="s">
        <v>90</v>
      </c>
      <c r="AA157" s="4" t="str">
        <f>Table2[[#This Row],[field_fate]]</f>
        <v>U</v>
      </c>
      <c r="AB157" s="4" t="s">
        <v>90</v>
      </c>
      <c r="AC157" s="98" t="str">
        <f>Table2[[#This Row],[field_fate3]]</f>
        <v>U</v>
      </c>
      <c r="AD157" s="141" t="str">
        <f>Table2[[#This Row],[field_fate4]]</f>
        <v>U</v>
      </c>
      <c r="AE157" s="114" t="str">
        <f>Table2[[#This Row],[field_fate5]]</f>
        <v>U</v>
      </c>
      <c r="AF157" s="94" t="str">
        <f>Table2[[#This Row],[field_fate5]]</f>
        <v>U</v>
      </c>
      <c r="AG157" s="94" t="str">
        <f>Table2[[#This Row],[field_fate5]]</f>
        <v>U</v>
      </c>
      <c r="AH157" s="94" t="str">
        <f>Table2[[#This Row],[field_fate2]]</f>
        <v>U</v>
      </c>
      <c r="AI157" s="94" t="str">
        <f>Table2[[#This Row],[field_fate8]]</f>
        <v>U</v>
      </c>
      <c r="AJ157" s="94" t="str">
        <f>Table2[[#This Row],[field_fate10]]</f>
        <v>U</v>
      </c>
      <c r="AK157" s="94" t="b">
        <f>Table2[[#This Row],[field_fate_feb]]=Table2[[#This Row],[field_fate10]]</f>
        <v>1</v>
      </c>
      <c r="AL157" s="43" t="s">
        <v>37</v>
      </c>
      <c r="AM157" s="160" t="b">
        <f>Table2[[#This Row],[cam_fate2]]="NA"</f>
        <v>0</v>
      </c>
      <c r="AN157" s="19" t="str">
        <f>Table2[[#This Row],[cam_fate1]]</f>
        <v>H</v>
      </c>
      <c r="AO157" s="2" t="s">
        <v>37</v>
      </c>
      <c r="AP157" s="5" t="str">
        <f>Table2[[#This Row],[final_fate1]]</f>
        <v>H</v>
      </c>
      <c r="AQ157" s="6">
        <v>27</v>
      </c>
      <c r="AR157" s="72">
        <v>29</v>
      </c>
      <c r="AS157" s="155">
        <f>Table2[[#This Row],[final_obs_date]]-Table2[[#This Row],[init_date]]</f>
        <v>27</v>
      </c>
      <c r="AT157" s="155">
        <f>(Table2[[#This Row],[final_obs_date2]]-Table2[[#This Row],[estHD]])+19</f>
        <v>29</v>
      </c>
      <c r="AU157" s="40">
        <v>10</v>
      </c>
      <c r="AV157" s="33">
        <v>10</v>
      </c>
      <c r="AW157" s="33">
        <f>Table2[[#This Row],[final_obs_date2]]-Table2[[#This Row],[pen_obs_date]]</f>
        <v>10</v>
      </c>
      <c r="AX157" s="67">
        <v>63</v>
      </c>
      <c r="AY157" s="157">
        <f>Table2[[#This Row],[final_obs_date]]</f>
        <v>63</v>
      </c>
      <c r="AZ157" s="6">
        <v>53</v>
      </c>
      <c r="BA157" s="92" t="s">
        <v>47</v>
      </c>
      <c r="BB157" s="6" t="b">
        <f>Table2[[#This Row],[final_obs_date]]&lt;(Table2[[#This Row],[estHD]]-2)</f>
        <v>0</v>
      </c>
      <c r="BC157" s="32">
        <v>7</v>
      </c>
      <c r="BD157" s="16">
        <f>IF(Table2[[#This Row],[cam_fate2]]="H",1,0)</f>
        <v>1</v>
      </c>
      <c r="BE157" s="6" t="b">
        <f>NOT(Table2[[#This Row],[HF_C]]=Table2[[#This Row],[HF]])</f>
        <v>1</v>
      </c>
      <c r="BF157" s="38" t="b">
        <f>NOT(Table2[[#This Row],[cam_fate2]]=Table2[[#This Row],[field_fate3]])</f>
        <v>1</v>
      </c>
      <c r="BG157" s="38" t="b">
        <f>OR(Table2[[#This Row],[field_fate3]]="U",Table2[[#This Row],[field_fate3]]="U-H")</f>
        <v>1</v>
      </c>
      <c r="BH157" s="8">
        <v>33</v>
      </c>
      <c r="BI157" s="8">
        <v>53</v>
      </c>
      <c r="BJ157" s="14">
        <f>IF(ISTEXT(Table2[[#This Row],[j.cam]]),Table2[[#This Row],[j]],Table2[[#This Row],[j.cam]])</f>
        <v>55</v>
      </c>
      <c r="BK157" s="8">
        <v>63</v>
      </c>
      <c r="BL157" s="14">
        <f>IF(ISTEXT(Table2[[#This Row],[k.cam]]), Table2[[#This Row],[k]], Table2[[#This Row],[k.cam]])</f>
        <v>55</v>
      </c>
      <c r="BM157" s="4">
        <v>55</v>
      </c>
      <c r="BN157" s="8">
        <v>55</v>
      </c>
      <c r="BO157" s="4">
        <v>8</v>
      </c>
      <c r="BP157" s="4">
        <f>Table2[[#This Row],[final_obs_date]]-Table2[[#This Row],[i]]</f>
        <v>30</v>
      </c>
      <c r="BQ157" s="4" t="b">
        <f>Table2[[#This Row],[final_obs_date2]]&gt;Table2[[#This Row],[estHD]]+3</f>
        <v>1</v>
      </c>
      <c r="BR157" s="27" t="s">
        <v>62</v>
      </c>
      <c r="BS157" s="3" t="s">
        <v>49</v>
      </c>
      <c r="BT157" s="125" t="s">
        <v>1100</v>
      </c>
      <c r="BU157" s="4" t="s">
        <v>168</v>
      </c>
      <c r="BV157" s="79" t="s">
        <v>1500</v>
      </c>
      <c r="BW157" s="69"/>
      <c r="BX157" s="36" t="s">
        <v>923</v>
      </c>
      <c r="BY157" s="36" t="s">
        <v>571</v>
      </c>
    </row>
    <row r="158" spans="1:77" hidden="1" x14ac:dyDescent="0.35">
      <c r="A158" s="62">
        <v>10226</v>
      </c>
      <c r="B158" s="2" t="s">
        <v>35</v>
      </c>
      <c r="C158" s="44">
        <v>2019</v>
      </c>
      <c r="D158" s="3">
        <v>29.766970000000001</v>
      </c>
      <c r="E158" s="3">
        <v>-93.161439999999999</v>
      </c>
      <c r="F158" s="3" t="s">
        <v>24</v>
      </c>
      <c r="G158" s="3" t="s">
        <v>24</v>
      </c>
      <c r="H158" s="3" t="s">
        <v>26</v>
      </c>
      <c r="I158" s="43"/>
      <c r="J158" s="55" t="s">
        <v>24</v>
      </c>
      <c r="K158" s="4" t="s">
        <v>24</v>
      </c>
      <c r="L158" s="22" t="str">
        <f>IF(ISNUMBER(Table2[[#This Row],[estHD]]),ABS(Table2[[#This Row],[HD]]-Table2[[#This Row],[estHD]]),"NA")</f>
        <v>NA</v>
      </c>
      <c r="M158" s="4" t="b">
        <f>Table2[[#This Row],[HD]]=Table2[[#This Row],[estHD]]</f>
        <v>1</v>
      </c>
      <c r="N158" s="4" t="str">
        <f>IF(ISNUMBER([1]!Table2[[#This Row],[hatch_date]]),[1]!Table2[[#This Row],[hatch_date]]-19,"NA")</f>
        <v>NA</v>
      </c>
      <c r="O158" s="31" t="s">
        <v>24</v>
      </c>
      <c r="P158" s="23" t="str">
        <f>IF(ISNUMBER(Table2[[#This Row],[nest_age1]]),ABS(Table2[[#This Row],[nest_age1]]-Table2[[#This Row],[nest_age_feb]]),"NA")</f>
        <v>NA</v>
      </c>
      <c r="Q158" s="24">
        <f>IF(ISNUMBER(Table2[[#This Row],[final_obs_int2]]),ABS(Table2[[#This Row],[final_obs_int2]]-Table2[[#This Row],[final_obs_int_feb]]), "NA")</f>
        <v>0</v>
      </c>
      <c r="R158" s="24"/>
      <c r="S158" s="57" t="s">
        <v>88</v>
      </c>
      <c r="T158" s="57" t="str">
        <f>Table2[[#This Row],[camera_old]]</f>
        <v>N</v>
      </c>
      <c r="U158" s="24"/>
      <c r="V158" s="16" t="s">
        <v>24</v>
      </c>
      <c r="W158" s="16" t="s">
        <v>24</v>
      </c>
      <c r="X158" s="145">
        <v>5</v>
      </c>
      <c r="Y158" s="147" t="s">
        <v>48</v>
      </c>
      <c r="Z158" s="146" t="s">
        <v>48</v>
      </c>
      <c r="AA158" s="4" t="str">
        <f>Table2[[#This Row],[field_fate]]</f>
        <v>F</v>
      </c>
      <c r="AB158" s="4" t="str">
        <f>Table2[[#This Row],[field_fate2]]</f>
        <v>F</v>
      </c>
      <c r="AC158" s="4" t="str">
        <f>Table2[[#This Row],[field_fate3]]</f>
        <v>F</v>
      </c>
      <c r="AD158" s="4" t="str">
        <f>Table2[[#This Row],[field_fate4]]</f>
        <v>F</v>
      </c>
      <c r="AE158" s="4" t="str">
        <f>Table2[[#This Row],[field_fate5]]</f>
        <v>F</v>
      </c>
      <c r="AF158" s="4" t="str">
        <f>Table2[[#This Row],[field_fate5]]</f>
        <v>F</v>
      </c>
      <c r="AG158" s="4" t="str">
        <f>Table2[[#This Row],[field_fate5]]</f>
        <v>F</v>
      </c>
      <c r="AH158" s="4" t="str">
        <f>Table2[[#This Row],[field_fate2]]</f>
        <v>F</v>
      </c>
      <c r="AI158" s="4" t="str">
        <f>Table2[[#This Row],[field_fate8]]</f>
        <v>F</v>
      </c>
      <c r="AJ158" s="4" t="str">
        <f>Table2[[#This Row],[field_fate10]]</f>
        <v>F</v>
      </c>
      <c r="AK158" s="4" t="b">
        <f>Table2[[#This Row],[field_fate_feb]]=Table2[[#This Row],[field_fate10]]</f>
        <v>1</v>
      </c>
      <c r="AL158" s="43" t="s">
        <v>24</v>
      </c>
      <c r="AM158" s="43" t="b">
        <f>Table2[[#This Row],[cam_fate2]]="NA"</f>
        <v>1</v>
      </c>
      <c r="AN158" s="19" t="str">
        <f>Table2[[#This Row],[cam_fate1]]</f>
        <v>NA</v>
      </c>
      <c r="AO158" s="2" t="s">
        <v>24</v>
      </c>
      <c r="AP158" s="5" t="str">
        <f>Table2[[#This Row],[final_fate1]]</f>
        <v>NA</v>
      </c>
      <c r="AQ158" s="6" t="s">
        <v>24</v>
      </c>
      <c r="AR158" s="7" t="s">
        <v>24</v>
      </c>
      <c r="AS158" s="7" t="e">
        <f>Table2[[#This Row],[final_obs_date]]-Table2[[#This Row],[init_date]]</f>
        <v>#VALUE!</v>
      </c>
      <c r="AT158" s="7" t="e">
        <f>(Table2[[#This Row],[final_obs_date2]]-Table2[[#This Row],[estHD]])+16</f>
        <v>#VALUE!</v>
      </c>
      <c r="AU158" s="38">
        <v>5</v>
      </c>
      <c r="AV158" s="33">
        <v>5</v>
      </c>
      <c r="AW158" s="33">
        <f>Table2[[#This Row],[final_obs_date2]]-Table2[[#This Row],[pen_obs_date]]</f>
        <v>49</v>
      </c>
      <c r="AX158" s="67">
        <v>49</v>
      </c>
      <c r="AY158" s="6">
        <f>Table2[[#This Row],[final_obs_date]]</f>
        <v>49</v>
      </c>
      <c r="AZ158" s="6"/>
      <c r="BA158" s="91" t="s">
        <v>47</v>
      </c>
      <c r="BB158" s="6" t="e">
        <f>Table2[[#This Row],[final_obs_date]]&lt;(Table2[[#This Row],[estHD]]-2)</f>
        <v>#VALUE!</v>
      </c>
      <c r="BC158" s="24">
        <f>IF(Table2[[#This Row],[field_fate]]="H",1,0)</f>
        <v>0</v>
      </c>
      <c r="BD158" s="16">
        <f>IF(Table2[[#This Row],[cam_fate2]]="H",1,0)</f>
        <v>0</v>
      </c>
      <c r="BE158" s="6" t="b">
        <f>NOT(Table2[[#This Row],[HF_C]]=Table2[[#This Row],[HF]])</f>
        <v>0</v>
      </c>
      <c r="BF158" s="6" t="b">
        <f>NOT(Table2[[#This Row],[cam_fate2]]=Table2[[#This Row],[field_fate3]])</f>
        <v>1</v>
      </c>
      <c r="BG158" s="6" t="b">
        <f>OR(Table2[[#This Row],[field_fate3]]="U",Table2[[#This Row],[field_fate3]]="U-H")</f>
        <v>0</v>
      </c>
      <c r="BH158" s="8">
        <v>44</v>
      </c>
      <c r="BI158" s="8">
        <v>44</v>
      </c>
      <c r="BJ158" s="14">
        <f>IF(ISTEXT(Table2[[#This Row],[j.cam]]),Table2[[#This Row],[j]],Table2[[#This Row],[j.cam]])</f>
        <v>44</v>
      </c>
      <c r="BK158" s="9">
        <v>49</v>
      </c>
      <c r="BL158" s="15">
        <f>IF(ISTEXT(Table2[[#This Row],[k.cam]]), Table2[[#This Row],[k]], Table2[[#This Row],[k.cam]])</f>
        <v>49</v>
      </c>
      <c r="BM158" s="4" t="s">
        <v>24</v>
      </c>
      <c r="BN158" s="8" t="s">
        <v>24</v>
      </c>
      <c r="BO158" s="4">
        <v>2</v>
      </c>
      <c r="BP158" s="4">
        <f>Table2[[#This Row],[final_obs_date]]-Table2[[#This Row],[i]]</f>
        <v>5</v>
      </c>
      <c r="BQ158" s="4" t="e">
        <f>Table2[[#This Row],[final_obs_date2]]&gt;Table2[[#This Row],[estHD]]+3</f>
        <v>#VALUE!</v>
      </c>
      <c r="BR158" s="4" t="s">
        <v>33</v>
      </c>
      <c r="BS158" s="4" t="s">
        <v>45</v>
      </c>
      <c r="BT158" s="79" t="s">
        <v>1101</v>
      </c>
      <c r="BU158" s="26" t="s">
        <v>87</v>
      </c>
      <c r="BV158" s="79" t="s">
        <v>1464</v>
      </c>
      <c r="BW158" s="49"/>
      <c r="BX158" s="47"/>
      <c r="BY158" s="36" t="s">
        <v>572</v>
      </c>
    </row>
    <row r="159" spans="1:77" hidden="1" x14ac:dyDescent="0.35">
      <c r="A159" s="62">
        <v>10227</v>
      </c>
      <c r="B159" s="2" t="s">
        <v>35</v>
      </c>
      <c r="C159" s="44">
        <v>2019</v>
      </c>
      <c r="D159" s="3">
        <v>29.767510000000001</v>
      </c>
      <c r="E159" s="3">
        <v>-93.164090000000002</v>
      </c>
      <c r="F159" s="3" t="s">
        <v>24</v>
      </c>
      <c r="G159" s="3" t="s">
        <v>24</v>
      </c>
      <c r="H159" s="3" t="s">
        <v>26</v>
      </c>
      <c r="I159" s="43"/>
      <c r="J159" s="55">
        <v>53</v>
      </c>
      <c r="K159" s="4">
        <v>57</v>
      </c>
      <c r="L159" s="22">
        <f>IF(ISNUMBER(Table2[[#This Row],[estHD]]),ABS(Table2[[#This Row],[HD]]-Table2[[#This Row],[estHD]]),"NA")</f>
        <v>4</v>
      </c>
      <c r="M159" s="4" t="b">
        <f>Table2[[#This Row],[HD]]=Table2[[#This Row],[estHD]]</f>
        <v>0</v>
      </c>
      <c r="N159" s="4" t="str">
        <f>IF(ISNUMBER([1]!Table2[[#This Row],[hatch_date]]),[1]!Table2[[#This Row],[hatch_date]]-19,"NA")</f>
        <v>NA</v>
      </c>
      <c r="O159" s="31">
        <v>38</v>
      </c>
      <c r="P159" s="23">
        <f>IF(ISNUMBER(Table2[[#This Row],[nest_age1]]),ABS(Table2[[#This Row],[nest_age1]]-Table2[[#This Row],[nest_age_feb]]),"NA")</f>
        <v>4</v>
      </c>
      <c r="Q159" s="24">
        <f>IF(ISNUMBER(Table2[[#This Row],[final_obs_int2]]),ABS(Table2[[#This Row],[final_obs_int2]]-Table2[[#This Row],[final_obs_int_feb]]), "NA")</f>
        <v>0</v>
      </c>
      <c r="R159" s="24"/>
      <c r="S159" s="57" t="s">
        <v>88</v>
      </c>
      <c r="T159" s="57" t="str">
        <f>Table2[[#This Row],[camera_old]]</f>
        <v>N</v>
      </c>
      <c r="U159" s="24"/>
      <c r="V159" s="16" t="s">
        <v>24</v>
      </c>
      <c r="W159" s="16">
        <v>23</v>
      </c>
      <c r="X159" s="145">
        <v>4</v>
      </c>
      <c r="Y159" s="147" t="s">
        <v>37</v>
      </c>
      <c r="Z159" s="146" t="s">
        <v>37</v>
      </c>
      <c r="AA159" s="4" t="str">
        <f>Table2[[#This Row],[field_fate]]</f>
        <v>H</v>
      </c>
      <c r="AB159" s="4" t="str">
        <f>Table2[[#This Row],[field_fate2]]</f>
        <v>H</v>
      </c>
      <c r="AC159" s="4" t="str">
        <f>Table2[[#This Row],[field_fate3]]</f>
        <v>H</v>
      </c>
      <c r="AD159" s="4" t="str">
        <f>Table2[[#This Row],[field_fate4]]</f>
        <v>H</v>
      </c>
      <c r="AE159" s="4" t="str">
        <f>Table2[[#This Row],[field_fate5]]</f>
        <v>H</v>
      </c>
      <c r="AF159" s="4" t="str">
        <f>Table2[[#This Row],[field_fate5]]</f>
        <v>H</v>
      </c>
      <c r="AG159" s="4" t="str">
        <f>Table2[[#This Row],[field_fate5]]</f>
        <v>H</v>
      </c>
      <c r="AH159" s="4" t="str">
        <f>Table2[[#This Row],[field_fate2]]</f>
        <v>H</v>
      </c>
      <c r="AI159" s="4" t="str">
        <f>Table2[[#This Row],[field_fate8]]</f>
        <v>H</v>
      </c>
      <c r="AJ159" s="4" t="str">
        <f>Table2[[#This Row],[field_fate10]]</f>
        <v>H</v>
      </c>
      <c r="AK159" s="4" t="b">
        <f>Table2[[#This Row],[field_fate_feb]]=Table2[[#This Row],[field_fate10]]</f>
        <v>1</v>
      </c>
      <c r="AL159" s="43" t="s">
        <v>24</v>
      </c>
      <c r="AM159" s="43" t="b">
        <f>Table2[[#This Row],[cam_fate2]]="NA"</f>
        <v>1</v>
      </c>
      <c r="AN159" s="19" t="str">
        <f>Table2[[#This Row],[cam_fate1]]</f>
        <v>NA</v>
      </c>
      <c r="AO159" s="2" t="s">
        <v>37</v>
      </c>
      <c r="AP159" s="5" t="str">
        <f>Table2[[#This Row],[final_fate1]]</f>
        <v>H</v>
      </c>
      <c r="AQ159" s="6">
        <v>19</v>
      </c>
      <c r="AR159" s="7">
        <v>23</v>
      </c>
      <c r="AS159" s="7">
        <f>Table2[[#This Row],[final_obs_date]]-Table2[[#This Row],[init_date]]</f>
        <v>19</v>
      </c>
      <c r="AT159" s="7">
        <f>(Table2[[#This Row],[final_obs_date2]]-Table2[[#This Row],[estHD]])+16</f>
        <v>20</v>
      </c>
      <c r="AU159" s="38">
        <v>4</v>
      </c>
      <c r="AV159" s="33">
        <v>4</v>
      </c>
      <c r="AW159" s="33">
        <f>Table2[[#This Row],[final_obs_date2]]-Table2[[#This Row],[pen_obs_date]]</f>
        <v>57</v>
      </c>
      <c r="AX159" s="67">
        <v>57</v>
      </c>
      <c r="AY159" s="6">
        <f>Table2[[#This Row],[final_obs_date]]</f>
        <v>57</v>
      </c>
      <c r="AZ159" s="6"/>
      <c r="BA159" s="91" t="s">
        <v>47</v>
      </c>
      <c r="BB159" s="6" t="b">
        <f>Table2[[#This Row],[final_obs_date]]&lt;(Table2[[#This Row],[estHD]]-2)</f>
        <v>0</v>
      </c>
      <c r="BC159" s="24">
        <f>IF(Table2[[#This Row],[field_fate]]="H",1,0)</f>
        <v>1</v>
      </c>
      <c r="BD159" s="16">
        <f>IF(Table2[[#This Row],[cam_fate2]]="H",1,0)</f>
        <v>0</v>
      </c>
      <c r="BE159" s="6" t="b">
        <f>NOT(Table2[[#This Row],[HF_C]]=Table2[[#This Row],[HF]])</f>
        <v>1</v>
      </c>
      <c r="BF159" s="6" t="b">
        <f>NOT(Table2[[#This Row],[cam_fate2]]=Table2[[#This Row],[field_fate3]])</f>
        <v>1</v>
      </c>
      <c r="BG159" s="6" t="b">
        <f>OR(Table2[[#This Row],[field_fate3]]="U",Table2[[#This Row],[field_fate3]]="U-H")</f>
        <v>0</v>
      </c>
      <c r="BH159" s="8">
        <v>40</v>
      </c>
      <c r="BI159" s="8">
        <v>57</v>
      </c>
      <c r="BJ159" s="14">
        <f>IF(ISTEXT(Table2[[#This Row],[j.cam]]),Table2[[#This Row],[j]],Table2[[#This Row],[j.cam]])</f>
        <v>57</v>
      </c>
      <c r="BK159" s="9">
        <v>57</v>
      </c>
      <c r="BL159" s="15">
        <f>IF(ISTEXT(Table2[[#This Row],[k.cam]]), Table2[[#This Row],[k]], Table2[[#This Row],[k.cam]])</f>
        <v>57</v>
      </c>
      <c r="BM159" s="4" t="s">
        <v>24</v>
      </c>
      <c r="BN159" s="8" t="s">
        <v>24</v>
      </c>
      <c r="BO159" s="4">
        <v>4</v>
      </c>
      <c r="BP159" s="4">
        <f>Table2[[#This Row],[final_obs_date]]-Table2[[#This Row],[i]]</f>
        <v>17</v>
      </c>
      <c r="BQ159" s="4" t="b">
        <f>Table2[[#This Row],[final_obs_date2]]&gt;Table2[[#This Row],[estHD]]+3</f>
        <v>1</v>
      </c>
      <c r="BR159" s="4" t="s">
        <v>33</v>
      </c>
      <c r="BS159" s="4" t="s">
        <v>139</v>
      </c>
      <c r="BT159" s="79" t="s">
        <v>1102</v>
      </c>
      <c r="BU159" s="26" t="s">
        <v>169</v>
      </c>
      <c r="BV159" s="79" t="s">
        <v>1501</v>
      </c>
      <c r="BW159" s="49"/>
      <c r="BX159" s="47"/>
      <c r="BY159" s="36" t="s">
        <v>573</v>
      </c>
    </row>
    <row r="160" spans="1:77" hidden="1" x14ac:dyDescent="0.35">
      <c r="A160" s="62">
        <v>10228</v>
      </c>
      <c r="B160" s="2" t="s">
        <v>35</v>
      </c>
      <c r="C160" s="44">
        <v>2019</v>
      </c>
      <c r="D160" s="3">
        <v>29.767569999999999</v>
      </c>
      <c r="E160" s="3">
        <v>-93.164760000000001</v>
      </c>
      <c r="F160" s="3" t="s">
        <v>24</v>
      </c>
      <c r="G160" s="3" t="s">
        <v>24</v>
      </c>
      <c r="H160" s="3" t="s">
        <v>26</v>
      </c>
      <c r="I160" s="43"/>
      <c r="J160" s="55" t="s">
        <v>24</v>
      </c>
      <c r="K160" s="4" t="s">
        <v>24</v>
      </c>
      <c r="L160" s="22" t="str">
        <f>IF(ISNUMBER(Table2[[#This Row],[estHD]]),ABS(Table2[[#This Row],[HD]]-Table2[[#This Row],[estHD]]),"NA")</f>
        <v>NA</v>
      </c>
      <c r="M160" s="4" t="b">
        <f>Table2[[#This Row],[HD]]=Table2[[#This Row],[estHD]]</f>
        <v>1</v>
      </c>
      <c r="N160" s="4" t="str">
        <f>IF(ISNUMBER([1]!Table2[[#This Row],[hatch_date]]),[1]!Table2[[#This Row],[hatch_date]]-19,"NA")</f>
        <v>NA</v>
      </c>
      <c r="O160" s="31" t="s">
        <v>24</v>
      </c>
      <c r="P160" s="23" t="str">
        <f>IF(ISNUMBER(Table2[[#This Row],[nest_age1]]),ABS(Table2[[#This Row],[nest_age1]]-Table2[[#This Row],[nest_age_feb]]),"NA")</f>
        <v>NA</v>
      </c>
      <c r="Q160" s="24">
        <f>IF(ISNUMBER(Table2[[#This Row],[final_obs_int2]]),ABS(Table2[[#This Row],[final_obs_int2]]-Table2[[#This Row],[final_obs_int_feb]]), "NA")</f>
        <v>0</v>
      </c>
      <c r="R160" s="24"/>
      <c r="S160" s="57" t="s">
        <v>88</v>
      </c>
      <c r="T160" s="57" t="str">
        <f>Table2[[#This Row],[camera_old]]</f>
        <v>N</v>
      </c>
      <c r="U160" s="24"/>
      <c r="V160" s="16" t="s">
        <v>24</v>
      </c>
      <c r="W160" s="16" t="s">
        <v>24</v>
      </c>
      <c r="X160" s="145">
        <v>4</v>
      </c>
      <c r="Y160" s="147" t="s">
        <v>48</v>
      </c>
      <c r="Z160" s="146" t="s">
        <v>48</v>
      </c>
      <c r="AA160" s="4" t="str">
        <f>Table2[[#This Row],[field_fate]]</f>
        <v>F</v>
      </c>
      <c r="AB160" s="4" t="str">
        <f>Table2[[#This Row],[field_fate2]]</f>
        <v>F</v>
      </c>
      <c r="AC160" s="4" t="str">
        <f>Table2[[#This Row],[field_fate3]]</f>
        <v>F</v>
      </c>
      <c r="AD160" s="4" t="str">
        <f>Table2[[#This Row],[field_fate4]]</f>
        <v>F</v>
      </c>
      <c r="AE160" s="4" t="str">
        <f>Table2[[#This Row],[field_fate5]]</f>
        <v>F</v>
      </c>
      <c r="AF160" s="4" t="str">
        <f>Table2[[#This Row],[field_fate5]]</f>
        <v>F</v>
      </c>
      <c r="AG160" s="4" t="str">
        <f>Table2[[#This Row],[field_fate5]]</f>
        <v>F</v>
      </c>
      <c r="AH160" s="4" t="str">
        <f>Table2[[#This Row],[field_fate2]]</f>
        <v>F</v>
      </c>
      <c r="AI160" s="4" t="str">
        <f>Table2[[#This Row],[field_fate8]]</f>
        <v>F</v>
      </c>
      <c r="AJ160" s="4" t="str">
        <f>Table2[[#This Row],[field_fate10]]</f>
        <v>F</v>
      </c>
      <c r="AK160" s="4" t="b">
        <f>Table2[[#This Row],[field_fate_feb]]=Table2[[#This Row],[field_fate10]]</f>
        <v>1</v>
      </c>
      <c r="AL160" s="43" t="s">
        <v>24</v>
      </c>
      <c r="AM160" s="43" t="b">
        <f>Table2[[#This Row],[cam_fate2]]="NA"</f>
        <v>1</v>
      </c>
      <c r="AN160" s="19" t="str">
        <f>Table2[[#This Row],[cam_fate1]]</f>
        <v>NA</v>
      </c>
      <c r="AO160" s="2" t="s">
        <v>48</v>
      </c>
      <c r="AP160" s="5" t="str">
        <f>Table2[[#This Row],[final_fate1]]</f>
        <v>F</v>
      </c>
      <c r="AQ160" s="6" t="s">
        <v>24</v>
      </c>
      <c r="AR160" s="7" t="s">
        <v>24</v>
      </c>
      <c r="AS160" s="7" t="e">
        <f>Table2[[#This Row],[final_obs_date]]-Table2[[#This Row],[init_date]]</f>
        <v>#VALUE!</v>
      </c>
      <c r="AT160" s="7" t="e">
        <f>(Table2[[#This Row],[final_obs_date2]]-Table2[[#This Row],[estHD]])+16</f>
        <v>#VALUE!</v>
      </c>
      <c r="AU160" s="38">
        <v>4</v>
      </c>
      <c r="AV160" s="33">
        <v>4</v>
      </c>
      <c r="AW160" s="33">
        <f>Table2[[#This Row],[final_obs_date2]]-Table2[[#This Row],[pen_obs_date]]</f>
        <v>44</v>
      </c>
      <c r="AX160" s="67">
        <v>44</v>
      </c>
      <c r="AY160" s="6">
        <f>Table2[[#This Row],[final_obs_date]]</f>
        <v>44</v>
      </c>
      <c r="AZ160" s="6"/>
      <c r="BA160" s="91" t="s">
        <v>47</v>
      </c>
      <c r="BB160" s="6" t="e">
        <f>Table2[[#This Row],[final_obs_date]]&lt;(Table2[[#This Row],[estHD]]-2)</f>
        <v>#VALUE!</v>
      </c>
      <c r="BC160" s="24">
        <f>IF(Table2[[#This Row],[field_fate]]="H",1,0)</f>
        <v>0</v>
      </c>
      <c r="BD160" s="16">
        <f>IF(Table2[[#This Row],[cam_fate2]]="H",1,0)</f>
        <v>0</v>
      </c>
      <c r="BE160" s="6" t="b">
        <f>NOT(Table2[[#This Row],[HF_C]]=Table2[[#This Row],[HF]])</f>
        <v>0</v>
      </c>
      <c r="BF160" s="6" t="b">
        <f>NOT(Table2[[#This Row],[cam_fate2]]=Table2[[#This Row],[field_fate3]])</f>
        <v>1</v>
      </c>
      <c r="BG160" s="6" t="b">
        <f>OR(Table2[[#This Row],[field_fate3]]="U",Table2[[#This Row],[field_fate3]]="U-H")</f>
        <v>0</v>
      </c>
      <c r="BH160" s="8">
        <v>40</v>
      </c>
      <c r="BI160" s="8">
        <v>40</v>
      </c>
      <c r="BJ160" s="14">
        <f>IF(ISTEXT(Table2[[#This Row],[j.cam]]),Table2[[#This Row],[j]],Table2[[#This Row],[j.cam]])</f>
        <v>40</v>
      </c>
      <c r="BK160" s="9">
        <v>44</v>
      </c>
      <c r="BL160" s="15">
        <f>IF(ISTEXT(Table2[[#This Row],[k.cam]]), Table2[[#This Row],[k]], Table2[[#This Row],[k.cam]])</f>
        <v>44</v>
      </c>
      <c r="BM160" s="4" t="s">
        <v>24</v>
      </c>
      <c r="BN160" s="8" t="s">
        <v>24</v>
      </c>
      <c r="BO160" s="4">
        <v>2</v>
      </c>
      <c r="BP160" s="4">
        <f>Table2[[#This Row],[final_obs_date]]-Table2[[#This Row],[i]]</f>
        <v>4</v>
      </c>
      <c r="BQ160" s="4" t="e">
        <f>Table2[[#This Row],[final_obs_date2]]&gt;Table2[[#This Row],[estHD]]+3</f>
        <v>#VALUE!</v>
      </c>
      <c r="BR160" s="4" t="s">
        <v>33</v>
      </c>
      <c r="BS160" s="4" t="s">
        <v>28</v>
      </c>
      <c r="BT160" s="79" t="s">
        <v>1103</v>
      </c>
      <c r="BU160" s="26" t="s">
        <v>34</v>
      </c>
      <c r="BV160" s="79" t="s">
        <v>1429</v>
      </c>
      <c r="BW160" s="49"/>
      <c r="BX160" s="47"/>
      <c r="BY160" s="36" t="s">
        <v>574</v>
      </c>
    </row>
    <row r="161" spans="1:77" hidden="1" x14ac:dyDescent="0.35">
      <c r="A161" s="62">
        <v>10229</v>
      </c>
      <c r="B161" s="2" t="s">
        <v>35</v>
      </c>
      <c r="C161" s="44">
        <v>2019</v>
      </c>
      <c r="D161" s="3">
        <v>29.767969999999998</v>
      </c>
      <c r="E161" s="3">
        <v>-93.165869999999998</v>
      </c>
      <c r="F161" s="3" t="s">
        <v>24</v>
      </c>
      <c r="G161" s="3" t="s">
        <v>24</v>
      </c>
      <c r="H161" s="3" t="s">
        <v>26</v>
      </c>
      <c r="I161" s="43"/>
      <c r="J161" s="116" t="s">
        <v>24</v>
      </c>
      <c r="K161" s="4">
        <v>45</v>
      </c>
      <c r="L161" s="22" t="str">
        <f>IF(ISNUMBER(Table2[[#This Row],[estHD]]),ABS(Table2[[#This Row],[HD]]-Table2[[#This Row],[estHD]]),"NA")</f>
        <v>NA</v>
      </c>
      <c r="M161" s="4" t="b">
        <f>Table2[[#This Row],[HD]]=Table2[[#This Row],[estHD]]</f>
        <v>0</v>
      </c>
      <c r="N161" s="4">
        <f>IF(ISNUMBER(Table2[[#This Row],[HD]]),Table2[[#This Row],[HD]]-19,"NA")</f>
        <v>26</v>
      </c>
      <c r="O161" s="31">
        <v>26</v>
      </c>
      <c r="P161" s="23" t="e">
        <f>IF(ISNUMBER(Table2[[#This Row],[nest_age1]]),ABS(Table2[[#This Row],[nest_age1]]-Table2[[#This Row],[nest_age_feb]]),"NA")</f>
        <v>#VALUE!</v>
      </c>
      <c r="Q161" s="24">
        <f>IF(ISNUMBER(Table2[[#This Row],[final_obs_int2]]),ABS(Table2[[#This Row],[final_obs_int2]]-Table2[[#This Row],[final_obs_int_feb]]), "NA")</f>
        <v>0</v>
      </c>
      <c r="R161" s="24" t="e">
        <f>(Table2[[#This Row],[k_adj]]-Table2[[#This Row],[estHD]])/Table2[[#This Row],[estHD]]</f>
        <v>#VALUE!</v>
      </c>
      <c r="S161" s="20" t="s">
        <v>75</v>
      </c>
      <c r="T161" s="20" t="str">
        <f>Table2[[#This Row],[camera_old]]</f>
        <v>Y</v>
      </c>
      <c r="U161" s="22" t="s">
        <v>88</v>
      </c>
      <c r="V161" s="16" t="s">
        <v>37</v>
      </c>
      <c r="W161" s="16" t="s">
        <v>24</v>
      </c>
      <c r="X161" s="145">
        <v>5</v>
      </c>
      <c r="Y161" s="147" t="s">
        <v>90</v>
      </c>
      <c r="Z161" s="146" t="s">
        <v>90</v>
      </c>
      <c r="AA161" s="4" t="str">
        <f>Table2[[#This Row],[field_fate]]</f>
        <v>U</v>
      </c>
      <c r="AB161" s="65" t="str">
        <f>Table2[[#This Row],[field_fate2]]</f>
        <v>U</v>
      </c>
      <c r="AC161" s="106" t="str">
        <f>Table2[[#This Row],[field_fate3]]</f>
        <v>U</v>
      </c>
      <c r="AD161" s="140" t="str">
        <f>Table2[[#This Row],[field_fate4]]</f>
        <v>U</v>
      </c>
      <c r="AE161" s="134" t="str">
        <f>Table2[[#This Row],[field_fate5]]</f>
        <v>U</v>
      </c>
      <c r="AF161" s="93" t="str">
        <f>Table2[[#This Row],[field_fate5]]</f>
        <v>U</v>
      </c>
      <c r="AG161" s="93" t="str">
        <f>Table2[[#This Row],[field_fate5]]</f>
        <v>U</v>
      </c>
      <c r="AH161" s="93" t="str">
        <f>Table2[[#This Row],[field_fate2]]</f>
        <v>U</v>
      </c>
      <c r="AI161" s="93" t="str">
        <f>Table2[[#This Row],[field_fate8]]</f>
        <v>U</v>
      </c>
      <c r="AJ161" s="93" t="str">
        <f>Table2[[#This Row],[field_fate10]]</f>
        <v>U</v>
      </c>
      <c r="AK161" s="93" t="b">
        <f>Table2[[#This Row],[field_fate_feb]]=Table2[[#This Row],[field_fate10]]</f>
        <v>1</v>
      </c>
      <c r="AL161" s="43" t="s">
        <v>37</v>
      </c>
      <c r="AM161" s="160" t="b">
        <f>Table2[[#This Row],[cam_fate2]]="NA"</f>
        <v>0</v>
      </c>
      <c r="AN161" s="19" t="str">
        <f>Table2[[#This Row],[cam_fate1]]</f>
        <v>H</v>
      </c>
      <c r="AO161" s="2" t="s">
        <v>37</v>
      </c>
      <c r="AP161" s="5" t="str">
        <f>Table2[[#This Row],[final_fate1]]</f>
        <v>H</v>
      </c>
      <c r="AQ161" s="6">
        <v>23</v>
      </c>
      <c r="AR161" s="72">
        <v>23</v>
      </c>
      <c r="AS161" s="155">
        <f>Table2[[#This Row],[final_obs_date]]-Table2[[#This Row],[init_date]]</f>
        <v>23</v>
      </c>
      <c r="AT161" s="155" t="e">
        <f>(Table2[[#This Row],[final_obs_date2]]-Table2[[#This Row],[estHD]])+19</f>
        <v>#VALUE!</v>
      </c>
      <c r="AU161" s="38">
        <v>5</v>
      </c>
      <c r="AV161" s="33">
        <v>5</v>
      </c>
      <c r="AW161" s="33">
        <f>Table2[[#This Row],[final_obs_date2]]-Table2[[#This Row],[pen_obs_date]]</f>
        <v>5</v>
      </c>
      <c r="AX161" s="67">
        <v>49</v>
      </c>
      <c r="AY161" s="157">
        <f>Table2[[#This Row],[final_obs_date]]</f>
        <v>49</v>
      </c>
      <c r="AZ161" s="6">
        <v>44</v>
      </c>
      <c r="BA161" s="92" t="s">
        <v>47</v>
      </c>
      <c r="BB161" s="6" t="e">
        <f>Table2[[#This Row],[final_obs_date]]&lt;(Table2[[#This Row],[estHD]]-2)</f>
        <v>#VALUE!</v>
      </c>
      <c r="BC161" s="32">
        <v>7</v>
      </c>
      <c r="BD161" s="16">
        <f>IF(Table2[[#This Row],[cam_fate2]]="H",1,0)</f>
        <v>1</v>
      </c>
      <c r="BE161" s="6" t="b">
        <f>NOT(Table2[[#This Row],[HF_C]]=Table2[[#This Row],[HF]])</f>
        <v>1</v>
      </c>
      <c r="BF161" s="38" t="b">
        <f>NOT(Table2[[#This Row],[cam_fate2]]=Table2[[#This Row],[field_fate3]])</f>
        <v>1</v>
      </c>
      <c r="BG161" s="38" t="b">
        <f>OR(Table2[[#This Row],[field_fate3]]="U",Table2[[#This Row],[field_fate3]]="U-H")</f>
        <v>1</v>
      </c>
      <c r="BH161" s="8">
        <v>40</v>
      </c>
      <c r="BI161" s="8">
        <v>44</v>
      </c>
      <c r="BJ161" s="14">
        <f>IF(ISTEXT(Table2[[#This Row],[j.cam]]),Table2[[#This Row],[j]],Table2[[#This Row],[j.cam]])</f>
        <v>45</v>
      </c>
      <c r="BK161" s="8">
        <v>49</v>
      </c>
      <c r="BL161" s="14">
        <f>IF(ISTEXT(Table2[[#This Row],[k.cam]]), Table2[[#This Row],[k]], Table2[[#This Row],[k.cam]])</f>
        <v>45</v>
      </c>
      <c r="BM161" s="4">
        <v>45</v>
      </c>
      <c r="BN161" s="8">
        <v>45</v>
      </c>
      <c r="BO161" s="4">
        <v>3</v>
      </c>
      <c r="BP161" s="4">
        <f>Table2[[#This Row],[final_obs_date]]-Table2[[#This Row],[i]]</f>
        <v>9</v>
      </c>
      <c r="BQ161" s="4" t="e">
        <f>Table2[[#This Row],[final_obs_date2]]&gt;Table2[[#This Row],[estHD]]+3</f>
        <v>#VALUE!</v>
      </c>
      <c r="BR161" s="3" t="s">
        <v>27</v>
      </c>
      <c r="BS161" s="3" t="s">
        <v>45</v>
      </c>
      <c r="BT161" s="125" t="s">
        <v>1104</v>
      </c>
      <c r="BU161" s="4" t="s">
        <v>170</v>
      </c>
      <c r="BV161" s="79" t="s">
        <v>1479</v>
      </c>
      <c r="BW161" s="69"/>
      <c r="BX161" s="36" t="s">
        <v>924</v>
      </c>
      <c r="BY161" s="47" t="s">
        <v>575</v>
      </c>
    </row>
    <row r="162" spans="1:77" hidden="1" x14ac:dyDescent="0.35">
      <c r="A162" s="62">
        <v>10230</v>
      </c>
      <c r="B162" s="2" t="s">
        <v>35</v>
      </c>
      <c r="C162" s="44">
        <v>2019</v>
      </c>
      <c r="D162" s="3">
        <v>29.768650000000001</v>
      </c>
      <c r="E162" s="3">
        <v>-93.169719999999998</v>
      </c>
      <c r="F162" s="3" t="s">
        <v>24</v>
      </c>
      <c r="G162" s="3" t="s">
        <v>24</v>
      </c>
      <c r="H162" s="3" t="s">
        <v>26</v>
      </c>
      <c r="I162" s="43"/>
      <c r="J162" s="55" t="s">
        <v>24</v>
      </c>
      <c r="K162" s="4" t="s">
        <v>24</v>
      </c>
      <c r="L162" s="22" t="str">
        <f>IF(ISNUMBER(Table2[[#This Row],[estHD]]),ABS(Table2[[#This Row],[HD]]-Table2[[#This Row],[estHD]]),"NA")</f>
        <v>NA</v>
      </c>
      <c r="M162" s="4" t="b">
        <f>Table2[[#This Row],[HD]]=Table2[[#This Row],[estHD]]</f>
        <v>1</v>
      </c>
      <c r="N162" s="4" t="str">
        <f>IF(ISNUMBER([1]!Table2[[#This Row],[hatch_date]]),[1]!Table2[[#This Row],[hatch_date]]-19,"NA")</f>
        <v>NA</v>
      </c>
      <c r="O162" s="31" t="s">
        <v>24</v>
      </c>
      <c r="P162" s="23" t="str">
        <f>IF(ISNUMBER(Table2[[#This Row],[nest_age1]]),ABS(Table2[[#This Row],[nest_age1]]-Table2[[#This Row],[nest_age_feb]]),"NA")</f>
        <v>NA</v>
      </c>
      <c r="Q162" s="24">
        <f>IF(ISNUMBER(Table2[[#This Row],[final_obs_int2]]),ABS(Table2[[#This Row],[final_obs_int2]]-Table2[[#This Row],[final_obs_int_feb]]), "NA")</f>
        <v>0</v>
      </c>
      <c r="R162" s="24"/>
      <c r="S162" s="57" t="s">
        <v>88</v>
      </c>
      <c r="T162" s="57" t="str">
        <f>Table2[[#This Row],[camera_old]]</f>
        <v>N</v>
      </c>
      <c r="U162" s="24"/>
      <c r="V162" s="16" t="s">
        <v>24</v>
      </c>
      <c r="W162" s="16" t="s">
        <v>24</v>
      </c>
      <c r="X162" s="145">
        <v>4</v>
      </c>
      <c r="Y162" s="147" t="s">
        <v>48</v>
      </c>
      <c r="Z162" s="146" t="s">
        <v>48</v>
      </c>
      <c r="AA162" s="4" t="str">
        <f>Table2[[#This Row],[field_fate]]</f>
        <v>F</v>
      </c>
      <c r="AB162" s="4" t="str">
        <f>Table2[[#This Row],[field_fate2]]</f>
        <v>F</v>
      </c>
      <c r="AC162" s="4" t="str">
        <f>Table2[[#This Row],[field_fate3]]</f>
        <v>F</v>
      </c>
      <c r="AD162" s="4" t="str">
        <f>Table2[[#This Row],[field_fate4]]</f>
        <v>F</v>
      </c>
      <c r="AE162" s="4" t="str">
        <f>Table2[[#This Row],[field_fate5]]</f>
        <v>F</v>
      </c>
      <c r="AF162" s="4" t="str">
        <f>Table2[[#This Row],[field_fate5]]</f>
        <v>F</v>
      </c>
      <c r="AG162" s="4" t="str">
        <f>Table2[[#This Row],[field_fate5]]</f>
        <v>F</v>
      </c>
      <c r="AH162" s="4" t="str">
        <f>Table2[[#This Row],[field_fate2]]</f>
        <v>F</v>
      </c>
      <c r="AI162" s="4" t="str">
        <f>Table2[[#This Row],[field_fate8]]</f>
        <v>F</v>
      </c>
      <c r="AJ162" s="4" t="str">
        <f>Table2[[#This Row],[field_fate10]]</f>
        <v>F</v>
      </c>
      <c r="AK162" s="4" t="b">
        <f>Table2[[#This Row],[field_fate_feb]]=Table2[[#This Row],[field_fate10]]</f>
        <v>1</v>
      </c>
      <c r="AL162" s="43" t="s">
        <v>24</v>
      </c>
      <c r="AM162" s="43" t="b">
        <f>Table2[[#This Row],[cam_fate2]]="NA"</f>
        <v>1</v>
      </c>
      <c r="AN162" s="19" t="str">
        <f>Table2[[#This Row],[cam_fate1]]</f>
        <v>NA</v>
      </c>
      <c r="AO162" s="2" t="s">
        <v>48</v>
      </c>
      <c r="AP162" s="5" t="str">
        <f>Table2[[#This Row],[final_fate1]]</f>
        <v>F</v>
      </c>
      <c r="AQ162" s="6" t="s">
        <v>24</v>
      </c>
      <c r="AR162" s="7" t="s">
        <v>24</v>
      </c>
      <c r="AS162" s="7" t="e">
        <f>Table2[[#This Row],[final_obs_date]]-Table2[[#This Row],[init_date]]</f>
        <v>#VALUE!</v>
      </c>
      <c r="AT162" s="7" t="e">
        <f>(Table2[[#This Row],[final_obs_date2]]-Table2[[#This Row],[estHD]])+16</f>
        <v>#VALUE!</v>
      </c>
      <c r="AU162" s="38">
        <v>4</v>
      </c>
      <c r="AV162" s="33">
        <v>4</v>
      </c>
      <c r="AW162" s="33">
        <f>Table2[[#This Row],[final_obs_date2]]-Table2[[#This Row],[pen_obs_date]]</f>
        <v>53</v>
      </c>
      <c r="AX162" s="67">
        <v>53</v>
      </c>
      <c r="AY162" s="6">
        <f>Table2[[#This Row],[final_obs_date]]</f>
        <v>53</v>
      </c>
      <c r="AZ162" s="6"/>
      <c r="BA162" s="91" t="s">
        <v>47</v>
      </c>
      <c r="BB162" s="6" t="e">
        <f>Table2[[#This Row],[final_obs_date]]&lt;(Table2[[#This Row],[estHD]]-2)</f>
        <v>#VALUE!</v>
      </c>
      <c r="BC162" s="24">
        <f>IF(Table2[[#This Row],[field_fate]]="H",1,0)</f>
        <v>0</v>
      </c>
      <c r="BD162" s="16">
        <f>IF(Table2[[#This Row],[cam_fate2]]="H",1,0)</f>
        <v>0</v>
      </c>
      <c r="BE162" s="6" t="b">
        <f>NOT(Table2[[#This Row],[HF_C]]=Table2[[#This Row],[HF]])</f>
        <v>0</v>
      </c>
      <c r="BF162" s="6" t="b">
        <f>NOT(Table2[[#This Row],[cam_fate2]]=Table2[[#This Row],[field_fate3]])</f>
        <v>1</v>
      </c>
      <c r="BG162" s="6" t="b">
        <f>OR(Table2[[#This Row],[field_fate3]]="U",Table2[[#This Row],[field_fate3]]="U-H")</f>
        <v>0</v>
      </c>
      <c r="BH162" s="8">
        <v>40</v>
      </c>
      <c r="BI162" s="8">
        <v>49</v>
      </c>
      <c r="BJ162" s="14">
        <f>IF(ISTEXT(Table2[[#This Row],[j.cam]]),Table2[[#This Row],[j]],Table2[[#This Row],[j.cam]])</f>
        <v>49</v>
      </c>
      <c r="BK162" s="9">
        <v>53</v>
      </c>
      <c r="BL162" s="15">
        <f>IF(ISTEXT(Table2[[#This Row],[k.cam]]), Table2[[#This Row],[k]], Table2[[#This Row],[k.cam]])</f>
        <v>53</v>
      </c>
      <c r="BM162" s="4" t="s">
        <v>24</v>
      </c>
      <c r="BN162" s="8" t="s">
        <v>24</v>
      </c>
      <c r="BO162" s="4">
        <v>4</v>
      </c>
      <c r="BP162" s="4">
        <f>Table2[[#This Row],[final_obs_date]]-Table2[[#This Row],[i]]</f>
        <v>13</v>
      </c>
      <c r="BQ162" s="4" t="e">
        <f>Table2[[#This Row],[final_obs_date2]]&gt;Table2[[#This Row],[estHD]]+3</f>
        <v>#VALUE!</v>
      </c>
      <c r="BR162" s="4" t="s">
        <v>27</v>
      </c>
      <c r="BS162" s="4" t="s">
        <v>45</v>
      </c>
      <c r="BT162" s="79" t="s">
        <v>1098</v>
      </c>
      <c r="BU162" s="26" t="s">
        <v>106</v>
      </c>
      <c r="BV162" s="79" t="s">
        <v>1499</v>
      </c>
      <c r="BW162" s="49"/>
      <c r="BX162" s="47"/>
      <c r="BY162" s="36" t="s">
        <v>24</v>
      </c>
    </row>
    <row r="163" spans="1:77" hidden="1" x14ac:dyDescent="0.35">
      <c r="A163" s="62">
        <v>10231</v>
      </c>
      <c r="B163" s="2" t="s">
        <v>35</v>
      </c>
      <c r="C163" s="44">
        <v>2019</v>
      </c>
      <c r="D163" s="3">
        <v>29.769130000000001</v>
      </c>
      <c r="E163" s="3">
        <v>-93.172290000000004</v>
      </c>
      <c r="F163" s="3" t="s">
        <v>24</v>
      </c>
      <c r="G163" s="3" t="s">
        <v>24</v>
      </c>
      <c r="H163" s="3" t="s">
        <v>26</v>
      </c>
      <c r="I163" s="43"/>
      <c r="J163" s="116">
        <v>55</v>
      </c>
      <c r="K163" s="4">
        <v>55</v>
      </c>
      <c r="L163" s="22">
        <f>IF(ISNUMBER(Table2[[#This Row],[estHD]]),ABS(Table2[[#This Row],[HD]]-Table2[[#This Row],[estHD]]),"NA")</f>
        <v>0</v>
      </c>
      <c r="M163" s="4" t="b">
        <f>Table2[[#This Row],[HD]]=Table2[[#This Row],[estHD]]</f>
        <v>1</v>
      </c>
      <c r="N163" s="4" t="str">
        <f>IF(ISNUMBER([1]!Table2[[#This Row],[hatch_date]]),[1]!Table2[[#This Row],[hatch_date]]-19,"NA")</f>
        <v>NA</v>
      </c>
      <c r="O163" s="31">
        <v>36</v>
      </c>
      <c r="P163" s="23">
        <f>IF(ISNUMBER(Table2[[#This Row],[nest_age1]]),ABS(Table2[[#This Row],[nest_age1]]-Table2[[#This Row],[nest_age_feb]]),"NA")</f>
        <v>0</v>
      </c>
      <c r="Q163" s="24">
        <f>IF(ISNUMBER(Table2[[#This Row],[final_obs_int2]]),ABS(Table2[[#This Row],[final_obs_int2]]-Table2[[#This Row],[final_obs_int_feb]]), "NA")</f>
        <v>0</v>
      </c>
      <c r="R163" s="24"/>
      <c r="S163" s="20" t="s">
        <v>75</v>
      </c>
      <c r="T163" s="20" t="str">
        <f>Table2[[#This Row],[camera_old]]</f>
        <v>Y</v>
      </c>
      <c r="U163" s="22" t="s">
        <v>88</v>
      </c>
      <c r="V163" s="16" t="s">
        <v>90</v>
      </c>
      <c r="W163" s="16">
        <v>21</v>
      </c>
      <c r="X163" s="145">
        <v>4</v>
      </c>
      <c r="Y163" s="148" t="s">
        <v>90</v>
      </c>
      <c r="Z163" s="146" t="s">
        <v>90</v>
      </c>
      <c r="AA163" s="4" t="str">
        <f>Table2[[#This Row],[field_fate]]</f>
        <v>U</v>
      </c>
      <c r="AB163" s="65" t="str">
        <f>Table2[[#This Row],[field_fate2]]</f>
        <v>U</v>
      </c>
      <c r="AC163" s="106" t="str">
        <f>Table2[[#This Row],[field_fate3]]</f>
        <v>U</v>
      </c>
      <c r="AD163" s="140" t="str">
        <f>Table2[[#This Row],[field_fate4]]</f>
        <v>U</v>
      </c>
      <c r="AE163" s="134" t="str">
        <f>Table2[[#This Row],[field_fate5]]</f>
        <v>U</v>
      </c>
      <c r="AF163" s="93" t="str">
        <f>Table2[[#This Row],[field_fate5]]</f>
        <v>U</v>
      </c>
      <c r="AG163" s="93" t="str">
        <f>Table2[[#This Row],[field_fate5]]</f>
        <v>U</v>
      </c>
      <c r="AH163" s="93" t="str">
        <f>Table2[[#This Row],[field_fate2]]</f>
        <v>U</v>
      </c>
      <c r="AI163" s="93" t="str">
        <f>Table2[[#This Row],[field_fate8]]</f>
        <v>U</v>
      </c>
      <c r="AJ163" s="93" t="str">
        <f>Table2[[#This Row],[field_fate10]]</f>
        <v>U</v>
      </c>
      <c r="AK163" s="93" t="b">
        <f>Table2[[#This Row],[field_fate_feb]]=Table2[[#This Row],[field_fate10]]</f>
        <v>1</v>
      </c>
      <c r="AL163" s="43" t="s">
        <v>65</v>
      </c>
      <c r="AM163" s="160" t="b">
        <f>Table2[[#This Row],[cam_fate2]]="NA"</f>
        <v>0</v>
      </c>
      <c r="AN163" s="19" t="str">
        <f>Table2[[#This Row],[cam_fate1]]</f>
        <v>Ca</v>
      </c>
      <c r="AO163" s="2" t="s">
        <v>65</v>
      </c>
      <c r="AP163" s="5" t="str">
        <f>Table2[[#This Row],[final_fate1]]</f>
        <v>Ca</v>
      </c>
      <c r="AQ163" s="6">
        <v>21</v>
      </c>
      <c r="AR163" s="72">
        <v>21</v>
      </c>
      <c r="AS163" s="155">
        <f>Table2[[#This Row],[final_obs_date]]-Table2[[#This Row],[init_date]]</f>
        <v>21</v>
      </c>
      <c r="AT163" s="155">
        <f>(Table2[[#This Row],[final_obs_date2]]-Table2[[#This Row],[estHD]])+19</f>
        <v>21</v>
      </c>
      <c r="AU163" s="38">
        <v>4</v>
      </c>
      <c r="AV163" s="33">
        <v>4</v>
      </c>
      <c r="AW163" s="33">
        <f>Table2[[#This Row],[final_obs_date2]]-Table2[[#This Row],[pen_obs_date]]</f>
        <v>4</v>
      </c>
      <c r="AX163" s="67">
        <v>57</v>
      </c>
      <c r="AY163" s="157">
        <f>Table2[[#This Row],[final_obs_date]]</f>
        <v>57</v>
      </c>
      <c r="AZ163" s="6">
        <v>53</v>
      </c>
      <c r="BA163" s="92" t="s">
        <v>47</v>
      </c>
      <c r="BB163" s="6" t="b">
        <f>Table2[[#This Row],[final_obs_date]]&lt;(Table2[[#This Row],[estHD]]-2)</f>
        <v>0</v>
      </c>
      <c r="BC163" s="32">
        <v>7</v>
      </c>
      <c r="BD163" s="16">
        <f>IF(Table2[[#This Row],[cam_fate2]]="H",1,0)</f>
        <v>0</v>
      </c>
      <c r="BE163" s="6" t="b">
        <f>NOT(Table2[[#This Row],[HF_C]]=Table2[[#This Row],[HF]])</f>
        <v>1</v>
      </c>
      <c r="BF163" s="38" t="b">
        <f>NOT(Table2[[#This Row],[cam_fate2]]=Table2[[#This Row],[field_fate3]])</f>
        <v>1</v>
      </c>
      <c r="BG163" s="38" t="b">
        <f>OR(Table2[[#This Row],[field_fate3]]="U",Table2[[#This Row],[field_fate3]]="U-H")</f>
        <v>1</v>
      </c>
      <c r="BH163" s="8">
        <v>40</v>
      </c>
      <c r="BI163" s="8">
        <v>53</v>
      </c>
      <c r="BJ163" s="14">
        <f>IF(ISTEXT(Table2[[#This Row],[j.cam]]),Table2[[#This Row],[j]],Table2[[#This Row],[j.cam]])</f>
        <v>53</v>
      </c>
      <c r="BK163" s="8">
        <v>57</v>
      </c>
      <c r="BL163" s="14">
        <f>IF(ISTEXT(Table2[[#This Row],[k.cam]]), Table2[[#This Row],[k]], Table2[[#This Row],[k.cam]])</f>
        <v>57</v>
      </c>
      <c r="BM163" s="4" t="s">
        <v>24</v>
      </c>
      <c r="BN163" s="8" t="s">
        <v>24</v>
      </c>
      <c r="BO163" s="4">
        <v>5</v>
      </c>
      <c r="BP163" s="4">
        <f>Table2[[#This Row],[final_obs_date]]-Table2[[#This Row],[i]]</f>
        <v>17</v>
      </c>
      <c r="BQ163" s="4" t="b">
        <f>Table2[[#This Row],[final_obs_date2]]&gt;Table2[[#This Row],[estHD]]+3</f>
        <v>0</v>
      </c>
      <c r="BR163" s="3" t="s">
        <v>33</v>
      </c>
      <c r="BS163" s="3" t="s">
        <v>49</v>
      </c>
      <c r="BT163" s="125" t="s">
        <v>1105</v>
      </c>
      <c r="BU163" s="4" t="s">
        <v>171</v>
      </c>
      <c r="BV163" s="79" t="s">
        <v>1502</v>
      </c>
      <c r="BW163" s="69"/>
      <c r="BX163" s="36" t="s">
        <v>925</v>
      </c>
      <c r="BY163" s="47" t="s">
        <v>576</v>
      </c>
    </row>
    <row r="164" spans="1:77" hidden="1" x14ac:dyDescent="0.35">
      <c r="A164" s="62">
        <v>10232</v>
      </c>
      <c r="B164" s="2" t="s">
        <v>35</v>
      </c>
      <c r="C164" s="44">
        <v>2019</v>
      </c>
      <c r="D164" s="3">
        <v>29.770150000000001</v>
      </c>
      <c r="E164" s="3">
        <v>-93.177710000000005</v>
      </c>
      <c r="F164" s="3" t="s">
        <v>24</v>
      </c>
      <c r="G164" s="3" t="s">
        <v>24</v>
      </c>
      <c r="H164" s="3" t="s">
        <v>26</v>
      </c>
      <c r="I164" s="43"/>
      <c r="J164" s="55">
        <v>61</v>
      </c>
      <c r="K164" s="4">
        <v>61</v>
      </c>
      <c r="L164" s="22">
        <f>IF(ISNUMBER(Table2[[#This Row],[estHD]]),ABS(Table2[[#This Row],[HD]]-Table2[[#This Row],[estHD]]),"NA")</f>
        <v>0</v>
      </c>
      <c r="M164" s="4" t="b">
        <f>Table2[[#This Row],[HD]]=Table2[[#This Row],[estHD]]</f>
        <v>1</v>
      </c>
      <c r="N164" s="4" t="str">
        <f>IF(ISNUMBER([1]!Table2[[#This Row],[hatch_date]]),[1]!Table2[[#This Row],[hatch_date]]-19,"NA")</f>
        <v>NA</v>
      </c>
      <c r="O164" s="31">
        <v>42</v>
      </c>
      <c r="P164" s="23">
        <f>IF(ISNUMBER(Table2[[#This Row],[nest_age1]]),ABS(Table2[[#This Row],[nest_age1]]-Table2[[#This Row],[nest_age_feb]]),"NA")</f>
        <v>0</v>
      </c>
      <c r="Q164" s="24">
        <f>IF(ISNUMBER(Table2[[#This Row],[final_obs_int2]]),ABS(Table2[[#This Row],[final_obs_int2]]-Table2[[#This Row],[final_obs_int_feb]]), "NA")</f>
        <v>0</v>
      </c>
      <c r="R164" s="24"/>
      <c r="S164" s="21" t="s">
        <v>172</v>
      </c>
      <c r="T164" s="21" t="str">
        <f>Table2[[#This Row],[camera_old]]</f>
        <v>Y?</v>
      </c>
      <c r="U164" s="25"/>
      <c r="V164" s="16" t="s">
        <v>24</v>
      </c>
      <c r="W164" s="16">
        <v>15</v>
      </c>
      <c r="X164" s="145">
        <v>4</v>
      </c>
      <c r="Y164" s="147" t="s">
        <v>149</v>
      </c>
      <c r="Z164" s="146" t="s">
        <v>25</v>
      </c>
      <c r="AA164" s="4" t="str">
        <f>Table2[[#This Row],[field_fate]]</f>
        <v>S</v>
      </c>
      <c r="AB164" s="4" t="str">
        <f>Table2[[#This Row],[field_fate2]]</f>
        <v>S</v>
      </c>
      <c r="AC164" s="4" t="str">
        <f>Table2[[#This Row],[field_fate3]]</f>
        <v>S</v>
      </c>
      <c r="AD164" s="4" t="str">
        <f>Table2[[#This Row],[field_fate4]]</f>
        <v>S</v>
      </c>
      <c r="AE164" s="4" t="str">
        <f>Table2[[#This Row],[field_fate5]]</f>
        <v>S</v>
      </c>
      <c r="AF164" s="4" t="str">
        <f>Table2[[#This Row],[field_fate5]]</f>
        <v>S</v>
      </c>
      <c r="AG164" s="4" t="str">
        <f>Table2[[#This Row],[field_fate5]]</f>
        <v>S</v>
      </c>
      <c r="AH164" s="4" t="str">
        <f>Table2[[#This Row],[field_fate2]]</f>
        <v>S</v>
      </c>
      <c r="AI164" s="4" t="str">
        <f>Table2[[#This Row],[field_fate8]]</f>
        <v>S</v>
      </c>
      <c r="AJ164" s="4" t="str">
        <f>Table2[[#This Row],[field_fate10]]</f>
        <v>S</v>
      </c>
      <c r="AK164" s="4" t="b">
        <f>Table2[[#This Row],[field_fate_feb]]=Table2[[#This Row],[field_fate10]]</f>
        <v>0</v>
      </c>
      <c r="AL164" s="43" t="s">
        <v>25</v>
      </c>
      <c r="AM164" s="43" t="b">
        <f>Table2[[#This Row],[cam_fate2]]="NA"</f>
        <v>1</v>
      </c>
      <c r="AN164" s="19" t="s">
        <v>24</v>
      </c>
      <c r="AO164" s="2" t="s">
        <v>25</v>
      </c>
      <c r="AP164" s="5" t="s">
        <v>24</v>
      </c>
      <c r="AQ164" s="6">
        <v>15</v>
      </c>
      <c r="AR164" s="7">
        <v>15</v>
      </c>
      <c r="AS164" s="7">
        <f>Table2[[#This Row],[final_obs_date]]-Table2[[#This Row],[init_date]]</f>
        <v>15</v>
      </c>
      <c r="AT164" s="7">
        <f>(Table2[[#This Row],[final_obs_date2]]-Table2[[#This Row],[estHD]])+16</f>
        <v>12</v>
      </c>
      <c r="AU164" s="38">
        <v>4</v>
      </c>
      <c r="AV164" s="33">
        <v>4</v>
      </c>
      <c r="AW164" s="33">
        <f>Table2[[#This Row],[final_obs_date2]]-Table2[[#This Row],[pen_obs_date]]</f>
        <v>57</v>
      </c>
      <c r="AX164" s="67">
        <v>57</v>
      </c>
      <c r="AY164" s="6">
        <f>Table2[[#This Row],[final_obs_date]]</f>
        <v>57</v>
      </c>
      <c r="AZ164" s="6"/>
      <c r="BA164" s="91" t="s">
        <v>47</v>
      </c>
      <c r="BB164" s="6" t="b">
        <f>Table2[[#This Row],[final_obs_date]]&lt;(Table2[[#This Row],[estHD]]-2)</f>
        <v>1</v>
      </c>
      <c r="BC164" s="25">
        <f>IF(Table2[[#This Row],[field_fate]]="H",1,0)</f>
        <v>0</v>
      </c>
      <c r="BD164" s="16">
        <f>IF(Table2[[#This Row],[cam_fate2]]="H",1,0)</f>
        <v>0</v>
      </c>
      <c r="BE164" s="6" t="b">
        <f>NOT(Table2[[#This Row],[HF_C]]=Table2[[#This Row],[HF]])</f>
        <v>0</v>
      </c>
      <c r="BF164" s="6" t="b">
        <f>NOT(Table2[[#This Row],[cam_fate2]]=Table2[[#This Row],[field_fate3]])</f>
        <v>1</v>
      </c>
      <c r="BG164" s="6" t="b">
        <f>OR(Table2[[#This Row],[field_fate3]]="U",Table2[[#This Row],[field_fate3]]="U-H")</f>
        <v>0</v>
      </c>
      <c r="BH164" s="8">
        <v>41</v>
      </c>
      <c r="BI164" s="8">
        <v>53</v>
      </c>
      <c r="BJ164" s="14">
        <f>IF(ISTEXT(Table2[[#This Row],[j.cam]]),Table2[[#This Row],[j]],Table2[[#This Row],[j.cam]])</f>
        <v>53</v>
      </c>
      <c r="BK164" s="8">
        <v>57</v>
      </c>
      <c r="BL164" s="14">
        <f>IF(ISTEXT(Table2[[#This Row],[k.cam]]), Table2[[#This Row],[k]], Table2[[#This Row],[k.cam]])</f>
        <v>57</v>
      </c>
      <c r="BM164" s="4" t="s">
        <v>24</v>
      </c>
      <c r="BN164" s="8" t="s">
        <v>24</v>
      </c>
      <c r="BO164" s="4">
        <v>5</v>
      </c>
      <c r="BP164" s="4">
        <f>Table2[[#This Row],[final_obs_date]]-Table2[[#This Row],[i]]</f>
        <v>16</v>
      </c>
      <c r="BQ164" s="4" t="b">
        <f>Table2[[#This Row],[final_obs_date2]]&gt;Table2[[#This Row],[estHD]]+3</f>
        <v>0</v>
      </c>
      <c r="BR164" s="3" t="s">
        <v>33</v>
      </c>
      <c r="BS164" s="3" t="s">
        <v>28</v>
      </c>
      <c r="BT164" s="79" t="s">
        <v>1105</v>
      </c>
      <c r="BU164" s="26" t="s">
        <v>154</v>
      </c>
      <c r="BV164" s="79" t="s">
        <v>1502</v>
      </c>
      <c r="BW164" s="49"/>
      <c r="BX164" s="47"/>
      <c r="BY164" s="36" t="s">
        <v>24</v>
      </c>
    </row>
    <row r="165" spans="1:77" ht="15" hidden="1" x14ac:dyDescent="0.35">
      <c r="A165" s="62">
        <v>10233</v>
      </c>
      <c r="B165" s="2" t="s">
        <v>35</v>
      </c>
      <c r="C165" s="44">
        <v>2019</v>
      </c>
      <c r="D165" s="3">
        <v>29.770779999999998</v>
      </c>
      <c r="E165" s="3">
        <v>-93.181229999999999</v>
      </c>
      <c r="F165" s="3" t="s">
        <v>24</v>
      </c>
      <c r="G165" s="3" t="s">
        <v>24</v>
      </c>
      <c r="H165" s="3" t="s">
        <v>26</v>
      </c>
      <c r="I165" s="43"/>
      <c r="J165" s="116" t="s">
        <v>24</v>
      </c>
      <c r="K165" s="4">
        <v>63</v>
      </c>
      <c r="L165" s="22" t="str">
        <f>IF(ISNUMBER(Table2[[#This Row],[estHD]]),ABS(Table2[[#This Row],[HD]]-Table2[[#This Row],[estHD]]),"NA")</f>
        <v>NA</v>
      </c>
      <c r="M165" s="4" t="b">
        <f>Table2[[#This Row],[HD]]=Table2[[#This Row],[estHD]]</f>
        <v>0</v>
      </c>
      <c r="N165" s="4" t="str">
        <f>IF(ISNUMBER([1]!Table2[[#This Row],[hatch_date]]),[1]!Table2[[#This Row],[hatch_date]]-19,"NA")</f>
        <v>NA</v>
      </c>
      <c r="O165" s="31">
        <v>44</v>
      </c>
      <c r="P165" s="23">
        <f>IF(ISNUMBER(Table2[[#This Row],[nest_age1]]),ABS(Table2[[#This Row],[nest_age1]]-Table2[[#This Row],[nest_age_feb]]),"NA")</f>
        <v>0</v>
      </c>
      <c r="Q165" s="24">
        <f>IF(ISNUMBER(Table2[[#This Row],[final_obs_int2]]),ABS(Table2[[#This Row],[final_obs_int2]]-Table2[[#This Row],[final_obs_int_feb]]), "NA")</f>
        <v>0</v>
      </c>
      <c r="R165" s="24"/>
      <c r="S165" s="21" t="s">
        <v>448</v>
      </c>
      <c r="T165" s="21" t="s">
        <v>75</v>
      </c>
      <c r="U165" s="32"/>
      <c r="V165" s="16" t="s">
        <v>24</v>
      </c>
      <c r="W165" s="16">
        <v>19</v>
      </c>
      <c r="X165" s="145">
        <v>6</v>
      </c>
      <c r="Y165" s="149" t="s">
        <v>37</v>
      </c>
      <c r="Z165" s="146" t="s">
        <v>37</v>
      </c>
      <c r="AA165" s="4" t="str">
        <f>Table2[[#This Row],[field_fate]]</f>
        <v>H</v>
      </c>
      <c r="AB165" s="4" t="str">
        <f>Table2[[#This Row],[field_fate2]]</f>
        <v>H</v>
      </c>
      <c r="AC165" s="94" t="str">
        <f>Table2[[#This Row],[field_fate3]]</f>
        <v>H</v>
      </c>
      <c r="AD165" s="94" t="str">
        <f>Table2[[#This Row],[field_fate4]]</f>
        <v>H</v>
      </c>
      <c r="AE165" s="94" t="str">
        <f>Table2[[#This Row],[field_fate5]]</f>
        <v>H</v>
      </c>
      <c r="AF165" s="94" t="str">
        <f>Table2[[#This Row],[field_fate5]]</f>
        <v>H</v>
      </c>
      <c r="AG165" s="94" t="str">
        <f>Table2[[#This Row],[field_fate5]]</f>
        <v>H</v>
      </c>
      <c r="AH165" s="94" t="str">
        <f>Table2[[#This Row],[field_fate2]]</f>
        <v>H</v>
      </c>
      <c r="AI165" s="94" t="str">
        <f>Table2[[#This Row],[field_fate8]]</f>
        <v>H</v>
      </c>
      <c r="AJ165" s="94" t="str">
        <f>Table2[[#This Row],[field_fate10]]</f>
        <v>H</v>
      </c>
      <c r="AK165" s="94" t="b">
        <f>Table2[[#This Row],[field_fate_feb]]=Table2[[#This Row],[field_fate10]]</f>
        <v>1</v>
      </c>
      <c r="AL165" s="43" t="s">
        <v>37</v>
      </c>
      <c r="AM165" s="160" t="b">
        <f>Table2[[#This Row],[cam_fate2]]="NA"</f>
        <v>0</v>
      </c>
      <c r="AN165" s="19" t="str">
        <f>Table2[[#This Row],[cam_fate1]]</f>
        <v>H</v>
      </c>
      <c r="AO165" s="2" t="s">
        <v>37</v>
      </c>
      <c r="AP165" s="5" t="str">
        <f>Table2[[#This Row],[final_fate1]]</f>
        <v>H</v>
      </c>
      <c r="AQ165" s="6">
        <v>19</v>
      </c>
      <c r="AR165" s="72">
        <v>19</v>
      </c>
      <c r="AS165" s="155">
        <f>Table2[[#This Row],[final_obs_date]]-Table2[[#This Row],[init_date]]</f>
        <v>19</v>
      </c>
      <c r="AT165" s="155" t="e">
        <f>(Table2[[#This Row],[final_obs_date2]]-Table2[[#This Row],[estHD]])+19</f>
        <v>#VALUE!</v>
      </c>
      <c r="AU165" s="38">
        <v>6</v>
      </c>
      <c r="AV165" s="33">
        <v>6</v>
      </c>
      <c r="AW165" s="33">
        <f>Table2[[#This Row],[final_obs_date2]]-Table2[[#This Row],[pen_obs_date]]</f>
        <v>6</v>
      </c>
      <c r="AX165" s="67">
        <v>63</v>
      </c>
      <c r="AY165" s="157">
        <f>Table2[[#This Row],[final_obs_date]]</f>
        <v>63</v>
      </c>
      <c r="AZ165" s="6">
        <v>57</v>
      </c>
      <c r="BA165" s="92" t="s">
        <v>47</v>
      </c>
      <c r="BB165" s="6" t="e">
        <f>Table2[[#This Row],[final_obs_date]]&lt;(Table2[[#This Row],[estHD]]-2)</f>
        <v>#VALUE!</v>
      </c>
      <c r="BC165" s="32">
        <f>IF(Table2[[#This Row],[field_fate]]="H",1,0)</f>
        <v>1</v>
      </c>
      <c r="BD165" s="16">
        <f>IF(Table2[[#This Row],[cam_fate2]]="H",1,0)</f>
        <v>1</v>
      </c>
      <c r="BE165" s="6" t="b">
        <f>NOT(Table2[[#This Row],[HF_C]]=Table2[[#This Row],[HF]])</f>
        <v>0</v>
      </c>
      <c r="BF165" s="38" t="b">
        <f>NOT(Table2[[#This Row],[cam_fate2]]=Table2[[#This Row],[field_fate3]])</f>
        <v>0</v>
      </c>
      <c r="BG165" s="38" t="b">
        <f>OR(Table2[[#This Row],[field_fate3]]="U",Table2[[#This Row],[field_fate3]]="U-H")</f>
        <v>0</v>
      </c>
      <c r="BH165" s="8">
        <v>40</v>
      </c>
      <c r="BI165" s="8">
        <v>63</v>
      </c>
      <c r="BJ165" s="14">
        <f>IF(ISTEXT(Table2[[#This Row],[j.cam]]),Table2[[#This Row],[j]],Table2[[#This Row],[j.cam]])</f>
        <v>63</v>
      </c>
      <c r="BK165" s="8">
        <v>63</v>
      </c>
      <c r="BL165" s="14">
        <f>IF(ISTEXT(Table2[[#This Row],[k.cam]]), Table2[[#This Row],[k]], Table2[[#This Row],[k.cam]])</f>
        <v>63</v>
      </c>
      <c r="BM165" s="4" t="s">
        <v>24</v>
      </c>
      <c r="BN165" s="8" t="s">
        <v>24</v>
      </c>
      <c r="BO165" s="4">
        <v>6</v>
      </c>
      <c r="BP165" s="4">
        <f>Table2[[#This Row],[final_obs_date]]-Table2[[#This Row],[i]]</f>
        <v>23</v>
      </c>
      <c r="BQ165" s="4" t="e">
        <f>Table2[[#This Row],[final_obs_date2]]&gt;Table2[[#This Row],[estHD]]+3</f>
        <v>#VALUE!</v>
      </c>
      <c r="BR165" s="3" t="s">
        <v>27</v>
      </c>
      <c r="BS165" s="3" t="s">
        <v>173</v>
      </c>
      <c r="BT165" s="125" t="s">
        <v>1106</v>
      </c>
      <c r="BU165" s="4" t="s">
        <v>174</v>
      </c>
      <c r="BV165" s="79" t="s">
        <v>1503</v>
      </c>
      <c r="BW165" s="69"/>
      <c r="BX165" s="36" t="s">
        <v>962</v>
      </c>
      <c r="BY165" s="36" t="s">
        <v>24</v>
      </c>
    </row>
    <row r="166" spans="1:77" ht="26" hidden="1" x14ac:dyDescent="0.35">
      <c r="A166" s="59">
        <v>10234</v>
      </c>
      <c r="B166" s="2" t="s">
        <v>35</v>
      </c>
      <c r="C166" s="44">
        <v>2019</v>
      </c>
      <c r="D166" s="3">
        <v>29.770679999999999</v>
      </c>
      <c r="E166" s="3">
        <v>-93.180480000000003</v>
      </c>
      <c r="F166" s="3" t="s">
        <v>24</v>
      </c>
      <c r="G166" s="3" t="s">
        <v>24</v>
      </c>
      <c r="H166" s="3" t="s">
        <v>26</v>
      </c>
      <c r="I166" s="43"/>
      <c r="J166" s="116">
        <v>54</v>
      </c>
      <c r="K166" s="4">
        <v>54</v>
      </c>
      <c r="L166" s="22">
        <f>IF(ISNUMBER(Table2[[#This Row],[estHD]]),ABS(Table2[[#This Row],[HD]]-Table2[[#This Row],[estHD]]),"NA")</f>
        <v>0</v>
      </c>
      <c r="M166" s="4" t="b">
        <f>Table2[[#This Row],[HD]]=Table2[[#This Row],[estHD]]</f>
        <v>1</v>
      </c>
      <c r="N166" s="4" t="str">
        <f>IF(ISNUMBER([1]!Table2[[#This Row],[hatch_date]]),[1]!Table2[[#This Row],[hatch_date]]-19,"NA")</f>
        <v>NA</v>
      </c>
      <c r="O166" s="89">
        <v>35</v>
      </c>
      <c r="P166" s="23">
        <f>IF(ISNUMBER(Table2[[#This Row],[nest_age1]]),ABS(Table2[[#This Row],[nest_age1]]-Table2[[#This Row],[nest_age_feb]]),"NA")</f>
        <v>0</v>
      </c>
      <c r="Q166" s="24">
        <f>IF(ISNUMBER(Table2[[#This Row],[final_obs_int2]]),ABS(Table2[[#This Row],[final_obs_int2]]-Table2[[#This Row],[final_obs_int_feb]]), "NA")</f>
        <v>0</v>
      </c>
      <c r="R166" s="24"/>
      <c r="S166" s="20" t="s">
        <v>75</v>
      </c>
      <c r="T166" s="20" t="str">
        <f>Table2[[#This Row],[camera_old]]</f>
        <v>Y</v>
      </c>
      <c r="U166" s="22" t="s">
        <v>88</v>
      </c>
      <c r="V166" s="16" t="s">
        <v>36</v>
      </c>
      <c r="W166" s="16">
        <v>28</v>
      </c>
      <c r="X166" s="145">
        <v>4</v>
      </c>
      <c r="Y166" s="148" t="s">
        <v>90</v>
      </c>
      <c r="Z166" s="146" t="s">
        <v>90</v>
      </c>
      <c r="AA166" s="4" t="str">
        <f>Table2[[#This Row],[field_fate]]</f>
        <v>U</v>
      </c>
      <c r="AB166" s="65" t="str">
        <f>Table2[[#This Row],[field_fate2]]</f>
        <v>U</v>
      </c>
      <c r="AC166" s="106" t="str">
        <f>Table2[[#This Row],[field_fate3]]</f>
        <v>U</v>
      </c>
      <c r="AD166" s="143" t="str">
        <f>Table2[[#This Row],[field_fate4]]</f>
        <v>U</v>
      </c>
      <c r="AE166" s="135" t="str">
        <f>Table2[[#This Row],[field_fate5]]</f>
        <v>U</v>
      </c>
      <c r="AF166" s="100" t="str">
        <f>Table2[[#This Row],[field_fate5]]</f>
        <v>U</v>
      </c>
      <c r="AG166" s="100" t="str">
        <f>Table2[[#This Row],[field_fate5]]</f>
        <v>U</v>
      </c>
      <c r="AH166" s="100" t="str">
        <f>Table2[[#This Row],[field_fate2]]</f>
        <v>U</v>
      </c>
      <c r="AI166" s="100" t="str">
        <f>Table2[[#This Row],[field_fate8]]</f>
        <v>U</v>
      </c>
      <c r="AJ166" s="100" t="str">
        <f>Table2[[#This Row],[field_fate10]]</f>
        <v>U</v>
      </c>
      <c r="AK166" s="100" t="b">
        <f>Table2[[#This Row],[field_fate_feb]]=Table2[[#This Row],[field_fate10]]</f>
        <v>1</v>
      </c>
      <c r="AL166" s="43" t="s">
        <v>36</v>
      </c>
      <c r="AM166" s="160" t="b">
        <f>Table2[[#This Row],[cam_fate2]]="NA"</f>
        <v>0</v>
      </c>
      <c r="AN166" s="159" t="str">
        <f>Table2[[#This Row],[cam_fate1]]</f>
        <v>A</v>
      </c>
      <c r="AO166" s="2" t="s">
        <v>36</v>
      </c>
      <c r="AP166" s="5" t="str">
        <f>Table2[[#This Row],[final_fate1]]</f>
        <v>A</v>
      </c>
      <c r="AQ166" s="6">
        <v>28</v>
      </c>
      <c r="AR166" s="72">
        <v>28</v>
      </c>
      <c r="AS166" s="155">
        <f>Table2[[#This Row],[final_obs_date]]-Table2[[#This Row],[init_date]]</f>
        <v>28</v>
      </c>
      <c r="AT166" s="155">
        <f>(Table2[[#This Row],[final_obs_date2]]-Table2[[#This Row],[estHD]])+19</f>
        <v>28</v>
      </c>
      <c r="AU166" s="38">
        <v>4</v>
      </c>
      <c r="AV166" s="33">
        <v>4</v>
      </c>
      <c r="AW166" s="33">
        <f>Table2[[#This Row],[final_obs_date2]]-Table2[[#This Row],[pen_obs_date]]</f>
        <v>4</v>
      </c>
      <c r="AX166" s="67">
        <v>63</v>
      </c>
      <c r="AY166" s="158">
        <f>Table2[[#This Row],[final_obs_date]]</f>
        <v>63</v>
      </c>
      <c r="AZ166" s="6">
        <v>59</v>
      </c>
      <c r="BA166" s="92" t="s">
        <v>47</v>
      </c>
      <c r="BB166" s="86" t="b">
        <f>Table2[[#This Row],[final_obs_date]]&lt;(Table2[[#This Row],[estHD]]-2)</f>
        <v>0</v>
      </c>
      <c r="BC166" s="83">
        <v>7</v>
      </c>
      <c r="BD166" s="82">
        <f>IF(Table2[[#This Row],[cam_fate2]]="H",1,0)</f>
        <v>0</v>
      </c>
      <c r="BE166" s="84" t="b">
        <f>NOT(Table2[[#This Row],[HF_C]]=Table2[[#This Row],[HF]])</f>
        <v>1</v>
      </c>
      <c r="BF166" s="85" t="b">
        <f>NOT(Table2[[#This Row],[cam_fate2]]=Table2[[#This Row],[field_fate3]])</f>
        <v>1</v>
      </c>
      <c r="BG166" s="85" t="b">
        <f>OR(Table2[[#This Row],[field_fate3]]="U",Table2[[#This Row],[field_fate3]]="U-H")</f>
        <v>1</v>
      </c>
      <c r="BH166" s="8">
        <v>40</v>
      </c>
      <c r="BI166" s="8">
        <v>59</v>
      </c>
      <c r="BJ166" s="14">
        <f>IF(ISTEXT(Table2[[#This Row],[j.cam]]),Table2[[#This Row],[j]],Table2[[#This Row],[j.cam]])</f>
        <v>59</v>
      </c>
      <c r="BK166" s="8">
        <v>63</v>
      </c>
      <c r="BL166" s="14">
        <f>IF(ISTEXT(Table2[[#This Row],[k.cam]]), Table2[[#This Row],[k]], Table2[[#This Row],[k.cam]])</f>
        <v>63</v>
      </c>
      <c r="BM166" s="87" t="s">
        <v>24</v>
      </c>
      <c r="BN166" s="87" t="s">
        <v>24</v>
      </c>
      <c r="BO166" s="4">
        <v>7</v>
      </c>
      <c r="BP166" s="4">
        <f>Table2[[#This Row],[final_obs_date]]-Table2[[#This Row],[i]]</f>
        <v>23</v>
      </c>
      <c r="BQ166" s="4" t="b">
        <f>Table2[[#This Row],[final_obs_date2]]&gt;Table2[[#This Row],[estHD]]+3</f>
        <v>1</v>
      </c>
      <c r="BR166" s="3" t="s">
        <v>66</v>
      </c>
      <c r="BS166" s="3" t="s">
        <v>49</v>
      </c>
      <c r="BT166" s="125" t="s">
        <v>1107</v>
      </c>
      <c r="BU166" s="122" t="s">
        <v>175</v>
      </c>
      <c r="BV166" s="88" t="s">
        <v>1504</v>
      </c>
      <c r="BW166" s="69"/>
      <c r="BX166" s="36" t="s">
        <v>926</v>
      </c>
      <c r="BY166" s="47" t="s">
        <v>577</v>
      </c>
    </row>
    <row r="167" spans="1:77" ht="15" hidden="1" thickBot="1" x14ac:dyDescent="0.4">
      <c r="A167" s="62">
        <v>10235</v>
      </c>
      <c r="B167" s="2" t="s">
        <v>35</v>
      </c>
      <c r="C167" s="44">
        <v>2019</v>
      </c>
      <c r="D167" s="3">
        <v>29.76754</v>
      </c>
      <c r="E167" s="3">
        <v>-93.164050000000003</v>
      </c>
      <c r="F167" s="3" t="s">
        <v>24</v>
      </c>
      <c r="G167" s="3" t="s">
        <v>24</v>
      </c>
      <c r="H167" s="3" t="s">
        <v>26</v>
      </c>
      <c r="I167" s="43"/>
      <c r="J167" s="116" t="s">
        <v>24</v>
      </c>
      <c r="K167" s="4">
        <v>45</v>
      </c>
      <c r="L167" s="22" t="str">
        <f>IF(ISNUMBER(Table2[[#This Row],[estHD]]),ABS(Table2[[#This Row],[HD]]-Table2[[#This Row],[estHD]]),"NA")</f>
        <v>NA</v>
      </c>
      <c r="M167" s="4" t="b">
        <f>Table2[[#This Row],[HD]]=Table2[[#This Row],[estHD]]</f>
        <v>0</v>
      </c>
      <c r="N167" s="4" t="str">
        <f>IF(ISNUMBER([1]!Table2[[#This Row],[hatch_date]]),[1]!Table2[[#This Row],[hatch_date]]-19,"NA")</f>
        <v>NA</v>
      </c>
      <c r="O167" s="31">
        <v>26</v>
      </c>
      <c r="P167" s="23" t="e">
        <f>IF(ISNUMBER(Table2[[#This Row],[nest_age1]]),ABS(Table2[[#This Row],[nest_age1]]-Table2[[#This Row],[nest_age_feb]]),"NA")</f>
        <v>#VALUE!</v>
      </c>
      <c r="Q167" s="25">
        <f>IF(ISNUMBER(Table2[[#This Row],[final_obs_int2]]),ABS(Table2[[#This Row],[final_obs_int2]]-Table2[[#This Row],[final_obs_int_feb]]), "NA")</f>
        <v>0</v>
      </c>
      <c r="R167" s="25"/>
      <c r="S167" s="20" t="s">
        <v>75</v>
      </c>
      <c r="T167" s="20" t="str">
        <f>Table2[[#This Row],[camera_old]]</f>
        <v>Y</v>
      </c>
      <c r="U167" s="22" t="s">
        <v>88</v>
      </c>
      <c r="V167" s="16" t="s">
        <v>24</v>
      </c>
      <c r="W167" s="16" t="s">
        <v>24</v>
      </c>
      <c r="X167" s="145">
        <v>5</v>
      </c>
      <c r="Y167" s="153" t="s">
        <v>104</v>
      </c>
      <c r="Z167" s="146" t="s">
        <v>104</v>
      </c>
      <c r="AA167" s="5" t="s">
        <v>90</v>
      </c>
      <c r="AB167" s="2" t="str">
        <f>Table2[[#This Row],[field_fate]]</f>
        <v>U-H</v>
      </c>
      <c r="AC167" s="127" t="str">
        <f>Table2[[#This Row],[field_fate3]]</f>
        <v>U-H</v>
      </c>
      <c r="AD167" s="102" t="s">
        <v>90</v>
      </c>
      <c r="AE167" s="111" t="s">
        <v>104</v>
      </c>
      <c r="AF167" s="111" t="str">
        <f>Table2[[#This Row],[field_fate5]]</f>
        <v>U</v>
      </c>
      <c r="AG167" s="111" t="str">
        <f>Table2[[#This Row],[field_fate5]]</f>
        <v>U</v>
      </c>
      <c r="AH167" s="111" t="str">
        <f>Table2[[#This Row],[field_fate2]]</f>
        <v>U</v>
      </c>
      <c r="AI167" s="111" t="str">
        <f>Table2[[#This Row],[field_fate8]]</f>
        <v>U</v>
      </c>
      <c r="AJ167" s="111" t="str">
        <f>Table2[[#This Row],[field_fate10]]</f>
        <v>U</v>
      </c>
      <c r="AK167" s="111" t="b">
        <f>Table2[[#This Row],[field_fate_feb]]=Table2[[#This Row],[field_fate10]]</f>
        <v>0</v>
      </c>
      <c r="AL167" s="99" t="s">
        <v>37</v>
      </c>
      <c r="AM167" s="99" t="b">
        <f>Table2[[#This Row],[cam_fate2]]="NA"</f>
        <v>1</v>
      </c>
      <c r="AN167" s="19" t="s">
        <v>24</v>
      </c>
      <c r="AO167" s="2" t="s">
        <v>37</v>
      </c>
      <c r="AP167" s="5" t="s">
        <v>24</v>
      </c>
      <c r="AQ167" s="6">
        <v>23</v>
      </c>
      <c r="AR167" s="72">
        <v>23</v>
      </c>
      <c r="AS167" s="72">
        <f>Table2[[#This Row],[final_obs_date]]-Table2[[#This Row],[init_date]]</f>
        <v>23</v>
      </c>
      <c r="AT167" s="72" t="e">
        <f>(Table2[[#This Row],[final_obs_date2]]-Table2[[#This Row],[estHD]])+16</f>
        <v>#VALUE!</v>
      </c>
      <c r="AU167" s="40">
        <v>5</v>
      </c>
      <c r="AV167" s="33">
        <v>5</v>
      </c>
      <c r="AW167" s="33">
        <f>Table2[[#This Row],[final_obs_date2]]-Table2[[#This Row],[pen_obs_date]]</f>
        <v>49</v>
      </c>
      <c r="AX167" s="67">
        <v>49</v>
      </c>
      <c r="AY167" s="156">
        <f>Table2[[#This Row],[final_obs_date]]</f>
        <v>49</v>
      </c>
      <c r="AZ167" s="6"/>
      <c r="BA167" s="92" t="s">
        <v>47</v>
      </c>
      <c r="BB167" s="6" t="e">
        <f>Table2[[#This Row],[final_obs_date]]&lt;(Table2[[#This Row],[estHD]]-2)</f>
        <v>#VALUE!</v>
      </c>
      <c r="BC167" s="32">
        <v>7</v>
      </c>
      <c r="BD167" s="16" t="s">
        <v>24</v>
      </c>
      <c r="BE167" s="6" t="b">
        <f>NOT(Table2[[#This Row],[HF_C]]=Table2[[#This Row],[HF]])</f>
        <v>1</v>
      </c>
      <c r="BF167" s="38" t="b">
        <f>NOT(Table2[[#This Row],[cam_fate2]]=Table2[[#This Row],[field_fate3]])</f>
        <v>1</v>
      </c>
      <c r="BG167" s="38" t="b">
        <f>OR(Table2[[#This Row],[field_fate3]]="U",Table2[[#This Row],[field_fate3]]="U-H")</f>
        <v>1</v>
      </c>
      <c r="BH167" s="8">
        <v>40</v>
      </c>
      <c r="BI167" s="8">
        <v>44</v>
      </c>
      <c r="BJ167" s="14">
        <f>IF(ISTEXT(Table2[[#This Row],[j.cam]]),Table2[[#This Row],[j]],Table2[[#This Row],[j.cam]])</f>
        <v>45</v>
      </c>
      <c r="BK167" s="8">
        <v>49</v>
      </c>
      <c r="BL167" s="14">
        <f>IF(ISTEXT(Table2[[#This Row],[k.cam]]), Table2[[#This Row],[k]], Table2[[#This Row],[k.cam]])</f>
        <v>45</v>
      </c>
      <c r="BM167" s="4">
        <v>45</v>
      </c>
      <c r="BN167" s="8">
        <v>45</v>
      </c>
      <c r="BO167" s="4">
        <v>4</v>
      </c>
      <c r="BP167" s="4">
        <f>Table2[[#This Row],[final_obs_date]]-Table2[[#This Row],[i]]</f>
        <v>9</v>
      </c>
      <c r="BQ167" s="4" t="e">
        <f>Table2[[#This Row],[final_obs_date2]]&gt;Table2[[#This Row],[estHD]]+3</f>
        <v>#VALUE!</v>
      </c>
      <c r="BR167" s="27" t="s">
        <v>176</v>
      </c>
      <c r="BS167" s="3" t="s">
        <v>45</v>
      </c>
      <c r="BT167" s="125" t="s">
        <v>1108</v>
      </c>
      <c r="BU167" s="4" t="s">
        <v>177</v>
      </c>
      <c r="BV167" s="79" t="s">
        <v>1505</v>
      </c>
      <c r="BW167" s="69" t="s">
        <v>971</v>
      </c>
      <c r="BX167" s="73" t="s">
        <v>927</v>
      </c>
      <c r="BY167" s="36" t="s">
        <v>578</v>
      </c>
    </row>
    <row r="168" spans="1:77" ht="18.5" hidden="1" x14ac:dyDescent="0.35">
      <c r="A168" s="62">
        <v>10236</v>
      </c>
      <c r="B168" s="2" t="s">
        <v>122</v>
      </c>
      <c r="C168" s="44">
        <v>2019</v>
      </c>
      <c r="D168" s="3">
        <v>29.758389999999999</v>
      </c>
      <c r="E168" s="3">
        <v>-93.120739999999998</v>
      </c>
      <c r="F168" s="3" t="s">
        <v>24</v>
      </c>
      <c r="G168" s="3" t="s">
        <v>24</v>
      </c>
      <c r="H168" s="3" t="s">
        <v>26</v>
      </c>
      <c r="I168" s="43"/>
      <c r="J168" s="55" t="s">
        <v>24</v>
      </c>
      <c r="K168" s="4">
        <v>61</v>
      </c>
      <c r="L168" s="22" t="str">
        <f>IF(ISNUMBER(Table2[[#This Row],[estHD]]),ABS(Table2[[#This Row],[HD]]-Table2[[#This Row],[estHD]]),"NA")</f>
        <v>NA</v>
      </c>
      <c r="M168" s="4" t="b">
        <f>Table2[[#This Row],[HD]]=Table2[[#This Row],[estHD]]</f>
        <v>0</v>
      </c>
      <c r="N168" s="4" t="str">
        <f>IF(ISNUMBER([1]!Table2[[#This Row],[hatch_date]]),[1]!Table2[[#This Row],[hatch_date]]-19,"NA")</f>
        <v>NA</v>
      </c>
      <c r="O168" s="31">
        <v>42</v>
      </c>
      <c r="P168" s="23">
        <f>IF(ISNUMBER(Table2[[#This Row],[nest_age1]]),ABS(Table2[[#This Row],[nest_age1]]-Table2[[#This Row],[nest_age_feb]]),"NA")</f>
        <v>2</v>
      </c>
      <c r="Q168" s="24">
        <f>IF(ISNUMBER(Table2[[#This Row],[final_obs_int2]]),ABS(Table2[[#This Row],[final_obs_int2]]-Table2[[#This Row],[final_obs_int_feb]]), "NA")</f>
        <v>2</v>
      </c>
      <c r="R168" s="24"/>
      <c r="S168" s="57" t="s">
        <v>88</v>
      </c>
      <c r="T168" s="57" t="str">
        <f>Table2[[#This Row],[camera_old]]</f>
        <v>N</v>
      </c>
      <c r="U168" s="24"/>
      <c r="V168" s="16" t="s">
        <v>24</v>
      </c>
      <c r="W168" s="16">
        <v>19</v>
      </c>
      <c r="X168" s="145">
        <v>4</v>
      </c>
      <c r="Y168" s="149" t="s">
        <v>37</v>
      </c>
      <c r="Z168" s="146" t="s">
        <v>37</v>
      </c>
      <c r="AA168" s="4" t="str">
        <f>Table2[[#This Row],[field_fate]]</f>
        <v>H</v>
      </c>
      <c r="AB168" s="4" t="str">
        <f>Table2[[#This Row],[field_fate2]]</f>
        <v>H</v>
      </c>
      <c r="AC168" s="4" t="str">
        <f>Table2[[#This Row],[field_fate3]]</f>
        <v>H</v>
      </c>
      <c r="AD168" s="101" t="str">
        <f>Table2[[#This Row],[field_fate4]]</f>
        <v>H</v>
      </c>
      <c r="AE168" s="101" t="str">
        <f>Table2[[#This Row],[field_fate5]]</f>
        <v>H</v>
      </c>
      <c r="AF168" s="101" t="str">
        <f>Table2[[#This Row],[field_fate5]]</f>
        <v>H</v>
      </c>
      <c r="AG168" s="101" t="str">
        <f>Table2[[#This Row],[field_fate5]]</f>
        <v>H</v>
      </c>
      <c r="AH168" s="101" t="str">
        <f>Table2[[#This Row],[field_fate2]]</f>
        <v>H</v>
      </c>
      <c r="AI168" s="101" t="str">
        <f>Table2[[#This Row],[field_fate8]]</f>
        <v>H</v>
      </c>
      <c r="AJ168" s="101" t="str">
        <f>Table2[[#This Row],[field_fate10]]</f>
        <v>H</v>
      </c>
      <c r="AK168" s="101" t="b">
        <f>Table2[[#This Row],[field_fate_feb]]=Table2[[#This Row],[field_fate10]]</f>
        <v>1</v>
      </c>
      <c r="AL168" s="43" t="s">
        <v>24</v>
      </c>
      <c r="AM168" s="43" t="b">
        <f>Table2[[#This Row],[cam_fate2]]="NA"</f>
        <v>1</v>
      </c>
      <c r="AN168" s="19" t="str">
        <f>Table2[[#This Row],[cam_fate1]]</f>
        <v>NA</v>
      </c>
      <c r="AO168" s="2" t="s">
        <v>37</v>
      </c>
      <c r="AP168" s="5" t="str">
        <f>Table2[[#This Row],[final_fate1]]</f>
        <v>H</v>
      </c>
      <c r="AQ168" s="6">
        <v>21</v>
      </c>
      <c r="AR168" s="7">
        <v>21</v>
      </c>
      <c r="AS168" s="7">
        <f>Table2[[#This Row],[final_obs_date]]-Table2[[#This Row],[init_date]]</f>
        <v>21</v>
      </c>
      <c r="AT168" s="7" t="e">
        <f>(Table2[[#This Row],[final_obs_date2]]-Table2[[#This Row],[estHD]])+16</f>
        <v>#VALUE!</v>
      </c>
      <c r="AU168" s="38">
        <v>2</v>
      </c>
      <c r="AV168" s="33">
        <v>2</v>
      </c>
      <c r="AW168" s="33">
        <f>Table2[[#This Row],[final_obs_date2]]-Table2[[#This Row],[pen_obs_date]]</f>
        <v>63</v>
      </c>
      <c r="AX168" s="67">
        <v>63</v>
      </c>
      <c r="AY168" s="6">
        <f>Table2[[#This Row],[final_obs_date]]</f>
        <v>63</v>
      </c>
      <c r="AZ168" s="6"/>
      <c r="BA168" s="91" t="s">
        <v>47</v>
      </c>
      <c r="BB168" s="6" t="e">
        <f>Table2[[#This Row],[final_obs_date]]&lt;(Table2[[#This Row],[estHD]]-2)</f>
        <v>#VALUE!</v>
      </c>
      <c r="BC168" s="24">
        <f>IF(Table2[[#This Row],[field_fate]]="H",1,0)</f>
        <v>1</v>
      </c>
      <c r="BD168" s="16">
        <f>IF(Table2[[#This Row],[cam_fate2]]="H",1,0)</f>
        <v>0</v>
      </c>
      <c r="BE168" s="6" t="b">
        <f>NOT(Table2[[#This Row],[HF_C]]=Table2[[#This Row],[HF]])</f>
        <v>1</v>
      </c>
      <c r="BF168" s="6" t="b">
        <f>NOT(Table2[[#This Row],[cam_fate2]]=Table2[[#This Row],[field_fate3]])</f>
        <v>1</v>
      </c>
      <c r="BG168" s="6" t="b">
        <f>OR(Table2[[#This Row],[field_fate3]]="U",Table2[[#This Row],[field_fate3]]="U-H")</f>
        <v>0</v>
      </c>
      <c r="BH168" s="8">
        <v>48</v>
      </c>
      <c r="BI168" s="8">
        <v>61</v>
      </c>
      <c r="BJ168" s="14">
        <f>IF(ISTEXT(Table2[[#This Row],[j.cam]]),Table2[[#This Row],[j]],Table2[[#This Row],[j.cam]])</f>
        <v>61</v>
      </c>
      <c r="BK168" s="9">
        <v>61</v>
      </c>
      <c r="BL168" s="15">
        <f>IF(ISTEXT(Table2[[#This Row],[k.cam]]), Table2[[#This Row],[k]], Table2[[#This Row],[k.cam]])</f>
        <v>61</v>
      </c>
      <c r="BM168" s="4" t="s">
        <v>24</v>
      </c>
      <c r="BN168" s="8" t="s">
        <v>24</v>
      </c>
      <c r="BO168" s="4">
        <v>5</v>
      </c>
      <c r="BP168" s="4">
        <f>Table2[[#This Row],[final_obs_date]]-Table2[[#This Row],[i]]</f>
        <v>15</v>
      </c>
      <c r="BQ168" s="4" t="e">
        <f>Table2[[#This Row],[final_obs_date2]]&gt;Table2[[#This Row],[estHD]]+3</f>
        <v>#VALUE!</v>
      </c>
      <c r="BR168" s="4" t="s">
        <v>27</v>
      </c>
      <c r="BS168" s="4" t="s">
        <v>178</v>
      </c>
      <c r="BT168" s="79" t="s">
        <v>1109</v>
      </c>
      <c r="BU168" s="26" t="s">
        <v>179</v>
      </c>
      <c r="BV168" s="79" t="s">
        <v>1506</v>
      </c>
      <c r="BW168" s="49"/>
      <c r="BX168" s="47"/>
      <c r="BY168" s="36" t="s">
        <v>579</v>
      </c>
    </row>
    <row r="169" spans="1:77" hidden="1" x14ac:dyDescent="0.35">
      <c r="A169" s="62">
        <v>10237</v>
      </c>
      <c r="B169" s="2" t="s">
        <v>122</v>
      </c>
      <c r="C169" s="44">
        <v>2019</v>
      </c>
      <c r="D169" s="3">
        <v>29.758420000000001</v>
      </c>
      <c r="E169" s="3">
        <v>-93.121009999999998</v>
      </c>
      <c r="F169" s="3" t="s">
        <v>24</v>
      </c>
      <c r="G169" s="3" t="s">
        <v>24</v>
      </c>
      <c r="H169" s="3" t="s">
        <v>26</v>
      </c>
      <c r="I169" s="43"/>
      <c r="J169" s="55" t="s">
        <v>24</v>
      </c>
      <c r="K169" s="4" t="s">
        <v>24</v>
      </c>
      <c r="L169" s="22" t="str">
        <f>IF(ISNUMBER(Table2[[#This Row],[estHD]]),ABS(Table2[[#This Row],[HD]]-Table2[[#This Row],[estHD]]),"NA")</f>
        <v>NA</v>
      </c>
      <c r="M169" s="4" t="b">
        <f>Table2[[#This Row],[HD]]=Table2[[#This Row],[estHD]]</f>
        <v>1</v>
      </c>
      <c r="N169" s="4" t="str">
        <f>IF(ISNUMBER([1]!Table2[[#This Row],[hatch_date]]),[1]!Table2[[#This Row],[hatch_date]]-19,"NA")</f>
        <v>NA</v>
      </c>
      <c r="O169" s="31" t="s">
        <v>24</v>
      </c>
      <c r="P169" s="23" t="str">
        <f>IF(ISNUMBER(Table2[[#This Row],[nest_age1]]),ABS(Table2[[#This Row],[nest_age1]]-Table2[[#This Row],[nest_age_feb]]),"NA")</f>
        <v>NA</v>
      </c>
      <c r="Q169" s="24">
        <f>IF(ISNUMBER(Table2[[#This Row],[final_obs_int2]]),ABS(Table2[[#This Row],[final_obs_int2]]-Table2[[#This Row],[final_obs_int_feb]]), "NA")</f>
        <v>0</v>
      </c>
      <c r="R169" s="24"/>
      <c r="S169" s="57" t="s">
        <v>88</v>
      </c>
      <c r="T169" s="57" t="str">
        <f>Table2[[#This Row],[camera_old]]</f>
        <v>N</v>
      </c>
      <c r="U169" s="24"/>
      <c r="V169" s="16" t="s">
        <v>24</v>
      </c>
      <c r="W169" s="16" t="s">
        <v>24</v>
      </c>
      <c r="X169" s="145">
        <v>6</v>
      </c>
      <c r="Y169" s="147" t="s">
        <v>91</v>
      </c>
      <c r="Z169" s="146" t="s">
        <v>91</v>
      </c>
      <c r="AA169" s="4" t="str">
        <f>Table2[[#This Row],[field_fate]]</f>
        <v>Hu</v>
      </c>
      <c r="AB169" s="4" t="str">
        <f>Table2[[#This Row],[field_fate2]]</f>
        <v>Hu</v>
      </c>
      <c r="AC169" s="4" t="str">
        <f>Table2[[#This Row],[field_fate3]]</f>
        <v>Hu</v>
      </c>
      <c r="AD169" s="4" t="str">
        <f>Table2[[#This Row],[field_fate4]]</f>
        <v>Hu</v>
      </c>
      <c r="AE169" s="4" t="str">
        <f>Table2[[#This Row],[field_fate5]]</f>
        <v>Hu</v>
      </c>
      <c r="AF169" s="4" t="str">
        <f>Table2[[#This Row],[field_fate5]]</f>
        <v>Hu</v>
      </c>
      <c r="AG169" s="4" t="str">
        <f>Table2[[#This Row],[field_fate5]]</f>
        <v>Hu</v>
      </c>
      <c r="AH169" s="4" t="str">
        <f>Table2[[#This Row],[field_fate2]]</f>
        <v>Hu</v>
      </c>
      <c r="AI169" s="4" t="str">
        <f>Table2[[#This Row],[field_fate8]]</f>
        <v>Hu</v>
      </c>
      <c r="AJ169" s="4" t="str">
        <f>Table2[[#This Row],[field_fate10]]</f>
        <v>Hu</v>
      </c>
      <c r="AK169" s="4" t="b">
        <f>Table2[[#This Row],[field_fate_feb]]=Table2[[#This Row],[field_fate10]]</f>
        <v>1</v>
      </c>
      <c r="AL169" s="43" t="s">
        <v>24</v>
      </c>
      <c r="AM169" s="43" t="b">
        <f>Table2[[#This Row],[cam_fate2]]="NA"</f>
        <v>1</v>
      </c>
      <c r="AN169" s="19" t="str">
        <f>Table2[[#This Row],[cam_fate1]]</f>
        <v>NA</v>
      </c>
      <c r="AO169" s="2" t="s">
        <v>91</v>
      </c>
      <c r="AP169" s="5" t="str">
        <f>Table2[[#This Row],[final_fate1]]</f>
        <v>Hu</v>
      </c>
      <c r="AQ169" s="6" t="s">
        <v>24</v>
      </c>
      <c r="AR169" s="7" t="s">
        <v>24</v>
      </c>
      <c r="AS169" s="7" t="e">
        <f>Table2[[#This Row],[final_obs_date]]-Table2[[#This Row],[init_date]]</f>
        <v>#VALUE!</v>
      </c>
      <c r="AT169" s="7" t="e">
        <f>(Table2[[#This Row],[final_obs_date2]]-Table2[[#This Row],[estHD]])+16</f>
        <v>#VALUE!</v>
      </c>
      <c r="AU169" s="38">
        <v>6</v>
      </c>
      <c r="AV169" s="33">
        <v>6</v>
      </c>
      <c r="AW169" s="33">
        <f>Table2[[#This Row],[final_obs_date2]]-Table2[[#This Row],[pen_obs_date]]</f>
        <v>48</v>
      </c>
      <c r="AX169" s="67">
        <v>48</v>
      </c>
      <c r="AY169" s="6">
        <f>Table2[[#This Row],[final_obs_date]]</f>
        <v>48</v>
      </c>
      <c r="AZ169" s="6"/>
      <c r="BA169" s="91" t="s">
        <v>47</v>
      </c>
      <c r="BB169" s="6" t="e">
        <f>Table2[[#This Row],[final_obs_date]]&lt;(Table2[[#This Row],[estHD]]-2)</f>
        <v>#VALUE!</v>
      </c>
      <c r="BC169" s="24">
        <f>IF(Table2[[#This Row],[field_fate]]="H",1,0)</f>
        <v>0</v>
      </c>
      <c r="BD169" s="16">
        <f>IF(Table2[[#This Row],[cam_fate2]]="H",1,0)</f>
        <v>0</v>
      </c>
      <c r="BE169" s="6" t="b">
        <f>NOT(Table2[[#This Row],[HF_C]]=Table2[[#This Row],[HF]])</f>
        <v>0</v>
      </c>
      <c r="BF169" s="6" t="b">
        <f>NOT(Table2[[#This Row],[cam_fate2]]=Table2[[#This Row],[field_fate3]])</f>
        <v>1</v>
      </c>
      <c r="BG169" s="6" t="b">
        <f>OR(Table2[[#This Row],[field_fate3]]="U",Table2[[#This Row],[field_fate3]]="U-H")</f>
        <v>0</v>
      </c>
      <c r="BH169" s="8">
        <v>42</v>
      </c>
      <c r="BI169" s="8">
        <v>42</v>
      </c>
      <c r="BJ169" s="14">
        <f>IF(ISTEXT(Table2[[#This Row],[j.cam]]),Table2[[#This Row],[j]],Table2[[#This Row],[j.cam]])</f>
        <v>42</v>
      </c>
      <c r="BK169" s="9">
        <v>48</v>
      </c>
      <c r="BL169" s="15">
        <f>IF(ISTEXT(Table2[[#This Row],[k.cam]]), Table2[[#This Row],[k]], Table2[[#This Row],[k.cam]])</f>
        <v>48</v>
      </c>
      <c r="BM169" s="4" t="s">
        <v>24</v>
      </c>
      <c r="BN169" s="8" t="s">
        <v>24</v>
      </c>
      <c r="BO169" s="4">
        <v>2</v>
      </c>
      <c r="BP169" s="4">
        <f>Table2[[#This Row],[final_obs_date]]-Table2[[#This Row],[i]]</f>
        <v>6</v>
      </c>
      <c r="BQ169" s="4" t="e">
        <f>Table2[[#This Row],[final_obs_date2]]&gt;Table2[[#This Row],[estHD]]+3</f>
        <v>#VALUE!</v>
      </c>
      <c r="BR169" s="4" t="s">
        <v>33</v>
      </c>
      <c r="BS169" s="4" t="s">
        <v>28</v>
      </c>
      <c r="BT169" s="79" t="s">
        <v>1110</v>
      </c>
      <c r="BU169" s="26" t="s">
        <v>34</v>
      </c>
      <c r="BV169" s="79" t="s">
        <v>1437</v>
      </c>
      <c r="BW169" s="49"/>
      <c r="BX169" s="47"/>
      <c r="BY169" s="36" t="s">
        <v>580</v>
      </c>
    </row>
    <row r="170" spans="1:77" hidden="1" x14ac:dyDescent="0.35">
      <c r="A170" s="62">
        <v>10238</v>
      </c>
      <c r="B170" s="2" t="s">
        <v>122</v>
      </c>
      <c r="C170" s="44">
        <v>2019</v>
      </c>
      <c r="D170" s="3">
        <v>29.758690000000001</v>
      </c>
      <c r="E170" s="3">
        <v>-93.122380000000007</v>
      </c>
      <c r="F170" s="3" t="s">
        <v>24</v>
      </c>
      <c r="G170" s="3" t="s">
        <v>24</v>
      </c>
      <c r="H170" s="3" t="s">
        <v>26</v>
      </c>
      <c r="I170" s="43"/>
      <c r="J170" s="55" t="s">
        <v>24</v>
      </c>
      <c r="K170" s="4">
        <v>63</v>
      </c>
      <c r="L170" s="22" t="str">
        <f>IF(ISNUMBER(Table2[[#This Row],[estHD]]),ABS(Table2[[#This Row],[HD]]-Table2[[#This Row],[estHD]]),"NA")</f>
        <v>NA</v>
      </c>
      <c r="M170" s="4" t="b">
        <f>Table2[[#This Row],[HD]]=Table2[[#This Row],[estHD]]</f>
        <v>0</v>
      </c>
      <c r="N170" s="4" t="str">
        <f>IF(ISNUMBER([1]!Table2[[#This Row],[hatch_date]]),[1]!Table2[[#This Row],[hatch_date]]-19,"NA")</f>
        <v>NA</v>
      </c>
      <c r="O170" s="31">
        <v>44</v>
      </c>
      <c r="P170" s="23">
        <f>IF(ISNUMBER(Table2[[#This Row],[nest_age1]]),ABS(Table2[[#This Row],[nest_age1]]-Table2[[#This Row],[nest_age_feb]]),"NA")</f>
        <v>0</v>
      </c>
      <c r="Q170" s="24">
        <f>IF(ISNUMBER(Table2[[#This Row],[final_obs_int2]]),ABS(Table2[[#This Row],[final_obs_int2]]-Table2[[#This Row],[final_obs_int_feb]]), "NA")</f>
        <v>0</v>
      </c>
      <c r="R170" s="24"/>
      <c r="S170" s="57" t="s">
        <v>88</v>
      </c>
      <c r="T170" s="57" t="str">
        <f>Table2[[#This Row],[camera_old]]</f>
        <v>N</v>
      </c>
      <c r="U170" s="24"/>
      <c r="V170" s="16" t="s">
        <v>24</v>
      </c>
      <c r="W170" s="16">
        <v>19</v>
      </c>
      <c r="X170" s="145">
        <v>6</v>
      </c>
      <c r="Y170" s="147" t="s">
        <v>37</v>
      </c>
      <c r="Z170" s="146" t="s">
        <v>37</v>
      </c>
      <c r="AA170" s="4" t="str">
        <f>Table2[[#This Row],[field_fate]]</f>
        <v>H</v>
      </c>
      <c r="AB170" s="4" t="str">
        <f>Table2[[#This Row],[field_fate2]]</f>
        <v>H</v>
      </c>
      <c r="AC170" s="4" t="str">
        <f>Table2[[#This Row],[field_fate3]]</f>
        <v>H</v>
      </c>
      <c r="AD170" s="4" t="str">
        <f>Table2[[#This Row],[field_fate4]]</f>
        <v>H</v>
      </c>
      <c r="AE170" s="4" t="str">
        <f>Table2[[#This Row],[field_fate5]]</f>
        <v>H</v>
      </c>
      <c r="AF170" s="4" t="str">
        <f>Table2[[#This Row],[field_fate5]]</f>
        <v>H</v>
      </c>
      <c r="AG170" s="4" t="str">
        <f>Table2[[#This Row],[field_fate5]]</f>
        <v>H</v>
      </c>
      <c r="AH170" s="4" t="str">
        <f>Table2[[#This Row],[field_fate2]]</f>
        <v>H</v>
      </c>
      <c r="AI170" s="4" t="str">
        <f>Table2[[#This Row],[field_fate8]]</f>
        <v>H</v>
      </c>
      <c r="AJ170" s="4" t="str">
        <f>Table2[[#This Row],[field_fate10]]</f>
        <v>H</v>
      </c>
      <c r="AK170" s="4" t="b">
        <f>Table2[[#This Row],[field_fate_feb]]=Table2[[#This Row],[field_fate10]]</f>
        <v>1</v>
      </c>
      <c r="AL170" s="43" t="s">
        <v>24</v>
      </c>
      <c r="AM170" s="43" t="b">
        <f>Table2[[#This Row],[cam_fate2]]="NA"</f>
        <v>1</v>
      </c>
      <c r="AN170" s="19" t="str">
        <f>Table2[[#This Row],[cam_fate1]]</f>
        <v>NA</v>
      </c>
      <c r="AO170" s="2" t="s">
        <v>37</v>
      </c>
      <c r="AP170" s="5" t="str">
        <f>Table2[[#This Row],[final_fate1]]</f>
        <v>H</v>
      </c>
      <c r="AQ170" s="6">
        <v>19</v>
      </c>
      <c r="AR170" s="7">
        <v>19</v>
      </c>
      <c r="AS170" s="7">
        <f>Table2[[#This Row],[final_obs_date]]-Table2[[#This Row],[init_date]]</f>
        <v>19</v>
      </c>
      <c r="AT170" s="7" t="e">
        <f>(Table2[[#This Row],[final_obs_date2]]-Table2[[#This Row],[estHD]])+16</f>
        <v>#VALUE!</v>
      </c>
      <c r="AU170" s="38">
        <v>6</v>
      </c>
      <c r="AV170" s="33">
        <v>6</v>
      </c>
      <c r="AW170" s="33">
        <f>Table2[[#This Row],[final_obs_date2]]-Table2[[#This Row],[pen_obs_date]]</f>
        <v>63</v>
      </c>
      <c r="AX170" s="67">
        <v>63</v>
      </c>
      <c r="AY170" s="6">
        <f>Table2[[#This Row],[final_obs_date]]</f>
        <v>63</v>
      </c>
      <c r="AZ170" s="6"/>
      <c r="BA170" s="91" t="s">
        <v>47</v>
      </c>
      <c r="BB170" s="6" t="e">
        <f>Table2[[#This Row],[final_obs_date]]&lt;(Table2[[#This Row],[estHD]]-2)</f>
        <v>#VALUE!</v>
      </c>
      <c r="BC170" s="24">
        <f>IF(Table2[[#This Row],[field_fate]]="H",1,0)</f>
        <v>1</v>
      </c>
      <c r="BD170" s="16">
        <f>IF(Table2[[#This Row],[cam_fate2]]="H",1,0)</f>
        <v>0</v>
      </c>
      <c r="BE170" s="6" t="b">
        <f>NOT(Table2[[#This Row],[HF_C]]=Table2[[#This Row],[HF]])</f>
        <v>1</v>
      </c>
      <c r="BF170" s="6" t="b">
        <f>NOT(Table2[[#This Row],[cam_fate2]]=Table2[[#This Row],[field_fate3]])</f>
        <v>1</v>
      </c>
      <c r="BG170" s="6" t="b">
        <f>OR(Table2[[#This Row],[field_fate3]]="U",Table2[[#This Row],[field_fate3]]="U-H")</f>
        <v>0</v>
      </c>
      <c r="BH170" s="8">
        <v>48</v>
      </c>
      <c r="BI170" s="8">
        <v>63</v>
      </c>
      <c r="BJ170" s="14">
        <f>IF(ISTEXT(Table2[[#This Row],[j.cam]]),Table2[[#This Row],[j]],Table2[[#This Row],[j.cam]])</f>
        <v>63</v>
      </c>
      <c r="BK170" s="9">
        <v>63</v>
      </c>
      <c r="BL170" s="15">
        <f>IF(ISTEXT(Table2[[#This Row],[k.cam]]), Table2[[#This Row],[k]], Table2[[#This Row],[k.cam]])</f>
        <v>63</v>
      </c>
      <c r="BM170" s="4" t="s">
        <v>24</v>
      </c>
      <c r="BN170" s="8" t="s">
        <v>24</v>
      </c>
      <c r="BO170" s="4">
        <v>5</v>
      </c>
      <c r="BP170" s="4">
        <f>Table2[[#This Row],[final_obs_date]]-Table2[[#This Row],[i]]</f>
        <v>15</v>
      </c>
      <c r="BQ170" s="4" t="e">
        <f>Table2[[#This Row],[final_obs_date2]]&gt;Table2[[#This Row],[estHD]]+3</f>
        <v>#VALUE!</v>
      </c>
      <c r="BR170" s="4" t="s">
        <v>27</v>
      </c>
      <c r="BS170" s="4" t="s">
        <v>38</v>
      </c>
      <c r="BT170" s="79" t="s">
        <v>1109</v>
      </c>
      <c r="BU170" s="26" t="s">
        <v>180</v>
      </c>
      <c r="BV170" s="79" t="s">
        <v>1507</v>
      </c>
      <c r="BW170" s="49"/>
      <c r="BX170" s="47"/>
      <c r="BY170" s="36" t="s">
        <v>24</v>
      </c>
    </row>
    <row r="171" spans="1:77" hidden="1" x14ac:dyDescent="0.35">
      <c r="A171" s="62">
        <v>10239</v>
      </c>
      <c r="B171" s="2" t="s">
        <v>122</v>
      </c>
      <c r="C171" s="44">
        <v>2019</v>
      </c>
      <c r="D171" s="3">
        <v>29.758700000000001</v>
      </c>
      <c r="E171" s="3">
        <v>-93.122669999999999</v>
      </c>
      <c r="F171" s="3" t="s">
        <v>24</v>
      </c>
      <c r="G171" s="3" t="s">
        <v>24</v>
      </c>
      <c r="H171" s="3" t="s">
        <v>26</v>
      </c>
      <c r="I171" s="43"/>
      <c r="J171" s="55" t="s">
        <v>24</v>
      </c>
      <c r="K171" s="4">
        <v>50</v>
      </c>
      <c r="L171" s="22" t="str">
        <f>IF(ISNUMBER(Table2[[#This Row],[estHD]]),ABS(Table2[[#This Row],[HD]]-Table2[[#This Row],[estHD]]),"NA")</f>
        <v>NA</v>
      </c>
      <c r="M171" s="4" t="b">
        <f>Table2[[#This Row],[HD]]=Table2[[#This Row],[estHD]]</f>
        <v>0</v>
      </c>
      <c r="N171" s="4" t="str">
        <f>IF(ISNUMBER([1]!Table2[[#This Row],[hatch_date]]), [1]!Table2[[#This Row],[hatch_date]]-16, "NA")</f>
        <v>NA</v>
      </c>
      <c r="O171" s="31">
        <v>34</v>
      </c>
      <c r="P171" s="23">
        <f>IF(ISNUMBER(Table2[[#This Row],[nest_age1]]),ABS(Table2[[#This Row],[nest_age1]]-Table2[[#This Row],[nest_age_feb]]),"NA")</f>
        <v>4</v>
      </c>
      <c r="Q171" s="24">
        <f>IF(ISNUMBER(Table2[[#This Row],[final_obs_int2]]),ABS(Table2[[#This Row],[final_obs_int2]]-Table2[[#This Row],[final_obs_int_feb]]), "NA")</f>
        <v>2</v>
      </c>
      <c r="R171" s="24"/>
      <c r="S171" s="57" t="s">
        <v>88</v>
      </c>
      <c r="T171" s="57" t="str">
        <f>Table2[[#This Row],[camera_old]]</f>
        <v>N</v>
      </c>
      <c r="U171" s="24"/>
      <c r="V171" s="16" t="s">
        <v>24</v>
      </c>
      <c r="W171" s="16">
        <v>16</v>
      </c>
      <c r="X171" s="145">
        <v>6</v>
      </c>
      <c r="Y171" s="147" t="s">
        <v>37</v>
      </c>
      <c r="Z171" s="146" t="s">
        <v>37</v>
      </c>
      <c r="AA171" s="4" t="str">
        <f>Table2[[#This Row],[field_fate]]</f>
        <v>H</v>
      </c>
      <c r="AB171" s="4" t="str">
        <f>Table2[[#This Row],[field_fate2]]</f>
        <v>H</v>
      </c>
      <c r="AC171" s="4" t="str">
        <f>Table2[[#This Row],[field_fate3]]</f>
        <v>H</v>
      </c>
      <c r="AD171" s="4" t="str">
        <f>Table2[[#This Row],[field_fate4]]</f>
        <v>H</v>
      </c>
      <c r="AE171" s="4" t="str">
        <f>Table2[[#This Row],[field_fate5]]</f>
        <v>H</v>
      </c>
      <c r="AF171" s="4" t="str">
        <f>Table2[[#This Row],[field_fate5]]</f>
        <v>H</v>
      </c>
      <c r="AG171" s="4" t="str">
        <f>Table2[[#This Row],[field_fate5]]</f>
        <v>H</v>
      </c>
      <c r="AH171" s="4" t="str">
        <f>Table2[[#This Row],[field_fate2]]</f>
        <v>H</v>
      </c>
      <c r="AI171" s="4" t="str">
        <f>Table2[[#This Row],[field_fate8]]</f>
        <v>H</v>
      </c>
      <c r="AJ171" s="4" t="str">
        <f>Table2[[#This Row],[field_fate10]]</f>
        <v>H</v>
      </c>
      <c r="AK171" s="4" t="b">
        <f>Table2[[#This Row],[field_fate_feb]]=Table2[[#This Row],[field_fate10]]</f>
        <v>1</v>
      </c>
      <c r="AL171" s="43" t="s">
        <v>24</v>
      </c>
      <c r="AM171" s="43" t="b">
        <f>Table2[[#This Row],[cam_fate2]]="NA"</f>
        <v>1</v>
      </c>
      <c r="AN171" s="19" t="str">
        <f>Table2[[#This Row],[cam_fate1]]</f>
        <v>NA</v>
      </c>
      <c r="AO171" s="2" t="s">
        <v>37</v>
      </c>
      <c r="AP171" s="5" t="str">
        <f>Table2[[#This Row],[final_fate1]]</f>
        <v>H</v>
      </c>
      <c r="AQ171" s="6">
        <v>20</v>
      </c>
      <c r="AR171" s="7">
        <v>20</v>
      </c>
      <c r="AS171" s="7">
        <f>Table2[[#This Row],[final_obs_date]]-Table2[[#This Row],[init_date]]</f>
        <v>20</v>
      </c>
      <c r="AT171" s="7" t="e">
        <f>(Table2[[#This Row],[final_obs_date2]]-Table2[[#This Row],[estHD]])+16</f>
        <v>#VALUE!</v>
      </c>
      <c r="AU171" s="38">
        <v>4</v>
      </c>
      <c r="AV171" s="33">
        <v>4</v>
      </c>
      <c r="AW171" s="33">
        <f>Table2[[#This Row],[final_obs_date2]]-Table2[[#This Row],[pen_obs_date]]</f>
        <v>54</v>
      </c>
      <c r="AX171" s="67">
        <v>54</v>
      </c>
      <c r="AY171" s="6">
        <f>Table2[[#This Row],[final_obs_date]]</f>
        <v>54</v>
      </c>
      <c r="AZ171" s="6"/>
      <c r="BA171" s="91" t="s">
        <v>60</v>
      </c>
      <c r="BB171" s="6" t="e">
        <f>Table2[[#This Row],[final_obs_date]]&lt;(Table2[[#This Row],[estHD]]-2)</f>
        <v>#VALUE!</v>
      </c>
      <c r="BC171" s="24">
        <f>IF(Table2[[#This Row],[field_fate]]="H",1,0)</f>
        <v>1</v>
      </c>
      <c r="BD171" s="16">
        <f>IF(Table2[[#This Row],[cam_fate2]]="H",1,0)</f>
        <v>0</v>
      </c>
      <c r="BE171" s="6" t="b">
        <f>NOT(Table2[[#This Row],[HF_C]]=Table2[[#This Row],[HF]])</f>
        <v>1</v>
      </c>
      <c r="BF171" s="6" t="b">
        <f>NOT(Table2[[#This Row],[cam_fate2]]=Table2[[#This Row],[field_fate3]])</f>
        <v>1</v>
      </c>
      <c r="BG171" s="6" t="b">
        <f>OR(Table2[[#This Row],[field_fate3]]="U",Table2[[#This Row],[field_fate3]]="U-H")</f>
        <v>0</v>
      </c>
      <c r="BH171" s="8">
        <v>42</v>
      </c>
      <c r="BI171" s="8">
        <v>50</v>
      </c>
      <c r="BJ171" s="14">
        <f>IF(ISTEXT(Table2[[#This Row],[j.cam]]),Table2[[#This Row],[j]],Table2[[#This Row],[j.cam]])</f>
        <v>50</v>
      </c>
      <c r="BK171" s="9">
        <v>50</v>
      </c>
      <c r="BL171" s="15">
        <f>IF(ISTEXT(Table2[[#This Row],[k.cam]]), Table2[[#This Row],[k]], Table2[[#This Row],[k.cam]])</f>
        <v>50</v>
      </c>
      <c r="BM171" s="4" t="s">
        <v>24</v>
      </c>
      <c r="BN171" s="8" t="s">
        <v>24</v>
      </c>
      <c r="BO171" s="4">
        <v>3</v>
      </c>
      <c r="BP171" s="4">
        <f>Table2[[#This Row],[final_obs_date]]-Table2[[#This Row],[i]]</f>
        <v>12</v>
      </c>
      <c r="BQ171" s="4" t="e">
        <f>Table2[[#This Row],[final_obs_date2]]&gt;Table2[[#This Row],[estHD]]+3</f>
        <v>#VALUE!</v>
      </c>
      <c r="BR171" s="4" t="s">
        <v>33</v>
      </c>
      <c r="BS171" s="4" t="s">
        <v>181</v>
      </c>
      <c r="BT171" s="79" t="s">
        <v>1111</v>
      </c>
      <c r="BU171" s="26" t="s">
        <v>182</v>
      </c>
      <c r="BV171" s="79" t="s">
        <v>1508</v>
      </c>
      <c r="BW171" s="49"/>
      <c r="BX171" s="47"/>
      <c r="BY171" s="36" t="s">
        <v>581</v>
      </c>
    </row>
    <row r="172" spans="1:77" hidden="1" x14ac:dyDescent="0.35">
      <c r="A172" s="62">
        <v>10240</v>
      </c>
      <c r="B172" s="2" t="s">
        <v>35</v>
      </c>
      <c r="C172" s="44">
        <v>2019</v>
      </c>
      <c r="D172" s="3">
        <v>29.77064</v>
      </c>
      <c r="E172" s="3">
        <v>-93.180530000000005</v>
      </c>
      <c r="F172" s="3">
        <v>30</v>
      </c>
      <c r="G172" s="3">
        <v>40</v>
      </c>
      <c r="H172" s="3" t="s">
        <v>26</v>
      </c>
      <c r="I172" s="43" t="s">
        <v>997</v>
      </c>
      <c r="J172" s="116">
        <v>45</v>
      </c>
      <c r="K172" s="4">
        <v>45</v>
      </c>
      <c r="L172" s="22">
        <f>IF(ISNUMBER(Table2[[#This Row],[estHD]]),ABS(Table2[[#This Row],[HD]]-Table2[[#This Row],[estHD]]),"NA")</f>
        <v>0</v>
      </c>
      <c r="M172" s="4" t="b">
        <f>Table2[[#This Row],[HD]]=Table2[[#This Row],[estHD]]</f>
        <v>1</v>
      </c>
      <c r="N172" s="4" t="str">
        <f>IF(ISNUMBER([1]!Table2[[#This Row],[hatch_date]]),[1]!Table2[[#This Row],[hatch_date]]-19,"NA")</f>
        <v>NA</v>
      </c>
      <c r="O172" s="31">
        <v>26</v>
      </c>
      <c r="P172" s="23">
        <f>IF(ISNUMBER(Table2[[#This Row],[nest_age1]]),ABS(Table2[[#This Row],[nest_age1]]-Table2[[#This Row],[nest_age_feb]]),"NA")</f>
        <v>0</v>
      </c>
      <c r="Q172" s="24">
        <f>IF(ISNUMBER(Table2[[#This Row],[final_obs_int2]]),ABS(Table2[[#This Row],[final_obs_int2]]-Table2[[#This Row],[final_obs_int_feb]]), "NA")</f>
        <v>0</v>
      </c>
      <c r="R172" s="24"/>
      <c r="S172" s="20" t="s">
        <v>75</v>
      </c>
      <c r="T172" s="20" t="str">
        <f>Table2[[#This Row],[camera_old]]</f>
        <v>Y</v>
      </c>
      <c r="U172" s="22" t="s">
        <v>88</v>
      </c>
      <c r="V172" s="16" t="s">
        <v>31</v>
      </c>
      <c r="W172" s="16">
        <v>9</v>
      </c>
      <c r="X172" s="145">
        <v>6</v>
      </c>
      <c r="Y172" s="147" t="s">
        <v>90</v>
      </c>
      <c r="Z172" s="146" t="s">
        <v>90</v>
      </c>
      <c r="AA172" s="4" t="str">
        <f>Table2[[#This Row],[field_fate]]</f>
        <v>U</v>
      </c>
      <c r="AB172" s="28" t="s">
        <v>94</v>
      </c>
      <c r="AC172" s="132" t="str">
        <f>Table2[[#This Row],[field_fate3]]</f>
        <v>U-F</v>
      </c>
      <c r="AD172" s="144" t="s">
        <v>90</v>
      </c>
      <c r="AE172" s="136" t="s">
        <v>94</v>
      </c>
      <c r="AF172" s="95" t="str">
        <f>Table2[[#This Row],[field_fate5]]</f>
        <v>U</v>
      </c>
      <c r="AG172" s="95" t="s">
        <v>90</v>
      </c>
      <c r="AH172" s="95" t="str">
        <f>Table2[[#This Row],[field_fate2]]</f>
        <v>U</v>
      </c>
      <c r="AI172" s="95" t="s">
        <v>90</v>
      </c>
      <c r="AJ172" s="95" t="str">
        <f>Table2[[#This Row],[field_fate10]]</f>
        <v>U</v>
      </c>
      <c r="AK172" s="95" t="b">
        <f>Table2[[#This Row],[field_fate_feb]]=Table2[[#This Row],[field_fate10]]</f>
        <v>1</v>
      </c>
      <c r="AL172" s="43" t="s">
        <v>31</v>
      </c>
      <c r="AM172" s="160" t="b">
        <f>Table2[[#This Row],[cam_fate2]]="NA"</f>
        <v>0</v>
      </c>
      <c r="AN172" s="78" t="str">
        <f>Table2[[#This Row],[cam_fate1]]</f>
        <v>D</v>
      </c>
      <c r="AO172" s="2" t="s">
        <v>31</v>
      </c>
      <c r="AP172" s="5" t="str">
        <f>Table2[[#This Row],[final_fate1]]</f>
        <v>D</v>
      </c>
      <c r="AQ172" s="6">
        <v>9</v>
      </c>
      <c r="AR172" s="72">
        <v>9</v>
      </c>
      <c r="AS172" s="155">
        <f>Table2[[#This Row],[final_obs_date]]-Table2[[#This Row],[init_date]]</f>
        <v>9</v>
      </c>
      <c r="AT172" s="155">
        <f>(Table2[[#This Row],[final_obs_date2]]-Table2[[#This Row],[estHD]])+19</f>
        <v>9</v>
      </c>
      <c r="AU172" s="38">
        <v>6</v>
      </c>
      <c r="AV172" s="33">
        <v>6</v>
      </c>
      <c r="AW172" s="33">
        <f>Table2[[#This Row],[final_obs_date2]]-Table2[[#This Row],[pen_obs_date]]</f>
        <v>6</v>
      </c>
      <c r="AX172" s="67">
        <v>35</v>
      </c>
      <c r="AY172" s="157">
        <f>Table2[[#This Row],[final_obs_date]]</f>
        <v>35</v>
      </c>
      <c r="AZ172" s="6">
        <v>29</v>
      </c>
      <c r="BA172" s="92" t="s">
        <v>47</v>
      </c>
      <c r="BB172" s="6" t="b">
        <f>Table2[[#This Row],[final_obs_date]]&lt;(Table2[[#This Row],[estHD]]-2)</f>
        <v>1</v>
      </c>
      <c r="BC172" s="32">
        <v>7</v>
      </c>
      <c r="BD172" s="16">
        <f>IF(Table2[[#This Row],[cam_fate2]]="H",1,0)</f>
        <v>0</v>
      </c>
      <c r="BE172" s="6" t="b">
        <f>NOT(Table2[[#This Row],[HF_C]]=Table2[[#This Row],[HF]])</f>
        <v>1</v>
      </c>
      <c r="BF172" s="38" t="b">
        <f>NOT(Table2[[#This Row],[cam_fate2]]=Table2[[#This Row],[field_fate3]])</f>
        <v>1</v>
      </c>
      <c r="BG172" s="38" t="b">
        <f>OR(Table2[[#This Row],[field_fate3]]="U",Table2[[#This Row],[field_fate3]]="U-H")</f>
        <v>0</v>
      </c>
      <c r="BH172" s="8">
        <v>29</v>
      </c>
      <c r="BI172" s="8">
        <v>29</v>
      </c>
      <c r="BJ172" s="14">
        <f>IF(ISTEXT(Table2[[#This Row],[j.cam]]),Table2[[#This Row],[j]],Table2[[#This Row],[j.cam]])</f>
        <v>29</v>
      </c>
      <c r="BK172" s="8">
        <v>35</v>
      </c>
      <c r="BL172" s="14">
        <f>IF(ISTEXT(Table2[[#This Row],[k.cam]]), Table2[[#This Row],[k]], Table2[[#This Row],[k.cam]])</f>
        <v>35</v>
      </c>
      <c r="BM172" s="4" t="s">
        <v>24</v>
      </c>
      <c r="BN172" s="8" t="s">
        <v>24</v>
      </c>
      <c r="BO172" s="4">
        <v>2</v>
      </c>
      <c r="BP172" s="4">
        <f>Table2[[#This Row],[final_obs_date]]-Table2[[#This Row],[i]]</f>
        <v>6</v>
      </c>
      <c r="BQ172" s="4" t="b">
        <f>Table2[[#This Row],[final_obs_date2]]&gt;Table2[[#This Row],[estHD]]+3</f>
        <v>0</v>
      </c>
      <c r="BR172" s="3" t="s">
        <v>27</v>
      </c>
      <c r="BS172" s="3" t="s">
        <v>45</v>
      </c>
      <c r="BT172" s="125" t="s">
        <v>1112</v>
      </c>
      <c r="BU172" s="4" t="s">
        <v>183</v>
      </c>
      <c r="BV172" s="79" t="s">
        <v>1437</v>
      </c>
      <c r="BW172" s="69"/>
      <c r="BX172" s="36" t="s">
        <v>928</v>
      </c>
      <c r="BY172" s="47" t="s">
        <v>974</v>
      </c>
    </row>
    <row r="173" spans="1:77" ht="18.5" hidden="1" x14ac:dyDescent="0.35">
      <c r="A173" s="62">
        <v>10241</v>
      </c>
      <c r="B173" s="2" t="s">
        <v>35</v>
      </c>
      <c r="C173" s="44">
        <v>2019</v>
      </c>
      <c r="D173" s="3">
        <v>29.77065</v>
      </c>
      <c r="E173" s="3">
        <v>-93.18056</v>
      </c>
      <c r="F173" s="3">
        <v>30</v>
      </c>
      <c r="G173" s="3">
        <v>40</v>
      </c>
      <c r="H173" s="3" t="s">
        <v>26</v>
      </c>
      <c r="I173" s="43"/>
      <c r="J173" s="116">
        <v>50</v>
      </c>
      <c r="K173" s="4">
        <v>51</v>
      </c>
      <c r="L173" s="22">
        <f>IF(ISNUMBER(Table2[[#This Row],[estHD]]),ABS(Table2[[#This Row],[HD]]-Table2[[#This Row],[estHD]]),"NA")</f>
        <v>1</v>
      </c>
      <c r="M173" s="4" t="b">
        <f>Table2[[#This Row],[HD]]=Table2[[#This Row],[estHD]]</f>
        <v>0</v>
      </c>
      <c r="N173" s="4">
        <f>IF(ISNUMBER(Table2[[#This Row],[HD]]),Table2[[#This Row],[HD]]-19,"NA")</f>
        <v>32</v>
      </c>
      <c r="O173" s="31">
        <v>32</v>
      </c>
      <c r="P173" s="23">
        <f>IF(ISNUMBER(Table2[[#This Row],[nest_age1]]),ABS(Table2[[#This Row],[nest_age1]]-Table2[[#This Row],[nest_age_feb]]),"NA")</f>
        <v>1</v>
      </c>
      <c r="Q173" s="25">
        <f>IF(ISNUMBER(Table2[[#This Row],[final_obs_int2]]),ABS(Table2[[#This Row],[final_obs_int2]]-Table2[[#This Row],[final_obs_int_feb]]), "NA")</f>
        <v>0</v>
      </c>
      <c r="R173" s="24">
        <f>(Table2[[#This Row],[k_adj]]-Table2[[#This Row],[estHD]])/Table2[[#This Row],[estHD]]</f>
        <v>0.02</v>
      </c>
      <c r="S173" s="20" t="s">
        <v>75</v>
      </c>
      <c r="T173" s="20" t="str">
        <f>Table2[[#This Row],[camera_old]]</f>
        <v>Y</v>
      </c>
      <c r="U173" s="22" t="s">
        <v>88</v>
      </c>
      <c r="V173" s="16" t="s">
        <v>31</v>
      </c>
      <c r="W173" s="16">
        <v>20</v>
      </c>
      <c r="X173" s="145">
        <v>4</v>
      </c>
      <c r="Y173" s="147" t="s">
        <v>37</v>
      </c>
      <c r="Z173" s="146" t="s">
        <v>37</v>
      </c>
      <c r="AA173" s="4" t="str">
        <f>Table2[[#This Row],[field_fate]]</f>
        <v>H</v>
      </c>
      <c r="AB173" s="4" t="str">
        <f>Table2[[#This Row],[field_fate2]]</f>
        <v>H</v>
      </c>
      <c r="AC173" s="94" t="str">
        <f>Table2[[#This Row],[field_fate3]]</f>
        <v>H</v>
      </c>
      <c r="AD173" s="94" t="str">
        <f>Table2[[#This Row],[field_fate4]]</f>
        <v>H</v>
      </c>
      <c r="AE173" s="94" t="str">
        <f>Table2[[#This Row],[field_fate5]]</f>
        <v>H</v>
      </c>
      <c r="AF173" s="94" t="str">
        <f>Table2[[#This Row],[field_fate5]]</f>
        <v>H</v>
      </c>
      <c r="AG173" s="94" t="str">
        <f>Table2[[#This Row],[field_fate5]]</f>
        <v>H</v>
      </c>
      <c r="AH173" s="94" t="str">
        <f>Table2[[#This Row],[field_fate2]]</f>
        <v>H</v>
      </c>
      <c r="AI173" s="94" t="str">
        <f>Table2[[#This Row],[field_fate8]]</f>
        <v>H</v>
      </c>
      <c r="AJ173" s="94" t="str">
        <f>Table2[[#This Row],[field_fate10]]</f>
        <v>H</v>
      </c>
      <c r="AK173" s="94" t="b">
        <f>Table2[[#This Row],[field_fate_feb]]=Table2[[#This Row],[field_fate10]]</f>
        <v>1</v>
      </c>
      <c r="AL173" s="43" t="s">
        <v>37</v>
      </c>
      <c r="AM173" s="160" t="b">
        <f>Table2[[#This Row],[cam_fate2]]="NA"</f>
        <v>0</v>
      </c>
      <c r="AN173" s="19" t="str">
        <f>Table2[[#This Row],[cam_fate1]]</f>
        <v>H</v>
      </c>
      <c r="AO173" s="2" t="s">
        <v>37</v>
      </c>
      <c r="AP173" s="5" t="str">
        <f>Table2[[#This Row],[final_fate1]]</f>
        <v>H</v>
      </c>
      <c r="AQ173" s="6">
        <v>21</v>
      </c>
      <c r="AR173" s="72">
        <v>22</v>
      </c>
      <c r="AS173" s="155">
        <f>Table2[[#This Row],[final_obs_date]]-Table2[[#This Row],[init_date]]</f>
        <v>21</v>
      </c>
      <c r="AT173" s="155">
        <f>(Table2[[#This Row],[final_obs_date2]]-Table2[[#This Row],[estHD]])+19</f>
        <v>22</v>
      </c>
      <c r="AU173" s="40">
        <v>4</v>
      </c>
      <c r="AV173" s="33">
        <v>4</v>
      </c>
      <c r="AW173" s="33">
        <f>Table2[[#This Row],[final_obs_date2]]-Table2[[#This Row],[pen_obs_date]]</f>
        <v>4</v>
      </c>
      <c r="AX173" s="67">
        <v>53</v>
      </c>
      <c r="AY173" s="157">
        <f>Table2[[#This Row],[final_obs_date]]</f>
        <v>53</v>
      </c>
      <c r="AZ173" s="6">
        <v>49</v>
      </c>
      <c r="BA173" s="92" t="s">
        <v>47</v>
      </c>
      <c r="BB173" s="6" t="b">
        <f>Table2[[#This Row],[final_obs_date]]&lt;(Table2[[#This Row],[estHD]]-2)</f>
        <v>0</v>
      </c>
      <c r="BC173" s="32">
        <f>IF(Table2[[#This Row],[field_fate]]="H",1,0)</f>
        <v>1</v>
      </c>
      <c r="BD173" s="16">
        <f>IF(Table2[[#This Row],[cam_fate2]]="H",1,0)</f>
        <v>1</v>
      </c>
      <c r="BE173" s="6" t="b">
        <f>NOT(Table2[[#This Row],[HF_C]]=Table2[[#This Row],[HF]])</f>
        <v>0</v>
      </c>
      <c r="BF173" s="38" t="b">
        <f>NOT(Table2[[#This Row],[cam_fate2]]=Table2[[#This Row],[field_fate3]])</f>
        <v>0</v>
      </c>
      <c r="BG173" s="38" t="b">
        <f>OR(Table2[[#This Row],[field_fate3]]="U",Table2[[#This Row],[field_fate3]]="U-H")</f>
        <v>0</v>
      </c>
      <c r="BH173" s="8">
        <v>29</v>
      </c>
      <c r="BI173" s="8">
        <v>51</v>
      </c>
      <c r="BJ173" s="14">
        <f>IF(ISTEXT(Table2[[#This Row],[j.cam]]),Table2[[#This Row],[j]],Table2[[#This Row],[j.cam]])</f>
        <v>51</v>
      </c>
      <c r="BK173" s="8">
        <v>51</v>
      </c>
      <c r="BL173" s="14">
        <f>IF(ISTEXT(Table2[[#This Row],[k.cam]]), Table2[[#This Row],[k]], Table2[[#This Row],[k.cam]])</f>
        <v>51</v>
      </c>
      <c r="BM173" s="4" t="s">
        <v>24</v>
      </c>
      <c r="BN173" s="8" t="s">
        <v>24</v>
      </c>
      <c r="BO173" s="4">
        <v>7</v>
      </c>
      <c r="BP173" s="4">
        <f>Table2[[#This Row],[final_obs_date]]-Table2[[#This Row],[i]]</f>
        <v>24</v>
      </c>
      <c r="BQ173" s="4" t="b">
        <f>Table2[[#This Row],[final_obs_date2]]&gt;Table2[[#This Row],[estHD]]+3</f>
        <v>0</v>
      </c>
      <c r="BR173" s="27" t="s">
        <v>176</v>
      </c>
      <c r="BS173" s="3" t="s">
        <v>184</v>
      </c>
      <c r="BT173" s="125" t="s">
        <v>1113</v>
      </c>
      <c r="BU173" s="4" t="s">
        <v>185</v>
      </c>
      <c r="BV173" s="79" t="s">
        <v>1509</v>
      </c>
      <c r="BW173" s="69" t="s">
        <v>463</v>
      </c>
      <c r="BX173" s="36"/>
      <c r="BY173" s="36" t="s">
        <v>582</v>
      </c>
    </row>
    <row r="174" spans="1:77" hidden="1" x14ac:dyDescent="0.35">
      <c r="A174" s="59">
        <v>10242</v>
      </c>
      <c r="B174" s="2" t="s">
        <v>35</v>
      </c>
      <c r="C174" s="44">
        <v>2019</v>
      </c>
      <c r="D174" s="3">
        <v>29.76763</v>
      </c>
      <c r="E174" s="3">
        <v>-93.164199999999994</v>
      </c>
      <c r="F174" s="3">
        <v>5</v>
      </c>
      <c r="G174" s="3">
        <v>5</v>
      </c>
      <c r="H174" s="3" t="s">
        <v>26</v>
      </c>
      <c r="I174" s="43" t="s">
        <v>997</v>
      </c>
      <c r="J174" s="116">
        <v>49</v>
      </c>
      <c r="K174" s="4">
        <v>49</v>
      </c>
      <c r="L174" s="22">
        <f>IF(ISNUMBER(Table2[[#This Row],[estHD]]),ABS(Table2[[#This Row],[HD]]-Table2[[#This Row],[estHD]]),"NA")</f>
        <v>0</v>
      </c>
      <c r="M174" s="4" t="b">
        <f>Table2[[#This Row],[HD]]=Table2[[#This Row],[estHD]]</f>
        <v>1</v>
      </c>
      <c r="N174" s="4" t="str">
        <f>IF(ISNUMBER([1]!Table2[[#This Row],[hatch_date]]),[1]!Table2[[#This Row],[hatch_date]]-19,"NA")</f>
        <v>NA</v>
      </c>
      <c r="O174" s="31">
        <v>30</v>
      </c>
      <c r="P174" s="23">
        <f>IF(ISNUMBER(Table2[[#This Row],[nest_age1]]),ABS(Table2[[#This Row],[nest_age1]]-Table2[[#This Row],[nest_age_feb]]),"NA")</f>
        <v>0</v>
      </c>
      <c r="Q174" s="24">
        <f>IF(ISNUMBER(Table2[[#This Row],[final_obs_int2]]),ABS(Table2[[#This Row],[final_obs_int2]]-Table2[[#This Row],[final_obs_int_feb]]), "NA")</f>
        <v>6</v>
      </c>
      <c r="R174" s="24"/>
      <c r="S174" s="20" t="s">
        <v>75</v>
      </c>
      <c r="T174" s="20" t="str">
        <f>Table2[[#This Row],[camera_old]]</f>
        <v>Y</v>
      </c>
      <c r="U174" s="22" t="s">
        <v>88</v>
      </c>
      <c r="V174" s="16" t="s">
        <v>31</v>
      </c>
      <c r="W174" s="16">
        <v>10</v>
      </c>
      <c r="X174" s="145">
        <v>5</v>
      </c>
      <c r="Y174" s="147" t="s">
        <v>90</v>
      </c>
      <c r="Z174" s="146" t="s">
        <v>90</v>
      </c>
      <c r="AA174" s="4" t="str">
        <f>Table2[[#This Row],[field_fate]]</f>
        <v>U</v>
      </c>
      <c r="AB174" s="28" t="s">
        <v>94</v>
      </c>
      <c r="AC174" s="132" t="str">
        <f>Table2[[#This Row],[field_fate3]]</f>
        <v>U-F</v>
      </c>
      <c r="AD174" s="144" t="s">
        <v>90</v>
      </c>
      <c r="AE174" s="136" t="s">
        <v>94</v>
      </c>
      <c r="AF174" s="95" t="str">
        <f>Table2[[#This Row],[field_fate5]]</f>
        <v>U</v>
      </c>
      <c r="AG174" s="95" t="s">
        <v>90</v>
      </c>
      <c r="AH174" s="95" t="str">
        <f>Table2[[#This Row],[field_fate2]]</f>
        <v>U</v>
      </c>
      <c r="AI174" s="95" t="s">
        <v>90</v>
      </c>
      <c r="AJ174" s="95" t="str">
        <f>Table2[[#This Row],[field_fate10]]</f>
        <v>U</v>
      </c>
      <c r="AK174" s="95" t="b">
        <f>Table2[[#This Row],[field_fate_feb]]=Table2[[#This Row],[field_fate10]]</f>
        <v>1</v>
      </c>
      <c r="AL174" s="43" t="s">
        <v>31</v>
      </c>
      <c r="AM174" s="160" t="b">
        <f>Table2[[#This Row],[cam_fate2]]="NA"</f>
        <v>0</v>
      </c>
      <c r="AN174" s="19" t="str">
        <f>Table2[[#This Row],[cam_fate1]]</f>
        <v>D</v>
      </c>
      <c r="AO174" s="2" t="s">
        <v>31</v>
      </c>
      <c r="AP174" s="5" t="str">
        <f>Table2[[#This Row],[final_fate1]]</f>
        <v>D</v>
      </c>
      <c r="AQ174" s="6">
        <v>10</v>
      </c>
      <c r="AR174" s="72">
        <v>10</v>
      </c>
      <c r="AS174" s="155">
        <f>Table2[[#This Row],[final_obs_date]]-Table2[[#This Row],[init_date]]</f>
        <v>10</v>
      </c>
      <c r="AT174" s="155">
        <f>(Table2[[#This Row],[final_obs_date2]]-Table2[[#This Row],[estHD]])+19</f>
        <v>10</v>
      </c>
      <c r="AU174" s="41">
        <v>5</v>
      </c>
      <c r="AV174" s="33">
        <v>11</v>
      </c>
      <c r="AW174" s="33">
        <f>Table2[[#This Row],[final_obs_date2]]-Table2[[#This Row],[pen_obs_date]]</f>
        <v>5</v>
      </c>
      <c r="AX174" s="67">
        <v>40</v>
      </c>
      <c r="AY174" s="157">
        <f>Table2[[#This Row],[final_obs_date]]</f>
        <v>40</v>
      </c>
      <c r="AZ174" s="6">
        <v>35</v>
      </c>
      <c r="BA174" s="92" t="s">
        <v>47</v>
      </c>
      <c r="BB174" s="6" t="b">
        <f>Table2[[#This Row],[final_obs_date]]&lt;(Table2[[#This Row],[estHD]]-2)</f>
        <v>1</v>
      </c>
      <c r="BC174" s="32">
        <v>7</v>
      </c>
      <c r="BD174" s="16">
        <f>IF(Table2[[#This Row],[cam_fate2]]="H",1,0)</f>
        <v>0</v>
      </c>
      <c r="BE174" s="6" t="b">
        <f>NOT(Table2[[#This Row],[HF_C]]=Table2[[#This Row],[HF]])</f>
        <v>1</v>
      </c>
      <c r="BF174" s="38" t="b">
        <f>NOT(Table2[[#This Row],[cam_fate2]]=Table2[[#This Row],[field_fate3]])</f>
        <v>1</v>
      </c>
      <c r="BG174" s="38" t="b">
        <f>OR(Table2[[#This Row],[field_fate3]]="U",Table2[[#This Row],[field_fate3]]="U-H")</f>
        <v>0</v>
      </c>
      <c r="BH174" s="8">
        <v>29</v>
      </c>
      <c r="BI174" s="8">
        <v>35</v>
      </c>
      <c r="BJ174" s="14">
        <f>IF(ISTEXT(Table2[[#This Row],[j.cam]]),Table2[[#This Row],[j]],Table2[[#This Row],[j.cam]])</f>
        <v>35</v>
      </c>
      <c r="BK174" s="8">
        <v>40</v>
      </c>
      <c r="BL174" s="14">
        <f>IF(ISTEXT(Table2[[#This Row],[k.cam]]), Table2[[#This Row],[k]], Table2[[#This Row],[k.cam]])</f>
        <v>40</v>
      </c>
      <c r="BM174" s="4" t="s">
        <v>24</v>
      </c>
      <c r="BN174" s="8" t="s">
        <v>24</v>
      </c>
      <c r="BO174" s="4">
        <v>3</v>
      </c>
      <c r="BP174" s="4">
        <f>Table2[[#This Row],[final_obs_date]]-Table2[[#This Row],[i]]</f>
        <v>11</v>
      </c>
      <c r="BQ174" s="4" t="b">
        <f>Table2[[#This Row],[final_obs_date2]]&gt;Table2[[#This Row],[estHD]]+3</f>
        <v>0</v>
      </c>
      <c r="BR174" s="28" t="s">
        <v>55</v>
      </c>
      <c r="BS174" s="3" t="s">
        <v>45</v>
      </c>
      <c r="BT174" s="125" t="s">
        <v>1114</v>
      </c>
      <c r="BU174" s="4" t="s">
        <v>186</v>
      </c>
      <c r="BV174" s="79" t="s">
        <v>1510</v>
      </c>
      <c r="BW174" s="69" t="s">
        <v>469</v>
      </c>
      <c r="BX174" s="36" t="s">
        <v>929</v>
      </c>
      <c r="BY174" s="47" t="s">
        <v>583</v>
      </c>
    </row>
    <row r="175" spans="1:77" ht="24" hidden="1" x14ac:dyDescent="0.35">
      <c r="A175" s="62">
        <v>10245</v>
      </c>
      <c r="B175" s="2" t="s">
        <v>35</v>
      </c>
      <c r="C175" s="44">
        <v>2019</v>
      </c>
      <c r="D175" s="3">
        <v>29.767389999999999</v>
      </c>
      <c r="E175" s="3">
        <v>-93.163640000000001</v>
      </c>
      <c r="F175" s="3">
        <v>10</v>
      </c>
      <c r="G175" s="3">
        <v>15</v>
      </c>
      <c r="H175" s="3" t="s">
        <v>26</v>
      </c>
      <c r="I175" s="43"/>
      <c r="J175" s="55">
        <v>50</v>
      </c>
      <c r="K175" s="4">
        <v>50</v>
      </c>
      <c r="L175" s="22">
        <f>IF(ISNUMBER(Table2[[#This Row],[estHD]]),ABS(Table2[[#This Row],[HD]]-Table2[[#This Row],[estHD]]),"NA")</f>
        <v>0</v>
      </c>
      <c r="M175" s="4" t="b">
        <f>Table2[[#This Row],[HD]]=Table2[[#This Row],[estHD]]</f>
        <v>1</v>
      </c>
      <c r="N175" s="4" t="str">
        <f>IF(ISNUMBER([1]!Table2[[#This Row],[hatch_date]]), [1]!Table2[[#This Row],[hatch_date]]-28, "NA")</f>
        <v>NA</v>
      </c>
      <c r="O175" s="31">
        <v>22</v>
      </c>
      <c r="P175" s="23">
        <f>IF(ISNUMBER(Table2[[#This Row],[nest_age1]]),ABS(Table2[[#This Row],[nest_age1]]-Table2[[#This Row],[nest_age_feb]]),"NA")</f>
        <v>0</v>
      </c>
      <c r="Q175" s="24">
        <f>IF(ISNUMBER(Table2[[#This Row],[final_obs_int2]]),ABS(Table2[[#This Row],[final_obs_int2]]-Table2[[#This Row],[final_obs_int_feb]]), "NA")</f>
        <v>0</v>
      </c>
      <c r="R175" s="24"/>
      <c r="S175" s="57" t="s">
        <v>88</v>
      </c>
      <c r="T175" s="57" t="str">
        <f>Table2[[#This Row],[camera_old]]</f>
        <v>N</v>
      </c>
      <c r="U175" s="24"/>
      <c r="V175" s="16" t="s">
        <v>24</v>
      </c>
      <c r="W175" s="16">
        <v>29</v>
      </c>
      <c r="X175" s="145">
        <v>2</v>
      </c>
      <c r="Y175" s="147" t="s">
        <v>25</v>
      </c>
      <c r="Z175" s="146" t="s">
        <v>25</v>
      </c>
      <c r="AA175" s="4" t="str">
        <f>Table2[[#This Row],[field_fate]]</f>
        <v>S</v>
      </c>
      <c r="AB175" s="4" t="str">
        <f>Table2[[#This Row],[field_fate2]]</f>
        <v>S</v>
      </c>
      <c r="AC175" s="4" t="str">
        <f>Table2[[#This Row],[field_fate3]]</f>
        <v>S</v>
      </c>
      <c r="AD175" s="4" t="str">
        <f>Table2[[#This Row],[field_fate4]]</f>
        <v>S</v>
      </c>
      <c r="AE175" s="4" t="str">
        <f>Table2[[#This Row],[field_fate5]]</f>
        <v>S</v>
      </c>
      <c r="AF175" s="4" t="str">
        <f>Table2[[#This Row],[field_fate5]]</f>
        <v>S</v>
      </c>
      <c r="AG175" s="4" t="str">
        <f>Table2[[#This Row],[field_fate5]]</f>
        <v>S</v>
      </c>
      <c r="AH175" s="4" t="str">
        <f>Table2[[#This Row],[field_fate2]]</f>
        <v>S</v>
      </c>
      <c r="AI175" s="4" t="str">
        <f>Table2[[#This Row],[field_fate8]]</f>
        <v>S</v>
      </c>
      <c r="AJ175" s="4" t="str">
        <f>Table2[[#This Row],[field_fate10]]</f>
        <v>S</v>
      </c>
      <c r="AK175" s="4" t="b">
        <f>Table2[[#This Row],[field_fate_feb]]=Table2[[#This Row],[field_fate10]]</f>
        <v>1</v>
      </c>
      <c r="AL175" s="43" t="s">
        <v>24</v>
      </c>
      <c r="AM175" s="43" t="b">
        <f>Table2[[#This Row],[cam_fate2]]="NA"</f>
        <v>1</v>
      </c>
      <c r="AN175" s="19" t="str">
        <f>Table2[[#This Row],[cam_fate1]]</f>
        <v>NA</v>
      </c>
      <c r="AO175" s="2" t="s">
        <v>25</v>
      </c>
      <c r="AP175" s="5" t="str">
        <f>Table2[[#This Row],[final_fate1]]</f>
        <v>S</v>
      </c>
      <c r="AQ175" s="6">
        <v>29</v>
      </c>
      <c r="AR175" s="7">
        <v>29</v>
      </c>
      <c r="AS175" s="7">
        <f>Table2[[#This Row],[final_obs_date]]-Table2[[#This Row],[init_date]]</f>
        <v>29</v>
      </c>
      <c r="AT175" s="7">
        <f>(Table2[[#This Row],[final_obs_date2]]-Table2[[#This Row],[estHD]])+16</f>
        <v>17</v>
      </c>
      <c r="AU175" s="38">
        <v>2</v>
      </c>
      <c r="AV175" s="33">
        <v>2</v>
      </c>
      <c r="AW175" s="33">
        <f>Table2[[#This Row],[final_obs_date2]]-Table2[[#This Row],[pen_obs_date]]</f>
        <v>51</v>
      </c>
      <c r="AX175" s="67">
        <v>51</v>
      </c>
      <c r="AY175" s="6">
        <f>Table2[[#This Row],[final_obs_date]]</f>
        <v>51</v>
      </c>
      <c r="AZ175" s="6"/>
      <c r="BA175" s="91" t="s">
        <v>23</v>
      </c>
      <c r="BB175" s="6" t="b">
        <f>Table2[[#This Row],[final_obs_date]]&lt;(Table2[[#This Row],[estHD]]-2)</f>
        <v>0</v>
      </c>
      <c r="BC175" s="24">
        <f>IF(Table2[[#This Row],[field_fate]]="H",1,0)</f>
        <v>0</v>
      </c>
      <c r="BD175" s="16">
        <f>IF(Table2[[#This Row],[cam_fate2]]="H",1,0)</f>
        <v>0</v>
      </c>
      <c r="BE175" s="6" t="b">
        <f>NOT(Table2[[#This Row],[HF_C]]=Table2[[#This Row],[HF]])</f>
        <v>0</v>
      </c>
      <c r="BF175" s="6" t="b">
        <f>NOT(Table2[[#This Row],[cam_fate2]]=Table2[[#This Row],[field_fate3]])</f>
        <v>1</v>
      </c>
      <c r="BG175" s="6" t="b">
        <f>OR(Table2[[#This Row],[field_fate3]]="U",Table2[[#This Row],[field_fate3]]="U-H")</f>
        <v>0</v>
      </c>
      <c r="BH175" s="8">
        <v>40</v>
      </c>
      <c r="BI175" s="8">
        <v>49</v>
      </c>
      <c r="BJ175" s="14">
        <f>IF(ISTEXT(Table2[[#This Row],[j.cam]]),Table2[[#This Row],[j]],Table2[[#This Row],[j.cam]])</f>
        <v>49</v>
      </c>
      <c r="BK175" s="9">
        <v>51</v>
      </c>
      <c r="BL175" s="15">
        <f>IF(ISTEXT(Table2[[#This Row],[k.cam]]), Table2[[#This Row],[k]], Table2[[#This Row],[k.cam]])</f>
        <v>51</v>
      </c>
      <c r="BM175" s="4" t="s">
        <v>24</v>
      </c>
      <c r="BN175" s="8" t="s">
        <v>24</v>
      </c>
      <c r="BO175" s="4">
        <v>3</v>
      </c>
      <c r="BP175" s="4">
        <f>Table2[[#This Row],[final_obs_date]]-Table2[[#This Row],[i]]</f>
        <v>11</v>
      </c>
      <c r="BQ175" s="4" t="b">
        <f>Table2[[#This Row],[final_obs_date2]]&gt;Table2[[#This Row],[estHD]]+3</f>
        <v>0</v>
      </c>
      <c r="BR175" s="4" t="s">
        <v>33</v>
      </c>
      <c r="BS175" s="4" t="s">
        <v>28</v>
      </c>
      <c r="BT175" s="79" t="s">
        <v>1115</v>
      </c>
      <c r="BU175" s="26" t="s">
        <v>64</v>
      </c>
      <c r="BV175" s="79" t="s">
        <v>1511</v>
      </c>
      <c r="BW175" s="49"/>
      <c r="BX175" s="47"/>
      <c r="BY175" s="36" t="s">
        <v>584</v>
      </c>
    </row>
    <row r="176" spans="1:77" hidden="1" x14ac:dyDescent="0.35">
      <c r="A176" s="62">
        <v>10246</v>
      </c>
      <c r="B176" s="2" t="s">
        <v>35</v>
      </c>
      <c r="C176" s="44">
        <v>2019</v>
      </c>
      <c r="D176" s="3">
        <v>29.770009999999999</v>
      </c>
      <c r="E176" s="3">
        <v>-93.176959999999994</v>
      </c>
      <c r="F176" s="3">
        <v>20</v>
      </c>
      <c r="G176" s="3">
        <v>30</v>
      </c>
      <c r="H176" s="3" t="s">
        <v>26</v>
      </c>
      <c r="I176" s="43"/>
      <c r="J176" s="55" t="s">
        <v>24</v>
      </c>
      <c r="K176" s="4" t="s">
        <v>24</v>
      </c>
      <c r="L176" s="22" t="str">
        <f>IF(ISNUMBER(Table2[[#This Row],[estHD]]),ABS(Table2[[#This Row],[HD]]-Table2[[#This Row],[estHD]]),"NA")</f>
        <v>NA</v>
      </c>
      <c r="M176" s="4" t="b">
        <f>Table2[[#This Row],[HD]]=Table2[[#This Row],[estHD]]</f>
        <v>1</v>
      </c>
      <c r="N176" s="4" t="str">
        <f>IF(ISNUMBER([1]!Table2[[#This Row],[hatch_date]]),[1]!Table2[[#This Row],[hatch_date]]-19,"NA")</f>
        <v>NA</v>
      </c>
      <c r="O176" s="31" t="s">
        <v>24</v>
      </c>
      <c r="P176" s="23" t="str">
        <f>IF(ISNUMBER(Table2[[#This Row],[nest_age1]]),ABS(Table2[[#This Row],[nest_age1]]-Table2[[#This Row],[nest_age_feb]]),"NA")</f>
        <v>NA</v>
      </c>
      <c r="Q176" s="24">
        <f>IF(ISNUMBER(Table2[[#This Row],[final_obs_int2]]),ABS(Table2[[#This Row],[final_obs_int2]]-Table2[[#This Row],[final_obs_int_feb]]), "NA")</f>
        <v>0</v>
      </c>
      <c r="R176" s="24"/>
      <c r="S176" s="57" t="s">
        <v>88</v>
      </c>
      <c r="T176" s="57" t="str">
        <f>Table2[[#This Row],[camera_old]]</f>
        <v>N</v>
      </c>
      <c r="U176" s="24"/>
      <c r="V176" s="16" t="s">
        <v>24</v>
      </c>
      <c r="W176" s="16" t="s">
        <v>24</v>
      </c>
      <c r="X176" s="145">
        <v>5</v>
      </c>
      <c r="Y176" s="147" t="s">
        <v>90</v>
      </c>
      <c r="Z176" s="146" t="s">
        <v>90</v>
      </c>
      <c r="AA176" s="4" t="str">
        <f>Table2[[#This Row],[field_fate]]</f>
        <v>U</v>
      </c>
      <c r="AB176" s="4" t="str">
        <f>Table2[[#This Row],[field_fate2]]</f>
        <v>U</v>
      </c>
      <c r="AC176" s="4" t="str">
        <f>Table2[[#This Row],[field_fate3]]</f>
        <v>U</v>
      </c>
      <c r="AD176" s="4" t="str">
        <f>Table2[[#This Row],[field_fate4]]</f>
        <v>U</v>
      </c>
      <c r="AE176" s="4" t="str">
        <f>Table2[[#This Row],[field_fate5]]</f>
        <v>U</v>
      </c>
      <c r="AF176" s="4" t="str">
        <f>Table2[[#This Row],[field_fate5]]</f>
        <v>U</v>
      </c>
      <c r="AG176" s="4" t="str">
        <f>Table2[[#This Row],[field_fate5]]</f>
        <v>U</v>
      </c>
      <c r="AH176" s="4" t="str">
        <f>Table2[[#This Row],[field_fate2]]</f>
        <v>U</v>
      </c>
      <c r="AI176" s="4" t="str">
        <f>Table2[[#This Row],[field_fate8]]</f>
        <v>U</v>
      </c>
      <c r="AJ176" s="4" t="str">
        <f>Table2[[#This Row],[field_fate10]]</f>
        <v>U</v>
      </c>
      <c r="AK176" s="4" t="b">
        <f>Table2[[#This Row],[field_fate_feb]]=Table2[[#This Row],[field_fate10]]</f>
        <v>1</v>
      </c>
      <c r="AL176" s="43" t="s">
        <v>24</v>
      </c>
      <c r="AM176" s="43" t="b">
        <f>Table2[[#This Row],[cam_fate2]]="NA"</f>
        <v>1</v>
      </c>
      <c r="AN176" s="19" t="str">
        <f>Table2[[#This Row],[cam_fate1]]</f>
        <v>NA</v>
      </c>
      <c r="AO176" s="2" t="s">
        <v>90</v>
      </c>
      <c r="AP176" s="5" t="str">
        <f>Table2[[#This Row],[final_fate1]]</f>
        <v>U</v>
      </c>
      <c r="AQ176" s="6" t="s">
        <v>24</v>
      </c>
      <c r="AR176" s="7" t="s">
        <v>24</v>
      </c>
      <c r="AS176" s="7" t="e">
        <f>Table2[[#This Row],[final_obs_date]]-Table2[[#This Row],[init_date]]</f>
        <v>#VALUE!</v>
      </c>
      <c r="AT176" s="7" t="e">
        <f>(Table2[[#This Row],[final_obs_date2]]-Table2[[#This Row],[estHD]])+16</f>
        <v>#VALUE!</v>
      </c>
      <c r="AU176" s="38">
        <v>5</v>
      </c>
      <c r="AV176" s="33">
        <v>5</v>
      </c>
      <c r="AW176" s="33">
        <f>Table2[[#This Row],[final_obs_date2]]-Table2[[#This Row],[pen_obs_date]]</f>
        <v>49</v>
      </c>
      <c r="AX176" s="67">
        <v>49</v>
      </c>
      <c r="AY176" s="6">
        <f>Table2[[#This Row],[final_obs_date]]</f>
        <v>49</v>
      </c>
      <c r="AZ176" s="6"/>
      <c r="BA176" s="91" t="s">
        <v>47</v>
      </c>
      <c r="BB176" s="6" t="e">
        <f>Table2[[#This Row],[final_obs_date]]&lt;(Table2[[#This Row],[estHD]]-2)</f>
        <v>#VALUE!</v>
      </c>
      <c r="BC176" s="24">
        <f>IF(Table2[[#This Row],[field_fate]]="H",1,0)</f>
        <v>0</v>
      </c>
      <c r="BD176" s="16">
        <f>IF(Table2[[#This Row],[cam_fate2]]="H",1,0)</f>
        <v>0</v>
      </c>
      <c r="BE176" s="6" t="b">
        <f>NOT(Table2[[#This Row],[HF_C]]=Table2[[#This Row],[HF]])</f>
        <v>0</v>
      </c>
      <c r="BF176" s="6" t="b">
        <f>NOT(Table2[[#This Row],[cam_fate2]]=Table2[[#This Row],[field_fate3]])</f>
        <v>1</v>
      </c>
      <c r="BG176" s="6" t="b">
        <f>OR(Table2[[#This Row],[field_fate3]]="U",Table2[[#This Row],[field_fate3]]="U-H")</f>
        <v>1</v>
      </c>
      <c r="BH176" s="8">
        <v>35</v>
      </c>
      <c r="BI176" s="8">
        <v>44</v>
      </c>
      <c r="BJ176" s="14">
        <f>IF(ISTEXT(Table2[[#This Row],[j.cam]]),Table2[[#This Row],[j]],Table2[[#This Row],[j.cam]])</f>
        <v>44</v>
      </c>
      <c r="BK176" s="9">
        <v>49</v>
      </c>
      <c r="BL176" s="15">
        <f>IF(ISTEXT(Table2[[#This Row],[k.cam]]), Table2[[#This Row],[k]], Table2[[#This Row],[k.cam]])</f>
        <v>49</v>
      </c>
      <c r="BM176" s="4" t="s">
        <v>24</v>
      </c>
      <c r="BN176" s="8" t="s">
        <v>24</v>
      </c>
      <c r="BO176" s="4">
        <v>4</v>
      </c>
      <c r="BP176" s="4">
        <f>Table2[[#This Row],[final_obs_date]]-Table2[[#This Row],[i]]</f>
        <v>14</v>
      </c>
      <c r="BQ176" s="4" t="e">
        <f>Table2[[#This Row],[final_obs_date2]]&gt;Table2[[#This Row],[estHD]]+3</f>
        <v>#VALUE!</v>
      </c>
      <c r="BR176" s="4" t="s">
        <v>27</v>
      </c>
      <c r="BS176" s="4" t="s">
        <v>100</v>
      </c>
      <c r="BT176" s="79" t="s">
        <v>1116</v>
      </c>
      <c r="BU176" s="26" t="s">
        <v>187</v>
      </c>
      <c r="BV176" s="79" t="s">
        <v>1512</v>
      </c>
      <c r="BW176" s="49"/>
      <c r="BX176" s="47"/>
      <c r="BY176" s="36" t="s">
        <v>24</v>
      </c>
    </row>
    <row r="177" spans="1:77" hidden="1" x14ac:dyDescent="0.35">
      <c r="A177" s="62">
        <v>10247</v>
      </c>
      <c r="B177" s="2" t="s">
        <v>35</v>
      </c>
      <c r="C177" s="44">
        <v>2019</v>
      </c>
      <c r="D177" s="3">
        <v>29.770489999999999</v>
      </c>
      <c r="E177" s="3">
        <v>-93.179659999999998</v>
      </c>
      <c r="F177" s="3">
        <v>5</v>
      </c>
      <c r="G177" s="3" t="s">
        <v>24</v>
      </c>
      <c r="H177" s="3" t="s">
        <v>26</v>
      </c>
      <c r="I177" s="43"/>
      <c r="J177" s="55" t="s">
        <v>24</v>
      </c>
      <c r="K177" s="4" t="s">
        <v>24</v>
      </c>
      <c r="L177" s="22" t="str">
        <f>IF(ISNUMBER(Table2[[#This Row],[estHD]]),ABS(Table2[[#This Row],[HD]]-Table2[[#This Row],[estHD]]),"NA")</f>
        <v>NA</v>
      </c>
      <c r="M177" s="4" t="b">
        <f>Table2[[#This Row],[HD]]=Table2[[#This Row],[estHD]]</f>
        <v>1</v>
      </c>
      <c r="N177" s="4" t="str">
        <f>IF(ISNUMBER([1]!Table2[[#This Row],[hatch_date]]),[1]!Table2[[#This Row],[hatch_date]]-19,"NA")</f>
        <v>NA</v>
      </c>
      <c r="O177" s="31" t="s">
        <v>24</v>
      </c>
      <c r="P177" s="23" t="str">
        <f>IF(ISNUMBER(Table2[[#This Row],[nest_age1]]),ABS(Table2[[#This Row],[nest_age1]]-Table2[[#This Row],[nest_age_feb]]),"NA")</f>
        <v>NA</v>
      </c>
      <c r="Q177" s="24">
        <f>IF(ISNUMBER(Table2[[#This Row],[final_obs_int2]]),ABS(Table2[[#This Row],[final_obs_int2]]-Table2[[#This Row],[final_obs_int_feb]]), "NA")</f>
        <v>0</v>
      </c>
      <c r="R177" s="24"/>
      <c r="S177" s="57" t="s">
        <v>88</v>
      </c>
      <c r="T177" s="57" t="str">
        <f>Table2[[#This Row],[camera_old]]</f>
        <v>N</v>
      </c>
      <c r="U177" s="24"/>
      <c r="V177" s="16" t="s">
        <v>24</v>
      </c>
      <c r="W177" s="16" t="s">
        <v>24</v>
      </c>
      <c r="X177" s="145">
        <v>5</v>
      </c>
      <c r="Y177" s="147" t="s">
        <v>91</v>
      </c>
      <c r="Z177" s="146" t="s">
        <v>91</v>
      </c>
      <c r="AA177" s="4" t="str">
        <f>Table2[[#This Row],[field_fate]]</f>
        <v>Hu</v>
      </c>
      <c r="AB177" s="4" t="str">
        <f>Table2[[#This Row],[field_fate2]]</f>
        <v>Hu</v>
      </c>
      <c r="AC177" s="4" t="str">
        <f>Table2[[#This Row],[field_fate3]]</f>
        <v>Hu</v>
      </c>
      <c r="AD177" s="4" t="str">
        <f>Table2[[#This Row],[field_fate4]]</f>
        <v>Hu</v>
      </c>
      <c r="AE177" s="4" t="str">
        <f>Table2[[#This Row],[field_fate5]]</f>
        <v>Hu</v>
      </c>
      <c r="AF177" s="4" t="str">
        <f>Table2[[#This Row],[field_fate5]]</f>
        <v>Hu</v>
      </c>
      <c r="AG177" s="4" t="str">
        <f>Table2[[#This Row],[field_fate5]]</f>
        <v>Hu</v>
      </c>
      <c r="AH177" s="4" t="str">
        <f>Table2[[#This Row],[field_fate2]]</f>
        <v>Hu</v>
      </c>
      <c r="AI177" s="4" t="str">
        <f>Table2[[#This Row],[field_fate8]]</f>
        <v>Hu</v>
      </c>
      <c r="AJ177" s="4" t="str">
        <f>Table2[[#This Row],[field_fate10]]</f>
        <v>Hu</v>
      </c>
      <c r="AK177" s="4" t="b">
        <f>Table2[[#This Row],[field_fate_feb]]=Table2[[#This Row],[field_fate10]]</f>
        <v>1</v>
      </c>
      <c r="AL177" s="43" t="s">
        <v>24</v>
      </c>
      <c r="AM177" s="43" t="b">
        <f>Table2[[#This Row],[cam_fate2]]="NA"</f>
        <v>1</v>
      </c>
      <c r="AN177" s="19" t="str">
        <f>Table2[[#This Row],[cam_fate1]]</f>
        <v>NA</v>
      </c>
      <c r="AO177" s="2" t="s">
        <v>91</v>
      </c>
      <c r="AP177" s="5" t="str">
        <f>Table2[[#This Row],[final_fate1]]</f>
        <v>Hu</v>
      </c>
      <c r="AQ177" s="6" t="s">
        <v>24</v>
      </c>
      <c r="AR177" s="7" t="s">
        <v>24</v>
      </c>
      <c r="AS177" s="7" t="e">
        <f>Table2[[#This Row],[final_obs_date]]-Table2[[#This Row],[init_date]]</f>
        <v>#VALUE!</v>
      </c>
      <c r="AT177" s="7" t="e">
        <f>(Table2[[#This Row],[final_obs_date2]]-Table2[[#This Row],[estHD]])+16</f>
        <v>#VALUE!</v>
      </c>
      <c r="AU177" s="38">
        <v>5</v>
      </c>
      <c r="AV177" s="33">
        <v>5</v>
      </c>
      <c r="AW177" s="33">
        <f>Table2[[#This Row],[final_obs_date2]]-Table2[[#This Row],[pen_obs_date]]</f>
        <v>49</v>
      </c>
      <c r="AX177" s="67">
        <v>49</v>
      </c>
      <c r="AY177" s="6">
        <f>Table2[[#This Row],[final_obs_date]]</f>
        <v>49</v>
      </c>
      <c r="AZ177" s="6"/>
      <c r="BA177" s="91" t="s">
        <v>47</v>
      </c>
      <c r="BB177" s="6" t="e">
        <f>Table2[[#This Row],[final_obs_date]]&lt;(Table2[[#This Row],[estHD]]-2)</f>
        <v>#VALUE!</v>
      </c>
      <c r="BC177" s="24">
        <f>IF(Table2[[#This Row],[field_fate]]="H",1,0)</f>
        <v>0</v>
      </c>
      <c r="BD177" s="16">
        <f>IF(Table2[[#This Row],[cam_fate2]]="H",1,0)</f>
        <v>0</v>
      </c>
      <c r="BE177" s="6" t="b">
        <f>NOT(Table2[[#This Row],[HF_C]]=Table2[[#This Row],[HF]])</f>
        <v>0</v>
      </c>
      <c r="BF177" s="6" t="b">
        <f>NOT(Table2[[#This Row],[cam_fate2]]=Table2[[#This Row],[field_fate3]])</f>
        <v>1</v>
      </c>
      <c r="BG177" s="6" t="b">
        <f>OR(Table2[[#This Row],[field_fate3]]="U",Table2[[#This Row],[field_fate3]]="U-H")</f>
        <v>0</v>
      </c>
      <c r="BH177" s="8">
        <v>35</v>
      </c>
      <c r="BI177" s="8">
        <v>44</v>
      </c>
      <c r="BJ177" s="14">
        <f>IF(ISTEXT(Table2[[#This Row],[j.cam]]),Table2[[#This Row],[j]],Table2[[#This Row],[j.cam]])</f>
        <v>44</v>
      </c>
      <c r="BK177" s="9">
        <v>49</v>
      </c>
      <c r="BL177" s="15">
        <f>IF(ISTEXT(Table2[[#This Row],[k.cam]]), Table2[[#This Row],[k]], Table2[[#This Row],[k.cam]])</f>
        <v>49</v>
      </c>
      <c r="BM177" s="4" t="s">
        <v>24</v>
      </c>
      <c r="BN177" s="8" t="s">
        <v>24</v>
      </c>
      <c r="BO177" s="4">
        <v>4</v>
      </c>
      <c r="BP177" s="4">
        <f>Table2[[#This Row],[final_obs_date]]-Table2[[#This Row],[i]]</f>
        <v>14</v>
      </c>
      <c r="BQ177" s="4" t="e">
        <f>Table2[[#This Row],[final_obs_date2]]&gt;Table2[[#This Row],[estHD]]+3</f>
        <v>#VALUE!</v>
      </c>
      <c r="BR177" s="4" t="s">
        <v>27</v>
      </c>
      <c r="BS177" s="4" t="s">
        <v>45</v>
      </c>
      <c r="BT177" s="79" t="s">
        <v>1116</v>
      </c>
      <c r="BU177" s="26" t="s">
        <v>106</v>
      </c>
      <c r="BV177" s="79" t="s">
        <v>1512</v>
      </c>
      <c r="BW177" s="49"/>
      <c r="BX177" s="47"/>
      <c r="BY177" s="36" t="s">
        <v>585</v>
      </c>
    </row>
    <row r="178" spans="1:77" ht="18.5" hidden="1" x14ac:dyDescent="0.35">
      <c r="A178" s="62">
        <v>10248</v>
      </c>
      <c r="B178" s="2" t="s">
        <v>35</v>
      </c>
      <c r="C178" s="44">
        <v>2019</v>
      </c>
      <c r="D178" s="3">
        <v>29.770520000000001</v>
      </c>
      <c r="E178" s="3">
        <v>-93.179860000000005</v>
      </c>
      <c r="F178" s="3" t="s">
        <v>24</v>
      </c>
      <c r="G178" s="3" t="s">
        <v>24</v>
      </c>
      <c r="H178" s="3" t="s">
        <v>26</v>
      </c>
      <c r="I178" s="43"/>
      <c r="J178" s="55">
        <v>63</v>
      </c>
      <c r="K178" s="4">
        <v>63</v>
      </c>
      <c r="L178" s="22">
        <f>IF(ISNUMBER(Table2[[#This Row],[estHD]]),ABS(Table2[[#This Row],[HD]]-Table2[[#This Row],[estHD]]),"NA")</f>
        <v>0</v>
      </c>
      <c r="M178" s="4" t="b">
        <f>Table2[[#This Row],[HD]]=Table2[[#This Row],[estHD]]</f>
        <v>1</v>
      </c>
      <c r="N178" s="4" t="str">
        <f>IF(ISNUMBER([1]!Table2[[#This Row],[hatch_date]]), [1]!Table2[[#This Row],[hatch_date]]-28, "NA")</f>
        <v>NA</v>
      </c>
      <c r="O178" s="31">
        <v>35</v>
      </c>
      <c r="P178" s="23">
        <f>IF(ISNUMBER(Table2[[#This Row],[nest_age1]]),ABS(Table2[[#This Row],[nest_age1]]-Table2[[#This Row],[nest_age_feb]]),"NA")</f>
        <v>0</v>
      </c>
      <c r="Q178" s="24">
        <f>IF(ISNUMBER(Table2[[#This Row],[final_obs_int2]]),ABS(Table2[[#This Row],[final_obs_int2]]-Table2[[#This Row],[final_obs_int_feb]]), "NA")</f>
        <v>0</v>
      </c>
      <c r="R178" s="24"/>
      <c r="S178" s="57" t="s">
        <v>88</v>
      </c>
      <c r="T178" s="57" t="str">
        <f>Table2[[#This Row],[camera_old]]</f>
        <v>N</v>
      </c>
      <c r="U178" s="24"/>
      <c r="V178" s="16" t="s">
        <v>24</v>
      </c>
      <c r="W178" s="16">
        <v>18</v>
      </c>
      <c r="X178" s="145">
        <v>4</v>
      </c>
      <c r="Y178" s="147" t="s">
        <v>91</v>
      </c>
      <c r="Z178" s="146" t="s">
        <v>91</v>
      </c>
      <c r="AA178" s="4" t="str">
        <f>Table2[[#This Row],[field_fate]]</f>
        <v>Hu</v>
      </c>
      <c r="AB178" s="4" t="str">
        <f>Table2[[#This Row],[field_fate2]]</f>
        <v>Hu</v>
      </c>
      <c r="AC178" s="4" t="str">
        <f>Table2[[#This Row],[field_fate3]]</f>
        <v>Hu</v>
      </c>
      <c r="AD178" s="4" t="str">
        <f>Table2[[#This Row],[field_fate4]]</f>
        <v>Hu</v>
      </c>
      <c r="AE178" s="4" t="str">
        <f>Table2[[#This Row],[field_fate5]]</f>
        <v>Hu</v>
      </c>
      <c r="AF178" s="4" t="str">
        <f>Table2[[#This Row],[field_fate5]]</f>
        <v>Hu</v>
      </c>
      <c r="AG178" s="4" t="str">
        <f>Table2[[#This Row],[field_fate5]]</f>
        <v>Hu</v>
      </c>
      <c r="AH178" s="4" t="str">
        <f>Table2[[#This Row],[field_fate2]]</f>
        <v>Hu</v>
      </c>
      <c r="AI178" s="4" t="str">
        <f>Table2[[#This Row],[field_fate8]]</f>
        <v>Hu</v>
      </c>
      <c r="AJ178" s="4" t="str">
        <f>Table2[[#This Row],[field_fate10]]</f>
        <v>Hu</v>
      </c>
      <c r="AK178" s="4" t="b">
        <f>Table2[[#This Row],[field_fate_feb]]=Table2[[#This Row],[field_fate10]]</f>
        <v>1</v>
      </c>
      <c r="AL178" s="43" t="s">
        <v>24</v>
      </c>
      <c r="AM178" s="43" t="b">
        <f>Table2[[#This Row],[cam_fate2]]="NA"</f>
        <v>1</v>
      </c>
      <c r="AN178" s="19" t="str">
        <f>Table2[[#This Row],[cam_fate1]]</f>
        <v>NA</v>
      </c>
      <c r="AO178" s="2" t="s">
        <v>91</v>
      </c>
      <c r="AP178" s="5" t="str">
        <f>Table2[[#This Row],[final_fate1]]</f>
        <v>Hu</v>
      </c>
      <c r="AQ178" s="6">
        <v>18</v>
      </c>
      <c r="AR178" s="7">
        <v>18</v>
      </c>
      <c r="AS178" s="7">
        <f>Table2[[#This Row],[final_obs_date]]-Table2[[#This Row],[init_date]]</f>
        <v>18</v>
      </c>
      <c r="AT178" s="7">
        <f>(Table2[[#This Row],[final_obs_date2]]-Table2[[#This Row],[estHD]])+16</f>
        <v>6</v>
      </c>
      <c r="AU178" s="38">
        <v>4</v>
      </c>
      <c r="AV178" s="33">
        <v>4</v>
      </c>
      <c r="AW178" s="33">
        <f>Table2[[#This Row],[final_obs_date2]]-Table2[[#This Row],[pen_obs_date]]</f>
        <v>53</v>
      </c>
      <c r="AX178" s="67">
        <v>53</v>
      </c>
      <c r="AY178" s="6">
        <f>Table2[[#This Row],[final_obs_date]]</f>
        <v>53</v>
      </c>
      <c r="AZ178" s="6"/>
      <c r="BA178" s="91" t="s">
        <v>23</v>
      </c>
      <c r="BB178" s="6" t="b">
        <f>Table2[[#This Row],[final_obs_date]]&lt;(Table2[[#This Row],[estHD]]-2)</f>
        <v>1</v>
      </c>
      <c r="BC178" s="24">
        <f>IF(Table2[[#This Row],[field_fate]]="H",1,0)</f>
        <v>0</v>
      </c>
      <c r="BD178" s="16">
        <f>IF(Table2[[#This Row],[cam_fate2]]="H",1,0)</f>
        <v>0</v>
      </c>
      <c r="BE178" s="6" t="b">
        <f>NOT(Table2[[#This Row],[HF_C]]=Table2[[#This Row],[HF]])</f>
        <v>0</v>
      </c>
      <c r="BF178" s="6" t="b">
        <f>NOT(Table2[[#This Row],[cam_fate2]]=Table2[[#This Row],[field_fate3]])</f>
        <v>1</v>
      </c>
      <c r="BG178" s="6" t="b">
        <f>OR(Table2[[#This Row],[field_fate3]]="U",Table2[[#This Row],[field_fate3]]="U-H")</f>
        <v>0</v>
      </c>
      <c r="BH178" s="8">
        <v>35</v>
      </c>
      <c r="BI178" s="8">
        <v>49</v>
      </c>
      <c r="BJ178" s="14">
        <f>IF(ISTEXT(Table2[[#This Row],[j.cam]]),Table2[[#This Row],[j]],Table2[[#This Row],[j.cam]])</f>
        <v>49</v>
      </c>
      <c r="BK178" s="9">
        <v>53</v>
      </c>
      <c r="BL178" s="15">
        <f>IF(ISTEXT(Table2[[#This Row],[k.cam]]), Table2[[#This Row],[k]], Table2[[#This Row],[k.cam]])</f>
        <v>53</v>
      </c>
      <c r="BM178" s="4" t="s">
        <v>24</v>
      </c>
      <c r="BN178" s="8" t="s">
        <v>24</v>
      </c>
      <c r="BO178" s="4">
        <v>5</v>
      </c>
      <c r="BP178" s="4">
        <f>Table2[[#This Row],[final_obs_date]]-Table2[[#This Row],[i]]</f>
        <v>18</v>
      </c>
      <c r="BQ178" s="4" t="b">
        <f>Table2[[#This Row],[final_obs_date2]]&gt;Table2[[#This Row],[estHD]]+3</f>
        <v>0</v>
      </c>
      <c r="BR178" s="4" t="s">
        <v>27</v>
      </c>
      <c r="BS178" s="4" t="s">
        <v>28</v>
      </c>
      <c r="BT178" s="79" t="s">
        <v>1117</v>
      </c>
      <c r="BU178" s="26" t="s">
        <v>188</v>
      </c>
      <c r="BV178" s="79" t="s">
        <v>1513</v>
      </c>
      <c r="BW178" s="49"/>
      <c r="BX178" s="47"/>
      <c r="BY178" s="36" t="s">
        <v>586</v>
      </c>
    </row>
    <row r="179" spans="1:77" hidden="1" x14ac:dyDescent="0.35">
      <c r="A179" s="62">
        <v>10249</v>
      </c>
      <c r="B179" s="2" t="s">
        <v>35</v>
      </c>
      <c r="C179" s="44">
        <v>2019</v>
      </c>
      <c r="D179" s="3">
        <v>29.770579999999999</v>
      </c>
      <c r="E179" s="3">
        <v>-93.179969999999997</v>
      </c>
      <c r="F179" s="3" t="s">
        <v>24</v>
      </c>
      <c r="G179" s="3" t="s">
        <v>24</v>
      </c>
      <c r="H179" s="3" t="s">
        <v>26</v>
      </c>
      <c r="I179" s="43"/>
      <c r="J179" s="55" t="s">
        <v>24</v>
      </c>
      <c r="K179" s="4" t="s">
        <v>24</v>
      </c>
      <c r="L179" s="22" t="str">
        <f>IF(ISNUMBER(Table2[[#This Row],[estHD]]),ABS(Table2[[#This Row],[HD]]-Table2[[#This Row],[estHD]]),"NA")</f>
        <v>NA</v>
      </c>
      <c r="M179" s="4" t="b">
        <f>Table2[[#This Row],[HD]]=Table2[[#This Row],[estHD]]</f>
        <v>1</v>
      </c>
      <c r="N179" s="4" t="str">
        <f>IF(ISNUMBER([1]!Table2[[#This Row],[hatch_date]]),[1]!Table2[[#This Row],[hatch_date]]-19,"NA")</f>
        <v>NA</v>
      </c>
      <c r="O179" s="31" t="s">
        <v>24</v>
      </c>
      <c r="P179" s="23" t="str">
        <f>IF(ISNUMBER(Table2[[#This Row],[nest_age1]]),ABS(Table2[[#This Row],[nest_age1]]-Table2[[#This Row],[nest_age_feb]]),"NA")</f>
        <v>NA</v>
      </c>
      <c r="Q179" s="24">
        <f>IF(ISNUMBER(Table2[[#This Row],[final_obs_int2]]),ABS(Table2[[#This Row],[final_obs_int2]]-Table2[[#This Row],[final_obs_int_feb]]), "NA")</f>
        <v>0</v>
      </c>
      <c r="R179" s="24"/>
      <c r="S179" s="57" t="s">
        <v>88</v>
      </c>
      <c r="T179" s="57" t="str">
        <f>Table2[[#This Row],[camera_old]]</f>
        <v>N</v>
      </c>
      <c r="U179" s="24"/>
      <c r="V179" s="16" t="s">
        <v>24</v>
      </c>
      <c r="W179" s="16" t="s">
        <v>24</v>
      </c>
      <c r="X179" s="145">
        <v>9</v>
      </c>
      <c r="Y179" s="147" t="s">
        <v>91</v>
      </c>
      <c r="Z179" s="146" t="s">
        <v>91</v>
      </c>
      <c r="AA179" s="4" t="str">
        <f>Table2[[#This Row],[field_fate]]</f>
        <v>Hu</v>
      </c>
      <c r="AB179" s="4" t="str">
        <f>Table2[[#This Row],[field_fate2]]</f>
        <v>Hu</v>
      </c>
      <c r="AC179" s="4" t="str">
        <f>Table2[[#This Row],[field_fate3]]</f>
        <v>Hu</v>
      </c>
      <c r="AD179" s="4" t="str">
        <f>Table2[[#This Row],[field_fate4]]</f>
        <v>Hu</v>
      </c>
      <c r="AE179" s="4" t="str">
        <f>Table2[[#This Row],[field_fate5]]</f>
        <v>Hu</v>
      </c>
      <c r="AF179" s="4" t="str">
        <f>Table2[[#This Row],[field_fate5]]</f>
        <v>Hu</v>
      </c>
      <c r="AG179" s="4" t="str">
        <f>Table2[[#This Row],[field_fate5]]</f>
        <v>Hu</v>
      </c>
      <c r="AH179" s="4" t="str">
        <f>Table2[[#This Row],[field_fate2]]</f>
        <v>Hu</v>
      </c>
      <c r="AI179" s="4" t="str">
        <f>Table2[[#This Row],[field_fate8]]</f>
        <v>Hu</v>
      </c>
      <c r="AJ179" s="4" t="str">
        <f>Table2[[#This Row],[field_fate10]]</f>
        <v>Hu</v>
      </c>
      <c r="AK179" s="4" t="b">
        <f>Table2[[#This Row],[field_fate_feb]]=Table2[[#This Row],[field_fate10]]</f>
        <v>1</v>
      </c>
      <c r="AL179" s="43" t="s">
        <v>24</v>
      </c>
      <c r="AM179" s="43" t="b">
        <f>Table2[[#This Row],[cam_fate2]]="NA"</f>
        <v>1</v>
      </c>
      <c r="AN179" s="19" t="str">
        <f>Table2[[#This Row],[cam_fate1]]</f>
        <v>NA</v>
      </c>
      <c r="AO179" s="2" t="s">
        <v>91</v>
      </c>
      <c r="AP179" s="5" t="str">
        <f>Table2[[#This Row],[final_fate1]]</f>
        <v>Hu</v>
      </c>
      <c r="AQ179" s="6" t="s">
        <v>24</v>
      </c>
      <c r="AR179" s="7" t="s">
        <v>24</v>
      </c>
      <c r="AS179" s="7" t="e">
        <f>Table2[[#This Row],[final_obs_date]]-Table2[[#This Row],[init_date]]</f>
        <v>#VALUE!</v>
      </c>
      <c r="AT179" s="7" t="e">
        <f>(Table2[[#This Row],[final_obs_date2]]-Table2[[#This Row],[estHD]])+16</f>
        <v>#VALUE!</v>
      </c>
      <c r="AU179" s="38">
        <v>9</v>
      </c>
      <c r="AV179" s="33">
        <v>9</v>
      </c>
      <c r="AW179" s="33">
        <f>Table2[[#This Row],[final_obs_date2]]-Table2[[#This Row],[pen_obs_date]]</f>
        <v>49</v>
      </c>
      <c r="AX179" s="67">
        <v>49</v>
      </c>
      <c r="AY179" s="6">
        <f>Table2[[#This Row],[final_obs_date]]</f>
        <v>49</v>
      </c>
      <c r="AZ179" s="6"/>
      <c r="BA179" s="91" t="s">
        <v>47</v>
      </c>
      <c r="BB179" s="6" t="e">
        <f>Table2[[#This Row],[final_obs_date]]&lt;(Table2[[#This Row],[estHD]]-2)</f>
        <v>#VALUE!</v>
      </c>
      <c r="BC179" s="24">
        <f>IF(Table2[[#This Row],[field_fate]]="H",1,0)</f>
        <v>0</v>
      </c>
      <c r="BD179" s="16">
        <f>IF(Table2[[#This Row],[cam_fate2]]="H",1,0)</f>
        <v>0</v>
      </c>
      <c r="BE179" s="6" t="b">
        <f>NOT(Table2[[#This Row],[HF_C]]=Table2[[#This Row],[HF]])</f>
        <v>0</v>
      </c>
      <c r="BF179" s="6" t="b">
        <f>NOT(Table2[[#This Row],[cam_fate2]]=Table2[[#This Row],[field_fate3]])</f>
        <v>1</v>
      </c>
      <c r="BG179" s="6" t="b">
        <f>OR(Table2[[#This Row],[field_fate3]]="U",Table2[[#This Row],[field_fate3]]="U-H")</f>
        <v>0</v>
      </c>
      <c r="BH179" s="8">
        <v>35</v>
      </c>
      <c r="BI179" s="8">
        <v>40</v>
      </c>
      <c r="BJ179" s="14">
        <f>IF(ISTEXT(Table2[[#This Row],[j.cam]]),Table2[[#This Row],[j]],Table2[[#This Row],[j.cam]])</f>
        <v>40</v>
      </c>
      <c r="BK179" s="9">
        <v>49</v>
      </c>
      <c r="BL179" s="15">
        <f>IF(ISTEXT(Table2[[#This Row],[k.cam]]), Table2[[#This Row],[k]], Table2[[#This Row],[k.cam]])</f>
        <v>49</v>
      </c>
      <c r="BM179" s="4" t="s">
        <v>24</v>
      </c>
      <c r="BN179" s="8" t="s">
        <v>24</v>
      </c>
      <c r="BO179" s="4">
        <v>3</v>
      </c>
      <c r="BP179" s="4">
        <f>Table2[[#This Row],[final_obs_date]]-Table2[[#This Row],[i]]</f>
        <v>14</v>
      </c>
      <c r="BQ179" s="4" t="e">
        <f>Table2[[#This Row],[final_obs_date2]]&gt;Table2[[#This Row],[estHD]]+3</f>
        <v>#VALUE!</v>
      </c>
      <c r="BR179" s="4" t="s">
        <v>27</v>
      </c>
      <c r="BS179" s="4" t="s">
        <v>45</v>
      </c>
      <c r="BT179" s="79" t="s">
        <v>1118</v>
      </c>
      <c r="BU179" s="26" t="s">
        <v>170</v>
      </c>
      <c r="BV179" s="79" t="s">
        <v>1514</v>
      </c>
      <c r="BW179" s="49"/>
      <c r="BX179" s="47"/>
      <c r="BY179" s="36" t="s">
        <v>587</v>
      </c>
    </row>
    <row r="180" spans="1:77" hidden="1" x14ac:dyDescent="0.35">
      <c r="A180" s="62">
        <v>10250</v>
      </c>
      <c r="B180" s="2" t="s">
        <v>35</v>
      </c>
      <c r="C180" s="44">
        <v>2019</v>
      </c>
      <c r="D180" s="3">
        <v>29.769870000000001</v>
      </c>
      <c r="E180" s="3">
        <v>-93.175830000000005</v>
      </c>
      <c r="F180" s="3" t="s">
        <v>24</v>
      </c>
      <c r="G180" s="3" t="s">
        <v>24</v>
      </c>
      <c r="H180" s="3" t="s">
        <v>26</v>
      </c>
      <c r="I180" s="43"/>
      <c r="J180" s="55" t="s">
        <v>24</v>
      </c>
      <c r="K180" s="4" t="s">
        <v>24</v>
      </c>
      <c r="L180" s="22" t="str">
        <f>IF(ISNUMBER(Table2[[#This Row],[estHD]]),ABS(Table2[[#This Row],[HD]]-Table2[[#This Row],[estHD]]),"NA")</f>
        <v>NA</v>
      </c>
      <c r="M180" s="4" t="b">
        <f>Table2[[#This Row],[HD]]=Table2[[#This Row],[estHD]]</f>
        <v>1</v>
      </c>
      <c r="N180" s="4" t="str">
        <f>IF(ISNUMBER([1]!Table2[[#This Row],[hatch_date]]),[1]!Table2[[#This Row],[hatch_date]]-19,"NA")</f>
        <v>NA</v>
      </c>
      <c r="O180" s="31" t="s">
        <v>24</v>
      </c>
      <c r="P180" s="23" t="str">
        <f>IF(ISNUMBER(Table2[[#This Row],[nest_age1]]),ABS(Table2[[#This Row],[nest_age1]]-Table2[[#This Row],[nest_age_feb]]),"NA")</f>
        <v>NA</v>
      </c>
      <c r="Q180" s="24">
        <f>IF(ISNUMBER(Table2[[#This Row],[final_obs_int2]]),ABS(Table2[[#This Row],[final_obs_int2]]-Table2[[#This Row],[final_obs_int_feb]]), "NA")</f>
        <v>1</v>
      </c>
      <c r="R180" s="24"/>
      <c r="S180" s="57" t="s">
        <v>88</v>
      </c>
      <c r="T180" s="57" t="str">
        <f>Table2[[#This Row],[camera_old]]</f>
        <v>N</v>
      </c>
      <c r="U180" s="24"/>
      <c r="V180" s="16" t="s">
        <v>24</v>
      </c>
      <c r="W180" s="16" t="s">
        <v>24</v>
      </c>
      <c r="X180" s="145">
        <v>4</v>
      </c>
      <c r="Y180" s="147" t="s">
        <v>90</v>
      </c>
      <c r="Z180" s="146" t="s">
        <v>90</v>
      </c>
      <c r="AA180" s="4" t="str">
        <f>Table2[[#This Row],[field_fate]]</f>
        <v>U</v>
      </c>
      <c r="AB180" s="4" t="str">
        <f>Table2[[#This Row],[field_fate2]]</f>
        <v>U</v>
      </c>
      <c r="AC180" s="4" t="str">
        <f>Table2[[#This Row],[field_fate3]]</f>
        <v>U</v>
      </c>
      <c r="AD180" s="4" t="str">
        <f>Table2[[#This Row],[field_fate4]]</f>
        <v>U</v>
      </c>
      <c r="AE180" s="4" t="str">
        <f>Table2[[#This Row],[field_fate5]]</f>
        <v>U</v>
      </c>
      <c r="AF180" s="4" t="str">
        <f>Table2[[#This Row],[field_fate5]]</f>
        <v>U</v>
      </c>
      <c r="AG180" s="4" t="str">
        <f>Table2[[#This Row],[field_fate5]]</f>
        <v>U</v>
      </c>
      <c r="AH180" s="4" t="str">
        <f>Table2[[#This Row],[field_fate2]]</f>
        <v>U</v>
      </c>
      <c r="AI180" s="4" t="str">
        <f>Table2[[#This Row],[field_fate8]]</f>
        <v>U</v>
      </c>
      <c r="AJ180" s="4" t="str">
        <f>Table2[[#This Row],[field_fate10]]</f>
        <v>U</v>
      </c>
      <c r="AK180" s="4" t="b">
        <f>Table2[[#This Row],[field_fate_feb]]=Table2[[#This Row],[field_fate10]]</f>
        <v>1</v>
      </c>
      <c r="AL180" s="43" t="s">
        <v>24</v>
      </c>
      <c r="AM180" s="43" t="b">
        <f>Table2[[#This Row],[cam_fate2]]="NA"</f>
        <v>1</v>
      </c>
      <c r="AN180" s="19" t="str">
        <f>Table2[[#This Row],[cam_fate1]]</f>
        <v>NA</v>
      </c>
      <c r="AO180" s="2" t="s">
        <v>90</v>
      </c>
      <c r="AP180" s="5" t="str">
        <f>Table2[[#This Row],[final_fate1]]</f>
        <v>U</v>
      </c>
      <c r="AQ180" s="6" t="s">
        <v>24</v>
      </c>
      <c r="AR180" s="7" t="s">
        <v>24</v>
      </c>
      <c r="AS180" s="7" t="e">
        <f>Table2[[#This Row],[final_obs_date]]-Table2[[#This Row],[init_date]]</f>
        <v>#VALUE!</v>
      </c>
      <c r="AT180" s="7" t="e">
        <f>(Table2[[#This Row],[final_obs_date2]]-Table2[[#This Row],[estHD]])+16</f>
        <v>#VALUE!</v>
      </c>
      <c r="AU180" s="38">
        <v>5</v>
      </c>
      <c r="AV180" s="33">
        <v>5</v>
      </c>
      <c r="AW180" s="33">
        <f>Table2[[#This Row],[final_obs_date2]]-Table2[[#This Row],[pen_obs_date]]</f>
        <v>40</v>
      </c>
      <c r="AX180" s="67">
        <v>40</v>
      </c>
      <c r="AY180" s="6">
        <f>Table2[[#This Row],[final_obs_date]]</f>
        <v>40</v>
      </c>
      <c r="AZ180" s="6"/>
      <c r="BA180" s="91" t="s">
        <v>47</v>
      </c>
      <c r="BB180" s="6" t="e">
        <f>Table2[[#This Row],[final_obs_date]]&lt;(Table2[[#This Row],[estHD]]-2)</f>
        <v>#VALUE!</v>
      </c>
      <c r="BC180" s="24">
        <f>IF(Table2[[#This Row],[field_fate]]="H",1,0)</f>
        <v>0</v>
      </c>
      <c r="BD180" s="16">
        <f>IF(Table2[[#This Row],[cam_fate2]]="H",1,0)</f>
        <v>0</v>
      </c>
      <c r="BE180" s="6" t="b">
        <f>NOT(Table2[[#This Row],[HF_C]]=Table2[[#This Row],[HF]])</f>
        <v>0</v>
      </c>
      <c r="BF180" s="6" t="b">
        <f>NOT(Table2[[#This Row],[cam_fate2]]=Table2[[#This Row],[field_fate3]])</f>
        <v>1</v>
      </c>
      <c r="BG180" s="6" t="b">
        <f>OR(Table2[[#This Row],[field_fate3]]="U",Table2[[#This Row],[field_fate3]]="U-H")</f>
        <v>1</v>
      </c>
      <c r="BH180" s="8">
        <v>35</v>
      </c>
      <c r="BI180" s="8">
        <v>35</v>
      </c>
      <c r="BJ180" s="14">
        <f>IF(ISTEXT(Table2[[#This Row],[j.cam]]),Table2[[#This Row],[j]],Table2[[#This Row],[j.cam]])</f>
        <v>35</v>
      </c>
      <c r="BK180" s="9">
        <v>40</v>
      </c>
      <c r="BL180" s="15">
        <f>IF(ISTEXT(Table2[[#This Row],[k.cam]]), Table2[[#This Row],[k]], Table2[[#This Row],[k.cam]])</f>
        <v>40</v>
      </c>
      <c r="BM180" s="4" t="s">
        <v>24</v>
      </c>
      <c r="BN180" s="8" t="s">
        <v>24</v>
      </c>
      <c r="BO180" s="4">
        <v>2</v>
      </c>
      <c r="BP180" s="4">
        <f>Table2[[#This Row],[final_obs_date]]-Table2[[#This Row],[i]]</f>
        <v>5</v>
      </c>
      <c r="BQ180" s="4" t="e">
        <f>Table2[[#This Row],[final_obs_date2]]&gt;Table2[[#This Row],[estHD]]+3</f>
        <v>#VALUE!</v>
      </c>
      <c r="BR180" s="4" t="s">
        <v>33</v>
      </c>
      <c r="BS180" s="4" t="s">
        <v>100</v>
      </c>
      <c r="BT180" s="79" t="s">
        <v>1099</v>
      </c>
      <c r="BU180" s="26" t="s">
        <v>189</v>
      </c>
      <c r="BV180" s="79" t="s">
        <v>1464</v>
      </c>
      <c r="BW180" s="49"/>
      <c r="BX180" s="47"/>
      <c r="BY180" s="36" t="s">
        <v>24</v>
      </c>
    </row>
    <row r="181" spans="1:77" hidden="1" x14ac:dyDescent="0.35">
      <c r="A181" s="62">
        <v>10251</v>
      </c>
      <c r="B181" s="2" t="s">
        <v>35</v>
      </c>
      <c r="C181" s="44">
        <v>2019</v>
      </c>
      <c r="D181" s="3">
        <v>29.76972</v>
      </c>
      <c r="E181" s="3">
        <v>-93.175420000000003</v>
      </c>
      <c r="F181" s="3" t="s">
        <v>24</v>
      </c>
      <c r="G181" s="3" t="s">
        <v>24</v>
      </c>
      <c r="H181" s="3" t="s">
        <v>26</v>
      </c>
      <c r="I181" s="43"/>
      <c r="J181" s="55" t="s">
        <v>24</v>
      </c>
      <c r="K181" s="4" t="s">
        <v>24</v>
      </c>
      <c r="L181" s="22" t="str">
        <f>IF(ISNUMBER(Table2[[#This Row],[estHD]]),ABS(Table2[[#This Row],[HD]]-Table2[[#This Row],[estHD]]),"NA")</f>
        <v>NA</v>
      </c>
      <c r="M181" s="4" t="b">
        <f>Table2[[#This Row],[HD]]=Table2[[#This Row],[estHD]]</f>
        <v>1</v>
      </c>
      <c r="N181" s="4" t="str">
        <f>IF(ISNUMBER([1]!Table2[[#This Row],[hatch_date]]),[1]!Table2[[#This Row],[hatch_date]]-19,"NA")</f>
        <v>NA</v>
      </c>
      <c r="O181" s="31" t="s">
        <v>24</v>
      </c>
      <c r="P181" s="23" t="str">
        <f>IF(ISNUMBER(Table2[[#This Row],[nest_age1]]),ABS(Table2[[#This Row],[nest_age1]]-Table2[[#This Row],[nest_age_feb]]),"NA")</f>
        <v>NA</v>
      </c>
      <c r="Q181" s="24">
        <f>IF(ISNUMBER(Table2[[#This Row],[final_obs_int2]]),ABS(Table2[[#This Row],[final_obs_int2]]-Table2[[#This Row],[final_obs_int_feb]]), "NA")</f>
        <v>0</v>
      </c>
      <c r="R181" s="24"/>
      <c r="S181" s="57" t="s">
        <v>88</v>
      </c>
      <c r="T181" s="57" t="str">
        <f>Table2[[#This Row],[camera_old]]</f>
        <v>N</v>
      </c>
      <c r="U181" s="24"/>
      <c r="V181" s="16" t="s">
        <v>24</v>
      </c>
      <c r="W181" s="16" t="s">
        <v>24</v>
      </c>
      <c r="X181" s="145">
        <v>5</v>
      </c>
      <c r="Y181" s="147" t="s">
        <v>90</v>
      </c>
      <c r="Z181" s="146" t="s">
        <v>90</v>
      </c>
      <c r="AA181" s="4" t="str">
        <f>Table2[[#This Row],[field_fate]]</f>
        <v>U</v>
      </c>
      <c r="AB181" s="4" t="str">
        <f>Table2[[#This Row],[field_fate2]]</f>
        <v>U</v>
      </c>
      <c r="AC181" s="4" t="str">
        <f>Table2[[#This Row],[field_fate3]]</f>
        <v>U</v>
      </c>
      <c r="AD181" s="4" t="str">
        <f>Table2[[#This Row],[field_fate4]]</f>
        <v>U</v>
      </c>
      <c r="AE181" s="4" t="str">
        <f>Table2[[#This Row],[field_fate5]]</f>
        <v>U</v>
      </c>
      <c r="AF181" s="4" t="str">
        <f>Table2[[#This Row],[field_fate5]]</f>
        <v>U</v>
      </c>
      <c r="AG181" s="4" t="str">
        <f>Table2[[#This Row],[field_fate5]]</f>
        <v>U</v>
      </c>
      <c r="AH181" s="4" t="str">
        <f>Table2[[#This Row],[field_fate2]]</f>
        <v>U</v>
      </c>
      <c r="AI181" s="4" t="str">
        <f>Table2[[#This Row],[field_fate8]]</f>
        <v>U</v>
      </c>
      <c r="AJ181" s="4" t="str">
        <f>Table2[[#This Row],[field_fate10]]</f>
        <v>U</v>
      </c>
      <c r="AK181" s="4" t="b">
        <f>Table2[[#This Row],[field_fate_feb]]=Table2[[#This Row],[field_fate10]]</f>
        <v>1</v>
      </c>
      <c r="AL181" s="43" t="s">
        <v>24</v>
      </c>
      <c r="AM181" s="43" t="b">
        <f>Table2[[#This Row],[cam_fate2]]="NA"</f>
        <v>1</v>
      </c>
      <c r="AN181" s="19" t="str">
        <f>Table2[[#This Row],[cam_fate1]]</f>
        <v>NA</v>
      </c>
      <c r="AO181" s="2" t="s">
        <v>90</v>
      </c>
      <c r="AP181" s="5" t="str">
        <f>Table2[[#This Row],[final_fate1]]</f>
        <v>U</v>
      </c>
      <c r="AQ181" s="6" t="s">
        <v>24</v>
      </c>
      <c r="AR181" s="7" t="s">
        <v>24</v>
      </c>
      <c r="AS181" s="7" t="e">
        <f>Table2[[#This Row],[final_obs_date]]-Table2[[#This Row],[init_date]]</f>
        <v>#VALUE!</v>
      </c>
      <c r="AT181" s="7" t="e">
        <f>(Table2[[#This Row],[final_obs_date2]]-Table2[[#This Row],[estHD]])+16</f>
        <v>#VALUE!</v>
      </c>
      <c r="AU181" s="38">
        <v>5</v>
      </c>
      <c r="AV181" s="33">
        <v>5</v>
      </c>
      <c r="AW181" s="33">
        <f>Table2[[#This Row],[final_obs_date2]]-Table2[[#This Row],[pen_obs_date]]</f>
        <v>40</v>
      </c>
      <c r="AX181" s="67">
        <v>40</v>
      </c>
      <c r="AY181" s="6">
        <f>Table2[[#This Row],[final_obs_date]]</f>
        <v>40</v>
      </c>
      <c r="AZ181" s="6"/>
      <c r="BA181" s="91" t="s">
        <v>47</v>
      </c>
      <c r="BB181" s="6" t="e">
        <f>Table2[[#This Row],[final_obs_date]]&lt;(Table2[[#This Row],[estHD]]-2)</f>
        <v>#VALUE!</v>
      </c>
      <c r="BC181" s="24">
        <f>IF(Table2[[#This Row],[field_fate]]="H",1,0)</f>
        <v>0</v>
      </c>
      <c r="BD181" s="16">
        <f>IF(Table2[[#This Row],[cam_fate2]]="H",1,0)</f>
        <v>0</v>
      </c>
      <c r="BE181" s="6" t="b">
        <f>NOT(Table2[[#This Row],[HF_C]]=Table2[[#This Row],[HF]])</f>
        <v>0</v>
      </c>
      <c r="BF181" s="6" t="b">
        <f>NOT(Table2[[#This Row],[cam_fate2]]=Table2[[#This Row],[field_fate3]])</f>
        <v>1</v>
      </c>
      <c r="BG181" s="6" t="b">
        <f>OR(Table2[[#This Row],[field_fate3]]="U",Table2[[#This Row],[field_fate3]]="U-H")</f>
        <v>1</v>
      </c>
      <c r="BH181" s="8">
        <v>35</v>
      </c>
      <c r="BI181" s="8">
        <v>35</v>
      </c>
      <c r="BJ181" s="14">
        <f>IF(ISTEXT(Table2[[#This Row],[j.cam]]),Table2[[#This Row],[j]],Table2[[#This Row],[j.cam]])</f>
        <v>35</v>
      </c>
      <c r="BK181" s="9">
        <v>40</v>
      </c>
      <c r="BL181" s="15">
        <f>IF(ISTEXT(Table2[[#This Row],[k.cam]]), Table2[[#This Row],[k]], Table2[[#This Row],[k.cam]])</f>
        <v>40</v>
      </c>
      <c r="BM181" s="4" t="s">
        <v>24</v>
      </c>
      <c r="BN181" s="8" t="s">
        <v>24</v>
      </c>
      <c r="BO181" s="4">
        <v>2</v>
      </c>
      <c r="BP181" s="4">
        <f>Table2[[#This Row],[final_obs_date]]-Table2[[#This Row],[i]]</f>
        <v>5</v>
      </c>
      <c r="BQ181" s="4" t="e">
        <f>Table2[[#This Row],[final_obs_date2]]&gt;Table2[[#This Row],[estHD]]+3</f>
        <v>#VALUE!</v>
      </c>
      <c r="BR181" s="4" t="s">
        <v>27</v>
      </c>
      <c r="BS181" s="4" t="s">
        <v>100</v>
      </c>
      <c r="BT181" s="79" t="s">
        <v>1099</v>
      </c>
      <c r="BU181" s="26" t="s">
        <v>190</v>
      </c>
      <c r="BV181" s="79" t="s">
        <v>1464</v>
      </c>
      <c r="BW181" s="49"/>
      <c r="BX181" s="47"/>
      <c r="BY181" s="36" t="s">
        <v>24</v>
      </c>
    </row>
    <row r="182" spans="1:77" hidden="1" x14ac:dyDescent="0.35">
      <c r="A182" s="62">
        <v>10252</v>
      </c>
      <c r="B182" s="2" t="s">
        <v>35</v>
      </c>
      <c r="C182" s="44">
        <v>2019</v>
      </c>
      <c r="D182" s="3">
        <v>29.768689999999999</v>
      </c>
      <c r="E182" s="3">
        <v>-93.169709999999995</v>
      </c>
      <c r="F182" s="3" t="s">
        <v>24</v>
      </c>
      <c r="G182" s="3" t="s">
        <v>24</v>
      </c>
      <c r="H182" s="3" t="s">
        <v>26</v>
      </c>
      <c r="I182" s="43"/>
      <c r="J182" s="55">
        <v>49</v>
      </c>
      <c r="K182" s="4">
        <v>53</v>
      </c>
      <c r="L182" s="22">
        <f>IF(ISNUMBER(Table2[[#This Row],[estHD]]),ABS(Table2[[#This Row],[HD]]-Table2[[#This Row],[estHD]]),"NA")</f>
        <v>4</v>
      </c>
      <c r="M182" s="4" t="b">
        <f>Table2[[#This Row],[HD]]=Table2[[#This Row],[estHD]]</f>
        <v>0</v>
      </c>
      <c r="N182" s="4" t="str">
        <f>IF(ISNUMBER([1]!Table2[[#This Row],[hatch_date]]), [1]!Table2[[#This Row],[hatch_date]]-16, "NA")</f>
        <v>NA</v>
      </c>
      <c r="O182" s="31">
        <v>37</v>
      </c>
      <c r="P182" s="23">
        <f>IF(ISNUMBER(Table2[[#This Row],[nest_age1]]),ABS(Table2[[#This Row],[nest_age1]]-Table2[[#This Row],[nest_age_feb]]),"NA")</f>
        <v>4</v>
      </c>
      <c r="Q182" s="24">
        <f>IF(ISNUMBER(Table2[[#This Row],[final_obs_int2]]),ABS(Table2[[#This Row],[final_obs_int2]]-Table2[[#This Row],[final_obs_int_feb]]), "NA")</f>
        <v>0</v>
      </c>
      <c r="R182" s="24"/>
      <c r="S182" s="57" t="s">
        <v>88</v>
      </c>
      <c r="T182" s="57" t="str">
        <f>Table2[[#This Row],[camera_old]]</f>
        <v>N</v>
      </c>
      <c r="U182" s="24"/>
      <c r="V182" s="16" t="s">
        <v>24</v>
      </c>
      <c r="W182" s="16">
        <v>20</v>
      </c>
      <c r="X182" s="145">
        <v>4</v>
      </c>
      <c r="Y182" s="147" t="s">
        <v>37</v>
      </c>
      <c r="Z182" s="146" t="s">
        <v>37</v>
      </c>
      <c r="AA182" s="4" t="str">
        <f>Table2[[#This Row],[field_fate]]</f>
        <v>H</v>
      </c>
      <c r="AB182" s="4" t="str">
        <f>Table2[[#This Row],[field_fate2]]</f>
        <v>H</v>
      </c>
      <c r="AC182" s="4" t="str">
        <f>Table2[[#This Row],[field_fate3]]</f>
        <v>H</v>
      </c>
      <c r="AD182" s="4" t="str">
        <f>Table2[[#This Row],[field_fate4]]</f>
        <v>H</v>
      </c>
      <c r="AE182" s="4" t="str">
        <f>Table2[[#This Row],[field_fate5]]</f>
        <v>H</v>
      </c>
      <c r="AF182" s="4" t="str">
        <f>Table2[[#This Row],[field_fate5]]</f>
        <v>H</v>
      </c>
      <c r="AG182" s="4" t="str">
        <f>Table2[[#This Row],[field_fate5]]</f>
        <v>H</v>
      </c>
      <c r="AH182" s="4" t="str">
        <f>Table2[[#This Row],[field_fate2]]</f>
        <v>H</v>
      </c>
      <c r="AI182" s="4" t="str">
        <f>Table2[[#This Row],[field_fate8]]</f>
        <v>H</v>
      </c>
      <c r="AJ182" s="4" t="str">
        <f>Table2[[#This Row],[field_fate10]]</f>
        <v>H</v>
      </c>
      <c r="AK182" s="4" t="b">
        <f>Table2[[#This Row],[field_fate_feb]]=Table2[[#This Row],[field_fate10]]</f>
        <v>1</v>
      </c>
      <c r="AL182" s="43" t="s">
        <v>24</v>
      </c>
      <c r="AM182" s="43" t="b">
        <f>Table2[[#This Row],[cam_fate2]]="NA"</f>
        <v>1</v>
      </c>
      <c r="AN182" s="19" t="str">
        <f>Table2[[#This Row],[cam_fate1]]</f>
        <v>NA</v>
      </c>
      <c r="AO182" s="2" t="s">
        <v>37</v>
      </c>
      <c r="AP182" s="5" t="str">
        <f>Table2[[#This Row],[final_fate1]]</f>
        <v>H</v>
      </c>
      <c r="AQ182" s="6">
        <v>16</v>
      </c>
      <c r="AR182" s="7">
        <v>20</v>
      </c>
      <c r="AS182" s="7">
        <f>Table2[[#This Row],[final_obs_date]]-Table2[[#This Row],[init_date]]</f>
        <v>16</v>
      </c>
      <c r="AT182" s="7">
        <f>(Table2[[#This Row],[final_obs_date2]]-Table2[[#This Row],[estHD]])+16</f>
        <v>20</v>
      </c>
      <c r="AU182" s="38">
        <v>4</v>
      </c>
      <c r="AV182" s="33">
        <v>4</v>
      </c>
      <c r="AW182" s="33">
        <f>Table2[[#This Row],[final_obs_date2]]-Table2[[#This Row],[pen_obs_date]]</f>
        <v>53</v>
      </c>
      <c r="AX182" s="67">
        <v>53</v>
      </c>
      <c r="AY182" s="6">
        <f>Table2[[#This Row],[final_obs_date]]</f>
        <v>53</v>
      </c>
      <c r="AZ182" s="6"/>
      <c r="BA182" s="91" t="s">
        <v>60</v>
      </c>
      <c r="BB182" s="6" t="b">
        <f>Table2[[#This Row],[final_obs_date]]&lt;(Table2[[#This Row],[estHD]]-2)</f>
        <v>0</v>
      </c>
      <c r="BC182" s="24">
        <f>IF(Table2[[#This Row],[field_fate]]="H",1,0)</f>
        <v>1</v>
      </c>
      <c r="BD182" s="16">
        <f>IF(Table2[[#This Row],[cam_fate2]]="H",1,0)</f>
        <v>0</v>
      </c>
      <c r="BE182" s="6" t="b">
        <f>NOT(Table2[[#This Row],[HF_C]]=Table2[[#This Row],[HF]])</f>
        <v>1</v>
      </c>
      <c r="BF182" s="6" t="b">
        <f>NOT(Table2[[#This Row],[cam_fate2]]=Table2[[#This Row],[field_fate3]])</f>
        <v>1</v>
      </c>
      <c r="BG182" s="6" t="b">
        <f>OR(Table2[[#This Row],[field_fate3]]="U",Table2[[#This Row],[field_fate3]]="U-H")</f>
        <v>0</v>
      </c>
      <c r="BH182" s="8">
        <v>40</v>
      </c>
      <c r="BI182" s="8">
        <v>53</v>
      </c>
      <c r="BJ182" s="14">
        <f>IF(ISTEXT(Table2[[#This Row],[j.cam]]),Table2[[#This Row],[j]],Table2[[#This Row],[j.cam]])</f>
        <v>53</v>
      </c>
      <c r="BK182" s="9">
        <v>53</v>
      </c>
      <c r="BL182" s="15">
        <f>IF(ISTEXT(Table2[[#This Row],[k.cam]]), Table2[[#This Row],[k]], Table2[[#This Row],[k.cam]])</f>
        <v>53</v>
      </c>
      <c r="BM182" s="4" t="s">
        <v>24</v>
      </c>
      <c r="BN182" s="8" t="s">
        <v>24</v>
      </c>
      <c r="BO182" s="4">
        <v>4</v>
      </c>
      <c r="BP182" s="4">
        <f>Table2[[#This Row],[final_obs_date]]-Table2[[#This Row],[i]]</f>
        <v>13</v>
      </c>
      <c r="BQ182" s="4" t="b">
        <f>Table2[[#This Row],[final_obs_date2]]&gt;Table2[[#This Row],[estHD]]+3</f>
        <v>1</v>
      </c>
      <c r="BR182" s="4" t="s">
        <v>123</v>
      </c>
      <c r="BS182" s="4" t="s">
        <v>127</v>
      </c>
      <c r="BT182" s="79" t="s">
        <v>1098</v>
      </c>
      <c r="BU182" s="26" t="s">
        <v>191</v>
      </c>
      <c r="BV182" s="79" t="s">
        <v>1499</v>
      </c>
      <c r="BW182" s="49"/>
      <c r="BX182" s="47"/>
      <c r="BY182" s="36" t="s">
        <v>588</v>
      </c>
    </row>
    <row r="183" spans="1:77" hidden="1" x14ac:dyDescent="0.35">
      <c r="A183" s="62">
        <v>10253</v>
      </c>
      <c r="B183" s="2" t="s">
        <v>35</v>
      </c>
      <c r="C183" s="44">
        <v>2019</v>
      </c>
      <c r="D183" s="3">
        <v>29.768470000000001</v>
      </c>
      <c r="E183" s="3">
        <v>-93.168700000000001</v>
      </c>
      <c r="F183" s="3" t="s">
        <v>24</v>
      </c>
      <c r="G183" s="3" t="s">
        <v>24</v>
      </c>
      <c r="H183" s="3" t="s">
        <v>26</v>
      </c>
      <c r="I183" s="43"/>
      <c r="J183" s="55">
        <v>58</v>
      </c>
      <c r="K183" s="4">
        <v>58</v>
      </c>
      <c r="L183" s="22">
        <f>IF(ISNUMBER(Table2[[#This Row],[estHD]]),ABS(Table2[[#This Row],[HD]]-Table2[[#This Row],[estHD]]),"NA")</f>
        <v>0</v>
      </c>
      <c r="M183" s="4" t="b">
        <f>Table2[[#This Row],[HD]]=Table2[[#This Row],[estHD]]</f>
        <v>1</v>
      </c>
      <c r="N183" s="4" t="str">
        <f>IF(ISNUMBER([1]!Table2[[#This Row],[hatch_date]]),[1]!Table2[[#This Row],[hatch_date]]-19,"NA")</f>
        <v>NA</v>
      </c>
      <c r="O183" s="31">
        <v>39</v>
      </c>
      <c r="P183" s="23" t="e">
        <f>IF(ISNUMBER(Table2[[#This Row],[nest_age1]]),ABS(Table2[[#This Row],[nest_age1]]-Table2[[#This Row],[nest_age_feb]]),"NA")</f>
        <v>#VALUE!</v>
      </c>
      <c r="Q183" s="24">
        <f>IF(ISNUMBER(Table2[[#This Row],[final_obs_int2]]),ABS(Table2[[#This Row],[final_obs_int2]]-Table2[[#This Row],[final_obs_int_feb]]), "NA")</f>
        <v>0</v>
      </c>
      <c r="R183" s="24"/>
      <c r="S183" s="57" t="s">
        <v>88</v>
      </c>
      <c r="T183" s="57" t="str">
        <f>Table2[[#This Row],[camera_old]]</f>
        <v>N</v>
      </c>
      <c r="U183" s="24"/>
      <c r="V183" s="16" t="s">
        <v>24</v>
      </c>
      <c r="W183" s="16" t="s">
        <v>24</v>
      </c>
      <c r="X183" s="145">
        <v>4</v>
      </c>
      <c r="Y183" s="147" t="s">
        <v>90</v>
      </c>
      <c r="Z183" s="146" t="s">
        <v>90</v>
      </c>
      <c r="AA183" s="4" t="str">
        <f>Table2[[#This Row],[field_fate]]</f>
        <v>U</v>
      </c>
      <c r="AB183" s="4" t="str">
        <f>Table2[[#This Row],[field_fate2]]</f>
        <v>U</v>
      </c>
      <c r="AC183" s="4" t="str">
        <f>Table2[[#This Row],[field_fate3]]</f>
        <v>U</v>
      </c>
      <c r="AD183" s="4" t="str">
        <f>Table2[[#This Row],[field_fate4]]</f>
        <v>U</v>
      </c>
      <c r="AE183" s="4" t="str">
        <f>Table2[[#This Row],[field_fate5]]</f>
        <v>U</v>
      </c>
      <c r="AF183" s="4" t="str">
        <f>Table2[[#This Row],[field_fate5]]</f>
        <v>U</v>
      </c>
      <c r="AG183" s="4" t="str">
        <f>Table2[[#This Row],[field_fate5]]</f>
        <v>U</v>
      </c>
      <c r="AH183" s="4" t="str">
        <f>Table2[[#This Row],[field_fate2]]</f>
        <v>U</v>
      </c>
      <c r="AI183" s="4" t="str">
        <f>Table2[[#This Row],[field_fate8]]</f>
        <v>U</v>
      </c>
      <c r="AJ183" s="4" t="str">
        <f>Table2[[#This Row],[field_fate10]]</f>
        <v>U</v>
      </c>
      <c r="AK183" s="4" t="b">
        <f>Table2[[#This Row],[field_fate_feb]]=Table2[[#This Row],[field_fate10]]</f>
        <v>1</v>
      </c>
      <c r="AL183" s="43" t="s">
        <v>24</v>
      </c>
      <c r="AM183" s="43" t="b">
        <f>Table2[[#This Row],[cam_fate2]]="NA"</f>
        <v>1</v>
      </c>
      <c r="AN183" s="19" t="str">
        <f>Table2[[#This Row],[cam_fate1]]</f>
        <v>NA</v>
      </c>
      <c r="AO183" s="2" t="s">
        <v>90</v>
      </c>
      <c r="AP183" s="5" t="str">
        <f>Table2[[#This Row],[final_fate1]]</f>
        <v>U</v>
      </c>
      <c r="AQ183" s="6">
        <v>18</v>
      </c>
      <c r="AR183" s="7">
        <v>18</v>
      </c>
      <c r="AS183" s="7">
        <f>Table2[[#This Row],[final_obs_date]]-Table2[[#This Row],[init_date]]</f>
        <v>18</v>
      </c>
      <c r="AT183" s="7">
        <f>(Table2[[#This Row],[final_obs_date2]]-Table2[[#This Row],[estHD]])+16</f>
        <v>15</v>
      </c>
      <c r="AU183" s="38">
        <v>4</v>
      </c>
      <c r="AV183" s="33">
        <v>4</v>
      </c>
      <c r="AW183" s="33">
        <f>Table2[[#This Row],[final_obs_date2]]-Table2[[#This Row],[pen_obs_date]]</f>
        <v>57</v>
      </c>
      <c r="AX183" s="67">
        <v>57</v>
      </c>
      <c r="AY183" s="6">
        <f>Table2[[#This Row],[final_obs_date]]</f>
        <v>57</v>
      </c>
      <c r="AZ183" s="6"/>
      <c r="BA183" s="91" t="s">
        <v>47</v>
      </c>
      <c r="BB183" s="6" t="b">
        <f>Table2[[#This Row],[final_obs_date]]&lt;(Table2[[#This Row],[estHD]]-2)</f>
        <v>0</v>
      </c>
      <c r="BC183" s="24">
        <f>IF(Table2[[#This Row],[field_fate]]="H",1,0)</f>
        <v>0</v>
      </c>
      <c r="BD183" s="16">
        <f>IF(Table2[[#This Row],[cam_fate2]]="H",1,0)</f>
        <v>0</v>
      </c>
      <c r="BE183" s="6" t="b">
        <f>NOT(Table2[[#This Row],[HF_C]]=Table2[[#This Row],[HF]])</f>
        <v>0</v>
      </c>
      <c r="BF183" s="6" t="b">
        <f>NOT(Table2[[#This Row],[cam_fate2]]=Table2[[#This Row],[field_fate3]])</f>
        <v>1</v>
      </c>
      <c r="BG183" s="6" t="b">
        <f>OR(Table2[[#This Row],[field_fate3]]="U",Table2[[#This Row],[field_fate3]]="U-H")</f>
        <v>1</v>
      </c>
      <c r="BH183" s="8">
        <v>36</v>
      </c>
      <c r="BI183" s="8">
        <v>53</v>
      </c>
      <c r="BJ183" s="14">
        <f>IF(ISTEXT(Table2[[#This Row],[j.cam]]),Table2[[#This Row],[j]],Table2[[#This Row],[j.cam]])</f>
        <v>53</v>
      </c>
      <c r="BK183" s="9">
        <v>57</v>
      </c>
      <c r="BL183" s="15">
        <f>IF(ISTEXT(Table2[[#This Row],[k.cam]]), Table2[[#This Row],[k]], Table2[[#This Row],[k.cam]])</f>
        <v>57</v>
      </c>
      <c r="BM183" s="4" t="s">
        <v>24</v>
      </c>
      <c r="BN183" s="8" t="s">
        <v>24</v>
      </c>
      <c r="BO183" s="4">
        <v>6</v>
      </c>
      <c r="BP183" s="4">
        <f>Table2[[#This Row],[final_obs_date]]-Table2[[#This Row],[i]]</f>
        <v>21</v>
      </c>
      <c r="BQ183" s="4" t="b">
        <f>Table2[[#This Row],[final_obs_date2]]&gt;Table2[[#This Row],[estHD]]+3</f>
        <v>0</v>
      </c>
      <c r="BR183" s="4" t="s">
        <v>58</v>
      </c>
      <c r="BS183" s="4" t="s">
        <v>49</v>
      </c>
      <c r="BT183" s="79" t="s">
        <v>1119</v>
      </c>
      <c r="BU183" s="26" t="s">
        <v>192</v>
      </c>
      <c r="BV183" s="79" t="s">
        <v>1515</v>
      </c>
      <c r="BW183" s="49"/>
      <c r="BX183" s="47"/>
      <c r="BY183" s="36" t="s">
        <v>24</v>
      </c>
    </row>
    <row r="184" spans="1:77" hidden="1" x14ac:dyDescent="0.35">
      <c r="A184" s="62">
        <v>10254</v>
      </c>
      <c r="B184" s="2" t="s">
        <v>35</v>
      </c>
      <c r="C184" s="44">
        <v>2019</v>
      </c>
      <c r="D184" s="3">
        <v>29.7683</v>
      </c>
      <c r="E184" s="3">
        <v>-93.167590000000004</v>
      </c>
      <c r="F184" s="3" t="s">
        <v>24</v>
      </c>
      <c r="G184" s="3" t="s">
        <v>24</v>
      </c>
      <c r="H184" s="3" t="s">
        <v>26</v>
      </c>
      <c r="I184" s="43"/>
      <c r="J184" s="55">
        <v>50</v>
      </c>
      <c r="K184" s="4">
        <v>50</v>
      </c>
      <c r="L184" s="22">
        <f>IF(ISNUMBER(Table2[[#This Row],[estHD]]),ABS(Table2[[#This Row],[HD]]-Table2[[#This Row],[estHD]]),"NA")</f>
        <v>0</v>
      </c>
      <c r="M184" s="4" t="b">
        <f>Table2[[#This Row],[HD]]=Table2[[#This Row],[estHD]]</f>
        <v>1</v>
      </c>
      <c r="N184" s="4" t="str">
        <f>IF(ISNUMBER([1]!Table2[[#This Row],[hatch_date]]),[1]!Table2[[#This Row],[hatch_date]]-19,"NA")</f>
        <v>NA</v>
      </c>
      <c r="O184" s="31">
        <v>31</v>
      </c>
      <c r="P184" s="23">
        <f>IF(ISNUMBER(Table2[[#This Row],[nest_age1]]),ABS(Table2[[#This Row],[nest_age1]]-Table2[[#This Row],[nest_age_feb]]),"NA")</f>
        <v>0</v>
      </c>
      <c r="Q184" s="24">
        <f>IF(ISNUMBER(Table2[[#This Row],[final_obs_int2]]),ABS(Table2[[#This Row],[final_obs_int2]]-Table2[[#This Row],[final_obs_int_feb]]), "NA")</f>
        <v>0</v>
      </c>
      <c r="R184" s="24"/>
      <c r="S184" s="57" t="s">
        <v>88</v>
      </c>
      <c r="T184" s="57" t="str">
        <f>Table2[[#This Row],[camera_old]]</f>
        <v>N</v>
      </c>
      <c r="U184" s="24"/>
      <c r="V184" s="16" t="s">
        <v>24</v>
      </c>
      <c r="W184" s="16">
        <v>22</v>
      </c>
      <c r="X184" s="145">
        <v>4</v>
      </c>
      <c r="Y184" s="147" t="s">
        <v>65</v>
      </c>
      <c r="Z184" s="146" t="s">
        <v>65</v>
      </c>
      <c r="AA184" s="4" t="str">
        <f>Table2[[#This Row],[field_fate]]</f>
        <v>Ca</v>
      </c>
      <c r="AB184" s="4" t="str">
        <f>Table2[[#This Row],[field_fate2]]</f>
        <v>Ca</v>
      </c>
      <c r="AC184" s="4" t="str">
        <f>Table2[[#This Row],[field_fate3]]</f>
        <v>Ca</v>
      </c>
      <c r="AD184" s="4" t="str">
        <f>Table2[[#This Row],[field_fate4]]</f>
        <v>Ca</v>
      </c>
      <c r="AE184" s="4" t="str">
        <f>Table2[[#This Row],[field_fate5]]</f>
        <v>Ca</v>
      </c>
      <c r="AF184" s="4" t="str">
        <f>Table2[[#This Row],[field_fate5]]</f>
        <v>Ca</v>
      </c>
      <c r="AG184" s="4" t="str">
        <f>Table2[[#This Row],[field_fate5]]</f>
        <v>Ca</v>
      </c>
      <c r="AH184" s="4" t="str">
        <f>Table2[[#This Row],[field_fate2]]</f>
        <v>Ca</v>
      </c>
      <c r="AI184" s="4" t="str">
        <f>Table2[[#This Row],[field_fate8]]</f>
        <v>Ca</v>
      </c>
      <c r="AJ184" s="4" t="str">
        <f>Table2[[#This Row],[field_fate10]]</f>
        <v>Ca</v>
      </c>
      <c r="AK184" s="4" t="b">
        <f>Table2[[#This Row],[field_fate_feb]]=Table2[[#This Row],[field_fate10]]</f>
        <v>1</v>
      </c>
      <c r="AL184" s="43" t="s">
        <v>24</v>
      </c>
      <c r="AM184" s="43" t="b">
        <f>Table2[[#This Row],[cam_fate2]]="NA"</f>
        <v>1</v>
      </c>
      <c r="AN184" s="19" t="str">
        <f>Table2[[#This Row],[cam_fate1]]</f>
        <v>NA</v>
      </c>
      <c r="AO184" s="2" t="s">
        <v>65</v>
      </c>
      <c r="AP184" s="5" t="str">
        <f>Table2[[#This Row],[final_fate1]]</f>
        <v>Ca</v>
      </c>
      <c r="AQ184" s="6">
        <v>22</v>
      </c>
      <c r="AR184" s="7">
        <v>22</v>
      </c>
      <c r="AS184" s="7">
        <f>Table2[[#This Row],[final_obs_date]]-Table2[[#This Row],[init_date]]</f>
        <v>22</v>
      </c>
      <c r="AT184" s="7">
        <f>(Table2[[#This Row],[final_obs_date2]]-Table2[[#This Row],[estHD]])+16</f>
        <v>19</v>
      </c>
      <c r="AU184" s="38">
        <v>4</v>
      </c>
      <c r="AV184" s="33">
        <v>4</v>
      </c>
      <c r="AW184" s="33">
        <f>Table2[[#This Row],[final_obs_date2]]-Table2[[#This Row],[pen_obs_date]]</f>
        <v>53</v>
      </c>
      <c r="AX184" s="67">
        <v>53</v>
      </c>
      <c r="AY184" s="6">
        <f>Table2[[#This Row],[final_obs_date]]</f>
        <v>53</v>
      </c>
      <c r="AZ184" s="6"/>
      <c r="BA184" s="91" t="s">
        <v>47</v>
      </c>
      <c r="BB184" s="6" t="b">
        <f>Table2[[#This Row],[final_obs_date]]&lt;(Table2[[#This Row],[estHD]]-2)</f>
        <v>0</v>
      </c>
      <c r="BC184" s="24">
        <f>IF(Table2[[#This Row],[field_fate]]="H",1,0)</f>
        <v>0</v>
      </c>
      <c r="BD184" s="16">
        <f>IF(Table2[[#This Row],[cam_fate2]]="H",1,0)</f>
        <v>0</v>
      </c>
      <c r="BE184" s="6" t="b">
        <f>NOT(Table2[[#This Row],[HF_C]]=Table2[[#This Row],[HF]])</f>
        <v>0</v>
      </c>
      <c r="BF184" s="6" t="b">
        <f>NOT(Table2[[#This Row],[cam_fate2]]=Table2[[#This Row],[field_fate3]])</f>
        <v>1</v>
      </c>
      <c r="BG184" s="6" t="b">
        <f>OR(Table2[[#This Row],[field_fate3]]="U",Table2[[#This Row],[field_fate3]]="U-H")</f>
        <v>0</v>
      </c>
      <c r="BH184" s="8">
        <v>35</v>
      </c>
      <c r="BI184" s="8">
        <v>49</v>
      </c>
      <c r="BJ184" s="14">
        <f>IF(ISTEXT(Table2[[#This Row],[j.cam]]),Table2[[#This Row],[j]],Table2[[#This Row],[j.cam]])</f>
        <v>49</v>
      </c>
      <c r="BK184" s="9">
        <v>53</v>
      </c>
      <c r="BL184" s="15">
        <f>IF(ISTEXT(Table2[[#This Row],[k.cam]]), Table2[[#This Row],[k]], Table2[[#This Row],[k.cam]])</f>
        <v>53</v>
      </c>
      <c r="BM184" s="4" t="s">
        <v>24</v>
      </c>
      <c r="BN184" s="8" t="s">
        <v>24</v>
      </c>
      <c r="BO184" s="4">
        <v>5</v>
      </c>
      <c r="BP184" s="4">
        <f>Table2[[#This Row],[final_obs_date]]-Table2[[#This Row],[i]]</f>
        <v>18</v>
      </c>
      <c r="BQ184" s="4" t="b">
        <f>Table2[[#This Row],[final_obs_date2]]&gt;Table2[[#This Row],[estHD]]+3</f>
        <v>0</v>
      </c>
      <c r="BR184" s="4" t="s">
        <v>33</v>
      </c>
      <c r="BS184" s="4" t="s">
        <v>28</v>
      </c>
      <c r="BT184" s="79" t="s">
        <v>1117</v>
      </c>
      <c r="BU184" s="26" t="s">
        <v>154</v>
      </c>
      <c r="BV184" s="79" t="s">
        <v>1513</v>
      </c>
      <c r="BW184" s="49"/>
      <c r="BX184" s="47"/>
      <c r="BY184" s="36" t="s">
        <v>24</v>
      </c>
    </row>
    <row r="185" spans="1:77" hidden="1" x14ac:dyDescent="0.35">
      <c r="A185" s="62">
        <v>10255</v>
      </c>
      <c r="B185" s="2" t="s">
        <v>35</v>
      </c>
      <c r="C185" s="44">
        <v>2019</v>
      </c>
      <c r="D185" s="3">
        <v>29.7683</v>
      </c>
      <c r="E185" s="3">
        <v>-93.167599999999993</v>
      </c>
      <c r="F185" s="3" t="s">
        <v>24</v>
      </c>
      <c r="G185" s="3" t="s">
        <v>24</v>
      </c>
      <c r="H185" s="3" t="s">
        <v>26</v>
      </c>
      <c r="I185" s="43"/>
      <c r="J185" s="55">
        <v>54</v>
      </c>
      <c r="K185" s="4">
        <v>54</v>
      </c>
      <c r="L185" s="22">
        <f>IF(ISNUMBER(Table2[[#This Row],[estHD]]),ABS(Table2[[#This Row],[HD]]-Table2[[#This Row],[estHD]]),"NA")</f>
        <v>0</v>
      </c>
      <c r="M185" s="4" t="b">
        <f>Table2[[#This Row],[HD]]=Table2[[#This Row],[estHD]]</f>
        <v>1</v>
      </c>
      <c r="N185" s="4" t="str">
        <f>IF(ISNUMBER([1]!Table2[[#This Row],[hatch_date]]),[1]!Table2[[#This Row],[hatch_date]]-19,"NA")</f>
        <v>NA</v>
      </c>
      <c r="O185" s="31">
        <v>35</v>
      </c>
      <c r="P185" s="23">
        <f>IF(ISNUMBER(Table2[[#This Row],[nest_age1]]),ABS(Table2[[#This Row],[nest_age1]]-Table2[[#This Row],[nest_age_feb]]),"NA")</f>
        <v>3</v>
      </c>
      <c r="Q185" s="24">
        <f>IF(ISNUMBER(Table2[[#This Row],[final_obs_int2]]),ABS(Table2[[#This Row],[final_obs_int2]]-Table2[[#This Row],[final_obs_int_feb]]), "NA")</f>
        <v>2</v>
      </c>
      <c r="R185" s="24"/>
      <c r="S185" s="21" t="s">
        <v>172</v>
      </c>
      <c r="T185" s="21" t="str">
        <f>Table2[[#This Row],[camera_old]]</f>
        <v>Y?</v>
      </c>
      <c r="U185" s="52" t="s">
        <v>75</v>
      </c>
      <c r="V185" s="16" t="s">
        <v>24</v>
      </c>
      <c r="W185" s="16">
        <v>19</v>
      </c>
      <c r="X185" s="145">
        <v>1</v>
      </c>
      <c r="Y185" s="147" t="s">
        <v>37</v>
      </c>
      <c r="Z185" s="146" t="s">
        <v>37</v>
      </c>
      <c r="AA185" s="4" t="str">
        <f>Table2[[#This Row],[field_fate]]</f>
        <v>H</v>
      </c>
      <c r="AB185" s="4" t="str">
        <f>Table2[[#This Row],[field_fate2]]</f>
        <v>H</v>
      </c>
      <c r="AC185" s="4" t="str">
        <f>Table2[[#This Row],[field_fate3]]</f>
        <v>H</v>
      </c>
      <c r="AD185" s="4" t="str">
        <f>Table2[[#This Row],[field_fate4]]</f>
        <v>H</v>
      </c>
      <c r="AE185" s="4" t="str">
        <f>Table2[[#This Row],[field_fate5]]</f>
        <v>H</v>
      </c>
      <c r="AF185" s="4" t="str">
        <f>Table2[[#This Row],[field_fate5]]</f>
        <v>H</v>
      </c>
      <c r="AG185" s="4" t="str">
        <f>Table2[[#This Row],[field_fate5]]</f>
        <v>H</v>
      </c>
      <c r="AH185" s="4" t="str">
        <f>Table2[[#This Row],[field_fate2]]</f>
        <v>H</v>
      </c>
      <c r="AI185" s="4" t="str">
        <f>Table2[[#This Row],[field_fate8]]</f>
        <v>H</v>
      </c>
      <c r="AJ185" s="4" t="str">
        <f>Table2[[#This Row],[field_fate10]]</f>
        <v>H</v>
      </c>
      <c r="AK185" s="4" t="b">
        <f>Table2[[#This Row],[field_fate_feb]]=Table2[[#This Row],[field_fate10]]</f>
        <v>1</v>
      </c>
      <c r="AL185" s="43" t="s">
        <v>37</v>
      </c>
      <c r="AM185" s="43" t="b">
        <f>Table2[[#This Row],[cam_fate2]]="NA"</f>
        <v>0</v>
      </c>
      <c r="AN185" s="19" t="str">
        <f>Table2[[#This Row],[cam_fate1]]</f>
        <v>H</v>
      </c>
      <c r="AO185" s="2" t="s">
        <v>37</v>
      </c>
      <c r="AP185" s="5" t="str">
        <f>Table2[[#This Row],[final_fate1]]</f>
        <v>H</v>
      </c>
      <c r="AQ185" s="6">
        <v>22</v>
      </c>
      <c r="AR185" s="7">
        <v>22</v>
      </c>
      <c r="AS185" s="7">
        <f>Table2[[#This Row],[final_obs_date]]-Table2[[#This Row],[init_date]]</f>
        <v>22</v>
      </c>
      <c r="AT185" s="7">
        <f>(Table2[[#This Row],[final_obs_date2]]-Table2[[#This Row],[estHD]])+16</f>
        <v>19</v>
      </c>
      <c r="AU185" s="38">
        <v>3</v>
      </c>
      <c r="AV185" s="33">
        <v>3</v>
      </c>
      <c r="AW185" s="33">
        <f>Table2[[#This Row],[final_obs_date2]]-Table2[[#This Row],[pen_obs_date]]</f>
        <v>57</v>
      </c>
      <c r="AX185" s="67">
        <v>57</v>
      </c>
      <c r="AY185" s="6">
        <f>Table2[[#This Row],[final_obs_date]]</f>
        <v>57</v>
      </c>
      <c r="AZ185" s="6"/>
      <c r="BA185" s="91" t="s">
        <v>47</v>
      </c>
      <c r="BB185" s="6" t="b">
        <f>Table2[[#This Row],[final_obs_date]]&lt;(Table2[[#This Row],[estHD]]-2)</f>
        <v>0</v>
      </c>
      <c r="BC185" s="25">
        <f>IF(Table2[[#This Row],[field_fate]]="H",1,0)</f>
        <v>1</v>
      </c>
      <c r="BD185" s="16">
        <f>IF(Table2[[#This Row],[cam_fate2]]="H",1,0)</f>
        <v>1</v>
      </c>
      <c r="BE185" s="6" t="b">
        <f>NOT(Table2[[#This Row],[HF_C]]=Table2[[#This Row],[HF]])</f>
        <v>0</v>
      </c>
      <c r="BF185" s="38" t="b">
        <f>NOT(Table2[[#This Row],[cam_fate2]]=Table2[[#This Row],[field_fate3]])</f>
        <v>0</v>
      </c>
      <c r="BG185" s="38" t="b">
        <f>OR(Table2[[#This Row],[field_fate3]]="U",Table2[[#This Row],[field_fate3]]="U-H")</f>
        <v>0</v>
      </c>
      <c r="BH185" s="8">
        <v>35</v>
      </c>
      <c r="BI185" s="8">
        <v>54</v>
      </c>
      <c r="BJ185" s="14">
        <f>IF(ISTEXT(Table2[[#This Row],[j.cam]]),Table2[[#This Row],[j]],Table2[[#This Row],[j.cam]])</f>
        <v>54</v>
      </c>
      <c r="BK185" s="8">
        <v>54</v>
      </c>
      <c r="BL185" s="14">
        <f>IF(ISTEXT(Table2[[#This Row],[k.cam]]), Table2[[#This Row],[k]], Table2[[#This Row],[k.cam]])</f>
        <v>54</v>
      </c>
      <c r="BM185" s="4" t="s">
        <v>24</v>
      </c>
      <c r="BN185" s="8" t="s">
        <v>24</v>
      </c>
      <c r="BO185" s="4">
        <v>6</v>
      </c>
      <c r="BP185" s="4">
        <f>Table2[[#This Row],[final_obs_date]]-Table2[[#This Row],[i]]</f>
        <v>22</v>
      </c>
      <c r="BQ185" s="4" t="b">
        <f>Table2[[#This Row],[final_obs_date2]]&gt;Table2[[#This Row],[estHD]]+3</f>
        <v>0</v>
      </c>
      <c r="BR185" s="3" t="s">
        <v>27</v>
      </c>
      <c r="BS185" s="3" t="s">
        <v>49</v>
      </c>
      <c r="BT185" s="79" t="s">
        <v>1119</v>
      </c>
      <c r="BU185" s="26" t="s">
        <v>193</v>
      </c>
      <c r="BV185" s="79" t="s">
        <v>1516</v>
      </c>
      <c r="BW185" s="49" t="s">
        <v>963</v>
      </c>
      <c r="BX185" s="47" t="s">
        <v>962</v>
      </c>
      <c r="BY185" s="36" t="s">
        <v>589</v>
      </c>
    </row>
    <row r="186" spans="1:77" hidden="1" x14ac:dyDescent="0.35">
      <c r="A186" s="62">
        <v>10256</v>
      </c>
      <c r="B186" s="2" t="s">
        <v>35</v>
      </c>
      <c r="C186" s="44">
        <v>2019</v>
      </c>
      <c r="D186" s="3">
        <v>29.76784</v>
      </c>
      <c r="E186" s="3">
        <v>-93.165270000000007</v>
      </c>
      <c r="F186" s="3" t="s">
        <v>24</v>
      </c>
      <c r="G186" s="3" t="s">
        <v>24</v>
      </c>
      <c r="H186" s="3" t="s">
        <v>26</v>
      </c>
      <c r="I186" s="43" t="s">
        <v>997</v>
      </c>
      <c r="J186" s="116">
        <v>50</v>
      </c>
      <c r="K186" s="4">
        <v>50</v>
      </c>
      <c r="L186" s="22">
        <f>IF(ISNUMBER(Table2[[#This Row],[estHD]]),ABS(Table2[[#This Row],[HD]]-Table2[[#This Row],[estHD]]),"NA")</f>
        <v>0</v>
      </c>
      <c r="M186" s="4" t="b">
        <f>Table2[[#This Row],[HD]]=Table2[[#This Row],[estHD]]</f>
        <v>1</v>
      </c>
      <c r="N186" s="4" t="str">
        <f>IF(ISNUMBER([1]!Table2[[#This Row],[hatch_date]]),[1]!Table2[[#This Row],[hatch_date]]-19,"NA")</f>
        <v>NA</v>
      </c>
      <c r="O186" s="31">
        <v>31</v>
      </c>
      <c r="P186" s="23">
        <f>IF(ISNUMBER(Table2[[#This Row],[nest_age1]]),ABS(Table2[[#This Row],[nest_age1]]-Table2[[#This Row],[nest_age_feb]]),"NA")</f>
        <v>0</v>
      </c>
      <c r="Q186" s="24">
        <f>IF(ISNUMBER(Table2[[#This Row],[final_obs_int2]]),ABS(Table2[[#This Row],[final_obs_int2]]-Table2[[#This Row],[final_obs_int_feb]]), "NA")</f>
        <v>0</v>
      </c>
      <c r="R186" s="24"/>
      <c r="S186" s="20" t="s">
        <v>75</v>
      </c>
      <c r="T186" s="20" t="str">
        <f>Table2[[#This Row],[camera_old]]</f>
        <v>Y</v>
      </c>
      <c r="U186" s="22" t="s">
        <v>88</v>
      </c>
      <c r="V186" s="16" t="s">
        <v>31</v>
      </c>
      <c r="W186" s="16">
        <v>22</v>
      </c>
      <c r="X186" s="145">
        <v>4</v>
      </c>
      <c r="Y186" s="147" t="s">
        <v>48</v>
      </c>
      <c r="Z186" s="146" t="s">
        <v>48</v>
      </c>
      <c r="AA186" s="4" t="str">
        <f>Table2[[#This Row],[field_fate]]</f>
        <v>F</v>
      </c>
      <c r="AB186" s="4" t="str">
        <f>Table2[[#This Row],[field_fate2]]</f>
        <v>F</v>
      </c>
      <c r="AC186" s="94" t="str">
        <f>Table2[[#This Row],[field_fate3]]</f>
        <v>F</v>
      </c>
      <c r="AD186" s="94" t="str">
        <f>Table2[[#This Row],[field_fate4]]</f>
        <v>F</v>
      </c>
      <c r="AE186" s="94" t="str">
        <f>Table2[[#This Row],[field_fate5]]</f>
        <v>F</v>
      </c>
      <c r="AF186" s="94" t="str">
        <f>Table2[[#This Row],[field_fate5]]</f>
        <v>F</v>
      </c>
      <c r="AG186" s="94" t="str">
        <f>Table2[[#This Row],[field_fate5]]</f>
        <v>F</v>
      </c>
      <c r="AH186" s="94" t="str">
        <f>Table2[[#This Row],[field_fate2]]</f>
        <v>F</v>
      </c>
      <c r="AI186" s="94" t="str">
        <f>Table2[[#This Row],[field_fate8]]</f>
        <v>F</v>
      </c>
      <c r="AJ186" s="94" t="str">
        <f>Table2[[#This Row],[field_fate10]]</f>
        <v>F</v>
      </c>
      <c r="AK186" s="94" t="b">
        <f>Table2[[#This Row],[field_fate_feb]]=Table2[[#This Row],[field_fate10]]</f>
        <v>1</v>
      </c>
      <c r="AL186" s="43" t="s">
        <v>31</v>
      </c>
      <c r="AM186" s="160" t="b">
        <f>Table2[[#This Row],[cam_fate2]]="NA"</f>
        <v>0</v>
      </c>
      <c r="AN186" s="19" t="str">
        <f>Table2[[#This Row],[cam_fate1]]</f>
        <v>D</v>
      </c>
      <c r="AO186" s="2" t="s">
        <v>31</v>
      </c>
      <c r="AP186" s="5" t="str">
        <f>Table2[[#This Row],[final_fate1]]</f>
        <v>D</v>
      </c>
      <c r="AQ186" s="6">
        <v>22</v>
      </c>
      <c r="AR186" s="72">
        <v>22</v>
      </c>
      <c r="AS186" s="155">
        <f>Table2[[#This Row],[final_obs_date]]-Table2[[#This Row],[init_date]]</f>
        <v>22</v>
      </c>
      <c r="AT186" s="155">
        <f>(Table2[[#This Row],[final_obs_date2]]-Table2[[#This Row],[estHD]])+19</f>
        <v>22</v>
      </c>
      <c r="AU186" s="38">
        <v>4</v>
      </c>
      <c r="AV186" s="33">
        <v>4</v>
      </c>
      <c r="AW186" s="33">
        <f>Table2[[#This Row],[final_obs_date2]]-Table2[[#This Row],[pen_obs_date]]</f>
        <v>4</v>
      </c>
      <c r="AX186" s="67">
        <v>53</v>
      </c>
      <c r="AY186" s="157">
        <f>Table2[[#This Row],[final_obs_date]]</f>
        <v>53</v>
      </c>
      <c r="AZ186" s="6">
        <v>49</v>
      </c>
      <c r="BA186" s="92" t="s">
        <v>47</v>
      </c>
      <c r="BB186" s="6" t="b">
        <f>Table2[[#This Row],[final_obs_date]]&lt;(Table2[[#This Row],[estHD]]-2)</f>
        <v>0</v>
      </c>
      <c r="BC186" s="32">
        <f>IF(Table2[[#This Row],[field_fate]]="H",1,0)</f>
        <v>0</v>
      </c>
      <c r="BD186" s="16">
        <f>IF(Table2[[#This Row],[cam_fate2]]="H",1,0)</f>
        <v>0</v>
      </c>
      <c r="BE186" s="6" t="b">
        <f>NOT(Table2[[#This Row],[HF_C]]=Table2[[#This Row],[HF]])</f>
        <v>0</v>
      </c>
      <c r="BF186" s="38" t="b">
        <f>NOT(Table2[[#This Row],[cam_fate2]]=Table2[[#This Row],[field_fate3]])</f>
        <v>1</v>
      </c>
      <c r="BG186" s="38" t="b">
        <f>OR(Table2[[#This Row],[field_fate3]]="U",Table2[[#This Row],[field_fate3]]="U-H")</f>
        <v>0</v>
      </c>
      <c r="BH186" s="8">
        <v>35</v>
      </c>
      <c r="BI186" s="8">
        <v>49</v>
      </c>
      <c r="BJ186" s="14">
        <f>IF(ISTEXT(Table2[[#This Row],[j.cam]]),Table2[[#This Row],[j]],Table2[[#This Row],[j.cam]])</f>
        <v>49</v>
      </c>
      <c r="BK186" s="8">
        <v>53</v>
      </c>
      <c r="BL186" s="14">
        <f>IF(ISTEXT(Table2[[#This Row],[k.cam]]), Table2[[#This Row],[k]], Table2[[#This Row],[k.cam]])</f>
        <v>53</v>
      </c>
      <c r="BM186" s="4" t="s">
        <v>24</v>
      </c>
      <c r="BN186" s="8" t="s">
        <v>24</v>
      </c>
      <c r="BO186" s="4">
        <v>5</v>
      </c>
      <c r="BP186" s="4">
        <f>Table2[[#This Row],[final_obs_date]]-Table2[[#This Row],[i]]</f>
        <v>18</v>
      </c>
      <c r="BQ186" s="4" t="b">
        <f>Table2[[#This Row],[final_obs_date2]]&gt;Table2[[#This Row],[estHD]]+3</f>
        <v>0</v>
      </c>
      <c r="BR186" s="3" t="s">
        <v>27</v>
      </c>
      <c r="BS186" s="3" t="s">
        <v>28</v>
      </c>
      <c r="BT186" s="125" t="s">
        <v>1117</v>
      </c>
      <c r="BU186" s="4" t="s">
        <v>194</v>
      </c>
      <c r="BV186" s="79" t="s">
        <v>1513</v>
      </c>
      <c r="BW186" s="69"/>
      <c r="BX186" s="36"/>
      <c r="BY186" s="36" t="s">
        <v>590</v>
      </c>
    </row>
    <row r="187" spans="1:77" hidden="1" x14ac:dyDescent="0.35">
      <c r="A187" s="62">
        <v>10257</v>
      </c>
      <c r="B187" s="2" t="s">
        <v>35</v>
      </c>
      <c r="C187" s="44">
        <v>2019</v>
      </c>
      <c r="D187" s="3">
        <v>29.767910000000001</v>
      </c>
      <c r="E187" s="3">
        <v>-93.165170000000003</v>
      </c>
      <c r="F187" s="3" t="s">
        <v>24</v>
      </c>
      <c r="G187" s="3" t="s">
        <v>24</v>
      </c>
      <c r="H187" s="3" t="s">
        <v>26</v>
      </c>
      <c r="I187" s="43" t="s">
        <v>997</v>
      </c>
      <c r="J187" s="116">
        <v>54</v>
      </c>
      <c r="K187" s="4">
        <v>54</v>
      </c>
      <c r="L187" s="22">
        <f>IF(ISNUMBER(Table2[[#This Row],[estHD]]),ABS(Table2[[#This Row],[HD]]-Table2[[#This Row],[estHD]]),"NA")</f>
        <v>0</v>
      </c>
      <c r="M187" s="4" t="b">
        <f>Table2[[#This Row],[HD]]=Table2[[#This Row],[estHD]]</f>
        <v>1</v>
      </c>
      <c r="N187" s="4" t="str">
        <f>IF(ISNUMBER([1]!Table2[[#This Row],[hatch_date]]),[1]!Table2[[#This Row],[hatch_date]]-19,"NA")</f>
        <v>NA</v>
      </c>
      <c r="O187" s="31">
        <v>35</v>
      </c>
      <c r="P187" s="23">
        <f>IF(ISNUMBER(Table2[[#This Row],[nest_age1]]),ABS(Table2[[#This Row],[nest_age1]]-Table2[[#This Row],[nest_age_feb]]),"NA")</f>
        <v>0</v>
      </c>
      <c r="Q187" s="24">
        <f>IF(ISNUMBER(Table2[[#This Row],[final_obs_int2]]),ABS(Table2[[#This Row],[final_obs_int2]]-Table2[[#This Row],[final_obs_int_feb]]), "NA")</f>
        <v>0</v>
      </c>
      <c r="R187" s="24"/>
      <c r="S187" s="20" t="s">
        <v>75</v>
      </c>
      <c r="T187" s="20" t="str">
        <f>Table2[[#This Row],[camera_old]]</f>
        <v>Y</v>
      </c>
      <c r="U187" s="22" t="s">
        <v>88</v>
      </c>
      <c r="V187" s="16" t="s">
        <v>31</v>
      </c>
      <c r="W187" s="16">
        <v>18</v>
      </c>
      <c r="X187" s="145">
        <v>4</v>
      </c>
      <c r="Y187" s="147" t="s">
        <v>48</v>
      </c>
      <c r="Z187" s="146" t="s">
        <v>48</v>
      </c>
      <c r="AA187" s="4" t="str">
        <f>Table2[[#This Row],[field_fate]]</f>
        <v>F</v>
      </c>
      <c r="AB187" s="4" t="str">
        <f>Table2[[#This Row],[field_fate2]]</f>
        <v>F</v>
      </c>
      <c r="AC187" s="94" t="str">
        <f>Table2[[#This Row],[field_fate3]]</f>
        <v>F</v>
      </c>
      <c r="AD187" s="94" t="str">
        <f>Table2[[#This Row],[field_fate4]]</f>
        <v>F</v>
      </c>
      <c r="AE187" s="94" t="str">
        <f>Table2[[#This Row],[field_fate5]]</f>
        <v>F</v>
      </c>
      <c r="AF187" s="94" t="str">
        <f>Table2[[#This Row],[field_fate5]]</f>
        <v>F</v>
      </c>
      <c r="AG187" s="94" t="str">
        <f>Table2[[#This Row],[field_fate5]]</f>
        <v>F</v>
      </c>
      <c r="AH187" s="94" t="str">
        <f>Table2[[#This Row],[field_fate2]]</f>
        <v>F</v>
      </c>
      <c r="AI187" s="94" t="str">
        <f>Table2[[#This Row],[field_fate8]]</f>
        <v>F</v>
      </c>
      <c r="AJ187" s="94" t="str">
        <f>Table2[[#This Row],[field_fate10]]</f>
        <v>F</v>
      </c>
      <c r="AK187" s="94" t="b">
        <f>Table2[[#This Row],[field_fate_feb]]=Table2[[#This Row],[field_fate10]]</f>
        <v>1</v>
      </c>
      <c r="AL187" s="43" t="s">
        <v>31</v>
      </c>
      <c r="AM187" s="160" t="b">
        <f>Table2[[#This Row],[cam_fate2]]="NA"</f>
        <v>0</v>
      </c>
      <c r="AN187" s="19" t="str">
        <f>Table2[[#This Row],[cam_fate1]]</f>
        <v>D</v>
      </c>
      <c r="AO187" s="2" t="s">
        <v>31</v>
      </c>
      <c r="AP187" s="5" t="str">
        <f>Table2[[#This Row],[final_fate1]]</f>
        <v>D</v>
      </c>
      <c r="AQ187" s="6">
        <v>18</v>
      </c>
      <c r="AR187" s="72">
        <v>18</v>
      </c>
      <c r="AS187" s="155">
        <f>Table2[[#This Row],[final_obs_date]]-Table2[[#This Row],[init_date]]</f>
        <v>18</v>
      </c>
      <c r="AT187" s="155">
        <f>(Table2[[#This Row],[final_obs_date2]]-Table2[[#This Row],[estHD]])+19</f>
        <v>18</v>
      </c>
      <c r="AU187" s="38">
        <v>4</v>
      </c>
      <c r="AV187" s="33">
        <v>4</v>
      </c>
      <c r="AW187" s="33">
        <f>Table2[[#This Row],[final_obs_date2]]-Table2[[#This Row],[pen_obs_date]]</f>
        <v>4</v>
      </c>
      <c r="AX187" s="67">
        <v>53</v>
      </c>
      <c r="AY187" s="157">
        <f>Table2[[#This Row],[final_obs_date]]</f>
        <v>53</v>
      </c>
      <c r="AZ187" s="6">
        <v>49</v>
      </c>
      <c r="BA187" s="92" t="s">
        <v>47</v>
      </c>
      <c r="BB187" s="6" t="b">
        <f>Table2[[#This Row],[final_obs_date]]&lt;(Table2[[#This Row],[estHD]]-2)</f>
        <v>0</v>
      </c>
      <c r="BC187" s="32">
        <f>IF(Table2[[#This Row],[field_fate]]="H",1,0)</f>
        <v>0</v>
      </c>
      <c r="BD187" s="16">
        <f>IF(Table2[[#This Row],[cam_fate2]]="H",1,0)</f>
        <v>0</v>
      </c>
      <c r="BE187" s="6" t="b">
        <f>NOT(Table2[[#This Row],[HF_C]]=Table2[[#This Row],[HF]])</f>
        <v>0</v>
      </c>
      <c r="BF187" s="38" t="b">
        <f>NOT(Table2[[#This Row],[cam_fate2]]=Table2[[#This Row],[field_fate3]])</f>
        <v>1</v>
      </c>
      <c r="BG187" s="38" t="b">
        <f>OR(Table2[[#This Row],[field_fate3]]="U",Table2[[#This Row],[field_fate3]]="U-H")</f>
        <v>0</v>
      </c>
      <c r="BH187" s="8">
        <v>35</v>
      </c>
      <c r="BI187" s="8">
        <v>49</v>
      </c>
      <c r="BJ187" s="14">
        <f>IF(ISTEXT(Table2[[#This Row],[j.cam]]),Table2[[#This Row],[j]],Table2[[#This Row],[j.cam]])</f>
        <v>49</v>
      </c>
      <c r="BK187" s="8">
        <v>53</v>
      </c>
      <c r="BL187" s="14">
        <f>IF(ISTEXT(Table2[[#This Row],[k.cam]]), Table2[[#This Row],[k]], Table2[[#This Row],[k.cam]])</f>
        <v>53</v>
      </c>
      <c r="BM187" s="4" t="s">
        <v>24</v>
      </c>
      <c r="BN187" s="8" t="s">
        <v>24</v>
      </c>
      <c r="BO187" s="4">
        <v>5</v>
      </c>
      <c r="BP187" s="4">
        <f>Table2[[#This Row],[final_obs_date]]-Table2[[#This Row],[i]]</f>
        <v>18</v>
      </c>
      <c r="BQ187" s="4" t="b">
        <f>Table2[[#This Row],[final_obs_date2]]&gt;Table2[[#This Row],[estHD]]+3</f>
        <v>0</v>
      </c>
      <c r="BR187" s="3" t="s">
        <v>27</v>
      </c>
      <c r="BS187" s="3" t="s">
        <v>28</v>
      </c>
      <c r="BT187" s="125" t="s">
        <v>1117</v>
      </c>
      <c r="BU187" s="4" t="s">
        <v>131</v>
      </c>
      <c r="BV187" s="79" t="s">
        <v>1513</v>
      </c>
      <c r="BW187" s="69"/>
      <c r="BX187" s="36"/>
      <c r="BY187" s="36" t="s">
        <v>591</v>
      </c>
    </row>
    <row r="188" spans="1:77" hidden="1" x14ac:dyDescent="0.35">
      <c r="A188" s="59">
        <v>10258</v>
      </c>
      <c r="B188" s="2" t="s">
        <v>35</v>
      </c>
      <c r="C188" s="44">
        <v>2019</v>
      </c>
      <c r="D188" s="3">
        <v>29.76782</v>
      </c>
      <c r="E188" s="3">
        <v>-93.165210000000002</v>
      </c>
      <c r="F188" s="3" t="s">
        <v>24</v>
      </c>
      <c r="G188" s="3" t="s">
        <v>24</v>
      </c>
      <c r="H188" s="3" t="s">
        <v>26</v>
      </c>
      <c r="I188" s="43"/>
      <c r="J188" s="117">
        <v>55</v>
      </c>
      <c r="K188" s="4">
        <v>55</v>
      </c>
      <c r="L188" s="22">
        <f>IF(ISNUMBER(Table2[[#This Row],[estHD]]),ABS(Table2[[#This Row],[HD]]-Table2[[#This Row],[estHD]]),"NA")</f>
        <v>0</v>
      </c>
      <c r="M188" s="4" t="b">
        <f>Table2[[#This Row],[HD]]=Table2[[#This Row],[estHD]]</f>
        <v>1</v>
      </c>
      <c r="N188" s="4" t="str">
        <f>IF(ISNUMBER([1]!Table2[[#This Row],[hatch_date]]),[1]!Table2[[#This Row],[hatch_date]]-19,"NA")</f>
        <v>NA</v>
      </c>
      <c r="O188" s="31">
        <v>36</v>
      </c>
      <c r="P188" s="23">
        <f>IF(ISNUMBER(Table2[[#This Row],[nest_age1]]),ABS(Table2[[#This Row],[nest_age1]]-Table2[[#This Row],[nest_age_feb]]),"NA")</f>
        <v>0</v>
      </c>
      <c r="Q188" s="24">
        <f>IF(ISNUMBER(Table2[[#This Row],[final_obs_int2]]),ABS(Table2[[#This Row],[final_obs_int2]]-Table2[[#This Row],[final_obs_int_feb]]), "NA")</f>
        <v>0</v>
      </c>
      <c r="R188" s="24"/>
      <c r="S188" s="21" t="s">
        <v>965</v>
      </c>
      <c r="T188" s="21" t="s">
        <v>75</v>
      </c>
      <c r="U188" s="52" t="s">
        <v>55</v>
      </c>
      <c r="V188" s="16" t="s">
        <v>31</v>
      </c>
      <c r="W188" s="16">
        <v>13</v>
      </c>
      <c r="X188" s="145">
        <v>5</v>
      </c>
      <c r="Y188" s="147" t="s">
        <v>90</v>
      </c>
      <c r="Z188" s="146" t="s">
        <v>90</v>
      </c>
      <c r="AA188" s="4" t="str">
        <f>Table2[[#This Row],[field_fate]]</f>
        <v>U</v>
      </c>
      <c r="AB188" s="4" t="s">
        <v>94</v>
      </c>
      <c r="AC188" s="98" t="s">
        <v>90</v>
      </c>
      <c r="AD188" s="141" t="str">
        <f>Table2[[#This Row],[field_fate4]]</f>
        <v>U</v>
      </c>
      <c r="AE188" s="114" t="str">
        <f>Table2[[#This Row],[field_fate5]]</f>
        <v>U</v>
      </c>
      <c r="AF188" s="94" t="str">
        <f>Table2[[#This Row],[field_fate5]]</f>
        <v>U</v>
      </c>
      <c r="AG188" s="94" t="str">
        <f>Table2[[#This Row],[field_fate5]]</f>
        <v>U</v>
      </c>
      <c r="AH188" s="94" t="str">
        <f>Table2[[#This Row],[field_fate2]]</f>
        <v>U</v>
      </c>
      <c r="AI188" s="94" t="str">
        <f>Table2[[#This Row],[field_fate8]]</f>
        <v>U</v>
      </c>
      <c r="AJ188" s="94" t="str">
        <f>Table2[[#This Row],[field_fate10]]</f>
        <v>U</v>
      </c>
      <c r="AK188" s="94" t="b">
        <f>Table2[[#This Row],[field_fate_feb]]=Table2[[#This Row],[field_fate10]]</f>
        <v>1</v>
      </c>
      <c r="AL188" s="43" t="s">
        <v>31</v>
      </c>
      <c r="AM188" s="160" t="b">
        <f>Table2[[#This Row],[cam_fate2]]="NA"</f>
        <v>0</v>
      </c>
      <c r="AN188" s="19" t="str">
        <f>Table2[[#This Row],[cam_fate1]]</f>
        <v>D</v>
      </c>
      <c r="AO188" s="2" t="s">
        <v>31</v>
      </c>
      <c r="AP188" s="5" t="str">
        <f>Table2[[#This Row],[final_fate1]]</f>
        <v>D</v>
      </c>
      <c r="AQ188" s="6">
        <v>13</v>
      </c>
      <c r="AR188" s="7">
        <v>13</v>
      </c>
      <c r="AS188" s="155">
        <f>Table2[[#This Row],[final_obs_date]]-Table2[[#This Row],[init_date]]</f>
        <v>13</v>
      </c>
      <c r="AT188" s="155">
        <f>(Table2[[#This Row],[final_obs_date2]]-Table2[[#This Row],[estHD]])+19</f>
        <v>13</v>
      </c>
      <c r="AU188" s="38">
        <v>5</v>
      </c>
      <c r="AV188" s="33">
        <v>5</v>
      </c>
      <c r="AW188" s="33">
        <f>Table2[[#This Row],[final_obs_date2]]-Table2[[#This Row],[pen_obs_date]]</f>
        <v>5</v>
      </c>
      <c r="AX188" s="67">
        <v>49</v>
      </c>
      <c r="AY188" s="157">
        <f>Table2[[#This Row],[final_obs_date]]</f>
        <v>49</v>
      </c>
      <c r="AZ188" s="6">
        <v>44</v>
      </c>
      <c r="BA188" s="91" t="s">
        <v>47</v>
      </c>
      <c r="BB188" s="6" t="b">
        <f>Table2[[#This Row],[final_obs_date]]&lt;(Table2[[#This Row],[estHD]]-2)</f>
        <v>1</v>
      </c>
      <c r="BC188" s="32">
        <v>7</v>
      </c>
      <c r="BD188" s="16">
        <f>IF(Table2[[#This Row],[cam_fate2]]="H",1,0)</f>
        <v>0</v>
      </c>
      <c r="BE188" s="6" t="b">
        <f>NOT(Table2[[#This Row],[HF_C]]=Table2[[#This Row],[HF]])</f>
        <v>1</v>
      </c>
      <c r="BF188" s="38" t="b">
        <f>NOT(Table2[[#This Row],[cam_fate2]]=Table2[[#This Row],[field_fate3]])</f>
        <v>1</v>
      </c>
      <c r="BG188" s="38" t="b">
        <f>OR(Table2[[#This Row],[field_fate3]]="U",Table2[[#This Row],[field_fate3]]="U-H")</f>
        <v>0</v>
      </c>
      <c r="BH188" s="8">
        <v>35</v>
      </c>
      <c r="BI188" s="8">
        <v>44</v>
      </c>
      <c r="BJ188" s="14">
        <f>IF(ISTEXT(Table2[[#This Row],[j.cam]]),Table2[[#This Row],[j]],Table2[[#This Row],[j.cam]])</f>
        <v>44</v>
      </c>
      <c r="BK188" s="8">
        <v>49</v>
      </c>
      <c r="BL188" s="14">
        <f>IF(ISTEXT(Table2[[#This Row],[k.cam]]), Table2[[#This Row],[k]], Table2[[#This Row],[k.cam]])</f>
        <v>49</v>
      </c>
      <c r="BM188" s="4" t="s">
        <v>24</v>
      </c>
      <c r="BN188" s="8" t="s">
        <v>24</v>
      </c>
      <c r="BO188" s="4">
        <v>4</v>
      </c>
      <c r="BP188" s="4">
        <f>Table2[[#This Row],[final_obs_date]]-Table2[[#This Row],[i]]</f>
        <v>14</v>
      </c>
      <c r="BQ188" s="4" t="b">
        <f>Table2[[#This Row],[final_obs_date2]]&gt;Table2[[#This Row],[estHD]]+3</f>
        <v>0</v>
      </c>
      <c r="BR188" s="3" t="s">
        <v>33</v>
      </c>
      <c r="BS188" s="3" t="s">
        <v>100</v>
      </c>
      <c r="BT188" s="125" t="s">
        <v>1116</v>
      </c>
      <c r="BU188" s="4" t="s">
        <v>195</v>
      </c>
      <c r="BV188" s="79" t="s">
        <v>1512</v>
      </c>
      <c r="BW188" s="49"/>
      <c r="BX188" s="47" t="s">
        <v>930</v>
      </c>
      <c r="BY188" s="47" t="s">
        <v>590</v>
      </c>
    </row>
    <row r="189" spans="1:77" hidden="1" x14ac:dyDescent="0.35">
      <c r="A189" s="62">
        <v>10260</v>
      </c>
      <c r="B189" s="2" t="s">
        <v>122</v>
      </c>
      <c r="C189" s="44">
        <v>2019</v>
      </c>
      <c r="D189" s="3">
        <v>29.758870000000002</v>
      </c>
      <c r="E189" s="3">
        <v>-93.123050000000006</v>
      </c>
      <c r="F189" s="3">
        <v>40</v>
      </c>
      <c r="G189" s="3">
        <v>40</v>
      </c>
      <c r="H189" s="3" t="s">
        <v>26</v>
      </c>
      <c r="I189" s="43"/>
      <c r="J189" s="55" t="s">
        <v>24</v>
      </c>
      <c r="K189" s="4" t="s">
        <v>24</v>
      </c>
      <c r="L189" s="22" t="str">
        <f>IF(ISNUMBER(Table2[[#This Row],[estHD]]),ABS(Table2[[#This Row],[HD]]-Table2[[#This Row],[estHD]]),"NA")</f>
        <v>NA</v>
      </c>
      <c r="M189" s="4" t="b">
        <f>Table2[[#This Row],[HD]]=Table2[[#This Row],[estHD]]</f>
        <v>1</v>
      </c>
      <c r="N189" s="4" t="str">
        <f>IF(ISNUMBER([1]!Table2[[#This Row],[hatch_date]]),[1]!Table2[[#This Row],[hatch_date]]-19,"NA")</f>
        <v>NA</v>
      </c>
      <c r="O189" s="31" t="s">
        <v>24</v>
      </c>
      <c r="P189" s="23" t="str">
        <f>IF(ISNUMBER(Table2[[#This Row],[nest_age1]]),ABS(Table2[[#This Row],[nest_age1]]-Table2[[#This Row],[nest_age_feb]]),"NA")</f>
        <v>NA</v>
      </c>
      <c r="Q189" s="24">
        <f>IF(ISNUMBER(Table2[[#This Row],[final_obs_int2]]),ABS(Table2[[#This Row],[final_obs_int2]]-Table2[[#This Row],[final_obs_int_feb]]), "NA")</f>
        <v>0</v>
      </c>
      <c r="R189" s="24"/>
      <c r="S189" s="57" t="s">
        <v>88</v>
      </c>
      <c r="T189" s="57" t="str">
        <f>Table2[[#This Row],[camera_old]]</f>
        <v>N</v>
      </c>
      <c r="U189" s="24"/>
      <c r="V189" s="16" t="s">
        <v>24</v>
      </c>
      <c r="W189" s="16" t="s">
        <v>24</v>
      </c>
      <c r="X189" s="145">
        <v>6</v>
      </c>
      <c r="Y189" s="147" t="s">
        <v>36</v>
      </c>
      <c r="Z189" s="146" t="s">
        <v>36</v>
      </c>
      <c r="AA189" s="4" t="str">
        <f>Table2[[#This Row],[field_fate]]</f>
        <v>A</v>
      </c>
      <c r="AB189" s="4" t="str">
        <f>Table2[[#This Row],[field_fate2]]</f>
        <v>A</v>
      </c>
      <c r="AC189" s="4" t="str">
        <f>Table2[[#This Row],[field_fate3]]</f>
        <v>A</v>
      </c>
      <c r="AD189" s="4" t="str">
        <f>Table2[[#This Row],[field_fate4]]</f>
        <v>A</v>
      </c>
      <c r="AE189" s="4" t="str">
        <f>Table2[[#This Row],[field_fate5]]</f>
        <v>A</v>
      </c>
      <c r="AF189" s="4" t="str">
        <f>Table2[[#This Row],[field_fate5]]</f>
        <v>A</v>
      </c>
      <c r="AG189" s="4" t="str">
        <f>Table2[[#This Row],[field_fate5]]</f>
        <v>A</v>
      </c>
      <c r="AH189" s="4" t="str">
        <f>Table2[[#This Row],[field_fate2]]</f>
        <v>A</v>
      </c>
      <c r="AI189" s="4" t="str">
        <f>Table2[[#This Row],[field_fate8]]</f>
        <v>A</v>
      </c>
      <c r="AJ189" s="4" t="str">
        <f>Table2[[#This Row],[field_fate10]]</f>
        <v>A</v>
      </c>
      <c r="AK189" s="4" t="b">
        <f>Table2[[#This Row],[field_fate_feb]]=Table2[[#This Row],[field_fate10]]</f>
        <v>1</v>
      </c>
      <c r="AL189" s="43" t="s">
        <v>24</v>
      </c>
      <c r="AM189" s="43" t="b">
        <f>Table2[[#This Row],[cam_fate2]]="NA"</f>
        <v>1</v>
      </c>
      <c r="AN189" s="19" t="str">
        <f>Table2[[#This Row],[cam_fate1]]</f>
        <v>NA</v>
      </c>
      <c r="AO189" s="2" t="s">
        <v>36</v>
      </c>
      <c r="AP189" s="5" t="str">
        <f>Table2[[#This Row],[final_fate1]]</f>
        <v>A</v>
      </c>
      <c r="AQ189" s="6" t="s">
        <v>24</v>
      </c>
      <c r="AR189" s="7" t="s">
        <v>24</v>
      </c>
      <c r="AS189" s="7" t="e">
        <f>Table2[[#This Row],[final_obs_date]]-Table2[[#This Row],[init_date]]</f>
        <v>#VALUE!</v>
      </c>
      <c r="AT189" s="7" t="e">
        <f>(Table2[[#This Row],[final_obs_date2]]-Table2[[#This Row],[estHD]])+16</f>
        <v>#VALUE!</v>
      </c>
      <c r="AU189" s="38">
        <v>6</v>
      </c>
      <c r="AV189" s="33">
        <v>6</v>
      </c>
      <c r="AW189" s="33">
        <f>Table2[[#This Row],[final_obs_date2]]-Table2[[#This Row],[pen_obs_date]]</f>
        <v>54</v>
      </c>
      <c r="AX189" s="67">
        <v>54</v>
      </c>
      <c r="AY189" s="6">
        <f>Table2[[#This Row],[final_obs_date]]</f>
        <v>54</v>
      </c>
      <c r="AZ189" s="6"/>
      <c r="BA189" s="91" t="s">
        <v>47</v>
      </c>
      <c r="BB189" s="6" t="e">
        <f>Table2[[#This Row],[final_obs_date]]&lt;(Table2[[#This Row],[estHD]]-2)</f>
        <v>#VALUE!</v>
      </c>
      <c r="BC189" s="24">
        <f>IF(Table2[[#This Row],[field_fate]]="H",1,0)</f>
        <v>0</v>
      </c>
      <c r="BD189" s="16">
        <f>IF(Table2[[#This Row],[cam_fate2]]="H",1,0)</f>
        <v>0</v>
      </c>
      <c r="BE189" s="6" t="b">
        <f>NOT(Table2[[#This Row],[HF_C]]=Table2[[#This Row],[HF]])</f>
        <v>0</v>
      </c>
      <c r="BF189" s="6" t="b">
        <f>NOT(Table2[[#This Row],[cam_fate2]]=Table2[[#This Row],[field_fate3]])</f>
        <v>1</v>
      </c>
      <c r="BG189" s="6" t="b">
        <f>OR(Table2[[#This Row],[field_fate3]]="U",Table2[[#This Row],[field_fate3]]="U-H")</f>
        <v>0</v>
      </c>
      <c r="BH189" s="8">
        <v>42</v>
      </c>
      <c r="BI189" s="8">
        <v>48</v>
      </c>
      <c r="BJ189" s="14">
        <f>IF(ISTEXT(Table2[[#This Row],[j.cam]]),Table2[[#This Row],[j]],Table2[[#This Row],[j.cam]])</f>
        <v>48</v>
      </c>
      <c r="BK189" s="9">
        <v>54</v>
      </c>
      <c r="BL189" s="15">
        <f>IF(ISTEXT(Table2[[#This Row],[k.cam]]), Table2[[#This Row],[k]], Table2[[#This Row],[k.cam]])</f>
        <v>54</v>
      </c>
      <c r="BM189" s="4" t="s">
        <v>24</v>
      </c>
      <c r="BN189" s="8" t="s">
        <v>24</v>
      </c>
      <c r="BO189" s="4">
        <v>4</v>
      </c>
      <c r="BP189" s="4">
        <f>Table2[[#This Row],[final_obs_date]]-Table2[[#This Row],[i]]</f>
        <v>12</v>
      </c>
      <c r="BQ189" s="4" t="e">
        <f>Table2[[#This Row],[final_obs_date2]]&gt;Table2[[#This Row],[estHD]]+3</f>
        <v>#VALUE!</v>
      </c>
      <c r="BR189" s="4" t="s">
        <v>58</v>
      </c>
      <c r="BS189" s="4" t="s">
        <v>134</v>
      </c>
      <c r="BT189" s="79" t="s">
        <v>1120</v>
      </c>
      <c r="BU189" s="26" t="s">
        <v>196</v>
      </c>
      <c r="BV189" s="79" t="s">
        <v>1517</v>
      </c>
      <c r="BW189" s="49"/>
      <c r="BX189" s="47"/>
      <c r="BY189" s="36" t="s">
        <v>592</v>
      </c>
    </row>
    <row r="190" spans="1:77" hidden="1" x14ac:dyDescent="0.35">
      <c r="A190" s="62">
        <v>10261</v>
      </c>
      <c r="B190" s="2" t="s">
        <v>122</v>
      </c>
      <c r="C190" s="44">
        <v>2019</v>
      </c>
      <c r="D190" s="3">
        <v>29.75883</v>
      </c>
      <c r="E190" s="3">
        <v>-93.122910000000005</v>
      </c>
      <c r="F190" s="3">
        <v>30</v>
      </c>
      <c r="G190" s="3">
        <v>40</v>
      </c>
      <c r="H190" s="3" t="s">
        <v>26</v>
      </c>
      <c r="I190" s="43"/>
      <c r="J190" s="55">
        <v>51</v>
      </c>
      <c r="K190" s="4">
        <v>51</v>
      </c>
      <c r="L190" s="22">
        <f>IF(ISNUMBER(Table2[[#This Row],[estHD]]),ABS(Table2[[#This Row],[HD]]-Table2[[#This Row],[estHD]]),"NA")</f>
        <v>0</v>
      </c>
      <c r="M190" s="4" t="b">
        <f>Table2[[#This Row],[HD]]=Table2[[#This Row],[estHD]]</f>
        <v>1</v>
      </c>
      <c r="N190" s="4" t="str">
        <f>IF(ISNUMBER([1]!Table2[[#This Row],[hatch_date]]),[1]!Table2[[#This Row],[hatch_date]]-19,"NA")</f>
        <v>NA</v>
      </c>
      <c r="O190" s="31">
        <v>32</v>
      </c>
      <c r="P190" s="23">
        <f>IF(ISNUMBER(Table2[[#This Row],[nest_age1]]),ABS(Table2[[#This Row],[nest_age1]]-Table2[[#This Row],[nest_age_feb]]),"NA")</f>
        <v>0</v>
      </c>
      <c r="Q190" s="24">
        <f>IF(ISNUMBER(Table2[[#This Row],[final_obs_int2]]),ABS(Table2[[#This Row],[final_obs_int2]]-Table2[[#This Row],[final_obs_int_feb]]), "NA")</f>
        <v>0</v>
      </c>
      <c r="R190" s="24"/>
      <c r="S190" s="57" t="s">
        <v>88</v>
      </c>
      <c r="T190" s="57" t="str">
        <f>Table2[[#This Row],[camera_old]]</f>
        <v>N</v>
      </c>
      <c r="U190" s="24"/>
      <c r="V190" s="16" t="s">
        <v>24</v>
      </c>
      <c r="W190" s="16">
        <v>22</v>
      </c>
      <c r="X190" s="145">
        <v>6</v>
      </c>
      <c r="Y190" s="147" t="s">
        <v>36</v>
      </c>
      <c r="Z190" s="146" t="s">
        <v>36</v>
      </c>
      <c r="AA190" s="4" t="str">
        <f>Table2[[#This Row],[field_fate]]</f>
        <v>A</v>
      </c>
      <c r="AB190" s="4" t="str">
        <f>Table2[[#This Row],[field_fate2]]</f>
        <v>A</v>
      </c>
      <c r="AC190" s="4" t="str">
        <f>Table2[[#This Row],[field_fate3]]</f>
        <v>A</v>
      </c>
      <c r="AD190" s="4" t="str">
        <f>Table2[[#This Row],[field_fate4]]</f>
        <v>A</v>
      </c>
      <c r="AE190" s="4" t="str">
        <f>Table2[[#This Row],[field_fate5]]</f>
        <v>A</v>
      </c>
      <c r="AF190" s="4" t="str">
        <f>Table2[[#This Row],[field_fate5]]</f>
        <v>A</v>
      </c>
      <c r="AG190" s="4" t="str">
        <f>Table2[[#This Row],[field_fate5]]</f>
        <v>A</v>
      </c>
      <c r="AH190" s="4" t="str">
        <f>Table2[[#This Row],[field_fate2]]</f>
        <v>A</v>
      </c>
      <c r="AI190" s="4" t="str">
        <f>Table2[[#This Row],[field_fate8]]</f>
        <v>A</v>
      </c>
      <c r="AJ190" s="4" t="str">
        <f>Table2[[#This Row],[field_fate10]]</f>
        <v>A</v>
      </c>
      <c r="AK190" s="4" t="b">
        <f>Table2[[#This Row],[field_fate_feb]]=Table2[[#This Row],[field_fate10]]</f>
        <v>1</v>
      </c>
      <c r="AL190" s="43" t="s">
        <v>24</v>
      </c>
      <c r="AM190" s="43" t="b">
        <f>Table2[[#This Row],[cam_fate2]]="NA"</f>
        <v>1</v>
      </c>
      <c r="AN190" s="19" t="str">
        <f>Table2[[#This Row],[cam_fate1]]</f>
        <v>NA</v>
      </c>
      <c r="AO190" s="2" t="s">
        <v>36</v>
      </c>
      <c r="AP190" s="5" t="str">
        <f>Table2[[#This Row],[final_fate1]]</f>
        <v>A</v>
      </c>
      <c r="AQ190" s="6">
        <v>22</v>
      </c>
      <c r="AR190" s="7">
        <v>22</v>
      </c>
      <c r="AS190" s="7">
        <f>Table2[[#This Row],[final_obs_date]]-Table2[[#This Row],[init_date]]</f>
        <v>22</v>
      </c>
      <c r="AT190" s="7">
        <f>(Table2[[#This Row],[final_obs_date2]]-Table2[[#This Row],[estHD]])+16</f>
        <v>19</v>
      </c>
      <c r="AU190" s="38">
        <v>6</v>
      </c>
      <c r="AV190" s="33">
        <v>6</v>
      </c>
      <c r="AW190" s="33">
        <f>Table2[[#This Row],[final_obs_date2]]-Table2[[#This Row],[pen_obs_date]]</f>
        <v>54</v>
      </c>
      <c r="AX190" s="67">
        <v>54</v>
      </c>
      <c r="AY190" s="6">
        <f>Table2[[#This Row],[final_obs_date]]</f>
        <v>54</v>
      </c>
      <c r="AZ190" s="6"/>
      <c r="BA190" s="91" t="s">
        <v>47</v>
      </c>
      <c r="BB190" s="6" t="b">
        <f>Table2[[#This Row],[final_obs_date]]&lt;(Table2[[#This Row],[estHD]]-2)</f>
        <v>0</v>
      </c>
      <c r="BC190" s="24">
        <f>IF(Table2[[#This Row],[field_fate]]="H",1,0)</f>
        <v>0</v>
      </c>
      <c r="BD190" s="16">
        <f>IF(Table2[[#This Row],[cam_fate2]]="H",1,0)</f>
        <v>0</v>
      </c>
      <c r="BE190" s="6" t="b">
        <f>NOT(Table2[[#This Row],[HF_C]]=Table2[[#This Row],[HF]])</f>
        <v>0</v>
      </c>
      <c r="BF190" s="6" t="b">
        <f>NOT(Table2[[#This Row],[cam_fate2]]=Table2[[#This Row],[field_fate3]])</f>
        <v>1</v>
      </c>
      <c r="BG190" s="6" t="b">
        <f>OR(Table2[[#This Row],[field_fate3]]="U",Table2[[#This Row],[field_fate3]]="U-H")</f>
        <v>0</v>
      </c>
      <c r="BH190" s="8">
        <v>42</v>
      </c>
      <c r="BI190" s="8">
        <v>48</v>
      </c>
      <c r="BJ190" s="14">
        <f>IF(ISTEXT(Table2[[#This Row],[j.cam]]),Table2[[#This Row],[j]],Table2[[#This Row],[j.cam]])</f>
        <v>48</v>
      </c>
      <c r="BK190" s="9">
        <v>54</v>
      </c>
      <c r="BL190" s="15">
        <f>IF(ISTEXT(Table2[[#This Row],[k.cam]]), Table2[[#This Row],[k]], Table2[[#This Row],[k.cam]])</f>
        <v>54</v>
      </c>
      <c r="BM190" s="4" t="s">
        <v>24</v>
      </c>
      <c r="BN190" s="8" t="s">
        <v>24</v>
      </c>
      <c r="BO190" s="4">
        <v>4</v>
      </c>
      <c r="BP190" s="4">
        <f>Table2[[#This Row],[final_obs_date]]-Table2[[#This Row],[i]]</f>
        <v>12</v>
      </c>
      <c r="BQ190" s="4" t="b">
        <f>Table2[[#This Row],[final_obs_date2]]&gt;Table2[[#This Row],[estHD]]+3</f>
        <v>0</v>
      </c>
      <c r="BR190" s="4" t="s">
        <v>33</v>
      </c>
      <c r="BS190" s="4" t="s">
        <v>134</v>
      </c>
      <c r="BT190" s="79" t="s">
        <v>1120</v>
      </c>
      <c r="BU190" s="26" t="s">
        <v>197</v>
      </c>
      <c r="BV190" s="79" t="s">
        <v>1517</v>
      </c>
      <c r="BW190" s="49"/>
      <c r="BX190" s="47"/>
      <c r="BY190" s="36" t="s">
        <v>593</v>
      </c>
    </row>
    <row r="191" spans="1:77" hidden="1" x14ac:dyDescent="0.35">
      <c r="A191" s="62">
        <v>10262</v>
      </c>
      <c r="B191" s="2" t="s">
        <v>122</v>
      </c>
      <c r="C191" s="44">
        <v>2019</v>
      </c>
      <c r="D191" s="3">
        <v>29.758800000000001</v>
      </c>
      <c r="E191" s="3">
        <v>-93.122829999999993</v>
      </c>
      <c r="F191" s="3">
        <v>40</v>
      </c>
      <c r="G191" s="3">
        <v>40</v>
      </c>
      <c r="H191" s="3" t="s">
        <v>26</v>
      </c>
      <c r="I191" s="43"/>
      <c r="J191" s="55" t="s">
        <v>24</v>
      </c>
      <c r="K191" s="4" t="s">
        <v>24</v>
      </c>
      <c r="L191" s="22" t="str">
        <f>IF(ISNUMBER(Table2[[#This Row],[estHD]]),ABS(Table2[[#This Row],[HD]]-Table2[[#This Row],[estHD]]),"NA")</f>
        <v>NA</v>
      </c>
      <c r="M191" s="4" t="b">
        <f>Table2[[#This Row],[HD]]=Table2[[#This Row],[estHD]]</f>
        <v>1</v>
      </c>
      <c r="N191" s="4" t="str">
        <f>IF(ISNUMBER([1]!Table2[[#This Row],[hatch_date]]),[1]!Table2[[#This Row],[hatch_date]]-19,"NA")</f>
        <v>NA</v>
      </c>
      <c r="O191" s="31" t="s">
        <v>24</v>
      </c>
      <c r="P191" s="23" t="str">
        <f>IF(ISNUMBER(Table2[[#This Row],[nest_age1]]),ABS(Table2[[#This Row],[nest_age1]]-Table2[[#This Row],[nest_age_feb]]),"NA")</f>
        <v>NA</v>
      </c>
      <c r="Q191" s="24">
        <f>IF(ISNUMBER(Table2[[#This Row],[final_obs_int2]]),ABS(Table2[[#This Row],[final_obs_int2]]-Table2[[#This Row],[final_obs_int_feb]]), "NA")</f>
        <v>0</v>
      </c>
      <c r="R191" s="24"/>
      <c r="S191" s="57" t="s">
        <v>88</v>
      </c>
      <c r="T191" s="57" t="str">
        <f>Table2[[#This Row],[camera_old]]</f>
        <v>N</v>
      </c>
      <c r="U191" s="24"/>
      <c r="V191" s="16" t="s">
        <v>24</v>
      </c>
      <c r="W191" s="16" t="s">
        <v>24</v>
      </c>
      <c r="X191" s="145">
        <v>6</v>
      </c>
      <c r="Y191" s="147" t="s">
        <v>36</v>
      </c>
      <c r="Z191" s="146" t="s">
        <v>36</v>
      </c>
      <c r="AA191" s="4" t="str">
        <f>Table2[[#This Row],[field_fate]]</f>
        <v>A</v>
      </c>
      <c r="AB191" s="4" t="str">
        <f>Table2[[#This Row],[field_fate2]]</f>
        <v>A</v>
      </c>
      <c r="AC191" s="4" t="str">
        <f>Table2[[#This Row],[field_fate3]]</f>
        <v>A</v>
      </c>
      <c r="AD191" s="4" t="str">
        <f>Table2[[#This Row],[field_fate4]]</f>
        <v>A</v>
      </c>
      <c r="AE191" s="4" t="str">
        <f>Table2[[#This Row],[field_fate5]]</f>
        <v>A</v>
      </c>
      <c r="AF191" s="4" t="str">
        <f>Table2[[#This Row],[field_fate5]]</f>
        <v>A</v>
      </c>
      <c r="AG191" s="4" t="str">
        <f>Table2[[#This Row],[field_fate5]]</f>
        <v>A</v>
      </c>
      <c r="AH191" s="4" t="str">
        <f>Table2[[#This Row],[field_fate2]]</f>
        <v>A</v>
      </c>
      <c r="AI191" s="4" t="str">
        <f>Table2[[#This Row],[field_fate8]]</f>
        <v>A</v>
      </c>
      <c r="AJ191" s="4" t="str">
        <f>Table2[[#This Row],[field_fate10]]</f>
        <v>A</v>
      </c>
      <c r="AK191" s="4" t="b">
        <f>Table2[[#This Row],[field_fate_feb]]=Table2[[#This Row],[field_fate10]]</f>
        <v>1</v>
      </c>
      <c r="AL191" s="43" t="s">
        <v>24</v>
      </c>
      <c r="AM191" s="43" t="b">
        <f>Table2[[#This Row],[cam_fate2]]="NA"</f>
        <v>1</v>
      </c>
      <c r="AN191" s="19" t="str">
        <f>Table2[[#This Row],[cam_fate1]]</f>
        <v>NA</v>
      </c>
      <c r="AO191" s="2" t="s">
        <v>36</v>
      </c>
      <c r="AP191" s="5" t="str">
        <f>Table2[[#This Row],[final_fate1]]</f>
        <v>A</v>
      </c>
      <c r="AQ191" s="6" t="s">
        <v>24</v>
      </c>
      <c r="AR191" s="7" t="s">
        <v>24</v>
      </c>
      <c r="AS191" s="7" t="e">
        <f>Table2[[#This Row],[final_obs_date]]-Table2[[#This Row],[init_date]]</f>
        <v>#VALUE!</v>
      </c>
      <c r="AT191" s="7" t="e">
        <f>(Table2[[#This Row],[final_obs_date2]]-Table2[[#This Row],[estHD]])+16</f>
        <v>#VALUE!</v>
      </c>
      <c r="AU191" s="38">
        <v>6</v>
      </c>
      <c r="AV191" s="33">
        <v>6</v>
      </c>
      <c r="AW191" s="33">
        <f>Table2[[#This Row],[final_obs_date2]]-Table2[[#This Row],[pen_obs_date]]</f>
        <v>54</v>
      </c>
      <c r="AX191" s="67">
        <v>54</v>
      </c>
      <c r="AY191" s="6">
        <f>Table2[[#This Row],[final_obs_date]]</f>
        <v>54</v>
      </c>
      <c r="AZ191" s="6"/>
      <c r="BA191" s="91" t="s">
        <v>47</v>
      </c>
      <c r="BB191" s="6" t="e">
        <f>Table2[[#This Row],[final_obs_date]]&lt;(Table2[[#This Row],[estHD]]-2)</f>
        <v>#VALUE!</v>
      </c>
      <c r="BC191" s="24">
        <f>IF(Table2[[#This Row],[field_fate]]="H",1,0)</f>
        <v>0</v>
      </c>
      <c r="BD191" s="16">
        <f>IF(Table2[[#This Row],[cam_fate2]]="H",1,0)</f>
        <v>0</v>
      </c>
      <c r="BE191" s="6" t="b">
        <f>NOT(Table2[[#This Row],[HF_C]]=Table2[[#This Row],[HF]])</f>
        <v>0</v>
      </c>
      <c r="BF191" s="6" t="b">
        <f>NOT(Table2[[#This Row],[cam_fate2]]=Table2[[#This Row],[field_fate3]])</f>
        <v>1</v>
      </c>
      <c r="BG191" s="6" t="b">
        <f>OR(Table2[[#This Row],[field_fate3]]="U",Table2[[#This Row],[field_fate3]]="U-H")</f>
        <v>0</v>
      </c>
      <c r="BH191" s="8">
        <v>42</v>
      </c>
      <c r="BI191" s="8">
        <v>48</v>
      </c>
      <c r="BJ191" s="14">
        <f>IF(ISTEXT(Table2[[#This Row],[j.cam]]),Table2[[#This Row],[j]],Table2[[#This Row],[j.cam]])</f>
        <v>48</v>
      </c>
      <c r="BK191" s="9">
        <v>54</v>
      </c>
      <c r="BL191" s="15">
        <f>IF(ISTEXT(Table2[[#This Row],[k.cam]]), Table2[[#This Row],[k]], Table2[[#This Row],[k.cam]])</f>
        <v>54</v>
      </c>
      <c r="BM191" s="4" t="s">
        <v>24</v>
      </c>
      <c r="BN191" s="8" t="s">
        <v>24</v>
      </c>
      <c r="BO191" s="4">
        <v>4</v>
      </c>
      <c r="BP191" s="4">
        <f>Table2[[#This Row],[final_obs_date]]-Table2[[#This Row],[i]]</f>
        <v>12</v>
      </c>
      <c r="BQ191" s="4" t="e">
        <f>Table2[[#This Row],[final_obs_date2]]&gt;Table2[[#This Row],[estHD]]+3</f>
        <v>#VALUE!</v>
      </c>
      <c r="BR191" s="4" t="s">
        <v>58</v>
      </c>
      <c r="BS191" s="4" t="s">
        <v>134</v>
      </c>
      <c r="BT191" s="79" t="s">
        <v>1120</v>
      </c>
      <c r="BU191" s="26" t="s">
        <v>135</v>
      </c>
      <c r="BV191" s="79" t="s">
        <v>1517</v>
      </c>
      <c r="BW191" s="49"/>
      <c r="BX191" s="47"/>
      <c r="BY191" s="36" t="s">
        <v>594</v>
      </c>
    </row>
    <row r="192" spans="1:77" hidden="1" x14ac:dyDescent="0.35">
      <c r="A192" s="62">
        <v>10263</v>
      </c>
      <c r="B192" s="2" t="s">
        <v>122</v>
      </c>
      <c r="C192" s="44">
        <v>2019</v>
      </c>
      <c r="D192" s="3">
        <v>29.758790000000001</v>
      </c>
      <c r="E192" s="3">
        <v>-93.122829999999993</v>
      </c>
      <c r="F192" s="3">
        <v>40</v>
      </c>
      <c r="G192" s="3">
        <v>40</v>
      </c>
      <c r="H192" s="3" t="s">
        <v>26</v>
      </c>
      <c r="I192" s="43"/>
      <c r="J192" s="55" t="s">
        <v>24</v>
      </c>
      <c r="K192" s="4">
        <v>53</v>
      </c>
      <c r="L192" s="22" t="str">
        <f>IF(ISNUMBER(Table2[[#This Row],[estHD]]),ABS(Table2[[#This Row],[HD]]-Table2[[#This Row],[estHD]]),"NA")</f>
        <v>NA</v>
      </c>
      <c r="M192" s="4" t="b">
        <f>Table2[[#This Row],[HD]]=Table2[[#This Row],[estHD]]</f>
        <v>0</v>
      </c>
      <c r="N192" s="4" t="str">
        <f>IF(ISNUMBER([1]!Table2[[#This Row],[hatch_date]]),[1]!Table2[[#This Row],[hatch_date]]-19,"NA")</f>
        <v>NA</v>
      </c>
      <c r="O192" s="31">
        <v>34</v>
      </c>
      <c r="P192" s="23">
        <f>IF(ISNUMBER(Table2[[#This Row],[nest_age1]]),ABS(Table2[[#This Row],[nest_age1]]-Table2[[#This Row],[nest_age_feb]]),"NA")</f>
        <v>1</v>
      </c>
      <c r="Q192" s="24">
        <f>IF(ISNUMBER(Table2[[#This Row],[final_obs_int2]]),ABS(Table2[[#This Row],[final_obs_int2]]-Table2[[#This Row],[final_obs_int_feb]]), "NA")</f>
        <v>4</v>
      </c>
      <c r="R192" s="24"/>
      <c r="S192" s="57" t="s">
        <v>88</v>
      </c>
      <c r="T192" s="57" t="str">
        <f>Table2[[#This Row],[camera_old]]</f>
        <v>N</v>
      </c>
      <c r="U192" s="24"/>
      <c r="V192" s="16" t="s">
        <v>24</v>
      </c>
      <c r="W192" s="16">
        <v>19</v>
      </c>
      <c r="X192" s="145">
        <v>5</v>
      </c>
      <c r="Y192" s="147" t="s">
        <v>37</v>
      </c>
      <c r="Z192" s="146" t="s">
        <v>37</v>
      </c>
      <c r="AA192" s="4" t="str">
        <f>Table2[[#This Row],[field_fate]]</f>
        <v>H</v>
      </c>
      <c r="AB192" s="4" t="str">
        <f>Table2[[#This Row],[field_fate2]]</f>
        <v>H</v>
      </c>
      <c r="AC192" s="4" t="str">
        <f>Table2[[#This Row],[field_fate3]]</f>
        <v>H</v>
      </c>
      <c r="AD192" s="4" t="str">
        <f>Table2[[#This Row],[field_fate4]]</f>
        <v>H</v>
      </c>
      <c r="AE192" s="4" t="str">
        <f>Table2[[#This Row],[field_fate5]]</f>
        <v>H</v>
      </c>
      <c r="AF192" s="4" t="str">
        <f>Table2[[#This Row],[field_fate5]]</f>
        <v>H</v>
      </c>
      <c r="AG192" s="4" t="str">
        <f>Table2[[#This Row],[field_fate5]]</f>
        <v>H</v>
      </c>
      <c r="AH192" s="4" t="str">
        <f>Table2[[#This Row],[field_fate2]]</f>
        <v>H</v>
      </c>
      <c r="AI192" s="4" t="str">
        <f>Table2[[#This Row],[field_fate8]]</f>
        <v>H</v>
      </c>
      <c r="AJ192" s="4" t="str">
        <f>Table2[[#This Row],[field_fate10]]</f>
        <v>H</v>
      </c>
      <c r="AK192" s="4" t="b">
        <f>Table2[[#This Row],[field_fate_feb]]=Table2[[#This Row],[field_fate10]]</f>
        <v>1</v>
      </c>
      <c r="AL192" s="43" t="s">
        <v>24</v>
      </c>
      <c r="AM192" s="43" t="b">
        <f>Table2[[#This Row],[cam_fate2]]="NA"</f>
        <v>1</v>
      </c>
      <c r="AN192" s="19" t="str">
        <f>Table2[[#This Row],[cam_fate1]]</f>
        <v>NA</v>
      </c>
      <c r="AO192" s="2" t="s">
        <v>37</v>
      </c>
      <c r="AP192" s="5" t="str">
        <f>Table2[[#This Row],[final_fate1]]</f>
        <v>H</v>
      </c>
      <c r="AQ192" s="6">
        <v>20</v>
      </c>
      <c r="AR192" s="7">
        <v>20</v>
      </c>
      <c r="AS192" s="7">
        <f>Table2[[#This Row],[final_obs_date]]-Table2[[#This Row],[init_date]]</f>
        <v>20</v>
      </c>
      <c r="AT192" s="7" t="e">
        <f>(Table2[[#This Row],[final_obs_date2]]-Table2[[#This Row],[estHD]])+16</f>
        <v>#VALUE!</v>
      </c>
      <c r="AU192" s="38">
        <v>1</v>
      </c>
      <c r="AV192" s="33">
        <v>1</v>
      </c>
      <c r="AW192" s="33">
        <f>Table2[[#This Row],[final_obs_date2]]-Table2[[#This Row],[pen_obs_date]]</f>
        <v>54</v>
      </c>
      <c r="AX192" s="67">
        <v>54</v>
      </c>
      <c r="AY192" s="6">
        <f>Table2[[#This Row],[final_obs_date]]</f>
        <v>54</v>
      </c>
      <c r="AZ192" s="6"/>
      <c r="BA192" s="91" t="s">
        <v>47</v>
      </c>
      <c r="BB192" s="6" t="e">
        <f>Table2[[#This Row],[final_obs_date]]&lt;(Table2[[#This Row],[estHD]]-2)</f>
        <v>#VALUE!</v>
      </c>
      <c r="BC192" s="24">
        <f>IF(Table2[[#This Row],[field_fate]]="H",1,0)</f>
        <v>1</v>
      </c>
      <c r="BD192" s="16">
        <f>IF(Table2[[#This Row],[cam_fate2]]="H",1,0)</f>
        <v>0</v>
      </c>
      <c r="BE192" s="6" t="b">
        <f>NOT(Table2[[#This Row],[HF_C]]=Table2[[#This Row],[HF]])</f>
        <v>1</v>
      </c>
      <c r="BF192" s="6" t="b">
        <f>NOT(Table2[[#This Row],[cam_fate2]]=Table2[[#This Row],[field_fate3]])</f>
        <v>1</v>
      </c>
      <c r="BG192" s="6" t="b">
        <f>OR(Table2[[#This Row],[field_fate3]]="U",Table2[[#This Row],[field_fate3]]="U-H")</f>
        <v>0</v>
      </c>
      <c r="BH192" s="8">
        <v>48</v>
      </c>
      <c r="BI192" s="8">
        <v>53</v>
      </c>
      <c r="BJ192" s="14">
        <f>IF(ISTEXT(Table2[[#This Row],[j.cam]]),Table2[[#This Row],[j]],Table2[[#This Row],[j.cam]])</f>
        <v>53</v>
      </c>
      <c r="BK192" s="9">
        <v>53</v>
      </c>
      <c r="BL192" s="15">
        <f>IF(ISTEXT(Table2[[#This Row],[k.cam]]), Table2[[#This Row],[k]], Table2[[#This Row],[k.cam]])</f>
        <v>53</v>
      </c>
      <c r="BM192" s="4" t="s">
        <v>24</v>
      </c>
      <c r="BN192" s="8" t="s">
        <v>24</v>
      </c>
      <c r="BO192" s="4">
        <v>4</v>
      </c>
      <c r="BP192" s="4">
        <f>Table2[[#This Row],[final_obs_date]]-Table2[[#This Row],[i]]</f>
        <v>6</v>
      </c>
      <c r="BQ192" s="4" t="e">
        <f>Table2[[#This Row],[final_obs_date2]]&gt;Table2[[#This Row],[estHD]]+3</f>
        <v>#VALUE!</v>
      </c>
      <c r="BR192" s="4" t="s">
        <v>33</v>
      </c>
      <c r="BS192" s="4" t="s">
        <v>109</v>
      </c>
      <c r="BT192" s="79" t="s">
        <v>1120</v>
      </c>
      <c r="BU192" s="26" t="s">
        <v>198</v>
      </c>
      <c r="BV192" s="79" t="s">
        <v>1518</v>
      </c>
      <c r="BW192" s="49"/>
      <c r="BX192" s="47"/>
      <c r="BY192" s="36" t="s">
        <v>24</v>
      </c>
    </row>
    <row r="193" spans="1:77" hidden="1" x14ac:dyDescent="0.35">
      <c r="A193" s="62">
        <v>10264</v>
      </c>
      <c r="B193" s="2" t="s">
        <v>122</v>
      </c>
      <c r="C193" s="44">
        <v>2019</v>
      </c>
      <c r="D193" s="3">
        <v>29.758870000000002</v>
      </c>
      <c r="E193" s="3">
        <v>-93.122860000000003</v>
      </c>
      <c r="F193" s="3">
        <v>40</v>
      </c>
      <c r="G193" s="3">
        <v>40</v>
      </c>
      <c r="H193" s="3" t="s">
        <v>26</v>
      </c>
      <c r="I193" s="43"/>
      <c r="J193" s="55">
        <v>53</v>
      </c>
      <c r="K193" s="4">
        <v>53</v>
      </c>
      <c r="L193" s="22">
        <f>IF(ISNUMBER(Table2[[#This Row],[estHD]]),ABS(Table2[[#This Row],[HD]]-Table2[[#This Row],[estHD]]),"NA")</f>
        <v>0</v>
      </c>
      <c r="M193" s="4" t="b">
        <f>Table2[[#This Row],[HD]]=Table2[[#This Row],[estHD]]</f>
        <v>1</v>
      </c>
      <c r="N193" s="4" t="str">
        <f>IF(ISNUMBER([1]!Table2[[#This Row],[hatch_date]]),[1]!Table2[[#This Row],[hatch_date]]-19,"NA")</f>
        <v>NA</v>
      </c>
      <c r="O193" s="31">
        <v>34</v>
      </c>
      <c r="P193" s="23">
        <f>IF(ISNUMBER(Table2[[#This Row],[nest_age1]]),ABS(Table2[[#This Row],[nest_age1]]-Table2[[#This Row],[nest_age_feb]]),"NA")</f>
        <v>1</v>
      </c>
      <c r="Q193" s="24">
        <f>IF(ISNUMBER(Table2[[#This Row],[final_obs_int2]]),ABS(Table2[[#This Row],[final_obs_int2]]-Table2[[#This Row],[final_obs_int_feb]]), "NA")</f>
        <v>4</v>
      </c>
      <c r="R193" s="24"/>
      <c r="S193" s="57" t="s">
        <v>88</v>
      </c>
      <c r="T193" s="57" t="str">
        <f>Table2[[#This Row],[camera_old]]</f>
        <v>N</v>
      </c>
      <c r="U193" s="24"/>
      <c r="V193" s="16" t="s">
        <v>24</v>
      </c>
      <c r="W193" s="16">
        <v>19</v>
      </c>
      <c r="X193" s="145">
        <v>5</v>
      </c>
      <c r="Y193" s="147" t="s">
        <v>37</v>
      </c>
      <c r="Z193" s="146" t="s">
        <v>37</v>
      </c>
      <c r="AA193" s="4" t="str">
        <f>Table2[[#This Row],[field_fate]]</f>
        <v>H</v>
      </c>
      <c r="AB193" s="4" t="str">
        <f>Table2[[#This Row],[field_fate2]]</f>
        <v>H</v>
      </c>
      <c r="AC193" s="4" t="str">
        <f>Table2[[#This Row],[field_fate3]]</f>
        <v>H</v>
      </c>
      <c r="AD193" s="4" t="str">
        <f>Table2[[#This Row],[field_fate4]]</f>
        <v>H</v>
      </c>
      <c r="AE193" s="4" t="str">
        <f>Table2[[#This Row],[field_fate5]]</f>
        <v>H</v>
      </c>
      <c r="AF193" s="4" t="str">
        <f>Table2[[#This Row],[field_fate5]]</f>
        <v>H</v>
      </c>
      <c r="AG193" s="4" t="str">
        <f>Table2[[#This Row],[field_fate5]]</f>
        <v>H</v>
      </c>
      <c r="AH193" s="4" t="str">
        <f>Table2[[#This Row],[field_fate2]]</f>
        <v>H</v>
      </c>
      <c r="AI193" s="4" t="str">
        <f>Table2[[#This Row],[field_fate8]]</f>
        <v>H</v>
      </c>
      <c r="AJ193" s="4" t="str">
        <f>Table2[[#This Row],[field_fate10]]</f>
        <v>H</v>
      </c>
      <c r="AK193" s="4" t="b">
        <f>Table2[[#This Row],[field_fate_feb]]=Table2[[#This Row],[field_fate10]]</f>
        <v>1</v>
      </c>
      <c r="AL193" s="43" t="s">
        <v>24</v>
      </c>
      <c r="AM193" s="43" t="b">
        <f>Table2[[#This Row],[cam_fate2]]="NA"</f>
        <v>1</v>
      </c>
      <c r="AN193" s="19" t="str">
        <f>Table2[[#This Row],[cam_fate1]]</f>
        <v>NA</v>
      </c>
      <c r="AO193" s="2" t="s">
        <v>37</v>
      </c>
      <c r="AP193" s="5" t="str">
        <f>Table2[[#This Row],[final_fate1]]</f>
        <v>H</v>
      </c>
      <c r="AQ193" s="6">
        <v>20</v>
      </c>
      <c r="AR193" s="7">
        <v>20</v>
      </c>
      <c r="AS193" s="7">
        <f>Table2[[#This Row],[final_obs_date]]-Table2[[#This Row],[init_date]]</f>
        <v>20</v>
      </c>
      <c r="AT193" s="7">
        <f>(Table2[[#This Row],[final_obs_date2]]-Table2[[#This Row],[estHD]])+16</f>
        <v>17</v>
      </c>
      <c r="AU193" s="38">
        <v>1</v>
      </c>
      <c r="AV193" s="33">
        <v>1</v>
      </c>
      <c r="AW193" s="33">
        <f>Table2[[#This Row],[final_obs_date2]]-Table2[[#This Row],[pen_obs_date]]</f>
        <v>54</v>
      </c>
      <c r="AX193" s="67">
        <v>54</v>
      </c>
      <c r="AY193" s="6">
        <f>Table2[[#This Row],[final_obs_date]]</f>
        <v>54</v>
      </c>
      <c r="AZ193" s="6"/>
      <c r="BA193" s="91" t="s">
        <v>47</v>
      </c>
      <c r="BB193" s="6" t="b">
        <f>Table2[[#This Row],[final_obs_date]]&lt;(Table2[[#This Row],[estHD]]-2)</f>
        <v>0</v>
      </c>
      <c r="BC193" s="24">
        <f>IF(Table2[[#This Row],[field_fate]]="H",1,0)</f>
        <v>1</v>
      </c>
      <c r="BD193" s="16">
        <f>IF(Table2[[#This Row],[cam_fate2]]="H",1,0)</f>
        <v>0</v>
      </c>
      <c r="BE193" s="6" t="b">
        <f>NOT(Table2[[#This Row],[HF_C]]=Table2[[#This Row],[HF]])</f>
        <v>1</v>
      </c>
      <c r="BF193" s="6" t="b">
        <f>NOT(Table2[[#This Row],[cam_fate2]]=Table2[[#This Row],[field_fate3]])</f>
        <v>1</v>
      </c>
      <c r="BG193" s="6" t="b">
        <f>OR(Table2[[#This Row],[field_fate3]]="U",Table2[[#This Row],[field_fate3]]="U-H")</f>
        <v>0</v>
      </c>
      <c r="BH193" s="8">
        <v>48</v>
      </c>
      <c r="BI193" s="8">
        <v>53</v>
      </c>
      <c r="BJ193" s="14">
        <f>IF(ISTEXT(Table2[[#This Row],[j.cam]]),Table2[[#This Row],[j]],Table2[[#This Row],[j.cam]])</f>
        <v>53</v>
      </c>
      <c r="BK193" s="9">
        <v>53</v>
      </c>
      <c r="BL193" s="15">
        <f>IF(ISTEXT(Table2[[#This Row],[k.cam]]), Table2[[#This Row],[k]], Table2[[#This Row],[k.cam]])</f>
        <v>53</v>
      </c>
      <c r="BM193" s="4" t="s">
        <v>24</v>
      </c>
      <c r="BN193" s="8" t="s">
        <v>24</v>
      </c>
      <c r="BO193" s="4">
        <v>4</v>
      </c>
      <c r="BP193" s="4">
        <f>Table2[[#This Row],[final_obs_date]]-Table2[[#This Row],[i]]</f>
        <v>6</v>
      </c>
      <c r="BQ193" s="4" t="b">
        <f>Table2[[#This Row],[final_obs_date2]]&gt;Table2[[#This Row],[estHD]]+3</f>
        <v>0</v>
      </c>
      <c r="BR193" s="4" t="s">
        <v>27</v>
      </c>
      <c r="BS193" s="4" t="s">
        <v>199</v>
      </c>
      <c r="BT193" s="79" t="s">
        <v>1120</v>
      </c>
      <c r="BU193" s="26" t="s">
        <v>200</v>
      </c>
      <c r="BV193" s="79" t="s">
        <v>1518</v>
      </c>
      <c r="BW193" s="49"/>
      <c r="BX193" s="47"/>
      <c r="BY193" s="36" t="s">
        <v>24</v>
      </c>
    </row>
    <row r="194" spans="1:77" hidden="1" x14ac:dyDescent="0.35">
      <c r="A194" s="62">
        <v>10265</v>
      </c>
      <c r="B194" s="2" t="s">
        <v>122</v>
      </c>
      <c r="C194" s="44">
        <v>2019</v>
      </c>
      <c r="D194" s="3">
        <v>29.758859999999999</v>
      </c>
      <c r="E194" s="3">
        <v>-93.12285</v>
      </c>
      <c r="F194" s="3">
        <v>40</v>
      </c>
      <c r="G194" s="3">
        <v>40</v>
      </c>
      <c r="H194" s="3" t="s">
        <v>26</v>
      </c>
      <c r="I194" s="43"/>
      <c r="J194" s="55">
        <v>52</v>
      </c>
      <c r="K194" s="4">
        <v>54</v>
      </c>
      <c r="L194" s="22">
        <f>IF(ISNUMBER(Table2[[#This Row],[estHD]]),ABS(Table2[[#This Row],[HD]]-Table2[[#This Row],[estHD]]),"NA")</f>
        <v>2</v>
      </c>
      <c r="M194" s="4" t="b">
        <f>Table2[[#This Row],[HD]]=Table2[[#This Row],[estHD]]</f>
        <v>0</v>
      </c>
      <c r="N194" s="4" t="str">
        <f>IF(ISNUMBER([1]!Table2[[#This Row],[hatch_date]]),[1]!Table2[[#This Row],[hatch_date]]-19,"NA")</f>
        <v>NA</v>
      </c>
      <c r="O194" s="31">
        <v>35</v>
      </c>
      <c r="P194" s="23">
        <f>IF(ISNUMBER(Table2[[#This Row],[nest_age1]]),ABS(Table2[[#This Row],[nest_age1]]-Table2[[#This Row],[nest_age_feb]]),"NA")</f>
        <v>2</v>
      </c>
      <c r="Q194" s="24">
        <f>IF(ISNUMBER(Table2[[#This Row],[final_obs_int2]]),ABS(Table2[[#This Row],[final_obs_int2]]-Table2[[#This Row],[final_obs_int_feb]]), "NA")</f>
        <v>0</v>
      </c>
      <c r="R194" s="24"/>
      <c r="S194" s="57" t="s">
        <v>88</v>
      </c>
      <c r="T194" s="57" t="str">
        <f>Table2[[#This Row],[camera_old]]</f>
        <v>N</v>
      </c>
      <c r="U194" s="24"/>
      <c r="V194" s="16" t="s">
        <v>24</v>
      </c>
      <c r="W194" s="16">
        <v>21</v>
      </c>
      <c r="X194" s="145">
        <v>6</v>
      </c>
      <c r="Y194" s="147" t="s">
        <v>37</v>
      </c>
      <c r="Z194" s="146" t="s">
        <v>37</v>
      </c>
      <c r="AA194" s="4" t="str">
        <f>Table2[[#This Row],[field_fate]]</f>
        <v>H</v>
      </c>
      <c r="AB194" s="4" t="str">
        <f>Table2[[#This Row],[field_fate2]]</f>
        <v>H</v>
      </c>
      <c r="AC194" s="4" t="str">
        <f>Table2[[#This Row],[field_fate3]]</f>
        <v>H</v>
      </c>
      <c r="AD194" s="4" t="str">
        <f>Table2[[#This Row],[field_fate4]]</f>
        <v>H</v>
      </c>
      <c r="AE194" s="4" t="str">
        <f>Table2[[#This Row],[field_fate5]]</f>
        <v>H</v>
      </c>
      <c r="AF194" s="4" t="str">
        <f>Table2[[#This Row],[field_fate5]]</f>
        <v>H</v>
      </c>
      <c r="AG194" s="4" t="str">
        <f>Table2[[#This Row],[field_fate5]]</f>
        <v>H</v>
      </c>
      <c r="AH194" s="4" t="str">
        <f>Table2[[#This Row],[field_fate2]]</f>
        <v>H</v>
      </c>
      <c r="AI194" s="4" t="str">
        <f>Table2[[#This Row],[field_fate8]]</f>
        <v>H</v>
      </c>
      <c r="AJ194" s="4" t="str">
        <f>Table2[[#This Row],[field_fate10]]</f>
        <v>H</v>
      </c>
      <c r="AK194" s="4" t="b">
        <f>Table2[[#This Row],[field_fate_feb]]=Table2[[#This Row],[field_fate10]]</f>
        <v>1</v>
      </c>
      <c r="AL194" s="43" t="s">
        <v>24</v>
      </c>
      <c r="AM194" s="43" t="b">
        <f>Table2[[#This Row],[cam_fate2]]="NA"</f>
        <v>1</v>
      </c>
      <c r="AN194" s="19" t="str">
        <f>Table2[[#This Row],[cam_fate1]]</f>
        <v>NA</v>
      </c>
      <c r="AO194" s="2" t="s">
        <v>37</v>
      </c>
      <c r="AP194" s="5" t="str">
        <f>Table2[[#This Row],[final_fate1]]</f>
        <v>H</v>
      </c>
      <c r="AQ194" s="6">
        <v>19</v>
      </c>
      <c r="AR194" s="7">
        <v>21</v>
      </c>
      <c r="AS194" s="7">
        <f>Table2[[#This Row],[final_obs_date]]-Table2[[#This Row],[init_date]]</f>
        <v>19</v>
      </c>
      <c r="AT194" s="7">
        <f>(Table2[[#This Row],[final_obs_date2]]-Table2[[#This Row],[estHD]])+16</f>
        <v>18</v>
      </c>
      <c r="AU194" s="38">
        <v>6</v>
      </c>
      <c r="AV194" s="33">
        <v>6</v>
      </c>
      <c r="AW194" s="33">
        <f>Table2[[#This Row],[final_obs_date2]]-Table2[[#This Row],[pen_obs_date]]</f>
        <v>54</v>
      </c>
      <c r="AX194" s="67">
        <v>54</v>
      </c>
      <c r="AY194" s="6">
        <f>Table2[[#This Row],[final_obs_date]]</f>
        <v>54</v>
      </c>
      <c r="AZ194" s="6"/>
      <c r="BA194" s="91" t="s">
        <v>47</v>
      </c>
      <c r="BB194" s="6" t="b">
        <f>Table2[[#This Row],[final_obs_date]]&lt;(Table2[[#This Row],[estHD]]-2)</f>
        <v>0</v>
      </c>
      <c r="BC194" s="24">
        <f>IF(Table2[[#This Row],[field_fate]]="H",1,0)</f>
        <v>1</v>
      </c>
      <c r="BD194" s="16">
        <f>IF(Table2[[#This Row],[cam_fate2]]="H",1,0)</f>
        <v>0</v>
      </c>
      <c r="BE194" s="6" t="b">
        <f>NOT(Table2[[#This Row],[HF_C]]=Table2[[#This Row],[HF]])</f>
        <v>1</v>
      </c>
      <c r="BF194" s="6" t="b">
        <f>NOT(Table2[[#This Row],[cam_fate2]]=Table2[[#This Row],[field_fate3]])</f>
        <v>1</v>
      </c>
      <c r="BG194" s="6" t="b">
        <f>OR(Table2[[#This Row],[field_fate3]]="U",Table2[[#This Row],[field_fate3]]="U-H")</f>
        <v>0</v>
      </c>
      <c r="BH194" s="8">
        <v>48</v>
      </c>
      <c r="BI194" s="8">
        <v>54</v>
      </c>
      <c r="BJ194" s="14">
        <f>IF(ISTEXT(Table2[[#This Row],[j.cam]]),Table2[[#This Row],[j]],Table2[[#This Row],[j.cam]])</f>
        <v>54</v>
      </c>
      <c r="BK194" s="9">
        <v>54</v>
      </c>
      <c r="BL194" s="15">
        <f>IF(ISTEXT(Table2[[#This Row],[k.cam]]), Table2[[#This Row],[k]], Table2[[#This Row],[k.cam]])</f>
        <v>54</v>
      </c>
      <c r="BM194" s="4" t="s">
        <v>24</v>
      </c>
      <c r="BN194" s="8" t="s">
        <v>24</v>
      </c>
      <c r="BO194" s="4">
        <v>4</v>
      </c>
      <c r="BP194" s="4">
        <f>Table2[[#This Row],[final_obs_date]]-Table2[[#This Row],[i]]</f>
        <v>6</v>
      </c>
      <c r="BQ194" s="4" t="b">
        <f>Table2[[#This Row],[final_obs_date2]]&gt;Table2[[#This Row],[estHD]]+3</f>
        <v>0</v>
      </c>
      <c r="BR194" s="4" t="s">
        <v>33</v>
      </c>
      <c r="BS194" s="4" t="s">
        <v>127</v>
      </c>
      <c r="BT194" s="79" t="s">
        <v>1120</v>
      </c>
      <c r="BU194" s="26" t="s">
        <v>201</v>
      </c>
      <c r="BV194" s="79" t="s">
        <v>1517</v>
      </c>
      <c r="BW194" s="49"/>
      <c r="BX194" s="47"/>
      <c r="BY194" s="36" t="s">
        <v>24</v>
      </c>
    </row>
    <row r="195" spans="1:77" ht="18.5" hidden="1" x14ac:dyDescent="0.35">
      <c r="A195" s="62">
        <v>10266</v>
      </c>
      <c r="B195" s="2" t="s">
        <v>122</v>
      </c>
      <c r="C195" s="44">
        <v>2019</v>
      </c>
      <c r="D195" s="3">
        <v>29.75844</v>
      </c>
      <c r="E195" s="3">
        <v>-93.121440000000007</v>
      </c>
      <c r="F195" s="3">
        <v>40</v>
      </c>
      <c r="G195" s="3">
        <v>40</v>
      </c>
      <c r="H195" s="3" t="s">
        <v>26</v>
      </c>
      <c r="I195" s="43"/>
      <c r="J195" s="55">
        <v>66</v>
      </c>
      <c r="K195" s="4">
        <v>62</v>
      </c>
      <c r="L195" s="22">
        <f>IF(ISNUMBER(Table2[[#This Row],[estHD]]),ABS(Table2[[#This Row],[HD]]-Table2[[#This Row],[estHD]]),"NA")</f>
        <v>4</v>
      </c>
      <c r="M195" s="4" t="b">
        <f>Table2[[#This Row],[HD]]=Table2[[#This Row],[estHD]]</f>
        <v>0</v>
      </c>
      <c r="N195" s="4" t="str">
        <f>IF(ISNUMBER([1]!Table2[[#This Row],[hatch_date]]), [1]!Table2[[#This Row],[hatch_date]]-28, "NA")</f>
        <v>NA</v>
      </c>
      <c r="O195" s="31">
        <v>34</v>
      </c>
      <c r="P195" s="23">
        <f>IF(ISNUMBER(Table2[[#This Row],[nest_age1]]),ABS(Table2[[#This Row],[nest_age1]]-Table2[[#This Row],[nest_age_feb]]),"NA")</f>
        <v>4</v>
      </c>
      <c r="Q195" s="24">
        <f>IF(ISNUMBER(Table2[[#This Row],[final_obs_int2]]),ABS(Table2[[#This Row],[final_obs_int2]]-Table2[[#This Row],[final_obs_int_feb]]), "NA")</f>
        <v>0</v>
      </c>
      <c r="R195" s="24"/>
      <c r="S195" s="57" t="s">
        <v>88</v>
      </c>
      <c r="T195" s="57" t="str">
        <f>Table2[[#This Row],[camera_old]]</f>
        <v>N</v>
      </c>
      <c r="U195" s="24"/>
      <c r="V195" s="16" t="s">
        <v>24</v>
      </c>
      <c r="W195" s="16">
        <v>25</v>
      </c>
      <c r="X195" s="145">
        <v>1</v>
      </c>
      <c r="Y195" s="147" t="s">
        <v>37</v>
      </c>
      <c r="Z195" s="146" t="s">
        <v>37</v>
      </c>
      <c r="AA195" s="4" t="str">
        <f>Table2[[#This Row],[field_fate]]</f>
        <v>H</v>
      </c>
      <c r="AB195" s="4" t="str">
        <f>Table2[[#This Row],[field_fate2]]</f>
        <v>H</v>
      </c>
      <c r="AC195" s="4" t="str">
        <f>Table2[[#This Row],[field_fate3]]</f>
        <v>H</v>
      </c>
      <c r="AD195" s="4" t="str">
        <f>Table2[[#This Row],[field_fate4]]</f>
        <v>H</v>
      </c>
      <c r="AE195" s="4" t="str">
        <f>Table2[[#This Row],[field_fate5]]</f>
        <v>H</v>
      </c>
      <c r="AF195" s="4" t="str">
        <f>Table2[[#This Row],[field_fate5]]</f>
        <v>H</v>
      </c>
      <c r="AG195" s="4" t="str">
        <f>Table2[[#This Row],[field_fate5]]</f>
        <v>H</v>
      </c>
      <c r="AH195" s="4" t="str">
        <f>Table2[[#This Row],[field_fate2]]</f>
        <v>H</v>
      </c>
      <c r="AI195" s="4" t="str">
        <f>Table2[[#This Row],[field_fate8]]</f>
        <v>H</v>
      </c>
      <c r="AJ195" s="4" t="str">
        <f>Table2[[#This Row],[field_fate10]]</f>
        <v>H</v>
      </c>
      <c r="AK195" s="4" t="b">
        <f>Table2[[#This Row],[field_fate_feb]]=Table2[[#This Row],[field_fate10]]</f>
        <v>1</v>
      </c>
      <c r="AL195" s="43" t="s">
        <v>24</v>
      </c>
      <c r="AM195" s="43" t="b">
        <f>Table2[[#This Row],[cam_fate2]]="NA"</f>
        <v>1</v>
      </c>
      <c r="AN195" s="19" t="str">
        <f>Table2[[#This Row],[cam_fate1]]</f>
        <v>NA</v>
      </c>
      <c r="AO195" s="2" t="s">
        <v>37</v>
      </c>
      <c r="AP195" s="5" t="str">
        <f>Table2[[#This Row],[final_fate1]]</f>
        <v>H</v>
      </c>
      <c r="AQ195" s="6">
        <v>29</v>
      </c>
      <c r="AR195" s="7">
        <v>25</v>
      </c>
      <c r="AS195" s="7">
        <f>Table2[[#This Row],[final_obs_date]]-Table2[[#This Row],[init_date]]</f>
        <v>29</v>
      </c>
      <c r="AT195" s="7">
        <f>(Table2[[#This Row],[final_obs_date2]]-Table2[[#This Row],[estHD]])+16</f>
        <v>13</v>
      </c>
      <c r="AU195" s="38">
        <v>1</v>
      </c>
      <c r="AV195" s="33">
        <v>1</v>
      </c>
      <c r="AW195" s="33">
        <f>Table2[[#This Row],[final_obs_date2]]-Table2[[#This Row],[pen_obs_date]]</f>
        <v>63</v>
      </c>
      <c r="AX195" s="67">
        <v>63</v>
      </c>
      <c r="AY195" s="6">
        <f>Table2[[#This Row],[final_obs_date]]</f>
        <v>63</v>
      </c>
      <c r="AZ195" s="6"/>
      <c r="BA195" s="91" t="s">
        <v>23</v>
      </c>
      <c r="BB195" s="6" t="b">
        <f>Table2[[#This Row],[final_obs_date]]&lt;(Table2[[#This Row],[estHD]]-2)</f>
        <v>1</v>
      </c>
      <c r="BC195" s="24">
        <f>IF(Table2[[#This Row],[field_fate]]="H",1,0)</f>
        <v>1</v>
      </c>
      <c r="BD195" s="16">
        <f>IF(Table2[[#This Row],[cam_fate2]]="H",1,0)</f>
        <v>0</v>
      </c>
      <c r="BE195" s="6" t="b">
        <f>NOT(Table2[[#This Row],[HF_C]]=Table2[[#This Row],[HF]])</f>
        <v>1</v>
      </c>
      <c r="BF195" s="6" t="b">
        <f>NOT(Table2[[#This Row],[cam_fate2]]=Table2[[#This Row],[field_fate3]])</f>
        <v>1</v>
      </c>
      <c r="BG195" s="6" t="b">
        <f>OR(Table2[[#This Row],[field_fate3]]="U",Table2[[#This Row],[field_fate3]]="U-H")</f>
        <v>0</v>
      </c>
      <c r="BH195" s="8">
        <v>36</v>
      </c>
      <c r="BI195" s="8">
        <v>62</v>
      </c>
      <c r="BJ195" s="14">
        <f>IF(ISTEXT(Table2[[#This Row],[j.cam]]),Table2[[#This Row],[j]],Table2[[#This Row],[j.cam]])</f>
        <v>62</v>
      </c>
      <c r="BK195" s="9">
        <v>62</v>
      </c>
      <c r="BL195" s="15">
        <f>IF(ISTEXT(Table2[[#This Row],[k.cam]]), Table2[[#This Row],[k]], Table2[[#This Row],[k.cam]])</f>
        <v>62</v>
      </c>
      <c r="BM195" s="4" t="s">
        <v>24</v>
      </c>
      <c r="BN195" s="8" t="s">
        <v>24</v>
      </c>
      <c r="BO195" s="4">
        <v>6</v>
      </c>
      <c r="BP195" s="4">
        <f>Table2[[#This Row],[final_obs_date]]-Table2[[#This Row],[i]]</f>
        <v>27</v>
      </c>
      <c r="BQ195" s="4" t="b">
        <f>Table2[[#This Row],[final_obs_date2]]&gt;Table2[[#This Row],[estHD]]+3</f>
        <v>0</v>
      </c>
      <c r="BR195" s="4" t="s">
        <v>27</v>
      </c>
      <c r="BS195" s="4" t="s">
        <v>145</v>
      </c>
      <c r="BT195" s="79" t="s">
        <v>1121</v>
      </c>
      <c r="BU195" s="26" t="s">
        <v>202</v>
      </c>
      <c r="BV195" s="79" t="s">
        <v>1519</v>
      </c>
      <c r="BW195" s="49"/>
      <c r="BX195" s="47"/>
      <c r="BY195" s="36" t="s">
        <v>595</v>
      </c>
    </row>
    <row r="196" spans="1:77" hidden="1" x14ac:dyDescent="0.35">
      <c r="A196" s="62">
        <v>10268</v>
      </c>
      <c r="B196" s="2" t="s">
        <v>35</v>
      </c>
      <c r="C196" s="44">
        <v>2019</v>
      </c>
      <c r="D196" s="3">
        <v>29.764500000000002</v>
      </c>
      <c r="E196" s="3">
        <v>-93.149370000000005</v>
      </c>
      <c r="F196" s="3" t="s">
        <v>24</v>
      </c>
      <c r="G196" s="3" t="s">
        <v>24</v>
      </c>
      <c r="H196" s="3" t="s">
        <v>26</v>
      </c>
      <c r="I196" s="43"/>
      <c r="J196" s="55" t="s">
        <v>24</v>
      </c>
      <c r="K196" s="4" t="s">
        <v>24</v>
      </c>
      <c r="L196" s="22" t="str">
        <f>IF(ISNUMBER(Table2[[#This Row],[estHD]]),ABS(Table2[[#This Row],[HD]]-Table2[[#This Row],[estHD]]),"NA")</f>
        <v>NA</v>
      </c>
      <c r="M196" s="4" t="b">
        <f>Table2[[#This Row],[HD]]=Table2[[#This Row],[estHD]]</f>
        <v>1</v>
      </c>
      <c r="N196" s="4" t="str">
        <f>IF(ISNUMBER([1]!Table2[[#This Row],[hatch_date]]),[1]!Table2[[#This Row],[hatch_date]]-19,"NA")</f>
        <v>NA</v>
      </c>
      <c r="O196" s="31" t="s">
        <v>24</v>
      </c>
      <c r="P196" s="23" t="str">
        <f>IF(ISNUMBER(Table2[[#This Row],[nest_age1]]),ABS(Table2[[#This Row],[nest_age1]]-Table2[[#This Row],[nest_age_feb]]),"NA")</f>
        <v>NA</v>
      </c>
      <c r="Q196" s="24">
        <f>IF(ISNUMBER(Table2[[#This Row],[final_obs_int2]]),ABS(Table2[[#This Row],[final_obs_int2]]-Table2[[#This Row],[final_obs_int_feb]]), "NA")</f>
        <v>0</v>
      </c>
      <c r="R196" s="24"/>
      <c r="S196" s="57" t="s">
        <v>88</v>
      </c>
      <c r="T196" s="57" t="str">
        <f>Table2[[#This Row],[camera_old]]</f>
        <v>N</v>
      </c>
      <c r="U196" s="24"/>
      <c r="V196" s="16" t="s">
        <v>24</v>
      </c>
      <c r="W196" s="16" t="s">
        <v>24</v>
      </c>
      <c r="X196" s="145">
        <v>5</v>
      </c>
      <c r="Y196" s="147" t="s">
        <v>91</v>
      </c>
      <c r="Z196" s="146" t="s">
        <v>91</v>
      </c>
      <c r="AA196" s="4" t="str">
        <f>Table2[[#This Row],[field_fate]]</f>
        <v>Hu</v>
      </c>
      <c r="AB196" s="4" t="str">
        <f>Table2[[#This Row],[field_fate2]]</f>
        <v>Hu</v>
      </c>
      <c r="AC196" s="4" t="str">
        <f>Table2[[#This Row],[field_fate3]]</f>
        <v>Hu</v>
      </c>
      <c r="AD196" s="4" t="str">
        <f>Table2[[#This Row],[field_fate4]]</f>
        <v>Hu</v>
      </c>
      <c r="AE196" s="4" t="str">
        <f>Table2[[#This Row],[field_fate5]]</f>
        <v>Hu</v>
      </c>
      <c r="AF196" s="4" t="str">
        <f>Table2[[#This Row],[field_fate5]]</f>
        <v>Hu</v>
      </c>
      <c r="AG196" s="4" t="str">
        <f>Table2[[#This Row],[field_fate5]]</f>
        <v>Hu</v>
      </c>
      <c r="AH196" s="4" t="str">
        <f>Table2[[#This Row],[field_fate2]]</f>
        <v>Hu</v>
      </c>
      <c r="AI196" s="4" t="str">
        <f>Table2[[#This Row],[field_fate8]]</f>
        <v>Hu</v>
      </c>
      <c r="AJ196" s="4" t="str">
        <f>Table2[[#This Row],[field_fate10]]</f>
        <v>Hu</v>
      </c>
      <c r="AK196" s="4" t="b">
        <f>Table2[[#This Row],[field_fate_feb]]=Table2[[#This Row],[field_fate10]]</f>
        <v>1</v>
      </c>
      <c r="AL196" s="43" t="s">
        <v>24</v>
      </c>
      <c r="AM196" s="43" t="b">
        <f>Table2[[#This Row],[cam_fate2]]="NA"</f>
        <v>1</v>
      </c>
      <c r="AN196" s="19" t="str">
        <f>Table2[[#This Row],[cam_fate1]]</f>
        <v>NA</v>
      </c>
      <c r="AO196" s="2" t="s">
        <v>91</v>
      </c>
      <c r="AP196" s="5" t="str">
        <f>Table2[[#This Row],[final_fate1]]</f>
        <v>Hu</v>
      </c>
      <c r="AQ196" s="6" t="s">
        <v>24</v>
      </c>
      <c r="AR196" s="7" t="s">
        <v>24</v>
      </c>
      <c r="AS196" s="7" t="e">
        <f>Table2[[#This Row],[final_obs_date]]-Table2[[#This Row],[init_date]]</f>
        <v>#VALUE!</v>
      </c>
      <c r="AT196" s="7" t="e">
        <f>(Table2[[#This Row],[final_obs_date2]]-Table2[[#This Row],[estHD]])+16</f>
        <v>#VALUE!</v>
      </c>
      <c r="AU196" s="38">
        <v>5</v>
      </c>
      <c r="AV196" s="33">
        <v>5</v>
      </c>
      <c r="AW196" s="33">
        <f>Table2[[#This Row],[final_obs_date2]]-Table2[[#This Row],[pen_obs_date]]</f>
        <v>48</v>
      </c>
      <c r="AX196" s="67">
        <v>48</v>
      </c>
      <c r="AY196" s="6">
        <f>Table2[[#This Row],[final_obs_date]]</f>
        <v>48</v>
      </c>
      <c r="AZ196" s="6"/>
      <c r="BA196" s="91" t="s">
        <v>47</v>
      </c>
      <c r="BB196" s="6" t="e">
        <f>Table2[[#This Row],[final_obs_date]]&lt;(Table2[[#This Row],[estHD]]-2)</f>
        <v>#VALUE!</v>
      </c>
      <c r="BC196" s="24">
        <f>IF(Table2[[#This Row],[field_fate]]="H",1,0)</f>
        <v>0</v>
      </c>
      <c r="BD196" s="16">
        <f>IF(Table2[[#This Row],[cam_fate2]]="H",1,0)</f>
        <v>0</v>
      </c>
      <c r="BE196" s="6" t="b">
        <f>NOT(Table2[[#This Row],[HF_C]]=Table2[[#This Row],[HF]])</f>
        <v>0</v>
      </c>
      <c r="BF196" s="6" t="b">
        <f>NOT(Table2[[#This Row],[cam_fate2]]=Table2[[#This Row],[field_fate3]])</f>
        <v>1</v>
      </c>
      <c r="BG196" s="6" t="b">
        <f>OR(Table2[[#This Row],[field_fate3]]="U",Table2[[#This Row],[field_fate3]]="U-H")</f>
        <v>0</v>
      </c>
      <c r="BH196" s="8">
        <v>39</v>
      </c>
      <c r="BI196" s="8">
        <v>43</v>
      </c>
      <c r="BJ196" s="14">
        <f>IF(ISTEXT(Table2[[#This Row],[j.cam]]),Table2[[#This Row],[j]],Table2[[#This Row],[j.cam]])</f>
        <v>43</v>
      </c>
      <c r="BK196" s="9">
        <v>48</v>
      </c>
      <c r="BL196" s="15">
        <f>IF(ISTEXT(Table2[[#This Row],[k.cam]]), Table2[[#This Row],[k]], Table2[[#This Row],[k.cam]])</f>
        <v>48</v>
      </c>
      <c r="BM196" s="4" t="s">
        <v>24</v>
      </c>
      <c r="BN196" s="8" t="s">
        <v>24</v>
      </c>
      <c r="BO196" s="4">
        <v>3</v>
      </c>
      <c r="BP196" s="4">
        <f>Table2[[#This Row],[final_obs_date]]-Table2[[#This Row],[i]]</f>
        <v>9</v>
      </c>
      <c r="BQ196" s="4" t="e">
        <f>Table2[[#This Row],[final_obs_date2]]&gt;Table2[[#This Row],[estHD]]+3</f>
        <v>#VALUE!</v>
      </c>
      <c r="BR196" s="4" t="s">
        <v>33</v>
      </c>
      <c r="BS196" s="4" t="s">
        <v>28</v>
      </c>
      <c r="BT196" s="79" t="s">
        <v>1122</v>
      </c>
      <c r="BU196" s="26" t="s">
        <v>64</v>
      </c>
      <c r="BV196" s="79" t="s">
        <v>1479</v>
      </c>
      <c r="BW196" s="49"/>
      <c r="BX196" s="47"/>
      <c r="BY196" s="36" t="s">
        <v>596</v>
      </c>
    </row>
    <row r="197" spans="1:77" hidden="1" x14ac:dyDescent="0.35">
      <c r="A197" s="62">
        <v>10269</v>
      </c>
      <c r="B197" s="2" t="s">
        <v>122</v>
      </c>
      <c r="C197" s="44">
        <v>2019</v>
      </c>
      <c r="D197" s="3">
        <v>29.75881</v>
      </c>
      <c r="E197" s="3">
        <v>-93.122950000000003</v>
      </c>
      <c r="F197" s="3" t="s">
        <v>24</v>
      </c>
      <c r="G197" s="3" t="s">
        <v>24</v>
      </c>
      <c r="H197" s="3" t="s">
        <v>26</v>
      </c>
      <c r="I197" s="43"/>
      <c r="J197" s="55" t="s">
        <v>24</v>
      </c>
      <c r="K197" s="4">
        <v>57</v>
      </c>
      <c r="L197" s="22" t="str">
        <f>IF(ISNUMBER(Table2[[#This Row],[estHD]]),ABS(Table2[[#This Row],[HD]]-Table2[[#This Row],[estHD]]),"NA")</f>
        <v>NA</v>
      </c>
      <c r="M197" s="4" t="b">
        <f>Table2[[#This Row],[HD]]=Table2[[#This Row],[estHD]]</f>
        <v>0</v>
      </c>
      <c r="N197" s="4" t="str">
        <f>IF(ISNUMBER([1]!Table2[[#This Row],[hatch_date]]),[1]!Table2[[#This Row],[hatch_date]]-19,"NA")</f>
        <v>NA</v>
      </c>
      <c r="O197" s="31">
        <v>38</v>
      </c>
      <c r="P197" s="23">
        <f>IF(ISNUMBER(Table2[[#This Row],[nest_age1]]),ABS(Table2[[#This Row],[nest_age1]]-Table2[[#This Row],[nest_age_feb]]),"NA")</f>
        <v>0</v>
      </c>
      <c r="Q197" s="24">
        <f>IF(ISNUMBER(Table2[[#This Row],[final_obs_int2]]),ABS(Table2[[#This Row],[final_obs_int2]]-Table2[[#This Row],[final_obs_int_feb]]), "NA")</f>
        <v>0</v>
      </c>
      <c r="R197" s="24"/>
      <c r="S197" s="57" t="s">
        <v>88</v>
      </c>
      <c r="T197" s="57" t="str">
        <f>Table2[[#This Row],[camera_old]]</f>
        <v>N</v>
      </c>
      <c r="U197" s="24"/>
      <c r="V197" s="16" t="s">
        <v>24</v>
      </c>
      <c r="W197" s="16">
        <v>19</v>
      </c>
      <c r="X197" s="145">
        <v>3</v>
      </c>
      <c r="Y197" s="147" t="s">
        <v>37</v>
      </c>
      <c r="Z197" s="146" t="s">
        <v>37</v>
      </c>
      <c r="AA197" s="4" t="str">
        <f>Table2[[#This Row],[field_fate]]</f>
        <v>H</v>
      </c>
      <c r="AB197" s="4" t="str">
        <f>Table2[[#This Row],[field_fate2]]</f>
        <v>H</v>
      </c>
      <c r="AC197" s="4" t="str">
        <f>Table2[[#This Row],[field_fate3]]</f>
        <v>H</v>
      </c>
      <c r="AD197" s="4" t="str">
        <f>Table2[[#This Row],[field_fate4]]</f>
        <v>H</v>
      </c>
      <c r="AE197" s="4" t="str">
        <f>Table2[[#This Row],[field_fate5]]</f>
        <v>H</v>
      </c>
      <c r="AF197" s="4" t="str">
        <f>Table2[[#This Row],[field_fate5]]</f>
        <v>H</v>
      </c>
      <c r="AG197" s="4" t="str">
        <f>Table2[[#This Row],[field_fate5]]</f>
        <v>H</v>
      </c>
      <c r="AH197" s="4" t="str">
        <f>Table2[[#This Row],[field_fate2]]</f>
        <v>H</v>
      </c>
      <c r="AI197" s="4" t="str">
        <f>Table2[[#This Row],[field_fate8]]</f>
        <v>H</v>
      </c>
      <c r="AJ197" s="4" t="str">
        <f>Table2[[#This Row],[field_fate10]]</f>
        <v>H</v>
      </c>
      <c r="AK197" s="4" t="b">
        <f>Table2[[#This Row],[field_fate_feb]]=Table2[[#This Row],[field_fate10]]</f>
        <v>1</v>
      </c>
      <c r="AL197" s="43" t="s">
        <v>24</v>
      </c>
      <c r="AM197" s="43" t="b">
        <f>Table2[[#This Row],[cam_fate2]]="NA"</f>
        <v>1</v>
      </c>
      <c r="AN197" s="19" t="str">
        <f>Table2[[#This Row],[cam_fate1]]</f>
        <v>NA</v>
      </c>
      <c r="AO197" s="2" t="s">
        <v>37</v>
      </c>
      <c r="AP197" s="5" t="str">
        <f>Table2[[#This Row],[final_fate1]]</f>
        <v>H</v>
      </c>
      <c r="AQ197" s="6">
        <v>19</v>
      </c>
      <c r="AR197" s="7">
        <v>19</v>
      </c>
      <c r="AS197" s="7">
        <f>Table2[[#This Row],[final_obs_date]]-Table2[[#This Row],[init_date]]</f>
        <v>19</v>
      </c>
      <c r="AT197" s="7" t="e">
        <f>(Table2[[#This Row],[final_obs_date2]]-Table2[[#This Row],[estHD]])+16</f>
        <v>#VALUE!</v>
      </c>
      <c r="AU197" s="38">
        <v>3</v>
      </c>
      <c r="AV197" s="33">
        <v>3</v>
      </c>
      <c r="AW197" s="33">
        <f>Table2[[#This Row],[final_obs_date2]]-Table2[[#This Row],[pen_obs_date]]</f>
        <v>57</v>
      </c>
      <c r="AX197" s="67">
        <v>57</v>
      </c>
      <c r="AY197" s="6">
        <f>Table2[[#This Row],[final_obs_date]]</f>
        <v>57</v>
      </c>
      <c r="AZ197" s="6"/>
      <c r="BA197" s="91" t="s">
        <v>47</v>
      </c>
      <c r="BB197" s="6" t="e">
        <f>Table2[[#This Row],[final_obs_date]]&lt;(Table2[[#This Row],[estHD]]-2)</f>
        <v>#VALUE!</v>
      </c>
      <c r="BC197" s="24">
        <f>IF(Table2[[#This Row],[field_fate]]="H",1,0)</f>
        <v>1</v>
      </c>
      <c r="BD197" s="16">
        <f>IF(Table2[[#This Row],[cam_fate2]]="H",1,0)</f>
        <v>0</v>
      </c>
      <c r="BE197" s="6" t="b">
        <f>NOT(Table2[[#This Row],[HF_C]]=Table2[[#This Row],[HF]])</f>
        <v>1</v>
      </c>
      <c r="BF197" s="6" t="b">
        <f>NOT(Table2[[#This Row],[cam_fate2]]=Table2[[#This Row],[field_fate3]])</f>
        <v>1</v>
      </c>
      <c r="BG197" s="6" t="b">
        <f>OR(Table2[[#This Row],[field_fate3]]="U",Table2[[#This Row],[field_fate3]]="U-H")</f>
        <v>0</v>
      </c>
      <c r="BH197" s="8">
        <v>42</v>
      </c>
      <c r="BI197" s="8">
        <v>57</v>
      </c>
      <c r="BJ197" s="14">
        <f>IF(ISTEXT(Table2[[#This Row],[j.cam]]),Table2[[#This Row],[j]],Table2[[#This Row],[j.cam]])</f>
        <v>57</v>
      </c>
      <c r="BK197" s="9">
        <v>57</v>
      </c>
      <c r="BL197" s="15">
        <f>IF(ISTEXT(Table2[[#This Row],[k.cam]]), Table2[[#This Row],[k]], Table2[[#This Row],[k.cam]])</f>
        <v>57</v>
      </c>
      <c r="BM197" s="4" t="s">
        <v>24</v>
      </c>
      <c r="BN197" s="8" t="s">
        <v>24</v>
      </c>
      <c r="BO197" s="4">
        <v>4</v>
      </c>
      <c r="BP197" s="4">
        <f>Table2[[#This Row],[final_obs_date]]-Table2[[#This Row],[i]]</f>
        <v>15</v>
      </c>
      <c r="BQ197" s="4" t="e">
        <f>Table2[[#This Row],[final_obs_date2]]&gt;Table2[[#This Row],[estHD]]+3</f>
        <v>#VALUE!</v>
      </c>
      <c r="BR197" s="4" t="s">
        <v>27</v>
      </c>
      <c r="BS197" s="4" t="s">
        <v>155</v>
      </c>
      <c r="BT197" s="79" t="s">
        <v>1123</v>
      </c>
      <c r="BU197" s="26" t="s">
        <v>203</v>
      </c>
      <c r="BV197" s="79" t="s">
        <v>1520</v>
      </c>
      <c r="BW197" s="49"/>
      <c r="BX197" s="47"/>
      <c r="BY197" s="36" t="s">
        <v>597</v>
      </c>
    </row>
    <row r="198" spans="1:77" hidden="1" x14ac:dyDescent="0.35">
      <c r="A198" s="62">
        <v>10270</v>
      </c>
      <c r="B198" s="2" t="s">
        <v>122</v>
      </c>
      <c r="C198" s="44">
        <v>2019</v>
      </c>
      <c r="D198" s="3">
        <v>29.758769999999998</v>
      </c>
      <c r="E198" s="3">
        <v>-93.122860000000003</v>
      </c>
      <c r="F198" s="3" t="s">
        <v>24</v>
      </c>
      <c r="G198" s="3" t="s">
        <v>24</v>
      </c>
      <c r="H198" s="3" t="s">
        <v>26</v>
      </c>
      <c r="I198" s="43"/>
      <c r="J198" s="55" t="s">
        <v>24</v>
      </c>
      <c r="K198" s="4">
        <v>52</v>
      </c>
      <c r="L198" s="22" t="str">
        <f>IF(ISNUMBER(Table2[[#This Row],[estHD]]),ABS(Table2[[#This Row],[HD]]-Table2[[#This Row],[estHD]]),"NA")</f>
        <v>NA</v>
      </c>
      <c r="M198" s="4" t="b">
        <f>Table2[[#This Row],[HD]]=Table2[[#This Row],[estHD]]</f>
        <v>0</v>
      </c>
      <c r="N198" s="4" t="str">
        <f>IF(ISNUMBER([1]!Table2[[#This Row],[hatch_date]]),[1]!Table2[[#This Row],[hatch_date]]-19,"NA")</f>
        <v>NA</v>
      </c>
      <c r="O198" s="31">
        <v>33</v>
      </c>
      <c r="P198" s="23">
        <f>IF(ISNUMBER(Table2[[#This Row],[nest_age1]]),ABS(Table2[[#This Row],[nest_age1]]-Table2[[#This Row],[nest_age_feb]]),"NA")</f>
        <v>2</v>
      </c>
      <c r="Q198" s="24">
        <f>IF(ISNUMBER(Table2[[#This Row],[final_obs_int2]]),ABS(Table2[[#This Row],[final_obs_int2]]-Table2[[#This Row],[final_obs_int_feb]]), "NA")</f>
        <v>2</v>
      </c>
      <c r="R198" s="24"/>
      <c r="S198" s="57" t="s">
        <v>88</v>
      </c>
      <c r="T198" s="57" t="str">
        <f>Table2[[#This Row],[camera_old]]</f>
        <v>N</v>
      </c>
      <c r="U198" s="24"/>
      <c r="V198" s="16" t="s">
        <v>24</v>
      </c>
      <c r="W198" s="16">
        <v>19</v>
      </c>
      <c r="X198" s="145">
        <v>4</v>
      </c>
      <c r="Y198" s="147" t="s">
        <v>37</v>
      </c>
      <c r="Z198" s="146" t="s">
        <v>37</v>
      </c>
      <c r="AA198" s="4" t="str">
        <f>Table2[[#This Row],[field_fate]]</f>
        <v>H</v>
      </c>
      <c r="AB198" s="4" t="str">
        <f>Table2[[#This Row],[field_fate2]]</f>
        <v>H</v>
      </c>
      <c r="AC198" s="4" t="str">
        <f>Table2[[#This Row],[field_fate3]]</f>
        <v>H</v>
      </c>
      <c r="AD198" s="4" t="str">
        <f>Table2[[#This Row],[field_fate4]]</f>
        <v>H</v>
      </c>
      <c r="AE198" s="4" t="str">
        <f>Table2[[#This Row],[field_fate5]]</f>
        <v>H</v>
      </c>
      <c r="AF198" s="4" t="str">
        <f>Table2[[#This Row],[field_fate5]]</f>
        <v>H</v>
      </c>
      <c r="AG198" s="4" t="str">
        <f>Table2[[#This Row],[field_fate5]]</f>
        <v>H</v>
      </c>
      <c r="AH198" s="4" t="str">
        <f>Table2[[#This Row],[field_fate2]]</f>
        <v>H</v>
      </c>
      <c r="AI198" s="4" t="str">
        <f>Table2[[#This Row],[field_fate8]]</f>
        <v>H</v>
      </c>
      <c r="AJ198" s="4" t="str">
        <f>Table2[[#This Row],[field_fate10]]</f>
        <v>H</v>
      </c>
      <c r="AK198" s="4" t="b">
        <f>Table2[[#This Row],[field_fate_feb]]=Table2[[#This Row],[field_fate10]]</f>
        <v>1</v>
      </c>
      <c r="AL198" s="43" t="s">
        <v>24</v>
      </c>
      <c r="AM198" s="43" t="b">
        <f>Table2[[#This Row],[cam_fate2]]="NA"</f>
        <v>1</v>
      </c>
      <c r="AN198" s="19" t="str">
        <f>Table2[[#This Row],[cam_fate1]]</f>
        <v>NA</v>
      </c>
      <c r="AO198" s="2" t="s">
        <v>37</v>
      </c>
      <c r="AP198" s="5" t="str">
        <f>Table2[[#This Row],[final_fate1]]</f>
        <v>H</v>
      </c>
      <c r="AQ198" s="6">
        <v>21</v>
      </c>
      <c r="AR198" s="7">
        <v>21</v>
      </c>
      <c r="AS198" s="7">
        <f>Table2[[#This Row],[final_obs_date]]-Table2[[#This Row],[init_date]]</f>
        <v>21</v>
      </c>
      <c r="AT198" s="7" t="e">
        <f>(Table2[[#This Row],[final_obs_date2]]-Table2[[#This Row],[estHD]])+16</f>
        <v>#VALUE!</v>
      </c>
      <c r="AU198" s="38">
        <v>2</v>
      </c>
      <c r="AV198" s="33">
        <v>2</v>
      </c>
      <c r="AW198" s="33">
        <f>Table2[[#This Row],[final_obs_date2]]-Table2[[#This Row],[pen_obs_date]]</f>
        <v>54</v>
      </c>
      <c r="AX198" s="67">
        <v>54</v>
      </c>
      <c r="AY198" s="6">
        <f>Table2[[#This Row],[final_obs_date]]</f>
        <v>54</v>
      </c>
      <c r="AZ198" s="6"/>
      <c r="BA198" s="91" t="s">
        <v>47</v>
      </c>
      <c r="BB198" s="6" t="e">
        <f>Table2[[#This Row],[final_obs_date]]&lt;(Table2[[#This Row],[estHD]]-2)</f>
        <v>#VALUE!</v>
      </c>
      <c r="BC198" s="24">
        <f>IF(Table2[[#This Row],[field_fate]]="H",1,0)</f>
        <v>1</v>
      </c>
      <c r="BD198" s="16">
        <f>IF(Table2[[#This Row],[cam_fate2]]="H",1,0)</f>
        <v>0</v>
      </c>
      <c r="BE198" s="6" t="b">
        <f>NOT(Table2[[#This Row],[HF_C]]=Table2[[#This Row],[HF]])</f>
        <v>1</v>
      </c>
      <c r="BF198" s="6" t="b">
        <f>NOT(Table2[[#This Row],[cam_fate2]]=Table2[[#This Row],[field_fate3]])</f>
        <v>1</v>
      </c>
      <c r="BG198" s="6" t="b">
        <f>OR(Table2[[#This Row],[field_fate3]]="U",Table2[[#This Row],[field_fate3]]="U-H")</f>
        <v>0</v>
      </c>
      <c r="BH198" s="8">
        <v>42</v>
      </c>
      <c r="BI198" s="8">
        <v>52</v>
      </c>
      <c r="BJ198" s="14">
        <f>IF(ISTEXT(Table2[[#This Row],[j.cam]]),Table2[[#This Row],[j]],Table2[[#This Row],[j.cam]])</f>
        <v>52</v>
      </c>
      <c r="BK198" s="9">
        <v>52</v>
      </c>
      <c r="BL198" s="15">
        <f>IF(ISTEXT(Table2[[#This Row],[k.cam]]), Table2[[#This Row],[k]], Table2[[#This Row],[k.cam]])</f>
        <v>52</v>
      </c>
      <c r="BM198" s="4" t="s">
        <v>24</v>
      </c>
      <c r="BN198" s="8" t="s">
        <v>24</v>
      </c>
      <c r="BO198" s="4">
        <v>3</v>
      </c>
      <c r="BP198" s="4">
        <f>Table2[[#This Row],[final_obs_date]]-Table2[[#This Row],[i]]</f>
        <v>12</v>
      </c>
      <c r="BQ198" s="4" t="e">
        <f>Table2[[#This Row],[final_obs_date2]]&gt;Table2[[#This Row],[estHD]]+3</f>
        <v>#VALUE!</v>
      </c>
      <c r="BR198" s="4" t="s">
        <v>33</v>
      </c>
      <c r="BS198" s="4" t="s">
        <v>49</v>
      </c>
      <c r="BT198" s="79" t="s">
        <v>1111</v>
      </c>
      <c r="BU198" s="26" t="s">
        <v>50</v>
      </c>
      <c r="BV198" s="79" t="s">
        <v>1477</v>
      </c>
      <c r="BW198" s="49"/>
      <c r="BX198" s="47"/>
      <c r="BY198" s="36" t="s">
        <v>598</v>
      </c>
    </row>
    <row r="199" spans="1:77" hidden="1" x14ac:dyDescent="0.35">
      <c r="A199" s="62">
        <v>10271</v>
      </c>
      <c r="B199" s="2" t="s">
        <v>122</v>
      </c>
      <c r="C199" s="44">
        <v>2019</v>
      </c>
      <c r="D199" s="3">
        <v>29.75883</v>
      </c>
      <c r="E199" s="3">
        <v>-93.123090000000005</v>
      </c>
      <c r="F199" s="3" t="s">
        <v>24</v>
      </c>
      <c r="G199" s="3" t="s">
        <v>24</v>
      </c>
      <c r="H199" s="3" t="s">
        <v>26</v>
      </c>
      <c r="I199" s="43"/>
      <c r="J199" s="55" t="s">
        <v>24</v>
      </c>
      <c r="K199" s="4">
        <v>48</v>
      </c>
      <c r="L199" s="22" t="str">
        <f>IF(ISNUMBER(Table2[[#This Row],[estHD]]),ABS(Table2[[#This Row],[HD]]-Table2[[#This Row],[estHD]]),"NA")</f>
        <v>NA</v>
      </c>
      <c r="M199" s="4" t="b">
        <f>Table2[[#This Row],[HD]]=Table2[[#This Row],[estHD]]</f>
        <v>0</v>
      </c>
      <c r="N199" s="4" t="str">
        <f>IF(ISNUMBER([1]!Table2[[#This Row],[hatch_date]]), [1]!Table2[[#This Row],[hatch_date]]-16, "NA")</f>
        <v>NA</v>
      </c>
      <c r="O199" s="31">
        <v>32</v>
      </c>
      <c r="P199" s="23">
        <f>IF(ISNUMBER(Table2[[#This Row],[nest_age1]]),ABS(Table2[[#This Row],[nest_age1]]-Table2[[#This Row],[nest_age_feb]]),"NA")</f>
        <v>0</v>
      </c>
      <c r="Q199" s="24">
        <f>IF(ISNUMBER(Table2[[#This Row],[final_obs_int2]]),ABS(Table2[[#This Row],[final_obs_int2]]-Table2[[#This Row],[final_obs_int_feb]]), "NA")</f>
        <v>0</v>
      </c>
      <c r="R199" s="24"/>
      <c r="S199" s="57" t="s">
        <v>88</v>
      </c>
      <c r="T199" s="57" t="str">
        <f>Table2[[#This Row],[camera_old]]</f>
        <v>N</v>
      </c>
      <c r="U199" s="24"/>
      <c r="V199" s="16" t="s">
        <v>24</v>
      </c>
      <c r="W199" s="16">
        <v>16</v>
      </c>
      <c r="X199" s="145">
        <v>6</v>
      </c>
      <c r="Y199" s="147" t="s">
        <v>37</v>
      </c>
      <c r="Z199" s="146" t="s">
        <v>37</v>
      </c>
      <c r="AA199" s="4" t="str">
        <f>Table2[[#This Row],[field_fate]]</f>
        <v>H</v>
      </c>
      <c r="AB199" s="4" t="str">
        <f>Table2[[#This Row],[field_fate2]]</f>
        <v>H</v>
      </c>
      <c r="AC199" s="4" t="str">
        <f>Table2[[#This Row],[field_fate3]]</f>
        <v>H</v>
      </c>
      <c r="AD199" s="4" t="str">
        <f>Table2[[#This Row],[field_fate4]]</f>
        <v>H</v>
      </c>
      <c r="AE199" s="4" t="str">
        <f>Table2[[#This Row],[field_fate5]]</f>
        <v>H</v>
      </c>
      <c r="AF199" s="4" t="str">
        <f>Table2[[#This Row],[field_fate5]]</f>
        <v>H</v>
      </c>
      <c r="AG199" s="4" t="str">
        <f>Table2[[#This Row],[field_fate5]]</f>
        <v>H</v>
      </c>
      <c r="AH199" s="4" t="str">
        <f>Table2[[#This Row],[field_fate2]]</f>
        <v>H</v>
      </c>
      <c r="AI199" s="4" t="str">
        <f>Table2[[#This Row],[field_fate8]]</f>
        <v>H</v>
      </c>
      <c r="AJ199" s="4" t="str">
        <f>Table2[[#This Row],[field_fate10]]</f>
        <v>H</v>
      </c>
      <c r="AK199" s="4" t="b">
        <f>Table2[[#This Row],[field_fate_feb]]=Table2[[#This Row],[field_fate10]]</f>
        <v>1</v>
      </c>
      <c r="AL199" s="43" t="s">
        <v>24</v>
      </c>
      <c r="AM199" s="43" t="b">
        <f>Table2[[#This Row],[cam_fate2]]="NA"</f>
        <v>1</v>
      </c>
      <c r="AN199" s="19" t="str">
        <f>Table2[[#This Row],[cam_fate1]]</f>
        <v>NA</v>
      </c>
      <c r="AO199" s="2" t="s">
        <v>37</v>
      </c>
      <c r="AP199" s="5" t="str">
        <f>Table2[[#This Row],[final_fate1]]</f>
        <v>H</v>
      </c>
      <c r="AQ199" s="6">
        <v>16</v>
      </c>
      <c r="AR199" s="7">
        <v>16</v>
      </c>
      <c r="AS199" s="7">
        <f>Table2[[#This Row],[final_obs_date]]-Table2[[#This Row],[init_date]]</f>
        <v>16</v>
      </c>
      <c r="AT199" s="7" t="e">
        <f>(Table2[[#This Row],[final_obs_date2]]-Table2[[#This Row],[estHD]])+16</f>
        <v>#VALUE!</v>
      </c>
      <c r="AU199" s="38">
        <v>6</v>
      </c>
      <c r="AV199" s="33">
        <v>6</v>
      </c>
      <c r="AW199" s="33">
        <f>Table2[[#This Row],[final_obs_date2]]-Table2[[#This Row],[pen_obs_date]]</f>
        <v>48</v>
      </c>
      <c r="AX199" s="67">
        <v>48</v>
      </c>
      <c r="AY199" s="6">
        <f>Table2[[#This Row],[final_obs_date]]</f>
        <v>48</v>
      </c>
      <c r="AZ199" s="6"/>
      <c r="BA199" s="91" t="s">
        <v>60</v>
      </c>
      <c r="BB199" s="6" t="e">
        <f>Table2[[#This Row],[final_obs_date]]&lt;(Table2[[#This Row],[estHD]]-2)</f>
        <v>#VALUE!</v>
      </c>
      <c r="BC199" s="24">
        <f>IF(Table2[[#This Row],[field_fate]]="H",1,0)</f>
        <v>1</v>
      </c>
      <c r="BD199" s="16">
        <f>IF(Table2[[#This Row],[cam_fate2]]="H",1,0)</f>
        <v>0</v>
      </c>
      <c r="BE199" s="6" t="b">
        <f>NOT(Table2[[#This Row],[HF_C]]=Table2[[#This Row],[HF]])</f>
        <v>1</v>
      </c>
      <c r="BF199" s="6" t="b">
        <f>NOT(Table2[[#This Row],[cam_fate2]]=Table2[[#This Row],[field_fate3]])</f>
        <v>1</v>
      </c>
      <c r="BG199" s="6" t="b">
        <f>OR(Table2[[#This Row],[field_fate3]]="U",Table2[[#This Row],[field_fate3]]="U-H")</f>
        <v>0</v>
      </c>
      <c r="BH199" s="8">
        <v>42</v>
      </c>
      <c r="BI199" s="8">
        <v>48</v>
      </c>
      <c r="BJ199" s="14">
        <f>IF(ISTEXT(Table2[[#This Row],[j.cam]]),Table2[[#This Row],[j]],Table2[[#This Row],[j.cam]])</f>
        <v>48</v>
      </c>
      <c r="BK199" s="9">
        <v>48</v>
      </c>
      <c r="BL199" s="15">
        <f>IF(ISTEXT(Table2[[#This Row],[k.cam]]), Table2[[#This Row],[k]], Table2[[#This Row],[k.cam]])</f>
        <v>48</v>
      </c>
      <c r="BM199" s="4" t="s">
        <v>24</v>
      </c>
      <c r="BN199" s="8" t="s">
        <v>24</v>
      </c>
      <c r="BO199" s="4">
        <v>2</v>
      </c>
      <c r="BP199" s="4">
        <f>Table2[[#This Row],[final_obs_date]]-Table2[[#This Row],[i]]</f>
        <v>6</v>
      </c>
      <c r="BQ199" s="4" t="e">
        <f>Table2[[#This Row],[final_obs_date2]]&gt;Table2[[#This Row],[estHD]]+3</f>
        <v>#VALUE!</v>
      </c>
      <c r="BR199" s="4" t="s">
        <v>33</v>
      </c>
      <c r="BS199" s="4" t="s">
        <v>139</v>
      </c>
      <c r="BT199" s="79" t="s">
        <v>1110</v>
      </c>
      <c r="BU199" s="26" t="s">
        <v>204</v>
      </c>
      <c r="BV199" s="79" t="s">
        <v>1437</v>
      </c>
      <c r="BW199" s="49"/>
      <c r="BX199" s="47"/>
      <c r="BY199" s="36" t="s">
        <v>24</v>
      </c>
    </row>
    <row r="200" spans="1:77" hidden="1" x14ac:dyDescent="0.35">
      <c r="A200" s="62">
        <v>10273</v>
      </c>
      <c r="B200" s="2" t="s">
        <v>122</v>
      </c>
      <c r="C200" s="44">
        <v>2019</v>
      </c>
      <c r="D200" s="3">
        <v>29.758870000000002</v>
      </c>
      <c r="E200" s="3">
        <v>-93.123279999999994</v>
      </c>
      <c r="F200" s="3">
        <v>40</v>
      </c>
      <c r="G200" s="3">
        <v>30</v>
      </c>
      <c r="H200" s="3" t="s">
        <v>462</v>
      </c>
      <c r="I200" s="43"/>
      <c r="J200" s="55" t="s">
        <v>24</v>
      </c>
      <c r="K200" s="4" t="s">
        <v>24</v>
      </c>
      <c r="L200" s="22" t="str">
        <f>IF(ISNUMBER(Table2[[#This Row],[estHD]]),ABS(Table2[[#This Row],[HD]]-Table2[[#This Row],[estHD]]),"NA")</f>
        <v>NA</v>
      </c>
      <c r="M200" s="4" t="b">
        <f>Table2[[#This Row],[HD]]=Table2[[#This Row],[estHD]]</f>
        <v>1</v>
      </c>
      <c r="N200" s="4" t="str">
        <f>IF(ISNUMBER([1]!Table2[[#This Row],[hatch_date]]),[1]!Table2[[#This Row],[hatch_date]]-19,"NA")</f>
        <v>NA</v>
      </c>
      <c r="O200" s="31" t="s">
        <v>24</v>
      </c>
      <c r="P200" s="23" t="str">
        <f>IF(ISNUMBER(Table2[[#This Row],[nest_age1]]),ABS(Table2[[#This Row],[nest_age1]]-Table2[[#This Row],[nest_age_feb]]),"NA")</f>
        <v>NA</v>
      </c>
      <c r="Q200" s="24">
        <f>IF(ISNUMBER(Table2[[#This Row],[final_obs_int2]]),ABS(Table2[[#This Row],[final_obs_int2]]-Table2[[#This Row],[final_obs_int_feb]]), "NA")</f>
        <v>0</v>
      </c>
      <c r="R200" s="24"/>
      <c r="S200" s="57" t="s">
        <v>88</v>
      </c>
      <c r="T200" s="57" t="str">
        <f>Table2[[#This Row],[camera_old]]</f>
        <v>N</v>
      </c>
      <c r="U200" s="24"/>
      <c r="V200" s="16" t="s">
        <v>24</v>
      </c>
      <c r="W200" s="16" t="s">
        <v>24</v>
      </c>
      <c r="X200" s="145">
        <v>12</v>
      </c>
      <c r="Y200" s="147" t="s">
        <v>36</v>
      </c>
      <c r="Z200" s="146" t="s">
        <v>36</v>
      </c>
      <c r="AA200" s="4" t="str">
        <f>Table2[[#This Row],[field_fate]]</f>
        <v>A</v>
      </c>
      <c r="AB200" s="4" t="str">
        <f>Table2[[#This Row],[field_fate2]]</f>
        <v>A</v>
      </c>
      <c r="AC200" s="4" t="str">
        <f>Table2[[#This Row],[field_fate3]]</f>
        <v>A</v>
      </c>
      <c r="AD200" s="4" t="str">
        <f>Table2[[#This Row],[field_fate4]]</f>
        <v>A</v>
      </c>
      <c r="AE200" s="4" t="str">
        <f>Table2[[#This Row],[field_fate5]]</f>
        <v>A</v>
      </c>
      <c r="AF200" s="4" t="str">
        <f>Table2[[#This Row],[field_fate5]]</f>
        <v>A</v>
      </c>
      <c r="AG200" s="4" t="str">
        <f>Table2[[#This Row],[field_fate5]]</f>
        <v>A</v>
      </c>
      <c r="AH200" s="4" t="str">
        <f>Table2[[#This Row],[field_fate2]]</f>
        <v>A</v>
      </c>
      <c r="AI200" s="4" t="str">
        <f>Table2[[#This Row],[field_fate8]]</f>
        <v>A</v>
      </c>
      <c r="AJ200" s="4" t="str">
        <f>Table2[[#This Row],[field_fate10]]</f>
        <v>A</v>
      </c>
      <c r="AK200" s="4" t="b">
        <f>Table2[[#This Row],[field_fate_feb]]=Table2[[#This Row],[field_fate10]]</f>
        <v>1</v>
      </c>
      <c r="AL200" s="43" t="s">
        <v>24</v>
      </c>
      <c r="AM200" s="43" t="b">
        <f>Table2[[#This Row],[cam_fate2]]="NA"</f>
        <v>1</v>
      </c>
      <c r="AN200" s="19" t="str">
        <f>Table2[[#This Row],[cam_fate1]]</f>
        <v>NA</v>
      </c>
      <c r="AO200" s="2" t="s">
        <v>36</v>
      </c>
      <c r="AP200" s="5" t="str">
        <f>Table2[[#This Row],[final_fate1]]</f>
        <v>A</v>
      </c>
      <c r="AQ200" s="6" t="s">
        <v>24</v>
      </c>
      <c r="AR200" s="7" t="s">
        <v>24</v>
      </c>
      <c r="AS200" s="7" t="e">
        <f>Table2[[#This Row],[final_obs_date]]-Table2[[#This Row],[init_date]]</f>
        <v>#VALUE!</v>
      </c>
      <c r="AT200" s="7" t="e">
        <f>(Table2[[#This Row],[final_obs_date2]]-Table2[[#This Row],[estHD]])+16</f>
        <v>#VALUE!</v>
      </c>
      <c r="AU200" s="38">
        <v>12</v>
      </c>
      <c r="AV200" s="33">
        <v>12</v>
      </c>
      <c r="AW200" s="33">
        <f>Table2[[#This Row],[final_obs_date2]]-Table2[[#This Row],[pen_obs_date]]</f>
        <v>54</v>
      </c>
      <c r="AX200" s="67">
        <v>54</v>
      </c>
      <c r="AY200" s="6">
        <f>Table2[[#This Row],[final_obs_date]]</f>
        <v>54</v>
      </c>
      <c r="AZ200" s="6"/>
      <c r="BA200" s="91" t="s">
        <v>47</v>
      </c>
      <c r="BB200" s="6" t="e">
        <f>Table2[[#This Row],[final_obs_date]]&lt;(Table2[[#This Row],[estHD]]-2)</f>
        <v>#VALUE!</v>
      </c>
      <c r="BC200" s="24">
        <f>IF(Table2[[#This Row],[field_fate]]="H",1,0)</f>
        <v>0</v>
      </c>
      <c r="BD200" s="16">
        <f>IF(Table2[[#This Row],[cam_fate2]]="H",1,0)</f>
        <v>0</v>
      </c>
      <c r="BE200" s="6" t="b">
        <f>NOT(Table2[[#This Row],[HF_C]]=Table2[[#This Row],[HF]])</f>
        <v>0</v>
      </c>
      <c r="BF200" s="6" t="b">
        <f>NOT(Table2[[#This Row],[cam_fate2]]=Table2[[#This Row],[field_fate3]])</f>
        <v>1</v>
      </c>
      <c r="BG200" s="6" t="b">
        <f>OR(Table2[[#This Row],[field_fate3]]="U",Table2[[#This Row],[field_fate3]]="U-H")</f>
        <v>0</v>
      </c>
      <c r="BH200" s="8">
        <v>42</v>
      </c>
      <c r="BI200" s="8">
        <v>42</v>
      </c>
      <c r="BJ200" s="14">
        <f>IF(ISTEXT(Table2[[#This Row],[j.cam]]),Table2[[#This Row],[j]],Table2[[#This Row],[j.cam]])</f>
        <v>42</v>
      </c>
      <c r="BK200" s="9">
        <v>54</v>
      </c>
      <c r="BL200" s="15">
        <f>IF(ISTEXT(Table2[[#This Row],[k.cam]]), Table2[[#This Row],[k]], Table2[[#This Row],[k.cam]])</f>
        <v>54</v>
      </c>
      <c r="BM200" s="4" t="s">
        <v>24</v>
      </c>
      <c r="BN200" s="8" t="s">
        <v>24</v>
      </c>
      <c r="BO200" s="4">
        <v>2</v>
      </c>
      <c r="BP200" s="4">
        <f>Table2[[#This Row],[final_obs_date]]-Table2[[#This Row],[i]]</f>
        <v>12</v>
      </c>
      <c r="BQ200" s="4" t="e">
        <f>Table2[[#This Row],[final_obs_date2]]&gt;Table2[[#This Row],[estHD]]+3</f>
        <v>#VALUE!</v>
      </c>
      <c r="BR200" s="4" t="s">
        <v>58</v>
      </c>
      <c r="BS200" s="4" t="s">
        <v>134</v>
      </c>
      <c r="BT200" s="79" t="s">
        <v>1124</v>
      </c>
      <c r="BU200" s="26" t="s">
        <v>205</v>
      </c>
      <c r="BV200" s="79" t="s">
        <v>1492</v>
      </c>
      <c r="BW200" s="49"/>
      <c r="BX200" s="47"/>
      <c r="BY200" s="36" t="s">
        <v>599</v>
      </c>
    </row>
    <row r="201" spans="1:77" hidden="1" x14ac:dyDescent="0.35">
      <c r="A201" s="62">
        <v>10274</v>
      </c>
      <c r="B201" s="2" t="s">
        <v>35</v>
      </c>
      <c r="C201" s="44">
        <v>2019</v>
      </c>
      <c r="D201" s="3">
        <v>29.761489999999998</v>
      </c>
      <c r="E201" s="3">
        <v>-93.135689999999997</v>
      </c>
      <c r="F201" s="3" t="s">
        <v>24</v>
      </c>
      <c r="G201" s="3" t="s">
        <v>24</v>
      </c>
      <c r="H201" s="3" t="s">
        <v>462</v>
      </c>
      <c r="I201" s="43"/>
      <c r="J201" s="55" t="s">
        <v>24</v>
      </c>
      <c r="K201" s="4" t="s">
        <v>24</v>
      </c>
      <c r="L201" s="22" t="str">
        <f>IF(ISNUMBER(Table2[[#This Row],[estHD]]),ABS(Table2[[#This Row],[HD]]-Table2[[#This Row],[estHD]]),"NA")</f>
        <v>NA</v>
      </c>
      <c r="M201" s="4" t="b">
        <f>Table2[[#This Row],[HD]]=Table2[[#This Row],[estHD]]</f>
        <v>1</v>
      </c>
      <c r="N201" s="4" t="str">
        <f>IF(ISNUMBER([1]!Table2[[#This Row],[hatch_date]]),[1]!Table2[[#This Row],[hatch_date]]-19,"NA")</f>
        <v>NA</v>
      </c>
      <c r="O201" s="31" t="s">
        <v>24</v>
      </c>
      <c r="P201" s="23" t="str">
        <f>IF(ISNUMBER(Table2[[#This Row],[nest_age1]]),ABS(Table2[[#This Row],[nest_age1]]-Table2[[#This Row],[nest_age_feb]]),"NA")</f>
        <v>NA</v>
      </c>
      <c r="Q201" s="24">
        <f>IF(ISNUMBER(Table2[[#This Row],[final_obs_int2]]),ABS(Table2[[#This Row],[final_obs_int2]]-Table2[[#This Row],[final_obs_int_feb]]), "NA")</f>
        <v>2</v>
      </c>
      <c r="R201" s="24"/>
      <c r="S201" s="57" t="s">
        <v>88</v>
      </c>
      <c r="T201" s="57" t="str">
        <f>Table2[[#This Row],[camera_old]]</f>
        <v>N</v>
      </c>
      <c r="U201" s="24"/>
      <c r="V201" s="16" t="s">
        <v>24</v>
      </c>
      <c r="W201" s="16" t="s">
        <v>24</v>
      </c>
      <c r="X201" s="145">
        <v>4</v>
      </c>
      <c r="Y201" s="147" t="s">
        <v>48</v>
      </c>
      <c r="Z201" s="146" t="s">
        <v>48</v>
      </c>
      <c r="AA201" s="4" t="str">
        <f>Table2[[#This Row],[field_fate]]</f>
        <v>F</v>
      </c>
      <c r="AB201" s="4" t="str">
        <f>Table2[[#This Row],[field_fate2]]</f>
        <v>F</v>
      </c>
      <c r="AC201" s="4" t="str">
        <f>Table2[[#This Row],[field_fate3]]</f>
        <v>F</v>
      </c>
      <c r="AD201" s="4" t="str">
        <f>Table2[[#This Row],[field_fate4]]</f>
        <v>F</v>
      </c>
      <c r="AE201" s="4" t="str">
        <f>Table2[[#This Row],[field_fate5]]</f>
        <v>F</v>
      </c>
      <c r="AF201" s="4" t="str">
        <f>Table2[[#This Row],[field_fate5]]</f>
        <v>F</v>
      </c>
      <c r="AG201" s="4" t="str">
        <f>Table2[[#This Row],[field_fate5]]</f>
        <v>F</v>
      </c>
      <c r="AH201" s="4" t="str">
        <f>Table2[[#This Row],[field_fate2]]</f>
        <v>F</v>
      </c>
      <c r="AI201" s="4" t="str">
        <f>Table2[[#This Row],[field_fate8]]</f>
        <v>F</v>
      </c>
      <c r="AJ201" s="4" t="str">
        <f>Table2[[#This Row],[field_fate10]]</f>
        <v>F</v>
      </c>
      <c r="AK201" s="4" t="b">
        <f>Table2[[#This Row],[field_fate_feb]]=Table2[[#This Row],[field_fate10]]</f>
        <v>1</v>
      </c>
      <c r="AL201" s="43" t="s">
        <v>24</v>
      </c>
      <c r="AM201" s="43" t="b">
        <f>Table2[[#This Row],[cam_fate2]]="NA"</f>
        <v>1</v>
      </c>
      <c r="AN201" s="19" t="str">
        <f>Table2[[#This Row],[cam_fate1]]</f>
        <v>NA</v>
      </c>
      <c r="AO201" s="2" t="s">
        <v>48</v>
      </c>
      <c r="AP201" s="5" t="str">
        <f>Table2[[#This Row],[final_fate1]]</f>
        <v>F</v>
      </c>
      <c r="AQ201" s="6" t="s">
        <v>24</v>
      </c>
      <c r="AR201" s="7" t="s">
        <v>24</v>
      </c>
      <c r="AS201" s="7" t="e">
        <f>Table2[[#This Row],[final_obs_date]]-Table2[[#This Row],[init_date]]</f>
        <v>#VALUE!</v>
      </c>
      <c r="AT201" s="7" t="e">
        <f>(Table2[[#This Row],[final_obs_date2]]-Table2[[#This Row],[estHD]])+16</f>
        <v>#VALUE!</v>
      </c>
      <c r="AU201" s="38">
        <v>2</v>
      </c>
      <c r="AV201" s="33">
        <v>2</v>
      </c>
      <c r="AW201" s="33">
        <f>Table2[[#This Row],[final_obs_date2]]-Table2[[#This Row],[pen_obs_date]]</f>
        <v>48</v>
      </c>
      <c r="AX201" s="67">
        <v>48</v>
      </c>
      <c r="AY201" s="6">
        <f>Table2[[#This Row],[final_obs_date]]</f>
        <v>48</v>
      </c>
      <c r="AZ201" s="6"/>
      <c r="BA201" s="91" t="s">
        <v>47</v>
      </c>
      <c r="BB201" s="6" t="e">
        <f>Table2[[#This Row],[final_obs_date]]&lt;(Table2[[#This Row],[estHD]]-2)</f>
        <v>#VALUE!</v>
      </c>
      <c r="BC201" s="24">
        <f>IF(Table2[[#This Row],[field_fate]]="H",1,0)</f>
        <v>0</v>
      </c>
      <c r="BD201" s="16">
        <f>IF(Table2[[#This Row],[cam_fate2]]="H",1,0)</f>
        <v>0</v>
      </c>
      <c r="BE201" s="6" t="b">
        <f>NOT(Table2[[#This Row],[HF_C]]=Table2[[#This Row],[HF]])</f>
        <v>0</v>
      </c>
      <c r="BF201" s="6" t="b">
        <f>NOT(Table2[[#This Row],[cam_fate2]]=Table2[[#This Row],[field_fate3]])</f>
        <v>1</v>
      </c>
      <c r="BG201" s="6" t="b">
        <f>OR(Table2[[#This Row],[field_fate3]]="U",Table2[[#This Row],[field_fate3]]="U-H")</f>
        <v>0</v>
      </c>
      <c r="BH201" s="8">
        <v>43</v>
      </c>
      <c r="BI201" s="8">
        <v>46</v>
      </c>
      <c r="BJ201" s="14">
        <f>IF(ISTEXT(Table2[[#This Row],[j.cam]]),Table2[[#This Row],[j]],Table2[[#This Row],[j.cam]])</f>
        <v>46</v>
      </c>
      <c r="BK201" s="9">
        <v>48</v>
      </c>
      <c r="BL201" s="15">
        <f>IF(ISTEXT(Table2[[#This Row],[k.cam]]), Table2[[#This Row],[k]], Table2[[#This Row],[k.cam]])</f>
        <v>48</v>
      </c>
      <c r="BM201" s="4" t="s">
        <v>24</v>
      </c>
      <c r="BN201" s="8" t="s">
        <v>24</v>
      </c>
      <c r="BO201" s="4">
        <v>3</v>
      </c>
      <c r="BP201" s="4">
        <f>Table2[[#This Row],[final_obs_date]]-Table2[[#This Row],[i]]</f>
        <v>5</v>
      </c>
      <c r="BQ201" s="4" t="e">
        <f>Table2[[#This Row],[final_obs_date2]]&gt;Table2[[#This Row],[estHD]]+3</f>
        <v>#VALUE!</v>
      </c>
      <c r="BR201" s="4" t="s">
        <v>66</v>
      </c>
      <c r="BS201" s="4" t="s">
        <v>51</v>
      </c>
      <c r="BT201" s="79" t="s">
        <v>1125</v>
      </c>
      <c r="BU201" s="26" t="s">
        <v>206</v>
      </c>
      <c r="BV201" s="79" t="s">
        <v>1521</v>
      </c>
      <c r="BW201" s="49"/>
      <c r="BX201" s="47"/>
      <c r="BY201" s="36" t="s">
        <v>600</v>
      </c>
    </row>
    <row r="202" spans="1:77" ht="24" hidden="1" x14ac:dyDescent="0.35">
      <c r="A202" s="62">
        <v>10275</v>
      </c>
      <c r="B202" s="2" t="s">
        <v>35</v>
      </c>
      <c r="C202" s="44">
        <v>2019</v>
      </c>
      <c r="D202" s="3">
        <v>29.761559999999999</v>
      </c>
      <c r="E202" s="3">
        <v>-93.13579</v>
      </c>
      <c r="F202" s="3">
        <v>5</v>
      </c>
      <c r="G202" s="3">
        <v>20</v>
      </c>
      <c r="H202" s="3" t="s">
        <v>462</v>
      </c>
      <c r="I202" s="43"/>
      <c r="J202" s="55">
        <v>63</v>
      </c>
      <c r="K202" s="4">
        <v>63</v>
      </c>
      <c r="L202" s="22">
        <f>IF(ISNUMBER(Table2[[#This Row],[estHD]]),ABS(Table2[[#This Row],[HD]]-Table2[[#This Row],[estHD]]),"NA")</f>
        <v>0</v>
      </c>
      <c r="M202" s="4" t="b">
        <f>Table2[[#This Row],[HD]]=Table2[[#This Row],[estHD]]</f>
        <v>1</v>
      </c>
      <c r="N202" s="4" t="str">
        <f>IF(ISNUMBER([1]!Table2[[#This Row],[hatch_date]]),[1]!Table2[[#This Row],[hatch_date]]-19,"NA")</f>
        <v>NA</v>
      </c>
      <c r="O202" s="31">
        <v>44</v>
      </c>
      <c r="P202" s="23">
        <f>IF(ISNUMBER(Table2[[#This Row],[nest_age1]]),ABS(Table2[[#This Row],[nest_age1]]-Table2[[#This Row],[nest_age_feb]]),"NA")</f>
        <v>0</v>
      </c>
      <c r="Q202" s="24">
        <f>IF(ISNUMBER(Table2[[#This Row],[final_obs_int2]]),ABS(Table2[[#This Row],[final_obs_int2]]-Table2[[#This Row],[final_obs_int_feb]]), "NA")</f>
        <v>0</v>
      </c>
      <c r="R202" s="24"/>
      <c r="S202" s="57" t="s">
        <v>88</v>
      </c>
      <c r="T202" s="57" t="str">
        <f>Table2[[#This Row],[camera_old]]</f>
        <v>N</v>
      </c>
      <c r="U202" s="24"/>
      <c r="V202" s="16" t="s">
        <v>24</v>
      </c>
      <c r="W202" s="16">
        <v>10</v>
      </c>
      <c r="X202" s="145">
        <v>4</v>
      </c>
      <c r="Y202" s="147" t="s">
        <v>91</v>
      </c>
      <c r="Z202" s="146" t="s">
        <v>91</v>
      </c>
      <c r="AA202" s="4" t="str">
        <f>Table2[[#This Row],[field_fate]]</f>
        <v>Hu</v>
      </c>
      <c r="AB202" s="4" t="str">
        <f>Table2[[#This Row],[field_fate2]]</f>
        <v>Hu</v>
      </c>
      <c r="AC202" s="4" t="str">
        <f>Table2[[#This Row],[field_fate3]]</f>
        <v>Hu</v>
      </c>
      <c r="AD202" s="4" t="str">
        <f>Table2[[#This Row],[field_fate4]]</f>
        <v>Hu</v>
      </c>
      <c r="AE202" s="4" t="str">
        <f>Table2[[#This Row],[field_fate5]]</f>
        <v>Hu</v>
      </c>
      <c r="AF202" s="4" t="str">
        <f>Table2[[#This Row],[field_fate5]]</f>
        <v>Hu</v>
      </c>
      <c r="AG202" s="4" t="str">
        <f>Table2[[#This Row],[field_fate5]]</f>
        <v>Hu</v>
      </c>
      <c r="AH202" s="4" t="str">
        <f>Table2[[#This Row],[field_fate2]]</f>
        <v>Hu</v>
      </c>
      <c r="AI202" s="4" t="str">
        <f>Table2[[#This Row],[field_fate8]]</f>
        <v>Hu</v>
      </c>
      <c r="AJ202" s="4" t="str">
        <f>Table2[[#This Row],[field_fate10]]</f>
        <v>Hu</v>
      </c>
      <c r="AK202" s="4" t="b">
        <f>Table2[[#This Row],[field_fate_feb]]=Table2[[#This Row],[field_fate10]]</f>
        <v>1</v>
      </c>
      <c r="AL202" s="43" t="s">
        <v>24</v>
      </c>
      <c r="AM202" s="43" t="b">
        <f>Table2[[#This Row],[cam_fate2]]="NA"</f>
        <v>1</v>
      </c>
      <c r="AN202" s="19" t="str">
        <f>Table2[[#This Row],[cam_fate1]]</f>
        <v>NA</v>
      </c>
      <c r="AO202" s="2" t="s">
        <v>91</v>
      </c>
      <c r="AP202" s="5" t="str">
        <f>Table2[[#This Row],[final_fate1]]</f>
        <v>Hu</v>
      </c>
      <c r="AQ202" s="6">
        <v>10</v>
      </c>
      <c r="AR202" s="7">
        <v>10</v>
      </c>
      <c r="AS202" s="7">
        <f>Table2[[#This Row],[final_obs_date]]-Table2[[#This Row],[init_date]]</f>
        <v>10</v>
      </c>
      <c r="AT202" s="7">
        <f>(Table2[[#This Row],[final_obs_date2]]-Table2[[#This Row],[estHD]])+16</f>
        <v>7</v>
      </c>
      <c r="AU202" s="38">
        <v>4</v>
      </c>
      <c r="AV202" s="33">
        <v>4</v>
      </c>
      <c r="AW202" s="33">
        <f>Table2[[#This Row],[final_obs_date2]]-Table2[[#This Row],[pen_obs_date]]</f>
        <v>54</v>
      </c>
      <c r="AX202" s="67">
        <v>54</v>
      </c>
      <c r="AY202" s="6">
        <f>Table2[[#This Row],[final_obs_date]]</f>
        <v>54</v>
      </c>
      <c r="AZ202" s="6"/>
      <c r="BA202" s="91" t="s">
        <v>47</v>
      </c>
      <c r="BB202" s="6" t="b">
        <f>Table2[[#This Row],[final_obs_date]]&lt;(Table2[[#This Row],[estHD]]-2)</f>
        <v>1</v>
      </c>
      <c r="BC202" s="24">
        <f>IF(Table2[[#This Row],[field_fate]]="H",1,0)</f>
        <v>0</v>
      </c>
      <c r="BD202" s="16">
        <f>IF(Table2[[#This Row],[cam_fate2]]="H",1,0)</f>
        <v>0</v>
      </c>
      <c r="BE202" s="6" t="b">
        <f>NOT(Table2[[#This Row],[HF_C]]=Table2[[#This Row],[HF]])</f>
        <v>0</v>
      </c>
      <c r="BF202" s="6" t="b">
        <f>NOT(Table2[[#This Row],[cam_fate2]]=Table2[[#This Row],[field_fate3]])</f>
        <v>1</v>
      </c>
      <c r="BG202" s="6" t="b">
        <f>OR(Table2[[#This Row],[field_fate3]]="U",Table2[[#This Row],[field_fate3]]="U-H")</f>
        <v>0</v>
      </c>
      <c r="BH202" s="8">
        <v>43</v>
      </c>
      <c r="BI202" s="8">
        <v>50</v>
      </c>
      <c r="BJ202" s="14">
        <f>IF(ISTEXT(Table2[[#This Row],[j.cam]]),Table2[[#This Row],[j]],Table2[[#This Row],[j.cam]])</f>
        <v>50</v>
      </c>
      <c r="BK202" s="9">
        <v>54</v>
      </c>
      <c r="BL202" s="15">
        <f>IF(ISTEXT(Table2[[#This Row],[k.cam]]), Table2[[#This Row],[k]], Table2[[#This Row],[k.cam]])</f>
        <v>54</v>
      </c>
      <c r="BM202" s="4" t="s">
        <v>24</v>
      </c>
      <c r="BN202" s="8" t="s">
        <v>24</v>
      </c>
      <c r="BO202" s="4">
        <v>5</v>
      </c>
      <c r="BP202" s="4">
        <f>Table2[[#This Row],[final_obs_date]]-Table2[[#This Row],[i]]</f>
        <v>11</v>
      </c>
      <c r="BQ202" s="4" t="b">
        <f>Table2[[#This Row],[final_obs_date2]]&gt;Table2[[#This Row],[estHD]]+3</f>
        <v>0</v>
      </c>
      <c r="BR202" s="4" t="s">
        <v>66</v>
      </c>
      <c r="BS202" s="4" t="s">
        <v>58</v>
      </c>
      <c r="BT202" s="79" t="s">
        <v>1126</v>
      </c>
      <c r="BU202" s="26" t="s">
        <v>207</v>
      </c>
      <c r="BV202" s="79" t="s">
        <v>1522</v>
      </c>
      <c r="BW202" s="49"/>
      <c r="BX202" s="47"/>
      <c r="BY202" s="36" t="s">
        <v>601</v>
      </c>
    </row>
    <row r="203" spans="1:77" hidden="1" x14ac:dyDescent="0.35">
      <c r="A203" s="62">
        <v>10277</v>
      </c>
      <c r="B203" s="2" t="s">
        <v>35</v>
      </c>
      <c r="C203" s="44">
        <v>2019</v>
      </c>
      <c r="D203" s="3">
        <v>29.762080000000001</v>
      </c>
      <c r="E203" s="3">
        <v>-93.137990000000002</v>
      </c>
      <c r="F203" s="3">
        <v>10</v>
      </c>
      <c r="G203" s="3">
        <v>30</v>
      </c>
      <c r="H203" s="3" t="s">
        <v>24</v>
      </c>
      <c r="I203" s="43"/>
      <c r="J203" s="55" t="s">
        <v>24</v>
      </c>
      <c r="K203" s="4" t="s">
        <v>24</v>
      </c>
      <c r="L203" s="22" t="str">
        <f>IF(ISNUMBER(Table2[[#This Row],[estHD]]),ABS(Table2[[#This Row],[HD]]-Table2[[#This Row],[estHD]]),"NA")</f>
        <v>NA</v>
      </c>
      <c r="M203" s="4" t="b">
        <f>Table2[[#This Row],[HD]]=Table2[[#This Row],[estHD]]</f>
        <v>1</v>
      </c>
      <c r="N203" s="4" t="str">
        <f>IF(ISNUMBER([1]!Table2[[#This Row],[hatch_date]]),[1]!Table2[[#This Row],[hatch_date]]-19,"NA")</f>
        <v>NA</v>
      </c>
      <c r="O203" s="31" t="s">
        <v>24</v>
      </c>
      <c r="P203" s="23" t="str">
        <f>IF(ISNUMBER(Table2[[#This Row],[nest_age1]]),ABS(Table2[[#This Row],[nest_age1]]-Table2[[#This Row],[nest_age_feb]]),"NA")</f>
        <v>NA</v>
      </c>
      <c r="Q203" s="24">
        <f>IF(ISNUMBER(Table2[[#This Row],[final_obs_int2]]),ABS(Table2[[#This Row],[final_obs_int2]]-Table2[[#This Row],[final_obs_int_feb]]), "NA")</f>
        <v>0</v>
      </c>
      <c r="R203" s="24"/>
      <c r="S203" s="57" t="s">
        <v>88</v>
      </c>
      <c r="T203" s="57" t="str">
        <f>Table2[[#This Row],[camera_old]]</f>
        <v>N</v>
      </c>
      <c r="U203" s="24"/>
      <c r="V203" s="16" t="s">
        <v>24</v>
      </c>
      <c r="W203" s="16" t="s">
        <v>24</v>
      </c>
      <c r="X203" s="145">
        <v>3</v>
      </c>
      <c r="Y203" s="147" t="s">
        <v>91</v>
      </c>
      <c r="Z203" s="146" t="s">
        <v>91</v>
      </c>
      <c r="AA203" s="4" t="str">
        <f>Table2[[#This Row],[field_fate]]</f>
        <v>Hu</v>
      </c>
      <c r="AB203" s="4" t="str">
        <f>Table2[[#This Row],[field_fate2]]</f>
        <v>Hu</v>
      </c>
      <c r="AC203" s="4" t="str">
        <f>Table2[[#This Row],[field_fate3]]</f>
        <v>Hu</v>
      </c>
      <c r="AD203" s="4" t="str">
        <f>Table2[[#This Row],[field_fate4]]</f>
        <v>Hu</v>
      </c>
      <c r="AE203" s="4" t="str">
        <f>Table2[[#This Row],[field_fate5]]</f>
        <v>Hu</v>
      </c>
      <c r="AF203" s="4" t="str">
        <f>Table2[[#This Row],[field_fate5]]</f>
        <v>Hu</v>
      </c>
      <c r="AG203" s="4" t="str">
        <f>Table2[[#This Row],[field_fate5]]</f>
        <v>Hu</v>
      </c>
      <c r="AH203" s="4" t="str">
        <f>Table2[[#This Row],[field_fate2]]</f>
        <v>Hu</v>
      </c>
      <c r="AI203" s="4" t="str">
        <f>Table2[[#This Row],[field_fate8]]</f>
        <v>Hu</v>
      </c>
      <c r="AJ203" s="4" t="str">
        <f>Table2[[#This Row],[field_fate10]]</f>
        <v>Hu</v>
      </c>
      <c r="AK203" s="4" t="b">
        <f>Table2[[#This Row],[field_fate_feb]]=Table2[[#This Row],[field_fate10]]</f>
        <v>1</v>
      </c>
      <c r="AL203" s="43" t="s">
        <v>24</v>
      </c>
      <c r="AM203" s="43" t="b">
        <f>Table2[[#This Row],[cam_fate2]]="NA"</f>
        <v>1</v>
      </c>
      <c r="AN203" s="19" t="str">
        <f>Table2[[#This Row],[cam_fate1]]</f>
        <v>NA</v>
      </c>
      <c r="AO203" s="2" t="s">
        <v>91</v>
      </c>
      <c r="AP203" s="5" t="str">
        <f>Table2[[#This Row],[final_fate1]]</f>
        <v>Hu</v>
      </c>
      <c r="AQ203" s="6" t="s">
        <v>24</v>
      </c>
      <c r="AR203" s="7" t="s">
        <v>24</v>
      </c>
      <c r="AS203" s="7" t="e">
        <f>Table2[[#This Row],[final_obs_date]]-Table2[[#This Row],[init_date]]</f>
        <v>#VALUE!</v>
      </c>
      <c r="AT203" s="7" t="e">
        <f>(Table2[[#This Row],[final_obs_date2]]-Table2[[#This Row],[estHD]])+16</f>
        <v>#VALUE!</v>
      </c>
      <c r="AU203" s="38">
        <v>3</v>
      </c>
      <c r="AV203" s="33">
        <v>3</v>
      </c>
      <c r="AW203" s="33">
        <f>Table2[[#This Row],[final_obs_date2]]-Table2[[#This Row],[pen_obs_date]]</f>
        <v>46</v>
      </c>
      <c r="AX203" s="67">
        <v>46</v>
      </c>
      <c r="AY203" s="6">
        <f>Table2[[#This Row],[final_obs_date]]</f>
        <v>46</v>
      </c>
      <c r="AZ203" s="6"/>
      <c r="BA203" s="91" t="s">
        <v>47</v>
      </c>
      <c r="BB203" s="6" t="e">
        <f>Table2[[#This Row],[final_obs_date]]&lt;(Table2[[#This Row],[estHD]]-2)</f>
        <v>#VALUE!</v>
      </c>
      <c r="BC203" s="24">
        <f>IF(Table2[[#This Row],[field_fate]]="H",1,0)</f>
        <v>0</v>
      </c>
      <c r="BD203" s="16">
        <f>IF(Table2[[#This Row],[cam_fate2]]="H",1,0)</f>
        <v>0</v>
      </c>
      <c r="BE203" s="6" t="b">
        <f>NOT(Table2[[#This Row],[HF_C]]=Table2[[#This Row],[HF]])</f>
        <v>0</v>
      </c>
      <c r="BF203" s="6" t="b">
        <f>NOT(Table2[[#This Row],[cam_fate2]]=Table2[[#This Row],[field_fate3]])</f>
        <v>1</v>
      </c>
      <c r="BG203" s="6" t="b">
        <f>OR(Table2[[#This Row],[field_fate3]]="U",Table2[[#This Row],[field_fate3]]="U-H")</f>
        <v>0</v>
      </c>
      <c r="BH203" s="8">
        <v>43</v>
      </c>
      <c r="BI203" s="8">
        <v>43</v>
      </c>
      <c r="BJ203" s="14">
        <f>IF(ISTEXT(Table2[[#This Row],[j.cam]]),Table2[[#This Row],[j]],Table2[[#This Row],[j.cam]])</f>
        <v>43</v>
      </c>
      <c r="BK203" s="9">
        <v>46</v>
      </c>
      <c r="BL203" s="15">
        <f>IF(ISTEXT(Table2[[#This Row],[k.cam]]), Table2[[#This Row],[k]], Table2[[#This Row],[k.cam]])</f>
        <v>46</v>
      </c>
      <c r="BM203" s="4" t="s">
        <v>24</v>
      </c>
      <c r="BN203" s="8" t="s">
        <v>24</v>
      </c>
      <c r="BO203" s="4">
        <v>2</v>
      </c>
      <c r="BP203" s="4">
        <f>Table2[[#This Row],[final_obs_date]]-Table2[[#This Row],[i]]</f>
        <v>3</v>
      </c>
      <c r="BQ203" s="4" t="e">
        <f>Table2[[#This Row],[final_obs_date2]]&gt;Table2[[#This Row],[estHD]]+3</f>
        <v>#VALUE!</v>
      </c>
      <c r="BR203" s="4" t="s">
        <v>27</v>
      </c>
      <c r="BS203" s="4" t="s">
        <v>208</v>
      </c>
      <c r="BT203" s="79" t="s">
        <v>1127</v>
      </c>
      <c r="BU203" s="26" t="s">
        <v>209</v>
      </c>
      <c r="BV203" s="79" t="s">
        <v>1430</v>
      </c>
      <c r="BW203" s="49"/>
      <c r="BX203" s="47"/>
      <c r="BY203" s="36" t="s">
        <v>602</v>
      </c>
    </row>
    <row r="204" spans="1:77" ht="24" hidden="1" x14ac:dyDescent="0.35">
      <c r="A204" s="62">
        <v>10278</v>
      </c>
      <c r="B204" s="2" t="s">
        <v>35</v>
      </c>
      <c r="C204" s="44">
        <v>2019</v>
      </c>
      <c r="D204" s="3">
        <v>29.762139999999999</v>
      </c>
      <c r="E204" s="3">
        <v>-93.138210000000001</v>
      </c>
      <c r="F204" s="3">
        <v>10</v>
      </c>
      <c r="G204" s="3">
        <v>30</v>
      </c>
      <c r="H204" s="3" t="s">
        <v>24</v>
      </c>
      <c r="I204" s="43"/>
      <c r="J204" s="55" t="s">
        <v>24</v>
      </c>
      <c r="K204" s="4" t="s">
        <v>24</v>
      </c>
      <c r="L204" s="22" t="str">
        <f>IF(ISNUMBER(Table2[[#This Row],[estHD]]),ABS(Table2[[#This Row],[HD]]-Table2[[#This Row],[estHD]]),"NA")</f>
        <v>NA</v>
      </c>
      <c r="M204" s="4" t="b">
        <f>Table2[[#This Row],[HD]]=Table2[[#This Row],[estHD]]</f>
        <v>1</v>
      </c>
      <c r="N204" s="4" t="str">
        <f>IF(ISNUMBER([1]!Table2[[#This Row],[hatch_date]]),[1]!Table2[[#This Row],[hatch_date]]-19,"NA")</f>
        <v>NA</v>
      </c>
      <c r="O204" s="31" t="s">
        <v>24</v>
      </c>
      <c r="P204" s="23" t="str">
        <f>IF(ISNUMBER(Table2[[#This Row],[nest_age1]]),ABS(Table2[[#This Row],[nest_age1]]-Table2[[#This Row],[nest_age_feb]]),"NA")</f>
        <v>NA</v>
      </c>
      <c r="Q204" s="24">
        <f>IF(ISNUMBER(Table2[[#This Row],[final_obs_int2]]),ABS(Table2[[#This Row],[final_obs_int2]]-Table2[[#This Row],[final_obs_int_feb]]), "NA")</f>
        <v>0</v>
      </c>
      <c r="R204" s="24"/>
      <c r="S204" s="57" t="s">
        <v>88</v>
      </c>
      <c r="T204" s="57" t="str">
        <f>Table2[[#This Row],[camera_old]]</f>
        <v>N</v>
      </c>
      <c r="U204" s="24"/>
      <c r="V204" s="16" t="s">
        <v>24</v>
      </c>
      <c r="W204" s="16" t="s">
        <v>24</v>
      </c>
      <c r="X204" s="145">
        <v>2</v>
      </c>
      <c r="Y204" s="147" t="s">
        <v>91</v>
      </c>
      <c r="Z204" s="146" t="s">
        <v>91</v>
      </c>
      <c r="AA204" s="4" t="str">
        <f>Table2[[#This Row],[field_fate]]</f>
        <v>Hu</v>
      </c>
      <c r="AB204" s="4" t="str">
        <f>Table2[[#This Row],[field_fate2]]</f>
        <v>Hu</v>
      </c>
      <c r="AC204" s="4" t="str">
        <f>Table2[[#This Row],[field_fate3]]</f>
        <v>Hu</v>
      </c>
      <c r="AD204" s="4" t="str">
        <f>Table2[[#This Row],[field_fate4]]</f>
        <v>Hu</v>
      </c>
      <c r="AE204" s="4" t="str">
        <f>Table2[[#This Row],[field_fate5]]</f>
        <v>Hu</v>
      </c>
      <c r="AF204" s="4" t="str">
        <f>Table2[[#This Row],[field_fate5]]</f>
        <v>Hu</v>
      </c>
      <c r="AG204" s="4" t="str">
        <f>Table2[[#This Row],[field_fate5]]</f>
        <v>Hu</v>
      </c>
      <c r="AH204" s="4" t="str">
        <f>Table2[[#This Row],[field_fate2]]</f>
        <v>Hu</v>
      </c>
      <c r="AI204" s="4" t="str">
        <f>Table2[[#This Row],[field_fate8]]</f>
        <v>Hu</v>
      </c>
      <c r="AJ204" s="4" t="str">
        <f>Table2[[#This Row],[field_fate10]]</f>
        <v>Hu</v>
      </c>
      <c r="AK204" s="4" t="b">
        <f>Table2[[#This Row],[field_fate_feb]]=Table2[[#This Row],[field_fate10]]</f>
        <v>1</v>
      </c>
      <c r="AL204" s="43" t="s">
        <v>24</v>
      </c>
      <c r="AM204" s="43" t="b">
        <f>Table2[[#This Row],[cam_fate2]]="NA"</f>
        <v>1</v>
      </c>
      <c r="AN204" s="19" t="str">
        <f>Table2[[#This Row],[cam_fate1]]</f>
        <v>NA</v>
      </c>
      <c r="AO204" s="2" t="s">
        <v>91</v>
      </c>
      <c r="AP204" s="5" t="str">
        <f>Table2[[#This Row],[final_fate1]]</f>
        <v>Hu</v>
      </c>
      <c r="AQ204" s="6" t="s">
        <v>24</v>
      </c>
      <c r="AR204" s="7" t="s">
        <v>24</v>
      </c>
      <c r="AS204" s="7" t="e">
        <f>Table2[[#This Row],[final_obs_date]]-Table2[[#This Row],[init_date]]</f>
        <v>#VALUE!</v>
      </c>
      <c r="AT204" s="7" t="e">
        <f>(Table2[[#This Row],[final_obs_date2]]-Table2[[#This Row],[estHD]])+16</f>
        <v>#VALUE!</v>
      </c>
      <c r="AU204" s="38">
        <v>2</v>
      </c>
      <c r="AV204" s="33">
        <v>2</v>
      </c>
      <c r="AW204" s="33">
        <f>Table2[[#This Row],[final_obs_date2]]-Table2[[#This Row],[pen_obs_date]]</f>
        <v>48</v>
      </c>
      <c r="AX204" s="67">
        <v>48</v>
      </c>
      <c r="AY204" s="6">
        <f>Table2[[#This Row],[final_obs_date]]</f>
        <v>48</v>
      </c>
      <c r="AZ204" s="6"/>
      <c r="BA204" s="91" t="s">
        <v>47</v>
      </c>
      <c r="BB204" s="6" t="e">
        <f>Table2[[#This Row],[final_obs_date]]&lt;(Table2[[#This Row],[estHD]]-2)</f>
        <v>#VALUE!</v>
      </c>
      <c r="BC204" s="24">
        <f>IF(Table2[[#This Row],[field_fate]]="H",1,0)</f>
        <v>0</v>
      </c>
      <c r="BD204" s="16">
        <f>IF(Table2[[#This Row],[cam_fate2]]="H",1,0)</f>
        <v>0</v>
      </c>
      <c r="BE204" s="6" t="b">
        <f>NOT(Table2[[#This Row],[HF_C]]=Table2[[#This Row],[HF]])</f>
        <v>0</v>
      </c>
      <c r="BF204" s="6" t="b">
        <f>NOT(Table2[[#This Row],[cam_fate2]]=Table2[[#This Row],[field_fate3]])</f>
        <v>1</v>
      </c>
      <c r="BG204" s="6" t="b">
        <f>OR(Table2[[#This Row],[field_fate3]]="U",Table2[[#This Row],[field_fate3]]="U-H")</f>
        <v>0</v>
      </c>
      <c r="BH204" s="8">
        <v>43</v>
      </c>
      <c r="BI204" s="8">
        <v>46</v>
      </c>
      <c r="BJ204" s="14">
        <f>IF(ISTEXT(Table2[[#This Row],[j.cam]]),Table2[[#This Row],[j]],Table2[[#This Row],[j.cam]])</f>
        <v>46</v>
      </c>
      <c r="BK204" s="9">
        <v>48</v>
      </c>
      <c r="BL204" s="15">
        <f>IF(ISTEXT(Table2[[#This Row],[k.cam]]), Table2[[#This Row],[k]], Table2[[#This Row],[k.cam]])</f>
        <v>48</v>
      </c>
      <c r="BM204" s="4" t="s">
        <v>24</v>
      </c>
      <c r="BN204" s="8" t="s">
        <v>24</v>
      </c>
      <c r="BO204" s="4">
        <v>3</v>
      </c>
      <c r="BP204" s="4">
        <f>Table2[[#This Row],[final_obs_date]]-Table2[[#This Row],[i]]</f>
        <v>5</v>
      </c>
      <c r="BQ204" s="4" t="e">
        <f>Table2[[#This Row],[final_obs_date2]]&gt;Table2[[#This Row],[estHD]]+3</f>
        <v>#VALUE!</v>
      </c>
      <c r="BR204" s="4" t="s">
        <v>66</v>
      </c>
      <c r="BS204" s="4" t="s">
        <v>28</v>
      </c>
      <c r="BT204" s="79" t="s">
        <v>1125</v>
      </c>
      <c r="BU204" s="26" t="s">
        <v>210</v>
      </c>
      <c r="BV204" s="79" t="s">
        <v>1521</v>
      </c>
      <c r="BW204" s="49"/>
      <c r="BX204" s="47"/>
      <c r="BY204" s="36" t="s">
        <v>603</v>
      </c>
    </row>
    <row r="205" spans="1:77" hidden="1" x14ac:dyDescent="0.35">
      <c r="A205" s="62">
        <v>10279</v>
      </c>
      <c r="B205" s="2" t="s">
        <v>35</v>
      </c>
      <c r="C205" s="44">
        <v>2019</v>
      </c>
      <c r="D205" s="3">
        <v>29.76257</v>
      </c>
      <c r="E205" s="3">
        <v>-93.140110000000007</v>
      </c>
      <c r="F205" s="3">
        <v>40</v>
      </c>
      <c r="G205" s="3">
        <v>40</v>
      </c>
      <c r="H205" s="3" t="s">
        <v>24</v>
      </c>
      <c r="I205" s="43"/>
      <c r="J205" s="55" t="s">
        <v>24</v>
      </c>
      <c r="K205" s="4" t="s">
        <v>24</v>
      </c>
      <c r="L205" s="22" t="str">
        <f>IF(ISNUMBER(Table2[[#This Row],[estHD]]),ABS(Table2[[#This Row],[HD]]-Table2[[#This Row],[estHD]]),"NA")</f>
        <v>NA</v>
      </c>
      <c r="M205" s="4" t="b">
        <f>Table2[[#This Row],[HD]]=Table2[[#This Row],[estHD]]</f>
        <v>1</v>
      </c>
      <c r="N205" s="4" t="str">
        <f>IF(ISNUMBER([1]!Table2[[#This Row],[hatch_date]]),[1]!Table2[[#This Row],[hatch_date]]-19,"NA")</f>
        <v>NA</v>
      </c>
      <c r="O205" s="31" t="s">
        <v>24</v>
      </c>
      <c r="P205" s="23" t="str">
        <f>IF(ISNUMBER(Table2[[#This Row],[nest_age1]]),ABS(Table2[[#This Row],[nest_age1]]-Table2[[#This Row],[nest_age_feb]]),"NA")</f>
        <v>NA</v>
      </c>
      <c r="Q205" s="25">
        <f>IF(ISNUMBER(Table2[[#This Row],[final_obs_int2]]),ABS(Table2[[#This Row],[final_obs_int2]]-Table2[[#This Row],[final_obs_int_feb]]), "NA")</f>
        <v>3</v>
      </c>
      <c r="R205" s="25"/>
      <c r="S205" s="57" t="s">
        <v>88</v>
      </c>
      <c r="T205" s="57" t="str">
        <f>Table2[[#This Row],[camera_old]]</f>
        <v>N</v>
      </c>
      <c r="U205" s="24"/>
      <c r="V205" s="16" t="s">
        <v>24</v>
      </c>
      <c r="W205" s="16" t="s">
        <v>24</v>
      </c>
      <c r="X205" s="145">
        <v>2</v>
      </c>
      <c r="Y205" s="148" t="s">
        <v>48</v>
      </c>
      <c r="Z205" s="146" t="s">
        <v>48</v>
      </c>
      <c r="AA205" s="4" t="str">
        <f>Table2[[#This Row],[field_fate]]</f>
        <v>F</v>
      </c>
      <c r="AB205" s="4" t="str">
        <f>Table2[[#This Row],[field_fate2]]</f>
        <v>F</v>
      </c>
      <c r="AC205" s="4" t="str">
        <f>Table2[[#This Row],[field_fate3]]</f>
        <v>F</v>
      </c>
      <c r="AD205" s="4" t="str">
        <f>Table2[[#This Row],[field_fate4]]</f>
        <v>F</v>
      </c>
      <c r="AE205" s="4" t="str">
        <f>Table2[[#This Row],[field_fate5]]</f>
        <v>F</v>
      </c>
      <c r="AF205" s="4" t="str">
        <f>Table2[[#This Row],[field_fate5]]</f>
        <v>F</v>
      </c>
      <c r="AG205" s="4" t="str">
        <f>Table2[[#This Row],[field_fate5]]</f>
        <v>F</v>
      </c>
      <c r="AH205" s="4" t="str">
        <f>Table2[[#This Row],[field_fate2]]</f>
        <v>F</v>
      </c>
      <c r="AI205" s="4" t="str">
        <f>Table2[[#This Row],[field_fate8]]</f>
        <v>F</v>
      </c>
      <c r="AJ205" s="4" t="str">
        <f>Table2[[#This Row],[field_fate10]]</f>
        <v>F</v>
      </c>
      <c r="AK205" s="4" t="b">
        <f>Table2[[#This Row],[field_fate_feb]]=Table2[[#This Row],[field_fate10]]</f>
        <v>1</v>
      </c>
      <c r="AL205" s="43" t="s">
        <v>24</v>
      </c>
      <c r="AM205" s="43" t="b">
        <f>Table2[[#This Row],[cam_fate2]]="NA"</f>
        <v>1</v>
      </c>
      <c r="AN205" s="19" t="str">
        <f>Table2[[#This Row],[cam_fate1]]</f>
        <v>NA</v>
      </c>
      <c r="AO205" s="2" t="s">
        <v>48</v>
      </c>
      <c r="AP205" s="5" t="str">
        <f>Table2[[#This Row],[final_fate1]]</f>
        <v>F</v>
      </c>
      <c r="AQ205" s="6" t="s">
        <v>24</v>
      </c>
      <c r="AR205" s="7" t="s">
        <v>24</v>
      </c>
      <c r="AS205" s="7" t="e">
        <f>Table2[[#This Row],[final_obs_date]]-Table2[[#This Row],[init_date]]</f>
        <v>#VALUE!</v>
      </c>
      <c r="AT205" s="7" t="e">
        <f>(Table2[[#This Row],[final_obs_date2]]-Table2[[#This Row],[estHD]])+16</f>
        <v>#VALUE!</v>
      </c>
      <c r="AU205" s="40">
        <v>5</v>
      </c>
      <c r="AV205" s="33">
        <v>5</v>
      </c>
      <c r="AW205" s="33">
        <f>Table2[[#This Row],[final_obs_date2]]-Table2[[#This Row],[pen_obs_date]]</f>
        <v>48</v>
      </c>
      <c r="AX205" s="67">
        <v>48</v>
      </c>
      <c r="AY205" s="6">
        <f>Table2[[#This Row],[final_obs_date]]</f>
        <v>48</v>
      </c>
      <c r="AZ205" s="6"/>
      <c r="BA205" s="91" t="s">
        <v>47</v>
      </c>
      <c r="BB205" s="6" t="e">
        <f>Table2[[#This Row],[final_obs_date]]&lt;(Table2[[#This Row],[estHD]]-2)</f>
        <v>#VALUE!</v>
      </c>
      <c r="BC205" s="24">
        <f>IF(Table2[[#This Row],[field_fate]]="H",1,0)</f>
        <v>0</v>
      </c>
      <c r="BD205" s="16">
        <f>IF(Table2[[#This Row],[cam_fate2]]="H",1,0)</f>
        <v>0</v>
      </c>
      <c r="BE205" s="6" t="b">
        <f>NOT(Table2[[#This Row],[HF_C]]=Table2[[#This Row],[HF]])</f>
        <v>0</v>
      </c>
      <c r="BF205" s="6" t="b">
        <f>NOT(Table2[[#This Row],[cam_fate2]]=Table2[[#This Row],[field_fate3]])</f>
        <v>1</v>
      </c>
      <c r="BG205" s="6" t="b">
        <f>OR(Table2[[#This Row],[field_fate3]]="U",Table2[[#This Row],[field_fate3]]="U-H")</f>
        <v>0</v>
      </c>
      <c r="BH205" s="8">
        <v>43</v>
      </c>
      <c r="BI205" s="8">
        <v>43</v>
      </c>
      <c r="BJ205" s="14">
        <f>IF(ISTEXT(Table2[[#This Row],[j.cam]]),Table2[[#This Row],[j]],Table2[[#This Row],[j.cam]])</f>
        <v>43</v>
      </c>
      <c r="BK205" s="9">
        <v>48</v>
      </c>
      <c r="BL205" s="15">
        <f>IF(ISTEXT(Table2[[#This Row],[k.cam]]), Table2[[#This Row],[k]], Table2[[#This Row],[k.cam]])</f>
        <v>48</v>
      </c>
      <c r="BM205" s="4" t="s">
        <v>24</v>
      </c>
      <c r="BN205" s="8" t="s">
        <v>24</v>
      </c>
      <c r="BO205" s="4">
        <v>3</v>
      </c>
      <c r="BP205" s="4">
        <f>Table2[[#This Row],[final_obs_date]]-Table2[[#This Row],[i]]</f>
        <v>5</v>
      </c>
      <c r="BQ205" s="4" t="e">
        <f>Table2[[#This Row],[final_obs_date2]]&gt;Table2[[#This Row],[estHD]]+3</f>
        <v>#VALUE!</v>
      </c>
      <c r="BR205" s="11" t="s">
        <v>211</v>
      </c>
      <c r="BS205" s="4" t="s">
        <v>28</v>
      </c>
      <c r="BT205" s="79" t="s">
        <v>1125</v>
      </c>
      <c r="BU205" s="26" t="s">
        <v>212</v>
      </c>
      <c r="BV205" s="79" t="s">
        <v>1521</v>
      </c>
      <c r="BW205" s="49"/>
      <c r="BX205" s="47"/>
      <c r="BY205" s="36" t="s">
        <v>604</v>
      </c>
    </row>
    <row r="206" spans="1:77" hidden="1" x14ac:dyDescent="0.35">
      <c r="A206" s="62">
        <v>10280</v>
      </c>
      <c r="B206" s="2" t="s">
        <v>35</v>
      </c>
      <c r="C206" s="44">
        <v>2019</v>
      </c>
      <c r="D206" s="3">
        <v>29.77101</v>
      </c>
      <c r="E206" s="3">
        <v>-93.180599999999998</v>
      </c>
      <c r="F206" s="3">
        <v>60</v>
      </c>
      <c r="G206" s="3">
        <v>60</v>
      </c>
      <c r="H206" s="3" t="s">
        <v>26</v>
      </c>
      <c r="I206" s="43"/>
      <c r="J206" s="55">
        <v>65</v>
      </c>
      <c r="K206" s="4">
        <v>65</v>
      </c>
      <c r="L206" s="22">
        <f>IF(ISNUMBER(Table2[[#This Row],[estHD]]),ABS(Table2[[#This Row],[HD]]-Table2[[#This Row],[estHD]]),"NA")</f>
        <v>0</v>
      </c>
      <c r="M206" s="4" t="b">
        <f>Table2[[#This Row],[HD]]=Table2[[#This Row],[estHD]]</f>
        <v>1</v>
      </c>
      <c r="N206" s="4" t="str">
        <f>IF(ISNUMBER([1]!Table2[[#This Row],[hatch_date]]),[1]!Table2[[#This Row],[hatch_date]]-19,"NA")</f>
        <v>NA</v>
      </c>
      <c r="O206" s="31">
        <v>46</v>
      </c>
      <c r="P206" s="23">
        <f>IF(ISNUMBER(Table2[[#This Row],[nest_age1]]),ABS(Table2[[#This Row],[nest_age1]]-Table2[[#This Row],[nest_age_feb]]),"NA")</f>
        <v>0</v>
      </c>
      <c r="Q206" s="24">
        <f>IF(ISNUMBER(Table2[[#This Row],[final_obs_int2]]),ABS(Table2[[#This Row],[final_obs_int2]]-Table2[[#This Row],[final_obs_int_feb]]), "NA")</f>
        <v>0</v>
      </c>
      <c r="R206" s="24"/>
      <c r="S206" s="57" t="s">
        <v>88</v>
      </c>
      <c r="T206" s="57" t="str">
        <f>Table2[[#This Row],[camera_old]]</f>
        <v>N</v>
      </c>
      <c r="U206" s="24"/>
      <c r="V206" s="16" t="s">
        <v>24</v>
      </c>
      <c r="W206" s="16">
        <v>11</v>
      </c>
      <c r="X206" s="145">
        <v>4</v>
      </c>
      <c r="Y206" s="147" t="s">
        <v>149</v>
      </c>
      <c r="Z206" s="146" t="s">
        <v>25</v>
      </c>
      <c r="AA206" s="4" t="str">
        <f>Table2[[#This Row],[field_fate]]</f>
        <v>S</v>
      </c>
      <c r="AB206" s="4" t="str">
        <f>Table2[[#This Row],[field_fate2]]</f>
        <v>S</v>
      </c>
      <c r="AC206" s="4" t="str">
        <f>Table2[[#This Row],[field_fate3]]</f>
        <v>S</v>
      </c>
      <c r="AD206" s="4" t="str">
        <f>Table2[[#This Row],[field_fate4]]</f>
        <v>S</v>
      </c>
      <c r="AE206" s="4" t="str">
        <f>Table2[[#This Row],[field_fate5]]</f>
        <v>S</v>
      </c>
      <c r="AF206" s="4" t="str">
        <f>Table2[[#This Row],[field_fate5]]</f>
        <v>S</v>
      </c>
      <c r="AG206" s="4" t="str">
        <f>Table2[[#This Row],[field_fate5]]</f>
        <v>S</v>
      </c>
      <c r="AH206" s="4" t="str">
        <f>Table2[[#This Row],[field_fate2]]</f>
        <v>S</v>
      </c>
      <c r="AI206" s="4" t="str">
        <f>Table2[[#This Row],[field_fate8]]</f>
        <v>S</v>
      </c>
      <c r="AJ206" s="4" t="str">
        <f>Table2[[#This Row],[field_fate10]]</f>
        <v>S</v>
      </c>
      <c r="AK206" s="4" t="b">
        <f>Table2[[#This Row],[field_fate_feb]]=Table2[[#This Row],[field_fate10]]</f>
        <v>0</v>
      </c>
      <c r="AL206" s="43" t="s">
        <v>24</v>
      </c>
      <c r="AM206" s="43" t="b">
        <f>Table2[[#This Row],[cam_fate2]]="NA"</f>
        <v>1</v>
      </c>
      <c r="AN206" s="19" t="str">
        <f>Table2[[#This Row],[cam_fate1]]</f>
        <v>NA</v>
      </c>
      <c r="AO206" s="2" t="s">
        <v>25</v>
      </c>
      <c r="AP206" s="5" t="str">
        <f>Table2[[#This Row],[final_fate1]]</f>
        <v>S</v>
      </c>
      <c r="AQ206" s="6">
        <v>11</v>
      </c>
      <c r="AR206" s="7">
        <v>11</v>
      </c>
      <c r="AS206" s="7">
        <f>Table2[[#This Row],[final_obs_date]]-Table2[[#This Row],[init_date]]</f>
        <v>11</v>
      </c>
      <c r="AT206" s="7">
        <f>(Table2[[#This Row],[final_obs_date2]]-Table2[[#This Row],[estHD]])+16</f>
        <v>8</v>
      </c>
      <c r="AU206" s="38">
        <v>4</v>
      </c>
      <c r="AV206" s="33">
        <v>4</v>
      </c>
      <c r="AW206" s="33">
        <f>Table2[[#This Row],[final_obs_date2]]-Table2[[#This Row],[pen_obs_date]]</f>
        <v>57</v>
      </c>
      <c r="AX206" s="67">
        <v>57</v>
      </c>
      <c r="AY206" s="6">
        <f>Table2[[#This Row],[final_obs_date]]</f>
        <v>57</v>
      </c>
      <c r="AZ206" s="6"/>
      <c r="BA206" s="91" t="s">
        <v>47</v>
      </c>
      <c r="BB206" s="6" t="b">
        <f>Table2[[#This Row],[final_obs_date]]&lt;(Table2[[#This Row],[estHD]]-2)</f>
        <v>1</v>
      </c>
      <c r="BC206" s="24">
        <f>IF(Table2[[#This Row],[field_fate]]="H",1,0)</f>
        <v>0</v>
      </c>
      <c r="BD206" s="16">
        <f>IF(Table2[[#This Row],[cam_fate2]]="H",1,0)</f>
        <v>0</v>
      </c>
      <c r="BE206" s="6" t="b">
        <f>NOT(Table2[[#This Row],[HF_C]]=Table2[[#This Row],[HF]])</f>
        <v>0</v>
      </c>
      <c r="BF206" s="6" t="b">
        <f>NOT(Table2[[#This Row],[cam_fate2]]=Table2[[#This Row],[field_fate3]])</f>
        <v>1</v>
      </c>
      <c r="BG206" s="6" t="b">
        <f>OR(Table2[[#This Row],[field_fate3]]="U",Table2[[#This Row],[field_fate3]]="U-H")</f>
        <v>0</v>
      </c>
      <c r="BH206" s="8">
        <v>49</v>
      </c>
      <c r="BI206" s="8">
        <v>53</v>
      </c>
      <c r="BJ206" s="14">
        <f>IF(ISTEXT(Table2[[#This Row],[j.cam]]),Table2[[#This Row],[j]],Table2[[#This Row],[j.cam]])</f>
        <v>53</v>
      </c>
      <c r="BK206" s="9">
        <v>57</v>
      </c>
      <c r="BL206" s="15">
        <f>IF(ISTEXT(Table2[[#This Row],[k.cam]]), Table2[[#This Row],[k]], Table2[[#This Row],[k.cam]])</f>
        <v>57</v>
      </c>
      <c r="BM206" s="4" t="s">
        <v>24</v>
      </c>
      <c r="BN206" s="8" t="s">
        <v>24</v>
      </c>
      <c r="BO206" s="4">
        <v>3</v>
      </c>
      <c r="BP206" s="4">
        <f>Table2[[#This Row],[final_obs_date]]-Table2[[#This Row],[i]]</f>
        <v>8</v>
      </c>
      <c r="BQ206" s="4" t="b">
        <f>Table2[[#This Row],[final_obs_date2]]&gt;Table2[[#This Row],[estHD]]+3</f>
        <v>0</v>
      </c>
      <c r="BR206" s="4" t="s">
        <v>27</v>
      </c>
      <c r="BS206" s="4" t="s">
        <v>28</v>
      </c>
      <c r="BT206" s="79" t="s">
        <v>1128</v>
      </c>
      <c r="BU206" s="26" t="s">
        <v>97</v>
      </c>
      <c r="BV206" s="79" t="s">
        <v>1454</v>
      </c>
      <c r="BW206" s="49"/>
      <c r="BX206" s="47"/>
      <c r="BY206" s="36" t="s">
        <v>24</v>
      </c>
    </row>
    <row r="207" spans="1:77" hidden="1" x14ac:dyDescent="0.35">
      <c r="A207" s="62">
        <v>10281</v>
      </c>
      <c r="B207" s="2" t="s">
        <v>35</v>
      </c>
      <c r="C207" s="44">
        <v>2019</v>
      </c>
      <c r="D207" s="3">
        <v>29.763960000000001</v>
      </c>
      <c r="E207" s="3">
        <v>-93.146950000000004</v>
      </c>
      <c r="F207" s="3">
        <v>30</v>
      </c>
      <c r="G207" s="3">
        <v>30</v>
      </c>
      <c r="H207" s="3" t="s">
        <v>24</v>
      </c>
      <c r="I207" s="43"/>
      <c r="J207" s="55" t="s">
        <v>24</v>
      </c>
      <c r="K207" s="4" t="s">
        <v>24</v>
      </c>
      <c r="L207" s="22" t="str">
        <f>IF(ISNUMBER(Table2[[#This Row],[estHD]]),ABS(Table2[[#This Row],[HD]]-Table2[[#This Row],[estHD]]),"NA")</f>
        <v>NA</v>
      </c>
      <c r="M207" s="4" t="b">
        <f>Table2[[#This Row],[HD]]=Table2[[#This Row],[estHD]]</f>
        <v>1</v>
      </c>
      <c r="N207" s="4" t="str">
        <f>IF(ISNUMBER([1]!Table2[[#This Row],[hatch_date]]),[1]!Table2[[#This Row],[hatch_date]]-19,"NA")</f>
        <v>NA</v>
      </c>
      <c r="O207" s="31" t="s">
        <v>24</v>
      </c>
      <c r="P207" s="23" t="str">
        <f>IF(ISNUMBER(Table2[[#This Row],[nest_age1]]),ABS(Table2[[#This Row],[nest_age1]]-Table2[[#This Row],[nest_age_feb]]),"NA")</f>
        <v>NA</v>
      </c>
      <c r="Q207" s="24">
        <f>IF(ISNUMBER(Table2[[#This Row],[final_obs_int2]]),ABS(Table2[[#This Row],[final_obs_int2]]-Table2[[#This Row],[final_obs_int_feb]]), "NA")</f>
        <v>0</v>
      </c>
      <c r="R207" s="24"/>
      <c r="S207" s="57" t="s">
        <v>88</v>
      </c>
      <c r="T207" s="57" t="str">
        <f>Table2[[#This Row],[camera_old]]</f>
        <v>N</v>
      </c>
      <c r="U207" s="24"/>
      <c r="V207" s="16" t="s">
        <v>24</v>
      </c>
      <c r="W207" s="16" t="s">
        <v>24</v>
      </c>
      <c r="X207" s="145">
        <v>5</v>
      </c>
      <c r="Y207" s="149" t="s">
        <v>91</v>
      </c>
      <c r="Z207" s="146" t="s">
        <v>91</v>
      </c>
      <c r="AA207" s="4" t="str">
        <f>Table2[[#This Row],[field_fate]]</f>
        <v>Hu</v>
      </c>
      <c r="AB207" s="4" t="str">
        <f>Table2[[#This Row],[field_fate2]]</f>
        <v>Hu</v>
      </c>
      <c r="AC207" s="4" t="str">
        <f>Table2[[#This Row],[field_fate3]]</f>
        <v>Hu</v>
      </c>
      <c r="AD207" s="4" t="str">
        <f>Table2[[#This Row],[field_fate4]]</f>
        <v>Hu</v>
      </c>
      <c r="AE207" s="4" t="str">
        <f>Table2[[#This Row],[field_fate5]]</f>
        <v>Hu</v>
      </c>
      <c r="AF207" s="4" t="str">
        <f>Table2[[#This Row],[field_fate5]]</f>
        <v>Hu</v>
      </c>
      <c r="AG207" s="4" t="str">
        <f>Table2[[#This Row],[field_fate5]]</f>
        <v>Hu</v>
      </c>
      <c r="AH207" s="4" t="str">
        <f>Table2[[#This Row],[field_fate2]]</f>
        <v>Hu</v>
      </c>
      <c r="AI207" s="4" t="str">
        <f>Table2[[#This Row],[field_fate8]]</f>
        <v>Hu</v>
      </c>
      <c r="AJ207" s="4" t="str">
        <f>Table2[[#This Row],[field_fate10]]</f>
        <v>Hu</v>
      </c>
      <c r="AK207" s="4" t="b">
        <f>Table2[[#This Row],[field_fate_feb]]=Table2[[#This Row],[field_fate10]]</f>
        <v>1</v>
      </c>
      <c r="AL207" s="43" t="s">
        <v>24</v>
      </c>
      <c r="AM207" s="43" t="b">
        <f>Table2[[#This Row],[cam_fate2]]="NA"</f>
        <v>1</v>
      </c>
      <c r="AN207" s="19" t="str">
        <f>Table2[[#This Row],[cam_fate1]]</f>
        <v>NA</v>
      </c>
      <c r="AO207" s="2" t="s">
        <v>91</v>
      </c>
      <c r="AP207" s="5" t="str">
        <f>Table2[[#This Row],[final_fate1]]</f>
        <v>Hu</v>
      </c>
      <c r="AQ207" s="6" t="s">
        <v>24</v>
      </c>
      <c r="AR207" s="7" t="s">
        <v>24</v>
      </c>
      <c r="AS207" s="7" t="e">
        <f>Table2[[#This Row],[final_obs_date]]-Table2[[#This Row],[init_date]]</f>
        <v>#VALUE!</v>
      </c>
      <c r="AT207" s="7" t="e">
        <f>(Table2[[#This Row],[final_obs_date2]]-Table2[[#This Row],[estHD]])+16</f>
        <v>#VALUE!</v>
      </c>
      <c r="AU207" s="38">
        <v>5</v>
      </c>
      <c r="AV207" s="33">
        <v>5</v>
      </c>
      <c r="AW207" s="33">
        <f>Table2[[#This Row],[final_obs_date2]]-Table2[[#This Row],[pen_obs_date]]</f>
        <v>48</v>
      </c>
      <c r="AX207" s="67">
        <v>48</v>
      </c>
      <c r="AY207" s="6">
        <f>Table2[[#This Row],[final_obs_date]]</f>
        <v>48</v>
      </c>
      <c r="AZ207" s="6"/>
      <c r="BA207" s="91" t="s">
        <v>47</v>
      </c>
      <c r="BB207" s="6" t="e">
        <f>Table2[[#This Row],[final_obs_date]]&lt;(Table2[[#This Row],[estHD]]-2)</f>
        <v>#VALUE!</v>
      </c>
      <c r="BC207" s="24">
        <f>IF(Table2[[#This Row],[field_fate]]="H",1,0)</f>
        <v>0</v>
      </c>
      <c r="BD207" s="16">
        <f>IF(Table2[[#This Row],[cam_fate2]]="H",1,0)</f>
        <v>0</v>
      </c>
      <c r="BE207" s="6" t="b">
        <f>NOT(Table2[[#This Row],[HF_C]]=Table2[[#This Row],[HF]])</f>
        <v>0</v>
      </c>
      <c r="BF207" s="6" t="b">
        <f>NOT(Table2[[#This Row],[cam_fate2]]=Table2[[#This Row],[field_fate3]])</f>
        <v>1</v>
      </c>
      <c r="BG207" s="6" t="b">
        <f>OR(Table2[[#This Row],[field_fate3]]="U",Table2[[#This Row],[field_fate3]]="U-H")</f>
        <v>0</v>
      </c>
      <c r="BH207" s="8">
        <v>43</v>
      </c>
      <c r="BI207" s="8">
        <v>43</v>
      </c>
      <c r="BJ207" s="14">
        <f>IF(ISTEXT(Table2[[#This Row],[j.cam]]),Table2[[#This Row],[j]],Table2[[#This Row],[j.cam]])</f>
        <v>43</v>
      </c>
      <c r="BK207" s="9">
        <v>48</v>
      </c>
      <c r="BL207" s="15">
        <f>IF(ISTEXT(Table2[[#This Row],[k.cam]]), Table2[[#This Row],[k]], Table2[[#This Row],[k.cam]])</f>
        <v>48</v>
      </c>
      <c r="BM207" s="4" t="s">
        <v>24</v>
      </c>
      <c r="BN207" s="8" t="s">
        <v>24</v>
      </c>
      <c r="BO207" s="4">
        <v>2</v>
      </c>
      <c r="BP207" s="4">
        <f>Table2[[#This Row],[final_obs_date]]-Table2[[#This Row],[i]]</f>
        <v>5</v>
      </c>
      <c r="BQ207" s="4" t="e">
        <f>Table2[[#This Row],[final_obs_date2]]&gt;Table2[[#This Row],[estHD]]+3</f>
        <v>#VALUE!</v>
      </c>
      <c r="BR207" s="4" t="s">
        <v>58</v>
      </c>
      <c r="BS207" s="4" t="s">
        <v>51</v>
      </c>
      <c r="BT207" s="79" t="s">
        <v>1129</v>
      </c>
      <c r="BU207" s="26" t="s">
        <v>213</v>
      </c>
      <c r="BV207" s="79" t="s">
        <v>1464</v>
      </c>
      <c r="BW207" s="49"/>
      <c r="BX207" s="47"/>
      <c r="BY207" s="36" t="s">
        <v>605</v>
      </c>
    </row>
    <row r="208" spans="1:77" hidden="1" x14ac:dyDescent="0.35">
      <c r="A208" s="62">
        <v>10282</v>
      </c>
      <c r="B208" s="2" t="s">
        <v>35</v>
      </c>
      <c r="C208" s="44">
        <v>2019</v>
      </c>
      <c r="D208" s="3">
        <v>29.764230000000001</v>
      </c>
      <c r="E208" s="3">
        <v>-93.147620000000003</v>
      </c>
      <c r="F208" s="3">
        <v>10</v>
      </c>
      <c r="G208" s="3">
        <v>30</v>
      </c>
      <c r="H208" s="3" t="s">
        <v>24</v>
      </c>
      <c r="I208" s="43"/>
      <c r="J208" s="55" t="s">
        <v>24</v>
      </c>
      <c r="K208" s="4" t="s">
        <v>24</v>
      </c>
      <c r="L208" s="22" t="str">
        <f>IF(ISNUMBER(Table2[[#This Row],[estHD]]),ABS(Table2[[#This Row],[HD]]-Table2[[#This Row],[estHD]]),"NA")</f>
        <v>NA</v>
      </c>
      <c r="M208" s="4" t="b">
        <f>Table2[[#This Row],[HD]]=Table2[[#This Row],[estHD]]</f>
        <v>1</v>
      </c>
      <c r="N208" s="4" t="str">
        <f>IF(ISNUMBER([1]!Table2[[#This Row],[hatch_date]]),[1]!Table2[[#This Row],[hatch_date]]-19,"NA")</f>
        <v>NA</v>
      </c>
      <c r="O208" s="31" t="s">
        <v>24</v>
      </c>
      <c r="P208" s="23" t="str">
        <f>IF(ISNUMBER(Table2[[#This Row],[nest_age1]]),ABS(Table2[[#This Row],[nest_age1]]-Table2[[#This Row],[nest_age_feb]]),"NA")</f>
        <v>NA</v>
      </c>
      <c r="Q208" s="24">
        <f>IF(ISNUMBER(Table2[[#This Row],[final_obs_int2]]),ABS(Table2[[#This Row],[final_obs_int2]]-Table2[[#This Row],[final_obs_int_feb]]), "NA")</f>
        <v>0</v>
      </c>
      <c r="R208" s="24"/>
      <c r="S208" s="57" t="s">
        <v>88</v>
      </c>
      <c r="T208" s="57" t="str">
        <f>Table2[[#This Row],[camera_old]]</f>
        <v>N</v>
      </c>
      <c r="U208" s="24"/>
      <c r="V208" s="16" t="s">
        <v>24</v>
      </c>
      <c r="W208" s="16" t="s">
        <v>24</v>
      </c>
      <c r="X208" s="145">
        <v>5</v>
      </c>
      <c r="Y208" s="147" t="s">
        <v>91</v>
      </c>
      <c r="Z208" s="146" t="s">
        <v>91</v>
      </c>
      <c r="AA208" s="4" t="str">
        <f>Table2[[#This Row],[field_fate]]</f>
        <v>Hu</v>
      </c>
      <c r="AB208" s="4" t="str">
        <f>Table2[[#This Row],[field_fate2]]</f>
        <v>Hu</v>
      </c>
      <c r="AC208" s="4" t="str">
        <f>Table2[[#This Row],[field_fate3]]</f>
        <v>Hu</v>
      </c>
      <c r="AD208" s="4" t="str">
        <f>Table2[[#This Row],[field_fate4]]</f>
        <v>Hu</v>
      </c>
      <c r="AE208" s="4" t="str">
        <f>Table2[[#This Row],[field_fate5]]</f>
        <v>Hu</v>
      </c>
      <c r="AF208" s="4" t="str">
        <f>Table2[[#This Row],[field_fate5]]</f>
        <v>Hu</v>
      </c>
      <c r="AG208" s="4" t="str">
        <f>Table2[[#This Row],[field_fate5]]</f>
        <v>Hu</v>
      </c>
      <c r="AH208" s="4" t="str">
        <f>Table2[[#This Row],[field_fate2]]</f>
        <v>Hu</v>
      </c>
      <c r="AI208" s="4" t="str">
        <f>Table2[[#This Row],[field_fate8]]</f>
        <v>Hu</v>
      </c>
      <c r="AJ208" s="4" t="str">
        <f>Table2[[#This Row],[field_fate10]]</f>
        <v>Hu</v>
      </c>
      <c r="AK208" s="4" t="b">
        <f>Table2[[#This Row],[field_fate_feb]]=Table2[[#This Row],[field_fate10]]</f>
        <v>1</v>
      </c>
      <c r="AL208" s="43" t="s">
        <v>24</v>
      </c>
      <c r="AM208" s="43" t="b">
        <f>Table2[[#This Row],[cam_fate2]]="NA"</f>
        <v>1</v>
      </c>
      <c r="AN208" s="19" t="str">
        <f>Table2[[#This Row],[cam_fate1]]</f>
        <v>NA</v>
      </c>
      <c r="AO208" s="2" t="s">
        <v>91</v>
      </c>
      <c r="AP208" s="5" t="str">
        <f>Table2[[#This Row],[final_fate1]]</f>
        <v>Hu</v>
      </c>
      <c r="AQ208" s="6" t="s">
        <v>24</v>
      </c>
      <c r="AR208" s="7" t="s">
        <v>24</v>
      </c>
      <c r="AS208" s="7" t="e">
        <f>Table2[[#This Row],[final_obs_date]]-Table2[[#This Row],[init_date]]</f>
        <v>#VALUE!</v>
      </c>
      <c r="AT208" s="7" t="e">
        <f>(Table2[[#This Row],[final_obs_date2]]-Table2[[#This Row],[estHD]])+16</f>
        <v>#VALUE!</v>
      </c>
      <c r="AU208" s="38">
        <v>5</v>
      </c>
      <c r="AV208" s="33">
        <v>5</v>
      </c>
      <c r="AW208" s="33">
        <f>Table2[[#This Row],[final_obs_date2]]-Table2[[#This Row],[pen_obs_date]]</f>
        <v>48</v>
      </c>
      <c r="AX208" s="67">
        <v>48</v>
      </c>
      <c r="AY208" s="6">
        <f>Table2[[#This Row],[final_obs_date]]</f>
        <v>48</v>
      </c>
      <c r="AZ208" s="6"/>
      <c r="BA208" s="91" t="s">
        <v>47</v>
      </c>
      <c r="BB208" s="6" t="e">
        <f>Table2[[#This Row],[final_obs_date]]&lt;(Table2[[#This Row],[estHD]]-2)</f>
        <v>#VALUE!</v>
      </c>
      <c r="BC208" s="24">
        <f>IF(Table2[[#This Row],[field_fate]]="H",1,0)</f>
        <v>0</v>
      </c>
      <c r="BD208" s="16">
        <f>IF(Table2[[#This Row],[cam_fate2]]="H",1,0)</f>
        <v>0</v>
      </c>
      <c r="BE208" s="6" t="b">
        <f>NOT(Table2[[#This Row],[HF_C]]=Table2[[#This Row],[HF]])</f>
        <v>0</v>
      </c>
      <c r="BF208" s="6" t="b">
        <f>NOT(Table2[[#This Row],[cam_fate2]]=Table2[[#This Row],[field_fate3]])</f>
        <v>1</v>
      </c>
      <c r="BG208" s="6" t="b">
        <f>OR(Table2[[#This Row],[field_fate3]]="U",Table2[[#This Row],[field_fate3]]="U-H")</f>
        <v>0</v>
      </c>
      <c r="BH208" s="8">
        <v>43</v>
      </c>
      <c r="BI208" s="8">
        <v>43</v>
      </c>
      <c r="BJ208" s="14">
        <f>IF(ISTEXT(Table2[[#This Row],[j.cam]]),Table2[[#This Row],[j]],Table2[[#This Row],[j.cam]])</f>
        <v>43</v>
      </c>
      <c r="BK208" s="9">
        <v>48</v>
      </c>
      <c r="BL208" s="15">
        <f>IF(ISTEXT(Table2[[#This Row],[k.cam]]), Table2[[#This Row],[k]], Table2[[#This Row],[k.cam]])</f>
        <v>48</v>
      </c>
      <c r="BM208" s="4" t="s">
        <v>24</v>
      </c>
      <c r="BN208" s="8" t="s">
        <v>24</v>
      </c>
      <c r="BO208" s="4">
        <v>2</v>
      </c>
      <c r="BP208" s="4">
        <f>Table2[[#This Row],[final_obs_date]]-Table2[[#This Row],[i]]</f>
        <v>5</v>
      </c>
      <c r="BQ208" s="4" t="e">
        <f>Table2[[#This Row],[final_obs_date2]]&gt;Table2[[#This Row],[estHD]]+3</f>
        <v>#VALUE!</v>
      </c>
      <c r="BR208" s="4" t="s">
        <v>27</v>
      </c>
      <c r="BS208" s="4" t="s">
        <v>28</v>
      </c>
      <c r="BT208" s="79" t="s">
        <v>1129</v>
      </c>
      <c r="BU208" s="26" t="s">
        <v>29</v>
      </c>
      <c r="BV208" s="79" t="s">
        <v>1464</v>
      </c>
      <c r="BW208" s="49"/>
      <c r="BX208" s="47"/>
      <c r="BY208" s="36" t="s">
        <v>606</v>
      </c>
    </row>
    <row r="209" spans="1:77" hidden="1" x14ac:dyDescent="0.35">
      <c r="A209" s="62">
        <v>10283</v>
      </c>
      <c r="B209" s="2" t="s">
        <v>35</v>
      </c>
      <c r="C209" s="44">
        <v>2019</v>
      </c>
      <c r="D209" s="3">
        <v>29.764230000000001</v>
      </c>
      <c r="E209" s="3">
        <v>-93.147800000000004</v>
      </c>
      <c r="F209" s="3">
        <v>10</v>
      </c>
      <c r="G209" s="3">
        <v>30</v>
      </c>
      <c r="H209" s="3" t="s">
        <v>24</v>
      </c>
      <c r="I209" s="43"/>
      <c r="J209" s="55">
        <v>59</v>
      </c>
      <c r="K209" s="4">
        <v>61</v>
      </c>
      <c r="L209" s="22">
        <f>IF(ISNUMBER(Table2[[#This Row],[estHD]]),ABS(Table2[[#This Row],[HD]]-Table2[[#This Row],[estHD]]),"NA")</f>
        <v>2</v>
      </c>
      <c r="M209" s="4" t="b">
        <f>Table2[[#This Row],[HD]]=Table2[[#This Row],[estHD]]</f>
        <v>0</v>
      </c>
      <c r="N209" s="4" t="str">
        <f>IF(ISNUMBER([1]!Table2[[#This Row],[hatch_date]]),[1]!Table2[[#This Row],[hatch_date]]-19,"NA")</f>
        <v>NA</v>
      </c>
      <c r="O209" s="31">
        <v>42</v>
      </c>
      <c r="P209" s="23">
        <f>IF(ISNUMBER(Table2[[#This Row],[nest_age1]]),ABS(Table2[[#This Row],[nest_age1]]-Table2[[#This Row],[nest_age_feb]]),"NA")</f>
        <v>2</v>
      </c>
      <c r="Q209" s="24">
        <f>IF(ISNUMBER(Table2[[#This Row],[final_obs_int2]]),ABS(Table2[[#This Row],[final_obs_int2]]-Table2[[#This Row],[final_obs_int_feb]]), "NA")</f>
        <v>0</v>
      </c>
      <c r="R209" s="24"/>
      <c r="S209" s="57" t="s">
        <v>88</v>
      </c>
      <c r="T209" s="57" t="str">
        <f>Table2[[#This Row],[camera_old]]</f>
        <v>N</v>
      </c>
      <c r="U209" s="24"/>
      <c r="V209" s="16" t="s">
        <v>24</v>
      </c>
      <c r="W209" s="16">
        <v>21</v>
      </c>
      <c r="X209" s="145">
        <v>7</v>
      </c>
      <c r="Y209" s="147" t="s">
        <v>37</v>
      </c>
      <c r="Z209" s="146" t="s">
        <v>37</v>
      </c>
      <c r="AA209" s="4" t="str">
        <f>Table2[[#This Row],[field_fate]]</f>
        <v>H</v>
      </c>
      <c r="AB209" s="4" t="str">
        <f>Table2[[#This Row],[field_fate2]]</f>
        <v>H</v>
      </c>
      <c r="AC209" s="4" t="str">
        <f>Table2[[#This Row],[field_fate3]]</f>
        <v>H</v>
      </c>
      <c r="AD209" s="4" t="str">
        <f>Table2[[#This Row],[field_fate4]]</f>
        <v>H</v>
      </c>
      <c r="AE209" s="4" t="str">
        <f>Table2[[#This Row],[field_fate5]]</f>
        <v>H</v>
      </c>
      <c r="AF209" s="4" t="str">
        <f>Table2[[#This Row],[field_fate5]]</f>
        <v>H</v>
      </c>
      <c r="AG209" s="4" t="str">
        <f>Table2[[#This Row],[field_fate5]]</f>
        <v>H</v>
      </c>
      <c r="AH209" s="4" t="str">
        <f>Table2[[#This Row],[field_fate2]]</f>
        <v>H</v>
      </c>
      <c r="AI209" s="4" t="str">
        <f>Table2[[#This Row],[field_fate8]]</f>
        <v>H</v>
      </c>
      <c r="AJ209" s="4" t="str">
        <f>Table2[[#This Row],[field_fate10]]</f>
        <v>H</v>
      </c>
      <c r="AK209" s="4" t="b">
        <f>Table2[[#This Row],[field_fate_feb]]=Table2[[#This Row],[field_fate10]]</f>
        <v>1</v>
      </c>
      <c r="AL209" s="43" t="s">
        <v>24</v>
      </c>
      <c r="AM209" s="43" t="b">
        <f>Table2[[#This Row],[cam_fate2]]="NA"</f>
        <v>1</v>
      </c>
      <c r="AN209" s="19" t="str">
        <f>Table2[[#This Row],[cam_fate1]]</f>
        <v>NA</v>
      </c>
      <c r="AO209" s="2" t="s">
        <v>37</v>
      </c>
      <c r="AP209" s="5" t="str">
        <f>Table2[[#This Row],[final_fate1]]</f>
        <v>H</v>
      </c>
      <c r="AQ209" s="6">
        <v>19</v>
      </c>
      <c r="AR209" s="7">
        <v>21</v>
      </c>
      <c r="AS209" s="7">
        <f>Table2[[#This Row],[final_obs_date]]-Table2[[#This Row],[init_date]]</f>
        <v>19</v>
      </c>
      <c r="AT209" s="7">
        <f>(Table2[[#This Row],[final_obs_date2]]-Table2[[#This Row],[estHD]])+16</f>
        <v>18</v>
      </c>
      <c r="AU209" s="38">
        <v>7</v>
      </c>
      <c r="AV209" s="33">
        <v>7</v>
      </c>
      <c r="AW209" s="33">
        <f>Table2[[#This Row],[final_obs_date2]]-Table2[[#This Row],[pen_obs_date]]</f>
        <v>61</v>
      </c>
      <c r="AX209" s="67">
        <v>61</v>
      </c>
      <c r="AY209" s="6">
        <f>Table2[[#This Row],[final_obs_date]]</f>
        <v>61</v>
      </c>
      <c r="AZ209" s="6"/>
      <c r="BA209" s="91" t="s">
        <v>47</v>
      </c>
      <c r="BB209" s="6" t="b">
        <f>Table2[[#This Row],[final_obs_date]]&lt;(Table2[[#This Row],[estHD]]-2)</f>
        <v>0</v>
      </c>
      <c r="BC209" s="24">
        <f>IF(Table2[[#This Row],[field_fate]]="H",1,0)</f>
        <v>1</v>
      </c>
      <c r="BD209" s="16">
        <f>IF(Table2[[#This Row],[cam_fate2]]="H",1,0)</f>
        <v>0</v>
      </c>
      <c r="BE209" s="6" t="b">
        <f>NOT(Table2[[#This Row],[HF_C]]=Table2[[#This Row],[HF]])</f>
        <v>1</v>
      </c>
      <c r="BF209" s="6" t="b">
        <f>NOT(Table2[[#This Row],[cam_fate2]]=Table2[[#This Row],[field_fate3]])</f>
        <v>1</v>
      </c>
      <c r="BG209" s="6" t="b">
        <f>OR(Table2[[#This Row],[field_fate3]]="U",Table2[[#This Row],[field_fate3]]="U-H")</f>
        <v>0</v>
      </c>
      <c r="BH209" s="8">
        <v>54</v>
      </c>
      <c r="BI209" s="8">
        <v>61</v>
      </c>
      <c r="BJ209" s="14">
        <f>IF(ISTEXT(Table2[[#This Row],[j.cam]]),Table2[[#This Row],[j]],Table2[[#This Row],[j.cam]])</f>
        <v>61</v>
      </c>
      <c r="BK209" s="9">
        <v>61</v>
      </c>
      <c r="BL209" s="15">
        <f>IF(ISTEXT(Table2[[#This Row],[k.cam]]), Table2[[#This Row],[k]], Table2[[#This Row],[k.cam]])</f>
        <v>61</v>
      </c>
      <c r="BM209" s="4" t="s">
        <v>24</v>
      </c>
      <c r="BN209" s="8" t="s">
        <v>24</v>
      </c>
      <c r="BO209" s="4">
        <v>4</v>
      </c>
      <c r="BP209" s="4">
        <f>Table2[[#This Row],[final_obs_date]]-Table2[[#This Row],[i]]</f>
        <v>7</v>
      </c>
      <c r="BQ209" s="4" t="b">
        <f>Table2[[#This Row],[final_obs_date2]]&gt;Table2[[#This Row],[estHD]]+3</f>
        <v>0</v>
      </c>
      <c r="BR209" s="4" t="s">
        <v>33</v>
      </c>
      <c r="BS209" s="4" t="s">
        <v>145</v>
      </c>
      <c r="BT209" s="79" t="s">
        <v>1130</v>
      </c>
      <c r="BU209" s="26" t="s">
        <v>146</v>
      </c>
      <c r="BV209" s="79" t="s">
        <v>1523</v>
      </c>
      <c r="BW209" s="49"/>
      <c r="BX209" s="47"/>
      <c r="BY209" s="36" t="s">
        <v>24</v>
      </c>
    </row>
    <row r="210" spans="1:77" hidden="1" x14ac:dyDescent="0.35">
      <c r="A210" s="62">
        <v>10284</v>
      </c>
      <c r="B210" s="2" t="s">
        <v>35</v>
      </c>
      <c r="C210" s="44">
        <v>2019</v>
      </c>
      <c r="D210" s="3">
        <v>29.7654</v>
      </c>
      <c r="E210" s="3">
        <v>-93.153270000000006</v>
      </c>
      <c r="F210" s="3">
        <v>40</v>
      </c>
      <c r="G210" s="3">
        <v>40</v>
      </c>
      <c r="H210" s="3" t="s">
        <v>24</v>
      </c>
      <c r="I210" s="43"/>
      <c r="J210" s="55" t="s">
        <v>24</v>
      </c>
      <c r="K210" s="4">
        <v>49</v>
      </c>
      <c r="L210" s="22" t="str">
        <f>IF(ISNUMBER(Table2[[#This Row],[estHD]]),ABS(Table2[[#This Row],[HD]]-Table2[[#This Row],[estHD]]),"NA")</f>
        <v>NA</v>
      </c>
      <c r="M210" s="4" t="b">
        <f>Table2[[#This Row],[HD]]=Table2[[#This Row],[estHD]]</f>
        <v>0</v>
      </c>
      <c r="N210" s="4" t="str">
        <f>IF(ISNUMBER([1]!Table2[[#This Row],[hatch_date]]), [1]!Table2[[#This Row],[hatch_date]]-16, "NA")</f>
        <v>NA</v>
      </c>
      <c r="O210" s="31">
        <v>33</v>
      </c>
      <c r="P210" s="23">
        <f>IF(ISNUMBER(Table2[[#This Row],[nest_age1]]),ABS(Table2[[#This Row],[nest_age1]]-Table2[[#This Row],[nest_age_feb]]),"NA")</f>
        <v>5</v>
      </c>
      <c r="Q210" s="25">
        <f>IF(ISNUMBER(Table2[[#This Row],[final_obs_int2]]),ABS(Table2[[#This Row],[final_obs_int2]]-Table2[[#This Row],[final_obs_int_feb]]), "NA")</f>
        <v>5</v>
      </c>
      <c r="R210" s="25"/>
      <c r="S210" s="57" t="s">
        <v>88</v>
      </c>
      <c r="T210" s="57" t="str">
        <f>Table2[[#This Row],[camera_old]]</f>
        <v>N</v>
      </c>
      <c r="U210" s="24"/>
      <c r="V210" s="16" t="s">
        <v>24</v>
      </c>
      <c r="W210" s="16">
        <v>16</v>
      </c>
      <c r="X210" s="145">
        <v>1</v>
      </c>
      <c r="Y210" s="147" t="s">
        <v>37</v>
      </c>
      <c r="Z210" s="146" t="s">
        <v>37</v>
      </c>
      <c r="AA210" s="4" t="str">
        <f>Table2[[#This Row],[field_fate]]</f>
        <v>H</v>
      </c>
      <c r="AB210" s="4" t="str">
        <f>Table2[[#This Row],[field_fate2]]</f>
        <v>H</v>
      </c>
      <c r="AC210" s="4" t="str">
        <f>Table2[[#This Row],[field_fate3]]</f>
        <v>H</v>
      </c>
      <c r="AD210" s="4" t="str">
        <f>Table2[[#This Row],[field_fate4]]</f>
        <v>H</v>
      </c>
      <c r="AE210" s="4" t="str">
        <f>Table2[[#This Row],[field_fate5]]</f>
        <v>H</v>
      </c>
      <c r="AF210" s="4" t="str">
        <f>Table2[[#This Row],[field_fate5]]</f>
        <v>H</v>
      </c>
      <c r="AG210" s="4" t="str">
        <f>Table2[[#This Row],[field_fate5]]</f>
        <v>H</v>
      </c>
      <c r="AH210" s="4" t="str">
        <f>Table2[[#This Row],[field_fate2]]</f>
        <v>H</v>
      </c>
      <c r="AI210" s="4" t="str">
        <f>Table2[[#This Row],[field_fate8]]</f>
        <v>H</v>
      </c>
      <c r="AJ210" s="4" t="str">
        <f>Table2[[#This Row],[field_fate10]]</f>
        <v>H</v>
      </c>
      <c r="AK210" s="4" t="b">
        <f>Table2[[#This Row],[field_fate_feb]]=Table2[[#This Row],[field_fate10]]</f>
        <v>1</v>
      </c>
      <c r="AL210" s="43" t="s">
        <v>24</v>
      </c>
      <c r="AM210" s="43" t="b">
        <f>Table2[[#This Row],[cam_fate2]]="NA"</f>
        <v>1</v>
      </c>
      <c r="AN210" s="19" t="str">
        <f>Table2[[#This Row],[cam_fate1]]</f>
        <v>NA</v>
      </c>
      <c r="AO210" s="2" t="s">
        <v>37</v>
      </c>
      <c r="AP210" s="5" t="str">
        <f>Table2[[#This Row],[final_fate1]]</f>
        <v>H</v>
      </c>
      <c r="AQ210" s="6">
        <v>21</v>
      </c>
      <c r="AR210" s="7">
        <v>21</v>
      </c>
      <c r="AS210" s="7">
        <f>Table2[[#This Row],[final_obs_date]]-Table2[[#This Row],[init_date]]</f>
        <v>21</v>
      </c>
      <c r="AT210" s="7" t="e">
        <f>(Table2[[#This Row],[final_obs_date2]]-Table2[[#This Row],[estHD]])+16</f>
        <v>#VALUE!</v>
      </c>
      <c r="AU210" s="40">
        <v>6</v>
      </c>
      <c r="AV210" s="33">
        <v>6</v>
      </c>
      <c r="AW210" s="33">
        <f>Table2[[#This Row],[final_obs_date2]]-Table2[[#This Row],[pen_obs_date]]</f>
        <v>54</v>
      </c>
      <c r="AX210" s="67">
        <v>54</v>
      </c>
      <c r="AY210" s="6">
        <f>Table2[[#This Row],[final_obs_date]]</f>
        <v>54</v>
      </c>
      <c r="AZ210" s="6"/>
      <c r="BA210" s="91" t="s">
        <v>60</v>
      </c>
      <c r="BB210" s="6" t="e">
        <f>Table2[[#This Row],[final_obs_date]]&lt;(Table2[[#This Row],[estHD]]-2)</f>
        <v>#VALUE!</v>
      </c>
      <c r="BC210" s="24">
        <f>IF(Table2[[#This Row],[field_fate]]="H",1,0)</f>
        <v>1</v>
      </c>
      <c r="BD210" s="16">
        <f>IF(Table2[[#This Row],[cam_fate2]]="H",1,0)</f>
        <v>0</v>
      </c>
      <c r="BE210" s="6" t="b">
        <f>NOT(Table2[[#This Row],[HF_C]]=Table2[[#This Row],[HF]])</f>
        <v>1</v>
      </c>
      <c r="BF210" s="6" t="b">
        <f>NOT(Table2[[#This Row],[cam_fate2]]=Table2[[#This Row],[field_fate3]])</f>
        <v>1</v>
      </c>
      <c r="BG210" s="6" t="b">
        <f>OR(Table2[[#This Row],[field_fate3]]="U",Table2[[#This Row],[field_fate3]]="U-H")</f>
        <v>0</v>
      </c>
      <c r="BH210" s="8">
        <v>43</v>
      </c>
      <c r="BI210" s="8">
        <v>49</v>
      </c>
      <c r="BJ210" s="14">
        <f>IF(ISTEXT(Table2[[#This Row],[j.cam]]),Table2[[#This Row],[j]],Table2[[#This Row],[j.cam]])</f>
        <v>49</v>
      </c>
      <c r="BK210" s="9">
        <v>49</v>
      </c>
      <c r="BL210" s="15">
        <f>IF(ISTEXT(Table2[[#This Row],[k.cam]]), Table2[[#This Row],[k]], Table2[[#This Row],[k.cam]])</f>
        <v>49</v>
      </c>
      <c r="BM210" s="4" t="s">
        <v>24</v>
      </c>
      <c r="BN210" s="8" t="s">
        <v>24</v>
      </c>
      <c r="BO210" s="4">
        <v>4</v>
      </c>
      <c r="BP210" s="4">
        <f>Table2[[#This Row],[final_obs_date]]-Table2[[#This Row],[i]]</f>
        <v>11</v>
      </c>
      <c r="BQ210" s="4" t="e">
        <f>Table2[[#This Row],[final_obs_date2]]&gt;Table2[[#This Row],[estHD]]+3</f>
        <v>#VALUE!</v>
      </c>
      <c r="BR210" s="11" t="s">
        <v>176</v>
      </c>
      <c r="BS210" s="4" t="s">
        <v>214</v>
      </c>
      <c r="BT210" s="79" t="s">
        <v>1131</v>
      </c>
      <c r="BU210" s="26" t="s">
        <v>215</v>
      </c>
      <c r="BV210" s="79" t="s">
        <v>1524</v>
      </c>
      <c r="BW210" s="49" t="s">
        <v>463</v>
      </c>
      <c r="BX210" s="47"/>
      <c r="BY210" s="36" t="s">
        <v>607</v>
      </c>
    </row>
    <row r="211" spans="1:77" hidden="1" x14ac:dyDescent="0.35">
      <c r="A211" s="62">
        <v>10285</v>
      </c>
      <c r="B211" s="2" t="s">
        <v>35</v>
      </c>
      <c r="C211" s="44">
        <v>2019</v>
      </c>
      <c r="D211" s="3">
        <v>29.767810000000001</v>
      </c>
      <c r="E211" s="3">
        <v>-93.165229999999994</v>
      </c>
      <c r="F211" s="3">
        <v>15</v>
      </c>
      <c r="G211" s="3">
        <v>30</v>
      </c>
      <c r="H211" s="3" t="s">
        <v>26</v>
      </c>
      <c r="I211" s="43"/>
      <c r="J211" s="55">
        <v>65</v>
      </c>
      <c r="K211" s="4">
        <v>65</v>
      </c>
      <c r="L211" s="22">
        <f>IF(ISNUMBER(Table2[[#This Row],[estHD]]),ABS(Table2[[#This Row],[HD]]-Table2[[#This Row],[estHD]]),"NA")</f>
        <v>0</v>
      </c>
      <c r="M211" s="4" t="b">
        <f>Table2[[#This Row],[HD]]=Table2[[#This Row],[estHD]]</f>
        <v>1</v>
      </c>
      <c r="N211" s="4" t="str">
        <f>IF(ISNUMBER([1]!Table2[[#This Row],[hatch_date]]),[1]!Table2[[#This Row],[hatch_date]]-19,"NA")</f>
        <v>NA</v>
      </c>
      <c r="O211" s="31">
        <v>46</v>
      </c>
      <c r="P211" s="23">
        <f>IF(ISNUMBER(Table2[[#This Row],[nest_age1]]),ABS(Table2[[#This Row],[nest_age1]]-Table2[[#This Row],[nest_age_feb]]),"NA")</f>
        <v>0</v>
      </c>
      <c r="Q211" s="24">
        <f>IF(ISNUMBER(Table2[[#This Row],[final_obs_int2]]),ABS(Table2[[#This Row],[final_obs_int2]]-Table2[[#This Row],[final_obs_int_feb]]), "NA")</f>
        <v>0</v>
      </c>
      <c r="R211" s="24"/>
      <c r="S211" s="57" t="s">
        <v>88</v>
      </c>
      <c r="T211" s="57" t="str">
        <f>Table2[[#This Row],[camera_old]]</f>
        <v>N</v>
      </c>
      <c r="U211" s="24"/>
      <c r="V211" s="16" t="s">
        <v>24</v>
      </c>
      <c r="W211" s="16">
        <v>7</v>
      </c>
      <c r="X211" s="145">
        <v>4</v>
      </c>
      <c r="Y211" s="147" t="s">
        <v>31</v>
      </c>
      <c r="Z211" s="146" t="s">
        <v>31</v>
      </c>
      <c r="AA211" s="4" t="str">
        <f>Table2[[#This Row],[field_fate]]</f>
        <v>D</v>
      </c>
      <c r="AB211" s="4" t="str">
        <f>Table2[[#This Row],[field_fate2]]</f>
        <v>D</v>
      </c>
      <c r="AC211" s="4" t="str">
        <f>Table2[[#This Row],[field_fate3]]</f>
        <v>D</v>
      </c>
      <c r="AD211" s="4" t="str">
        <f>Table2[[#This Row],[field_fate4]]</f>
        <v>D</v>
      </c>
      <c r="AE211" s="4" t="str">
        <f>Table2[[#This Row],[field_fate5]]</f>
        <v>D</v>
      </c>
      <c r="AF211" s="4" t="str">
        <f>Table2[[#This Row],[field_fate5]]</f>
        <v>D</v>
      </c>
      <c r="AG211" s="4" t="str">
        <f>Table2[[#This Row],[field_fate5]]</f>
        <v>D</v>
      </c>
      <c r="AH211" s="4" t="str">
        <f>Table2[[#This Row],[field_fate2]]</f>
        <v>D</v>
      </c>
      <c r="AI211" s="4" t="str">
        <f>Table2[[#This Row],[field_fate8]]</f>
        <v>D</v>
      </c>
      <c r="AJ211" s="4" t="str">
        <f>Table2[[#This Row],[field_fate10]]</f>
        <v>D</v>
      </c>
      <c r="AK211" s="4" t="b">
        <f>Table2[[#This Row],[field_fate_feb]]=Table2[[#This Row],[field_fate10]]</f>
        <v>1</v>
      </c>
      <c r="AL211" s="43" t="s">
        <v>24</v>
      </c>
      <c r="AM211" s="43" t="b">
        <f>Table2[[#This Row],[cam_fate2]]="NA"</f>
        <v>1</v>
      </c>
      <c r="AN211" s="19" t="str">
        <f>Table2[[#This Row],[cam_fate1]]</f>
        <v>NA</v>
      </c>
      <c r="AO211" s="2" t="s">
        <v>31</v>
      </c>
      <c r="AP211" s="5" t="str">
        <f>Table2[[#This Row],[final_fate1]]</f>
        <v>D</v>
      </c>
      <c r="AQ211" s="6">
        <v>7</v>
      </c>
      <c r="AR211" s="7">
        <v>7</v>
      </c>
      <c r="AS211" s="7">
        <f>Table2[[#This Row],[final_obs_date]]-Table2[[#This Row],[init_date]]</f>
        <v>7</v>
      </c>
      <c r="AT211" s="7">
        <f>(Table2[[#This Row],[final_obs_date2]]-Table2[[#This Row],[estHD]])+16</f>
        <v>4</v>
      </c>
      <c r="AU211" s="38">
        <v>4</v>
      </c>
      <c r="AV211" s="33">
        <v>4</v>
      </c>
      <c r="AW211" s="33">
        <f>Table2[[#This Row],[final_obs_date2]]-Table2[[#This Row],[pen_obs_date]]</f>
        <v>53</v>
      </c>
      <c r="AX211" s="67">
        <v>53</v>
      </c>
      <c r="AY211" s="6">
        <f>Table2[[#This Row],[final_obs_date]]</f>
        <v>53</v>
      </c>
      <c r="AZ211" s="6"/>
      <c r="BA211" s="91" t="s">
        <v>47</v>
      </c>
      <c r="BB211" s="6" t="b">
        <f>Table2[[#This Row],[final_obs_date]]&lt;(Table2[[#This Row],[estHD]]-2)</f>
        <v>1</v>
      </c>
      <c r="BC211" s="24">
        <f>IF(Table2[[#This Row],[field_fate]]="H",1,0)</f>
        <v>0</v>
      </c>
      <c r="BD211" s="16">
        <f>IF(Table2[[#This Row],[cam_fate2]]="H",1,0)</f>
        <v>0</v>
      </c>
      <c r="BE211" s="6" t="b">
        <f>NOT(Table2[[#This Row],[HF_C]]=Table2[[#This Row],[HF]])</f>
        <v>0</v>
      </c>
      <c r="BF211" s="6" t="b">
        <f>NOT(Table2[[#This Row],[cam_fate2]]=Table2[[#This Row],[field_fate3]])</f>
        <v>1</v>
      </c>
      <c r="BG211" s="6" t="b">
        <f>OR(Table2[[#This Row],[field_fate3]]="U",Table2[[#This Row],[field_fate3]]="U-H")</f>
        <v>0</v>
      </c>
      <c r="BH211" s="8">
        <v>49</v>
      </c>
      <c r="BI211" s="8">
        <v>49</v>
      </c>
      <c r="BJ211" s="14">
        <f>IF(ISTEXT(Table2[[#This Row],[j.cam]]),Table2[[#This Row],[j]],Table2[[#This Row],[j.cam]])</f>
        <v>49</v>
      </c>
      <c r="BK211" s="9">
        <v>53</v>
      </c>
      <c r="BL211" s="15">
        <f>IF(ISTEXT(Table2[[#This Row],[k.cam]]), Table2[[#This Row],[k]], Table2[[#This Row],[k.cam]])</f>
        <v>53</v>
      </c>
      <c r="BM211" s="4" t="s">
        <v>24</v>
      </c>
      <c r="BN211" s="8" t="s">
        <v>24</v>
      </c>
      <c r="BO211" s="4">
        <v>2</v>
      </c>
      <c r="BP211" s="4">
        <f>Table2[[#This Row],[final_obs_date]]-Table2[[#This Row],[i]]</f>
        <v>4</v>
      </c>
      <c r="BQ211" s="4" t="b">
        <f>Table2[[#This Row],[final_obs_date2]]&gt;Table2[[#This Row],[estHD]]+3</f>
        <v>0</v>
      </c>
      <c r="BR211" s="4" t="s">
        <v>33</v>
      </c>
      <c r="BS211" s="4" t="s">
        <v>28</v>
      </c>
      <c r="BT211" s="79" t="s">
        <v>1061</v>
      </c>
      <c r="BU211" s="26" t="s">
        <v>34</v>
      </c>
      <c r="BV211" s="79" t="s">
        <v>1429</v>
      </c>
      <c r="BW211" s="49"/>
      <c r="BX211" s="47"/>
      <c r="BY211" s="36" t="s">
        <v>24</v>
      </c>
    </row>
    <row r="212" spans="1:77" hidden="1" x14ac:dyDescent="0.35">
      <c r="A212" s="62">
        <v>10286</v>
      </c>
      <c r="B212" s="2" t="s">
        <v>30</v>
      </c>
      <c r="C212" s="44">
        <v>2019</v>
      </c>
      <c r="D212" s="3">
        <v>29.636710000000001</v>
      </c>
      <c r="E212" s="3">
        <v>-92.768010000000004</v>
      </c>
      <c r="F212" s="3">
        <v>5</v>
      </c>
      <c r="G212" s="3">
        <v>10</v>
      </c>
      <c r="H212" s="3" t="s">
        <v>26</v>
      </c>
      <c r="I212" s="43"/>
      <c r="J212" s="55">
        <v>77</v>
      </c>
      <c r="K212" s="4">
        <v>77</v>
      </c>
      <c r="L212" s="22">
        <f>IF(ISNUMBER(Table2[[#This Row],[estHD]]),ABS(Table2[[#This Row],[HD]]-Table2[[#This Row],[estHD]]),"NA")</f>
        <v>0</v>
      </c>
      <c r="M212" s="4" t="b">
        <f>Table2[[#This Row],[HD]]=Table2[[#This Row],[estHD]]</f>
        <v>1</v>
      </c>
      <c r="N212" s="4" t="str">
        <f>IF(ISNUMBER([1]!Table2[[#This Row],[hatch_date]]), [1]!Table2[[#This Row],[hatch_date]]-28, "NA")</f>
        <v>NA</v>
      </c>
      <c r="O212" s="31">
        <v>49</v>
      </c>
      <c r="P212" s="23">
        <f>IF(ISNUMBER(Table2[[#This Row],[nest_age1]]),ABS(Table2[[#This Row],[nest_age1]]-Table2[[#This Row],[nest_age_feb]]),"NA")</f>
        <v>0</v>
      </c>
      <c r="Q212" s="24">
        <f>IF(ISNUMBER(Table2[[#This Row],[final_obs_int2]]),ABS(Table2[[#This Row],[final_obs_int2]]-Table2[[#This Row],[final_obs_int_feb]]), "NA")</f>
        <v>0</v>
      </c>
      <c r="R212" s="24"/>
      <c r="S212" s="57" t="s">
        <v>88</v>
      </c>
      <c r="T212" s="57" t="str">
        <f>Table2[[#This Row],[camera_old]]</f>
        <v>N</v>
      </c>
      <c r="U212" s="24"/>
      <c r="V212" s="16" t="s">
        <v>24</v>
      </c>
      <c r="W212" s="16">
        <v>13</v>
      </c>
      <c r="X212" s="145">
        <v>7</v>
      </c>
      <c r="Y212" s="147" t="s">
        <v>25</v>
      </c>
      <c r="Z212" s="146" t="s">
        <v>25</v>
      </c>
      <c r="AA212" s="4" t="str">
        <f>Table2[[#This Row],[field_fate]]</f>
        <v>S</v>
      </c>
      <c r="AB212" s="4" t="str">
        <f>Table2[[#This Row],[field_fate2]]</f>
        <v>S</v>
      </c>
      <c r="AC212" s="4" t="str">
        <f>Table2[[#This Row],[field_fate3]]</f>
        <v>S</v>
      </c>
      <c r="AD212" s="4" t="str">
        <f>Table2[[#This Row],[field_fate4]]</f>
        <v>S</v>
      </c>
      <c r="AE212" s="4" t="str">
        <f>Table2[[#This Row],[field_fate5]]</f>
        <v>S</v>
      </c>
      <c r="AF212" s="4" t="str">
        <f>Table2[[#This Row],[field_fate5]]</f>
        <v>S</v>
      </c>
      <c r="AG212" s="4" t="str">
        <f>Table2[[#This Row],[field_fate5]]</f>
        <v>S</v>
      </c>
      <c r="AH212" s="4" t="str">
        <f>Table2[[#This Row],[field_fate2]]</f>
        <v>S</v>
      </c>
      <c r="AI212" s="4" t="str">
        <f>Table2[[#This Row],[field_fate8]]</f>
        <v>S</v>
      </c>
      <c r="AJ212" s="4" t="str">
        <f>Table2[[#This Row],[field_fate10]]</f>
        <v>S</v>
      </c>
      <c r="AK212" s="4" t="b">
        <f>Table2[[#This Row],[field_fate_feb]]=Table2[[#This Row],[field_fate10]]</f>
        <v>1</v>
      </c>
      <c r="AL212" s="43" t="s">
        <v>24</v>
      </c>
      <c r="AM212" s="43" t="b">
        <f>Table2[[#This Row],[cam_fate2]]="NA"</f>
        <v>1</v>
      </c>
      <c r="AN212" s="19" t="str">
        <f>Table2[[#This Row],[cam_fate1]]</f>
        <v>NA</v>
      </c>
      <c r="AO212" s="2" t="s">
        <v>25</v>
      </c>
      <c r="AP212" s="5" t="str">
        <f>Table2[[#This Row],[final_fate1]]</f>
        <v>S</v>
      </c>
      <c r="AQ212" s="6">
        <v>13</v>
      </c>
      <c r="AR212" s="7">
        <v>13</v>
      </c>
      <c r="AS212" s="7">
        <f>Table2[[#This Row],[final_obs_date]]-Table2[[#This Row],[init_date]]</f>
        <v>13</v>
      </c>
      <c r="AT212" s="7">
        <f>(Table2[[#This Row],[final_obs_date2]]-Table2[[#This Row],[estHD]])+16</f>
        <v>1</v>
      </c>
      <c r="AU212" s="38">
        <v>7</v>
      </c>
      <c r="AV212" s="33">
        <v>7</v>
      </c>
      <c r="AW212" s="33">
        <f>Table2[[#This Row],[final_obs_date2]]-Table2[[#This Row],[pen_obs_date]]</f>
        <v>62</v>
      </c>
      <c r="AX212" s="67">
        <v>62</v>
      </c>
      <c r="AY212" s="6">
        <f>Table2[[#This Row],[final_obs_date]]</f>
        <v>62</v>
      </c>
      <c r="AZ212" s="6"/>
      <c r="BA212" s="91" t="s">
        <v>23</v>
      </c>
      <c r="BB212" s="6" t="b">
        <f>Table2[[#This Row],[final_obs_date]]&lt;(Table2[[#This Row],[estHD]]-2)</f>
        <v>1</v>
      </c>
      <c r="BC212" s="24">
        <f>IF(Table2[[#This Row],[field_fate]]="H",1,0)</f>
        <v>0</v>
      </c>
      <c r="BD212" s="16">
        <f>IF(Table2[[#This Row],[cam_fate2]]="H",1,0)</f>
        <v>0</v>
      </c>
      <c r="BE212" s="6" t="b">
        <f>NOT(Table2[[#This Row],[HF_C]]=Table2[[#This Row],[HF]])</f>
        <v>0</v>
      </c>
      <c r="BF212" s="6" t="b">
        <f>NOT(Table2[[#This Row],[cam_fate2]]=Table2[[#This Row],[field_fate3]])</f>
        <v>1</v>
      </c>
      <c r="BG212" s="6" t="b">
        <f>OR(Table2[[#This Row],[field_fate3]]="U",Table2[[#This Row],[field_fate3]]="U-H")</f>
        <v>0</v>
      </c>
      <c r="BH212" s="8">
        <v>50</v>
      </c>
      <c r="BI212" s="8">
        <v>55</v>
      </c>
      <c r="BJ212" s="14">
        <f>IF(ISTEXT(Table2[[#This Row],[j.cam]]),Table2[[#This Row],[j]],Table2[[#This Row],[j.cam]])</f>
        <v>55</v>
      </c>
      <c r="BK212" s="9">
        <v>62</v>
      </c>
      <c r="BL212" s="15">
        <f>IF(ISTEXT(Table2[[#This Row],[k.cam]]), Table2[[#This Row],[k]], Table2[[#This Row],[k.cam]])</f>
        <v>62</v>
      </c>
      <c r="BM212" s="4" t="s">
        <v>24</v>
      </c>
      <c r="BN212" s="8" t="s">
        <v>24</v>
      </c>
      <c r="BO212" s="4">
        <v>3</v>
      </c>
      <c r="BP212" s="4">
        <f>Table2[[#This Row],[final_obs_date]]-Table2[[#This Row],[i]]</f>
        <v>12</v>
      </c>
      <c r="BQ212" s="4" t="b">
        <f>Table2[[#This Row],[final_obs_date2]]&gt;Table2[[#This Row],[estHD]]+3</f>
        <v>0</v>
      </c>
      <c r="BR212" s="4" t="s">
        <v>27</v>
      </c>
      <c r="BS212" s="4" t="s">
        <v>28</v>
      </c>
      <c r="BT212" s="79" t="s">
        <v>1132</v>
      </c>
      <c r="BU212" s="26" t="s">
        <v>97</v>
      </c>
      <c r="BV212" s="79" t="s">
        <v>1525</v>
      </c>
      <c r="BW212" s="49"/>
      <c r="BX212" s="47"/>
      <c r="BY212" s="36" t="s">
        <v>542</v>
      </c>
    </row>
    <row r="213" spans="1:77" hidden="1" x14ac:dyDescent="0.35">
      <c r="A213" s="62">
        <v>10287</v>
      </c>
      <c r="B213" s="2" t="s">
        <v>22</v>
      </c>
      <c r="C213" s="44">
        <v>2019</v>
      </c>
      <c r="D213" s="3">
        <v>29.666650000000001</v>
      </c>
      <c r="E213" s="3">
        <v>-92.841700000000003</v>
      </c>
      <c r="F213" s="3">
        <v>30</v>
      </c>
      <c r="G213" s="3">
        <v>30</v>
      </c>
      <c r="H213" s="3" t="s">
        <v>26</v>
      </c>
      <c r="I213" s="43"/>
      <c r="J213" s="55">
        <v>82</v>
      </c>
      <c r="K213" s="4">
        <v>82</v>
      </c>
      <c r="L213" s="22">
        <f>IF(ISNUMBER(Table2[[#This Row],[estHD]]),ABS(Table2[[#This Row],[HD]]-Table2[[#This Row],[estHD]]),"NA")</f>
        <v>0</v>
      </c>
      <c r="M213" s="4" t="b">
        <f>Table2[[#This Row],[HD]]=Table2[[#This Row],[estHD]]</f>
        <v>1</v>
      </c>
      <c r="N213" s="4" t="str">
        <f>IF(ISNUMBER([1]!Table2[[#This Row],[hatch_date]]), [1]!Table2[[#This Row],[hatch_date]]-28, "NA")</f>
        <v>NA</v>
      </c>
      <c r="O213" s="31">
        <v>54</v>
      </c>
      <c r="P213" s="23" t="e">
        <f>IF(ISNUMBER(Table2[[#This Row],[nest_age1]]),ABS(Table2[[#This Row],[nest_age1]]-Table2[[#This Row],[nest_age_feb]]),"NA")</f>
        <v>#VALUE!</v>
      </c>
      <c r="Q213" s="24">
        <f>IF(ISNUMBER(Table2[[#This Row],[final_obs_int2]]),ABS(Table2[[#This Row],[final_obs_int2]]-Table2[[#This Row],[final_obs_int_feb]]), "NA")</f>
        <v>0</v>
      </c>
      <c r="R213" s="24"/>
      <c r="S213" s="57" t="s">
        <v>88</v>
      </c>
      <c r="T213" s="57" t="str">
        <f>Table2[[#This Row],[camera_old]]</f>
        <v>N</v>
      </c>
      <c r="U213" s="24"/>
      <c r="V213" s="16" t="s">
        <v>24</v>
      </c>
      <c r="W213" s="16" t="s">
        <v>24</v>
      </c>
      <c r="X213" s="145">
        <v>7</v>
      </c>
      <c r="Y213" s="147" t="s">
        <v>25</v>
      </c>
      <c r="Z213" s="146" t="s">
        <v>25</v>
      </c>
      <c r="AA213" s="4" t="str">
        <f>Table2[[#This Row],[field_fate]]</f>
        <v>S</v>
      </c>
      <c r="AB213" s="4" t="str">
        <f>Table2[[#This Row],[field_fate2]]</f>
        <v>S</v>
      </c>
      <c r="AC213" s="4" t="str">
        <f>Table2[[#This Row],[field_fate3]]</f>
        <v>S</v>
      </c>
      <c r="AD213" s="4" t="str">
        <f>Table2[[#This Row],[field_fate4]]</f>
        <v>S</v>
      </c>
      <c r="AE213" s="4" t="str">
        <f>Table2[[#This Row],[field_fate5]]</f>
        <v>S</v>
      </c>
      <c r="AF213" s="4" t="str">
        <f>Table2[[#This Row],[field_fate5]]</f>
        <v>S</v>
      </c>
      <c r="AG213" s="4" t="str">
        <f>Table2[[#This Row],[field_fate5]]</f>
        <v>S</v>
      </c>
      <c r="AH213" s="4" t="str">
        <f>Table2[[#This Row],[field_fate2]]</f>
        <v>S</v>
      </c>
      <c r="AI213" s="4" t="str">
        <f>Table2[[#This Row],[field_fate8]]</f>
        <v>S</v>
      </c>
      <c r="AJ213" s="4" t="str">
        <f>Table2[[#This Row],[field_fate10]]</f>
        <v>S</v>
      </c>
      <c r="AK213" s="4" t="b">
        <f>Table2[[#This Row],[field_fate_feb]]=Table2[[#This Row],[field_fate10]]</f>
        <v>1</v>
      </c>
      <c r="AL213" s="43" t="s">
        <v>24</v>
      </c>
      <c r="AM213" s="43" t="b">
        <f>Table2[[#This Row],[cam_fate2]]="NA"</f>
        <v>1</v>
      </c>
      <c r="AN213" s="19" t="str">
        <f>Table2[[#This Row],[cam_fate1]]</f>
        <v>NA</v>
      </c>
      <c r="AO213" s="2" t="s">
        <v>25</v>
      </c>
      <c r="AP213" s="5" t="str">
        <f>Table2[[#This Row],[final_fate1]]</f>
        <v>S</v>
      </c>
      <c r="AQ213" s="6">
        <v>8</v>
      </c>
      <c r="AR213" s="7">
        <v>8</v>
      </c>
      <c r="AS213" s="7">
        <f>Table2[[#This Row],[final_obs_date]]-Table2[[#This Row],[init_date]]</f>
        <v>8</v>
      </c>
      <c r="AT213" s="7">
        <f>(Table2[[#This Row],[final_obs_date2]]-Table2[[#This Row],[estHD]])+16</f>
        <v>-4</v>
      </c>
      <c r="AU213" s="38">
        <v>7</v>
      </c>
      <c r="AV213" s="33">
        <v>7</v>
      </c>
      <c r="AW213" s="33">
        <f>Table2[[#This Row],[final_obs_date2]]-Table2[[#This Row],[pen_obs_date]]</f>
        <v>62</v>
      </c>
      <c r="AX213" s="67">
        <v>62</v>
      </c>
      <c r="AY213" s="6">
        <f>Table2[[#This Row],[final_obs_date]]</f>
        <v>62</v>
      </c>
      <c r="AZ213" s="6"/>
      <c r="BA213" s="91" t="s">
        <v>23</v>
      </c>
      <c r="BB213" s="6" t="b">
        <f>Table2[[#This Row],[final_obs_date]]&lt;(Table2[[#This Row],[estHD]]-2)</f>
        <v>1</v>
      </c>
      <c r="BC213" s="24">
        <f>IF(Table2[[#This Row],[field_fate]]="H",1,0)</f>
        <v>0</v>
      </c>
      <c r="BD213" s="16">
        <f>IF(Table2[[#This Row],[cam_fate2]]="H",1,0)</f>
        <v>0</v>
      </c>
      <c r="BE213" s="6" t="b">
        <f>NOT(Table2[[#This Row],[HF_C]]=Table2[[#This Row],[HF]])</f>
        <v>0</v>
      </c>
      <c r="BF213" s="6" t="b">
        <f>NOT(Table2[[#This Row],[cam_fate2]]=Table2[[#This Row],[field_fate3]])</f>
        <v>1</v>
      </c>
      <c r="BG213" s="6" t="b">
        <f>OR(Table2[[#This Row],[field_fate3]]="U",Table2[[#This Row],[field_fate3]]="U-H")</f>
        <v>0</v>
      </c>
      <c r="BH213" s="8">
        <v>52</v>
      </c>
      <c r="BI213" s="8">
        <v>55</v>
      </c>
      <c r="BJ213" s="14">
        <f>IF(ISTEXT(Table2[[#This Row],[j.cam]]),Table2[[#This Row],[j]],Table2[[#This Row],[j.cam]])</f>
        <v>55</v>
      </c>
      <c r="BK213" s="9">
        <v>62</v>
      </c>
      <c r="BL213" s="15">
        <f>IF(ISTEXT(Table2[[#This Row],[k.cam]]), Table2[[#This Row],[k]], Table2[[#This Row],[k.cam]])</f>
        <v>62</v>
      </c>
      <c r="BM213" s="4" t="s">
        <v>24</v>
      </c>
      <c r="BN213" s="8" t="s">
        <v>24</v>
      </c>
      <c r="BO213" s="4">
        <v>3</v>
      </c>
      <c r="BP213" s="4">
        <f>Table2[[#This Row],[final_obs_date]]-Table2[[#This Row],[i]]</f>
        <v>10</v>
      </c>
      <c r="BQ213" s="4" t="b">
        <f>Table2[[#This Row],[final_obs_date2]]&gt;Table2[[#This Row],[estHD]]+3</f>
        <v>0</v>
      </c>
      <c r="BR213" s="4" t="s">
        <v>27</v>
      </c>
      <c r="BS213" s="4" t="s">
        <v>45</v>
      </c>
      <c r="BT213" s="79" t="s">
        <v>1133</v>
      </c>
      <c r="BU213" s="26" t="s">
        <v>216</v>
      </c>
      <c r="BV213" s="79" t="s">
        <v>1526</v>
      </c>
      <c r="BW213" s="49"/>
      <c r="BX213" s="47"/>
      <c r="BY213" s="36" t="s">
        <v>24</v>
      </c>
    </row>
    <row r="214" spans="1:77" hidden="1" x14ac:dyDescent="0.35">
      <c r="A214" s="62">
        <v>10288</v>
      </c>
      <c r="B214" s="2" t="s">
        <v>35</v>
      </c>
      <c r="C214" s="44">
        <v>2019</v>
      </c>
      <c r="D214" s="3">
        <v>29.771070000000002</v>
      </c>
      <c r="E214" s="3">
        <v>-93.180580000000006</v>
      </c>
      <c r="F214" s="3">
        <v>40</v>
      </c>
      <c r="G214" s="3">
        <v>30</v>
      </c>
      <c r="H214" s="3" t="s">
        <v>26</v>
      </c>
      <c r="I214" s="43"/>
      <c r="J214" s="116">
        <v>64</v>
      </c>
      <c r="K214" s="4">
        <v>67</v>
      </c>
      <c r="L214" s="22">
        <f>IF(ISNUMBER(Table2[[#This Row],[estHD]]),ABS(Table2[[#This Row],[HD]]-Table2[[#This Row],[estHD]]),"NA")</f>
        <v>3</v>
      </c>
      <c r="M214" s="4" t="b">
        <f>Table2[[#This Row],[HD]]=Table2[[#This Row],[estHD]]</f>
        <v>0</v>
      </c>
      <c r="N214" s="4">
        <f>IF(ISNUMBER(Table2[[#This Row],[HD]]),Table2[[#This Row],[HD]]-19,"NA")</f>
        <v>48</v>
      </c>
      <c r="O214" s="31">
        <v>48</v>
      </c>
      <c r="P214" s="23">
        <f>IF(ISNUMBER(Table2[[#This Row],[nest_age1]]),ABS(Table2[[#This Row],[nest_age1]]-Table2[[#This Row],[nest_age_feb]]),"NA")</f>
        <v>3</v>
      </c>
      <c r="Q214" s="24">
        <f>IF(ISNUMBER(Table2[[#This Row],[final_obs_int2]]),ABS(Table2[[#This Row],[final_obs_int2]]-Table2[[#This Row],[final_obs_int_feb]]), "NA")</f>
        <v>0</v>
      </c>
      <c r="R214" s="24">
        <f>(Table2[[#This Row],[k_adj]]-Table2[[#This Row],[estHD]])/Table2[[#This Row],[estHD]]</f>
        <v>4.6875E-2</v>
      </c>
      <c r="S214" s="20" t="s">
        <v>75</v>
      </c>
      <c r="T214" s="20" t="str">
        <f>Table2[[#This Row],[camera_old]]</f>
        <v>Y</v>
      </c>
      <c r="U214" s="22" t="s">
        <v>88</v>
      </c>
      <c r="V214" s="16" t="s">
        <v>37</v>
      </c>
      <c r="W214" s="16">
        <v>22</v>
      </c>
      <c r="X214" s="145">
        <v>4</v>
      </c>
      <c r="Y214" s="147" t="s">
        <v>37</v>
      </c>
      <c r="Z214" s="146" t="s">
        <v>37</v>
      </c>
      <c r="AA214" s="4" t="str">
        <f>Table2[[#This Row],[field_fate]]</f>
        <v>H</v>
      </c>
      <c r="AB214" s="4" t="str">
        <f>Table2[[#This Row],[field_fate2]]</f>
        <v>H</v>
      </c>
      <c r="AC214" s="94" t="str">
        <f>Table2[[#This Row],[field_fate3]]</f>
        <v>H</v>
      </c>
      <c r="AD214" s="94" t="str">
        <f>Table2[[#This Row],[field_fate4]]</f>
        <v>H</v>
      </c>
      <c r="AE214" s="94" t="str">
        <f>Table2[[#This Row],[field_fate5]]</f>
        <v>H</v>
      </c>
      <c r="AF214" s="94" t="str">
        <f>Table2[[#This Row],[field_fate5]]</f>
        <v>H</v>
      </c>
      <c r="AG214" s="94" t="str">
        <f>Table2[[#This Row],[field_fate5]]</f>
        <v>H</v>
      </c>
      <c r="AH214" s="94" t="str">
        <f>Table2[[#This Row],[field_fate2]]</f>
        <v>H</v>
      </c>
      <c r="AI214" s="94" t="str">
        <f>Table2[[#This Row],[field_fate8]]</f>
        <v>H</v>
      </c>
      <c r="AJ214" s="94" t="str">
        <f>Table2[[#This Row],[field_fate10]]</f>
        <v>H</v>
      </c>
      <c r="AK214" s="94" t="b">
        <f>Table2[[#This Row],[field_fate_feb]]=Table2[[#This Row],[field_fate10]]</f>
        <v>1</v>
      </c>
      <c r="AL214" s="43" t="s">
        <v>37</v>
      </c>
      <c r="AM214" s="160" t="b">
        <f>Table2[[#This Row],[cam_fate2]]="NA"</f>
        <v>0</v>
      </c>
      <c r="AN214" s="19" t="str">
        <f>Table2[[#This Row],[cam_fate1]]</f>
        <v>H</v>
      </c>
      <c r="AO214" s="2" t="s">
        <v>37</v>
      </c>
      <c r="AP214" s="5" t="str">
        <f>Table2[[#This Row],[final_fate1]]</f>
        <v>H</v>
      </c>
      <c r="AQ214" s="6">
        <v>19</v>
      </c>
      <c r="AR214" s="72">
        <v>22</v>
      </c>
      <c r="AS214" s="155">
        <f>Table2[[#This Row],[final_obs_date]]-Table2[[#This Row],[init_date]]</f>
        <v>19</v>
      </c>
      <c r="AT214" s="155">
        <f>(Table2[[#This Row],[final_obs_date2]]-Table2[[#This Row],[estHD]])+19</f>
        <v>22</v>
      </c>
      <c r="AU214" s="38">
        <v>4</v>
      </c>
      <c r="AV214" s="33">
        <v>4</v>
      </c>
      <c r="AW214" s="33">
        <f>Table2[[#This Row],[final_obs_date2]]-Table2[[#This Row],[pen_obs_date]]</f>
        <v>4</v>
      </c>
      <c r="AX214" s="67">
        <v>67</v>
      </c>
      <c r="AY214" s="157">
        <f>Table2[[#This Row],[final_obs_date]]</f>
        <v>67</v>
      </c>
      <c r="AZ214" s="6">
        <v>63</v>
      </c>
      <c r="BA214" s="92" t="s">
        <v>47</v>
      </c>
      <c r="BB214" s="6" t="b">
        <f>Table2[[#This Row],[final_obs_date]]&lt;(Table2[[#This Row],[estHD]]-2)</f>
        <v>0</v>
      </c>
      <c r="BC214" s="32">
        <f>IF(Table2[[#This Row],[field_fate]]="H",1,0)</f>
        <v>1</v>
      </c>
      <c r="BD214" s="16">
        <f>IF(Table2[[#This Row],[cam_fate2]]="H",1,0)</f>
        <v>1</v>
      </c>
      <c r="BE214" s="6" t="b">
        <f>NOT(Table2[[#This Row],[HF_C]]=Table2[[#This Row],[HF]])</f>
        <v>0</v>
      </c>
      <c r="BF214" s="38" t="b">
        <f>NOT(Table2[[#This Row],[cam_fate2]]=Table2[[#This Row],[field_fate3]])</f>
        <v>0</v>
      </c>
      <c r="BG214" s="38" t="b">
        <f>OR(Table2[[#This Row],[field_fate3]]="U",Table2[[#This Row],[field_fate3]]="U-H")</f>
        <v>0</v>
      </c>
      <c r="BH214" s="8">
        <v>49</v>
      </c>
      <c r="BI214" s="8">
        <v>67</v>
      </c>
      <c r="BJ214" s="14">
        <f>IF(ISTEXT(Table2[[#This Row],[j.cam]]),Table2[[#This Row],[j]],Table2[[#This Row],[j.cam]])</f>
        <v>67</v>
      </c>
      <c r="BK214" s="8">
        <v>67</v>
      </c>
      <c r="BL214" s="14">
        <f>IF(ISTEXT(Table2[[#This Row],[k.cam]]), Table2[[#This Row],[k]], Table2[[#This Row],[k.cam]])</f>
        <v>67</v>
      </c>
      <c r="BM214" s="4" t="s">
        <v>24</v>
      </c>
      <c r="BN214" s="8" t="s">
        <v>24</v>
      </c>
      <c r="BO214" s="4">
        <v>5</v>
      </c>
      <c r="BP214" s="4">
        <f>Table2[[#This Row],[final_obs_date]]-Table2[[#This Row],[i]]</f>
        <v>18</v>
      </c>
      <c r="BQ214" s="4" t="b">
        <f>Table2[[#This Row],[final_obs_date2]]&gt;Table2[[#This Row],[estHD]]+3</f>
        <v>0</v>
      </c>
      <c r="BR214" s="3" t="s">
        <v>33</v>
      </c>
      <c r="BS214" s="3" t="s">
        <v>139</v>
      </c>
      <c r="BT214" s="125" t="s">
        <v>1134</v>
      </c>
      <c r="BU214" s="4" t="s">
        <v>217</v>
      </c>
      <c r="BV214" s="79" t="s">
        <v>1527</v>
      </c>
      <c r="BW214" s="69"/>
      <c r="BX214" s="36"/>
      <c r="BY214" s="36" t="s">
        <v>608</v>
      </c>
    </row>
    <row r="215" spans="1:77" hidden="1" x14ac:dyDescent="0.35">
      <c r="A215" s="62">
        <v>10289</v>
      </c>
      <c r="B215" s="2" t="s">
        <v>22</v>
      </c>
      <c r="C215" s="44">
        <v>2019</v>
      </c>
      <c r="D215" s="3">
        <v>29.66703</v>
      </c>
      <c r="E215" s="3">
        <v>-92.842699999999994</v>
      </c>
      <c r="F215" s="3">
        <v>5</v>
      </c>
      <c r="G215" s="3">
        <v>5</v>
      </c>
      <c r="H215" s="3" t="s">
        <v>26</v>
      </c>
      <c r="I215" s="43"/>
      <c r="J215" s="55">
        <v>53</v>
      </c>
      <c r="K215" s="4">
        <v>53</v>
      </c>
      <c r="L215" s="22">
        <f>IF(ISNUMBER(Table2[[#This Row],[estHD]]),ABS(Table2[[#This Row],[HD]]-Table2[[#This Row],[estHD]]),"NA")</f>
        <v>0</v>
      </c>
      <c r="M215" s="4" t="b">
        <f>Table2[[#This Row],[HD]]=Table2[[#This Row],[estHD]]</f>
        <v>1</v>
      </c>
      <c r="N215" s="4" t="str">
        <f>IF(ISNUMBER([1]!Table2[[#This Row],[hatch_date]]),[1]!Table2[[#This Row],[hatch_date]]-19,"NA")</f>
        <v>NA</v>
      </c>
      <c r="O215" s="31">
        <v>34</v>
      </c>
      <c r="P215" s="23">
        <f>IF(ISNUMBER(Table2[[#This Row],[nest_age1]]),ABS(Table2[[#This Row],[nest_age1]]-Table2[[#This Row],[nest_age_feb]]),"NA")</f>
        <v>0</v>
      </c>
      <c r="Q215" s="24">
        <f>IF(ISNUMBER(Table2[[#This Row],[final_obs_int2]]),ABS(Table2[[#This Row],[final_obs_int2]]-Table2[[#This Row],[final_obs_int_feb]]), "NA")</f>
        <v>0</v>
      </c>
      <c r="R215" s="24"/>
      <c r="S215" s="20" t="s">
        <v>75</v>
      </c>
      <c r="T215" s="20" t="str">
        <f>Table2[[#This Row],[camera_old]]</f>
        <v>Y</v>
      </c>
      <c r="U215" s="22" t="s">
        <v>88</v>
      </c>
      <c r="V215" s="16" t="s">
        <v>31</v>
      </c>
      <c r="W215" s="16">
        <v>21</v>
      </c>
      <c r="X215" s="145">
        <v>3</v>
      </c>
      <c r="Y215" s="147" t="s">
        <v>31</v>
      </c>
      <c r="Z215" s="146" t="s">
        <v>31</v>
      </c>
      <c r="AA215" s="4" t="str">
        <f>Table2[[#This Row],[field_fate]]</f>
        <v>D</v>
      </c>
      <c r="AB215" s="4" t="str">
        <f>Table2[[#This Row],[field_fate2]]</f>
        <v>D</v>
      </c>
      <c r="AC215" s="94" t="str">
        <f>Table2[[#This Row],[field_fate3]]</f>
        <v>D</v>
      </c>
      <c r="AD215" s="94" t="str">
        <f>Table2[[#This Row],[field_fate4]]</f>
        <v>D</v>
      </c>
      <c r="AE215" s="94" t="str">
        <f>Table2[[#This Row],[field_fate5]]</f>
        <v>D</v>
      </c>
      <c r="AF215" s="94" t="str">
        <f>Table2[[#This Row],[field_fate5]]</f>
        <v>D</v>
      </c>
      <c r="AG215" s="94" t="str">
        <f>Table2[[#This Row],[field_fate5]]</f>
        <v>D</v>
      </c>
      <c r="AH215" s="94" t="str">
        <f>Table2[[#This Row],[field_fate2]]</f>
        <v>D</v>
      </c>
      <c r="AI215" s="94" t="str">
        <f>Table2[[#This Row],[field_fate8]]</f>
        <v>D</v>
      </c>
      <c r="AJ215" s="94" t="str">
        <f>Table2[[#This Row],[field_fate10]]</f>
        <v>D</v>
      </c>
      <c r="AK215" s="94" t="b">
        <f>Table2[[#This Row],[field_fate_feb]]=Table2[[#This Row],[field_fate10]]</f>
        <v>1</v>
      </c>
      <c r="AL215" s="43" t="s">
        <v>31</v>
      </c>
      <c r="AM215" s="43" t="b">
        <f>Table2[[#This Row],[cam_fate2]]="NA"</f>
        <v>0</v>
      </c>
      <c r="AN215" s="19" t="str">
        <f>Table2[[#This Row],[cam_fate1]]</f>
        <v>D</v>
      </c>
      <c r="AO215" s="2" t="s">
        <v>31</v>
      </c>
      <c r="AP215" s="5" t="str">
        <f>Table2[[#This Row],[final_fate1]]</f>
        <v>D</v>
      </c>
      <c r="AQ215" s="6">
        <v>21</v>
      </c>
      <c r="AR215" s="7">
        <v>21</v>
      </c>
      <c r="AS215" s="155">
        <f>Table2[[#This Row],[final_obs_date]]-Table2[[#This Row],[init_date]]</f>
        <v>21</v>
      </c>
      <c r="AT215" s="155">
        <f>(Table2[[#This Row],[final_obs_date2]]-Table2[[#This Row],[estHD]])+16</f>
        <v>18</v>
      </c>
      <c r="AU215" s="38">
        <v>3</v>
      </c>
      <c r="AV215" s="33">
        <v>3</v>
      </c>
      <c r="AW215" s="33">
        <f>Table2[[#This Row],[final_obs_date2]]-Table2[[#This Row],[pen_obs_date]]</f>
        <v>3</v>
      </c>
      <c r="AX215" s="67">
        <v>55</v>
      </c>
      <c r="AY215" s="6">
        <f>Table2[[#This Row],[final_obs_date]]</f>
        <v>55</v>
      </c>
      <c r="AZ215" s="6">
        <v>52</v>
      </c>
      <c r="BA215" s="91" t="s">
        <v>47</v>
      </c>
      <c r="BB215" s="6" t="b">
        <f>Table2[[#This Row],[final_obs_date]]&lt;(Table2[[#This Row],[estHD]]-2)</f>
        <v>0</v>
      </c>
      <c r="BC215" s="32">
        <f>IF(Table2[[#This Row],[field_fate]]="H",1,0)</f>
        <v>0</v>
      </c>
      <c r="BD215" s="16">
        <f>IF(Table2[[#This Row],[cam_fate2]]="H",1,0)</f>
        <v>0</v>
      </c>
      <c r="BE215" s="6" t="b">
        <f>NOT(Table2[[#This Row],[HF_C]]=Table2[[#This Row],[HF]])</f>
        <v>0</v>
      </c>
      <c r="BF215" s="6" t="b">
        <f>NOT(Table2[[#This Row],[cam_fate2]]=Table2[[#This Row],[field_fate3]])</f>
        <v>0</v>
      </c>
      <c r="BG215" s="6" t="b">
        <f>OR(Table2[[#This Row],[field_fate3]]="U",Table2[[#This Row],[field_fate3]]="U-H")</f>
        <v>0</v>
      </c>
      <c r="BH215" s="8">
        <v>52</v>
      </c>
      <c r="BI215" s="8">
        <v>52</v>
      </c>
      <c r="BJ215" s="14">
        <f>IF(ISTEXT(Table2[[#This Row],[j.cam]]),Table2[[#This Row],[j]],Table2[[#This Row],[j.cam]])</f>
        <v>52</v>
      </c>
      <c r="BK215" s="8">
        <v>55</v>
      </c>
      <c r="BL215" s="14">
        <f>IF(ISTEXT(Table2[[#This Row],[k.cam]]), Table2[[#This Row],[k]], Table2[[#This Row],[k.cam]])</f>
        <v>55</v>
      </c>
      <c r="BM215" s="4" t="s">
        <v>24</v>
      </c>
      <c r="BN215" s="8" t="s">
        <v>24</v>
      </c>
      <c r="BO215" s="4">
        <v>2</v>
      </c>
      <c r="BP215" s="4">
        <f>Table2[[#This Row],[final_obs_date]]-Table2[[#This Row],[i]]</f>
        <v>3</v>
      </c>
      <c r="BQ215" s="4" t="b">
        <f>Table2[[#This Row],[final_obs_date2]]&gt;Table2[[#This Row],[estHD]]+3</f>
        <v>0</v>
      </c>
      <c r="BR215" s="3" t="s">
        <v>27</v>
      </c>
      <c r="BS215" s="3" t="s">
        <v>45</v>
      </c>
      <c r="BT215" s="88" t="s">
        <v>1135</v>
      </c>
      <c r="BU215" s="26" t="s">
        <v>183</v>
      </c>
      <c r="BV215" s="79" t="s">
        <v>1430</v>
      </c>
      <c r="BW215" s="49"/>
      <c r="BX215" s="47"/>
      <c r="BY215" s="36" t="s">
        <v>609</v>
      </c>
    </row>
    <row r="216" spans="1:77" hidden="1" x14ac:dyDescent="0.35">
      <c r="A216" s="62">
        <v>10290</v>
      </c>
      <c r="B216" s="2" t="s">
        <v>22</v>
      </c>
      <c r="C216" s="44">
        <v>2019</v>
      </c>
      <c r="D216" s="3">
        <v>29.668399999999998</v>
      </c>
      <c r="E216" s="3">
        <v>-92.847099999999998</v>
      </c>
      <c r="F216" s="3">
        <v>60</v>
      </c>
      <c r="G216" s="3">
        <v>50</v>
      </c>
      <c r="H216" s="3" t="s">
        <v>26</v>
      </c>
      <c r="I216" s="43"/>
      <c r="J216" s="55">
        <v>65</v>
      </c>
      <c r="K216" s="4">
        <v>65</v>
      </c>
      <c r="L216" s="22">
        <f>IF(ISNUMBER(Table2[[#This Row],[estHD]]),ABS(Table2[[#This Row],[HD]]-Table2[[#This Row],[estHD]]),"NA")</f>
        <v>0</v>
      </c>
      <c r="M216" s="4" t="b">
        <f>Table2[[#This Row],[HD]]=Table2[[#This Row],[estHD]]</f>
        <v>1</v>
      </c>
      <c r="N216" s="4" t="str">
        <f>IF(ISNUMBER([1]!Table2[[#This Row],[hatch_date]]), [1]!Table2[[#This Row],[hatch_date]]-16, "NA")</f>
        <v>NA</v>
      </c>
      <c r="O216" s="31">
        <v>49</v>
      </c>
      <c r="P216" s="23">
        <f>IF(ISNUMBER(Table2[[#This Row],[nest_age1]]),ABS(Table2[[#This Row],[nest_age1]]-Table2[[#This Row],[nest_age_feb]]),"NA")</f>
        <v>0</v>
      </c>
      <c r="Q216" s="24">
        <f>IF(ISNUMBER(Table2[[#This Row],[final_obs_int2]]),ABS(Table2[[#This Row],[final_obs_int2]]-Table2[[#This Row],[final_obs_int_feb]]), "NA")</f>
        <v>0</v>
      </c>
      <c r="R216" s="24"/>
      <c r="S216" s="57" t="s">
        <v>88</v>
      </c>
      <c r="T216" s="57" t="str">
        <f>Table2[[#This Row],[camera_old]]</f>
        <v>N</v>
      </c>
      <c r="U216" s="24"/>
      <c r="V216" s="16" t="s">
        <v>24</v>
      </c>
      <c r="W216" s="16">
        <v>13</v>
      </c>
      <c r="X216" s="145">
        <v>7</v>
      </c>
      <c r="Y216" s="147" t="s">
        <v>25</v>
      </c>
      <c r="Z216" s="146" t="s">
        <v>25</v>
      </c>
      <c r="AA216" s="4" t="str">
        <f>Table2[[#This Row],[field_fate]]</f>
        <v>S</v>
      </c>
      <c r="AB216" s="4" t="str">
        <f>Table2[[#This Row],[field_fate2]]</f>
        <v>S</v>
      </c>
      <c r="AC216" s="4" t="str">
        <f>Table2[[#This Row],[field_fate3]]</f>
        <v>S</v>
      </c>
      <c r="AD216" s="4" t="str">
        <f>Table2[[#This Row],[field_fate4]]</f>
        <v>S</v>
      </c>
      <c r="AE216" s="4" t="str">
        <f>Table2[[#This Row],[field_fate5]]</f>
        <v>S</v>
      </c>
      <c r="AF216" s="4" t="str">
        <f>Table2[[#This Row],[field_fate5]]</f>
        <v>S</v>
      </c>
      <c r="AG216" s="4" t="str">
        <f>Table2[[#This Row],[field_fate5]]</f>
        <v>S</v>
      </c>
      <c r="AH216" s="4" t="str">
        <f>Table2[[#This Row],[field_fate2]]</f>
        <v>S</v>
      </c>
      <c r="AI216" s="4" t="str">
        <f>Table2[[#This Row],[field_fate8]]</f>
        <v>S</v>
      </c>
      <c r="AJ216" s="4" t="str">
        <f>Table2[[#This Row],[field_fate10]]</f>
        <v>S</v>
      </c>
      <c r="AK216" s="4" t="b">
        <f>Table2[[#This Row],[field_fate_feb]]=Table2[[#This Row],[field_fate10]]</f>
        <v>1</v>
      </c>
      <c r="AL216" s="43" t="s">
        <v>24</v>
      </c>
      <c r="AM216" s="43" t="b">
        <f>Table2[[#This Row],[cam_fate2]]="NA"</f>
        <v>1</v>
      </c>
      <c r="AN216" s="19" t="str">
        <f>Table2[[#This Row],[cam_fate1]]</f>
        <v>NA</v>
      </c>
      <c r="AO216" s="2" t="s">
        <v>25</v>
      </c>
      <c r="AP216" s="5" t="str">
        <f>Table2[[#This Row],[final_fate1]]</f>
        <v>S</v>
      </c>
      <c r="AQ216" s="6">
        <v>13</v>
      </c>
      <c r="AR216" s="7">
        <v>13</v>
      </c>
      <c r="AS216" s="7">
        <f>Table2[[#This Row],[final_obs_date]]-Table2[[#This Row],[init_date]]</f>
        <v>13</v>
      </c>
      <c r="AT216" s="7">
        <f>(Table2[[#This Row],[final_obs_date2]]-Table2[[#This Row],[estHD]])+16</f>
        <v>13</v>
      </c>
      <c r="AU216" s="38">
        <v>7</v>
      </c>
      <c r="AV216" s="33">
        <v>7</v>
      </c>
      <c r="AW216" s="33">
        <f>Table2[[#This Row],[final_obs_date2]]-Table2[[#This Row],[pen_obs_date]]</f>
        <v>62</v>
      </c>
      <c r="AX216" s="67">
        <v>62</v>
      </c>
      <c r="AY216" s="6">
        <f>Table2[[#This Row],[final_obs_date]]</f>
        <v>62</v>
      </c>
      <c r="AZ216" s="6"/>
      <c r="BA216" s="91" t="s">
        <v>60</v>
      </c>
      <c r="BB216" s="6" t="b">
        <f>Table2[[#This Row],[final_obs_date]]&lt;(Table2[[#This Row],[estHD]]-2)</f>
        <v>1</v>
      </c>
      <c r="BC216" s="24">
        <f>IF(Table2[[#This Row],[field_fate]]="H",1,0)</f>
        <v>0</v>
      </c>
      <c r="BD216" s="16">
        <f>IF(Table2[[#This Row],[cam_fate2]]="H",1,0)</f>
        <v>0</v>
      </c>
      <c r="BE216" s="6" t="b">
        <f>NOT(Table2[[#This Row],[HF_C]]=Table2[[#This Row],[HF]])</f>
        <v>0</v>
      </c>
      <c r="BF216" s="6" t="b">
        <f>NOT(Table2[[#This Row],[cam_fate2]]=Table2[[#This Row],[field_fate3]])</f>
        <v>1</v>
      </c>
      <c r="BG216" s="6" t="b">
        <f>OR(Table2[[#This Row],[field_fate3]]="U",Table2[[#This Row],[field_fate3]]="U-H")</f>
        <v>0</v>
      </c>
      <c r="BH216" s="8">
        <v>52</v>
      </c>
      <c r="BI216" s="8">
        <v>55</v>
      </c>
      <c r="BJ216" s="14">
        <f>IF(ISTEXT(Table2[[#This Row],[j.cam]]),Table2[[#This Row],[j]],Table2[[#This Row],[j.cam]])</f>
        <v>55</v>
      </c>
      <c r="BK216" s="9">
        <v>62</v>
      </c>
      <c r="BL216" s="15">
        <f>IF(ISTEXT(Table2[[#This Row],[k.cam]]), Table2[[#This Row],[k]], Table2[[#This Row],[k.cam]])</f>
        <v>62</v>
      </c>
      <c r="BM216" s="4" t="s">
        <v>24</v>
      </c>
      <c r="BN216" s="8" t="s">
        <v>24</v>
      </c>
      <c r="BO216" s="4">
        <v>3</v>
      </c>
      <c r="BP216" s="4">
        <f>Table2[[#This Row],[final_obs_date]]-Table2[[#This Row],[i]]</f>
        <v>10</v>
      </c>
      <c r="BQ216" s="4" t="b">
        <f>Table2[[#This Row],[final_obs_date2]]&gt;Table2[[#This Row],[estHD]]+3</f>
        <v>0</v>
      </c>
      <c r="BR216" s="4" t="s">
        <v>33</v>
      </c>
      <c r="BS216" s="4" t="s">
        <v>45</v>
      </c>
      <c r="BT216" s="79" t="s">
        <v>1133</v>
      </c>
      <c r="BU216" s="26" t="s">
        <v>132</v>
      </c>
      <c r="BV216" s="79" t="s">
        <v>1526</v>
      </c>
      <c r="BW216" s="49"/>
      <c r="BX216" s="47"/>
      <c r="BY216" s="36" t="s">
        <v>610</v>
      </c>
    </row>
    <row r="217" spans="1:77" hidden="1" x14ac:dyDescent="0.35">
      <c r="A217" s="62">
        <v>10291</v>
      </c>
      <c r="B217" s="2" t="s">
        <v>22</v>
      </c>
      <c r="C217" s="44">
        <v>2019</v>
      </c>
      <c r="D217" s="3">
        <v>29.667249999999999</v>
      </c>
      <c r="E217" s="3">
        <v>-92.843729999999994</v>
      </c>
      <c r="F217" s="3">
        <v>30</v>
      </c>
      <c r="G217" s="3">
        <v>30</v>
      </c>
      <c r="H217" s="3" t="s">
        <v>26</v>
      </c>
      <c r="I217" s="43"/>
      <c r="J217" s="55">
        <v>65</v>
      </c>
      <c r="K217" s="4">
        <v>65</v>
      </c>
      <c r="L217" s="22">
        <f>IF(ISNUMBER(Table2[[#This Row],[estHD]]),ABS(Table2[[#This Row],[HD]]-Table2[[#This Row],[estHD]]),"NA")</f>
        <v>0</v>
      </c>
      <c r="M217" s="4" t="b">
        <f>Table2[[#This Row],[HD]]=Table2[[#This Row],[estHD]]</f>
        <v>1</v>
      </c>
      <c r="N217" s="4" t="str">
        <f>IF(ISNUMBER([1]!Table2[[#This Row],[hatch_date]]), [1]!Table2[[#This Row],[hatch_date]]-16, "NA")</f>
        <v>NA</v>
      </c>
      <c r="O217" s="31">
        <v>49</v>
      </c>
      <c r="P217" s="23">
        <f>IF(ISNUMBER(Table2[[#This Row],[nest_age1]]),ABS(Table2[[#This Row],[nest_age1]]-Table2[[#This Row],[nest_age_feb]]),"NA")</f>
        <v>0</v>
      </c>
      <c r="Q217" s="24">
        <f>IF(ISNUMBER(Table2[[#This Row],[final_obs_int2]]),ABS(Table2[[#This Row],[final_obs_int2]]-Table2[[#This Row],[final_obs_int_feb]]), "NA")</f>
        <v>0</v>
      </c>
      <c r="R217" s="24"/>
      <c r="S217" s="57" t="s">
        <v>88</v>
      </c>
      <c r="T217" s="57" t="str">
        <f>Table2[[#This Row],[camera_old]]</f>
        <v>N</v>
      </c>
      <c r="U217" s="24"/>
      <c r="V217" s="16" t="s">
        <v>24</v>
      </c>
      <c r="W217" s="16">
        <v>13</v>
      </c>
      <c r="X217" s="145">
        <v>7</v>
      </c>
      <c r="Y217" s="147" t="s">
        <v>25</v>
      </c>
      <c r="Z217" s="146" t="s">
        <v>25</v>
      </c>
      <c r="AA217" s="4" t="str">
        <f>Table2[[#This Row],[field_fate]]</f>
        <v>S</v>
      </c>
      <c r="AB217" s="4" t="str">
        <f>Table2[[#This Row],[field_fate2]]</f>
        <v>S</v>
      </c>
      <c r="AC217" s="4" t="str">
        <f>Table2[[#This Row],[field_fate3]]</f>
        <v>S</v>
      </c>
      <c r="AD217" s="4" t="str">
        <f>Table2[[#This Row],[field_fate4]]</f>
        <v>S</v>
      </c>
      <c r="AE217" s="4" t="str">
        <f>Table2[[#This Row],[field_fate5]]</f>
        <v>S</v>
      </c>
      <c r="AF217" s="4" t="str">
        <f>Table2[[#This Row],[field_fate5]]</f>
        <v>S</v>
      </c>
      <c r="AG217" s="4" t="str">
        <f>Table2[[#This Row],[field_fate5]]</f>
        <v>S</v>
      </c>
      <c r="AH217" s="4" t="str">
        <f>Table2[[#This Row],[field_fate2]]</f>
        <v>S</v>
      </c>
      <c r="AI217" s="4" t="str">
        <f>Table2[[#This Row],[field_fate8]]</f>
        <v>S</v>
      </c>
      <c r="AJ217" s="4" t="str">
        <f>Table2[[#This Row],[field_fate10]]</f>
        <v>S</v>
      </c>
      <c r="AK217" s="4" t="b">
        <f>Table2[[#This Row],[field_fate_feb]]=Table2[[#This Row],[field_fate10]]</f>
        <v>1</v>
      </c>
      <c r="AL217" s="43" t="s">
        <v>24</v>
      </c>
      <c r="AM217" s="43" t="b">
        <f>Table2[[#This Row],[cam_fate2]]="NA"</f>
        <v>1</v>
      </c>
      <c r="AN217" s="19" t="str">
        <f>Table2[[#This Row],[cam_fate1]]</f>
        <v>NA</v>
      </c>
      <c r="AO217" s="2" t="s">
        <v>25</v>
      </c>
      <c r="AP217" s="5" t="str">
        <f>Table2[[#This Row],[final_fate1]]</f>
        <v>S</v>
      </c>
      <c r="AQ217" s="6">
        <v>13</v>
      </c>
      <c r="AR217" s="7">
        <v>13</v>
      </c>
      <c r="AS217" s="7">
        <f>Table2[[#This Row],[final_obs_date]]-Table2[[#This Row],[init_date]]</f>
        <v>13</v>
      </c>
      <c r="AT217" s="7">
        <f>(Table2[[#This Row],[final_obs_date2]]-Table2[[#This Row],[estHD]])+16</f>
        <v>13</v>
      </c>
      <c r="AU217" s="38">
        <v>7</v>
      </c>
      <c r="AV217" s="33">
        <v>7</v>
      </c>
      <c r="AW217" s="33">
        <f>Table2[[#This Row],[final_obs_date2]]-Table2[[#This Row],[pen_obs_date]]</f>
        <v>62</v>
      </c>
      <c r="AX217" s="67">
        <v>62</v>
      </c>
      <c r="AY217" s="6">
        <f>Table2[[#This Row],[final_obs_date]]</f>
        <v>62</v>
      </c>
      <c r="AZ217" s="6"/>
      <c r="BA217" s="91" t="s">
        <v>60</v>
      </c>
      <c r="BB217" s="6" t="b">
        <f>Table2[[#This Row],[final_obs_date]]&lt;(Table2[[#This Row],[estHD]]-2)</f>
        <v>1</v>
      </c>
      <c r="BC217" s="24">
        <f>IF(Table2[[#This Row],[field_fate]]="H",1,0)</f>
        <v>0</v>
      </c>
      <c r="BD217" s="16">
        <f>IF(Table2[[#This Row],[cam_fate2]]="H",1,0)</f>
        <v>0</v>
      </c>
      <c r="BE217" s="6" t="b">
        <f>NOT(Table2[[#This Row],[HF_C]]=Table2[[#This Row],[HF]])</f>
        <v>0</v>
      </c>
      <c r="BF217" s="6" t="b">
        <f>NOT(Table2[[#This Row],[cam_fate2]]=Table2[[#This Row],[field_fate3]])</f>
        <v>1</v>
      </c>
      <c r="BG217" s="6" t="b">
        <f>OR(Table2[[#This Row],[field_fate3]]="U",Table2[[#This Row],[field_fate3]]="U-H")</f>
        <v>0</v>
      </c>
      <c r="BH217" s="8">
        <v>52</v>
      </c>
      <c r="BI217" s="8">
        <v>55</v>
      </c>
      <c r="BJ217" s="14">
        <f>IF(ISTEXT(Table2[[#This Row],[j.cam]]),Table2[[#This Row],[j]],Table2[[#This Row],[j.cam]])</f>
        <v>55</v>
      </c>
      <c r="BK217" s="9">
        <v>62</v>
      </c>
      <c r="BL217" s="15">
        <f>IF(ISTEXT(Table2[[#This Row],[k.cam]]), Table2[[#This Row],[k]], Table2[[#This Row],[k.cam]])</f>
        <v>62</v>
      </c>
      <c r="BM217" s="4" t="s">
        <v>24</v>
      </c>
      <c r="BN217" s="8" t="s">
        <v>24</v>
      </c>
      <c r="BO217" s="4">
        <v>3</v>
      </c>
      <c r="BP217" s="4">
        <f>Table2[[#This Row],[final_obs_date]]-Table2[[#This Row],[i]]</f>
        <v>10</v>
      </c>
      <c r="BQ217" s="4" t="b">
        <f>Table2[[#This Row],[final_obs_date2]]&gt;Table2[[#This Row],[estHD]]+3</f>
        <v>0</v>
      </c>
      <c r="BR217" s="4" t="s">
        <v>33</v>
      </c>
      <c r="BS217" s="4" t="s">
        <v>45</v>
      </c>
      <c r="BT217" s="79" t="s">
        <v>1133</v>
      </c>
      <c r="BU217" s="26" t="s">
        <v>132</v>
      </c>
      <c r="BV217" s="79" t="s">
        <v>1526</v>
      </c>
      <c r="BW217" s="49"/>
      <c r="BX217" s="47"/>
      <c r="BY217" s="36" t="s">
        <v>611</v>
      </c>
    </row>
    <row r="218" spans="1:77" hidden="1" x14ac:dyDescent="0.35">
      <c r="A218" s="62">
        <v>10292</v>
      </c>
      <c r="B218" s="2" t="s">
        <v>22</v>
      </c>
      <c r="C218" s="44">
        <v>2019</v>
      </c>
      <c r="D218" s="3">
        <v>29.66526</v>
      </c>
      <c r="E218" s="3">
        <v>-92.837950000000006</v>
      </c>
      <c r="F218" s="3" t="s">
        <v>24</v>
      </c>
      <c r="G218" s="3" t="s">
        <v>24</v>
      </c>
      <c r="H218" s="3" t="s">
        <v>26</v>
      </c>
      <c r="I218" s="43"/>
      <c r="J218" s="55">
        <v>68</v>
      </c>
      <c r="K218" s="4">
        <v>68</v>
      </c>
      <c r="L218" s="22">
        <f>IF(ISNUMBER(Table2[[#This Row],[estHD]]),ABS(Table2[[#This Row],[HD]]-Table2[[#This Row],[estHD]]),"NA")</f>
        <v>0</v>
      </c>
      <c r="M218" s="4" t="b">
        <f>Table2[[#This Row],[HD]]=Table2[[#This Row],[estHD]]</f>
        <v>1</v>
      </c>
      <c r="N218" s="4" t="str">
        <f>IF(ISNUMBER([1]!Table2[[#This Row],[hatch_date]]), [1]!Table2[[#This Row],[hatch_date]]-16, "NA")</f>
        <v>NA</v>
      </c>
      <c r="O218" s="31">
        <v>52</v>
      </c>
      <c r="P218" s="23">
        <f>IF(ISNUMBER(Table2[[#This Row],[nest_age1]]),ABS(Table2[[#This Row],[nest_age1]]-Table2[[#This Row],[nest_age_feb]]),"NA")</f>
        <v>0</v>
      </c>
      <c r="Q218" s="24">
        <f>IF(ISNUMBER(Table2[[#This Row],[final_obs_int2]]),ABS(Table2[[#This Row],[final_obs_int2]]-Table2[[#This Row],[final_obs_int_feb]]), "NA")</f>
        <v>0</v>
      </c>
      <c r="R218" s="24"/>
      <c r="S218" s="57" t="s">
        <v>88</v>
      </c>
      <c r="T218" s="57" t="str">
        <f>Table2[[#This Row],[camera_old]]</f>
        <v>N</v>
      </c>
      <c r="U218" s="24"/>
      <c r="V218" s="16" t="s">
        <v>24</v>
      </c>
      <c r="W218" s="16">
        <v>10</v>
      </c>
      <c r="X218" s="145">
        <v>7</v>
      </c>
      <c r="Y218" s="147" t="s">
        <v>25</v>
      </c>
      <c r="Z218" s="146" t="s">
        <v>25</v>
      </c>
      <c r="AA218" s="4" t="str">
        <f>Table2[[#This Row],[field_fate]]</f>
        <v>S</v>
      </c>
      <c r="AB218" s="4" t="str">
        <f>Table2[[#This Row],[field_fate2]]</f>
        <v>S</v>
      </c>
      <c r="AC218" s="4" t="str">
        <f>Table2[[#This Row],[field_fate3]]</f>
        <v>S</v>
      </c>
      <c r="AD218" s="4" t="str">
        <f>Table2[[#This Row],[field_fate4]]</f>
        <v>S</v>
      </c>
      <c r="AE218" s="4" t="str">
        <f>Table2[[#This Row],[field_fate5]]</f>
        <v>S</v>
      </c>
      <c r="AF218" s="4" t="str">
        <f>Table2[[#This Row],[field_fate5]]</f>
        <v>S</v>
      </c>
      <c r="AG218" s="4" t="str">
        <f>Table2[[#This Row],[field_fate5]]</f>
        <v>S</v>
      </c>
      <c r="AH218" s="4" t="str">
        <f>Table2[[#This Row],[field_fate2]]</f>
        <v>S</v>
      </c>
      <c r="AI218" s="4" t="str">
        <f>Table2[[#This Row],[field_fate8]]</f>
        <v>S</v>
      </c>
      <c r="AJ218" s="4" t="str">
        <f>Table2[[#This Row],[field_fate10]]</f>
        <v>S</v>
      </c>
      <c r="AK218" s="4" t="b">
        <f>Table2[[#This Row],[field_fate_feb]]=Table2[[#This Row],[field_fate10]]</f>
        <v>1</v>
      </c>
      <c r="AL218" s="43" t="s">
        <v>24</v>
      </c>
      <c r="AM218" s="43" t="b">
        <f>Table2[[#This Row],[cam_fate2]]="NA"</f>
        <v>1</v>
      </c>
      <c r="AN218" s="19" t="str">
        <f>Table2[[#This Row],[cam_fate1]]</f>
        <v>NA</v>
      </c>
      <c r="AO218" s="2" t="s">
        <v>25</v>
      </c>
      <c r="AP218" s="5" t="str">
        <f>Table2[[#This Row],[final_fate1]]</f>
        <v>S</v>
      </c>
      <c r="AQ218" s="6">
        <v>10</v>
      </c>
      <c r="AR218" s="7">
        <v>10</v>
      </c>
      <c r="AS218" s="7">
        <f>Table2[[#This Row],[final_obs_date]]-Table2[[#This Row],[init_date]]</f>
        <v>10</v>
      </c>
      <c r="AT218" s="7">
        <f>(Table2[[#This Row],[final_obs_date2]]-Table2[[#This Row],[estHD]])+16</f>
        <v>10</v>
      </c>
      <c r="AU218" s="38">
        <v>7</v>
      </c>
      <c r="AV218" s="33">
        <v>7</v>
      </c>
      <c r="AW218" s="33">
        <f>Table2[[#This Row],[final_obs_date2]]-Table2[[#This Row],[pen_obs_date]]</f>
        <v>62</v>
      </c>
      <c r="AX218" s="67">
        <v>62</v>
      </c>
      <c r="AY218" s="6">
        <f>Table2[[#This Row],[final_obs_date]]</f>
        <v>62</v>
      </c>
      <c r="AZ218" s="6"/>
      <c r="BA218" s="91" t="s">
        <v>60</v>
      </c>
      <c r="BB218" s="6" t="b">
        <f>Table2[[#This Row],[final_obs_date]]&lt;(Table2[[#This Row],[estHD]]-2)</f>
        <v>1</v>
      </c>
      <c r="BC218" s="24">
        <f>IF(Table2[[#This Row],[field_fate]]="H",1,0)</f>
        <v>0</v>
      </c>
      <c r="BD218" s="16">
        <f>IF(Table2[[#This Row],[cam_fate2]]="H",1,0)</f>
        <v>0</v>
      </c>
      <c r="BE218" s="6" t="b">
        <f>NOT(Table2[[#This Row],[HF_C]]=Table2[[#This Row],[HF]])</f>
        <v>0</v>
      </c>
      <c r="BF218" s="6" t="b">
        <f>NOT(Table2[[#This Row],[cam_fate2]]=Table2[[#This Row],[field_fate3]])</f>
        <v>1</v>
      </c>
      <c r="BG218" s="6" t="b">
        <f>OR(Table2[[#This Row],[field_fate3]]="U",Table2[[#This Row],[field_fate3]]="U-H")</f>
        <v>0</v>
      </c>
      <c r="BH218" s="8">
        <v>52</v>
      </c>
      <c r="BI218" s="8">
        <v>55</v>
      </c>
      <c r="BJ218" s="14">
        <f>IF(ISTEXT(Table2[[#This Row],[j.cam]]),Table2[[#This Row],[j]],Table2[[#This Row],[j.cam]])</f>
        <v>55</v>
      </c>
      <c r="BK218" s="9">
        <v>62</v>
      </c>
      <c r="BL218" s="15">
        <f>IF(ISTEXT(Table2[[#This Row],[k.cam]]), Table2[[#This Row],[k]], Table2[[#This Row],[k.cam]])</f>
        <v>62</v>
      </c>
      <c r="BM218" s="4" t="s">
        <v>24</v>
      </c>
      <c r="BN218" s="8" t="s">
        <v>24</v>
      </c>
      <c r="BO218" s="4">
        <v>3</v>
      </c>
      <c r="BP218" s="4">
        <f>Table2[[#This Row],[final_obs_date]]-Table2[[#This Row],[i]]</f>
        <v>10</v>
      </c>
      <c r="BQ218" s="4" t="b">
        <f>Table2[[#This Row],[final_obs_date2]]&gt;Table2[[#This Row],[estHD]]+3</f>
        <v>0</v>
      </c>
      <c r="BR218" s="4" t="s">
        <v>33</v>
      </c>
      <c r="BS218" s="4" t="s">
        <v>45</v>
      </c>
      <c r="BT218" s="79" t="s">
        <v>1133</v>
      </c>
      <c r="BU218" s="26" t="s">
        <v>132</v>
      </c>
      <c r="BV218" s="79" t="s">
        <v>1526</v>
      </c>
      <c r="BW218" s="49"/>
      <c r="BX218" s="47"/>
      <c r="BY218" s="36" t="s">
        <v>24</v>
      </c>
    </row>
    <row r="219" spans="1:77" hidden="1" x14ac:dyDescent="0.35">
      <c r="A219" s="62">
        <v>10293</v>
      </c>
      <c r="B219" s="2" t="s">
        <v>22</v>
      </c>
      <c r="C219" s="44">
        <v>2019</v>
      </c>
      <c r="D219" s="3">
        <v>29.66009</v>
      </c>
      <c r="E219" s="3">
        <v>-92.826139999999995</v>
      </c>
      <c r="F219" s="3">
        <v>40</v>
      </c>
      <c r="G219" s="3">
        <v>40</v>
      </c>
      <c r="H219" s="3" t="s">
        <v>26</v>
      </c>
      <c r="I219" s="43"/>
      <c r="J219" s="55" t="s">
        <v>24</v>
      </c>
      <c r="K219" s="4" t="s">
        <v>24</v>
      </c>
      <c r="L219" s="22" t="str">
        <f>IF(ISNUMBER(Table2[[#This Row],[estHD]]),ABS(Table2[[#This Row],[HD]]-Table2[[#This Row],[estHD]]),"NA")</f>
        <v>NA</v>
      </c>
      <c r="M219" s="4" t="b">
        <f>Table2[[#This Row],[HD]]=Table2[[#This Row],[estHD]]</f>
        <v>1</v>
      </c>
      <c r="N219" s="4" t="str">
        <f>IF(ISNUMBER([1]!Table2[[#This Row],[hatch_date]]), [1]!Table2[[#This Row],[hatch_date]]-16, "NA")</f>
        <v>NA</v>
      </c>
      <c r="O219" s="31" t="s">
        <v>24</v>
      </c>
      <c r="P219" s="23" t="str">
        <f>IF(ISNUMBER(Table2[[#This Row],[nest_age1]]),ABS(Table2[[#This Row],[nest_age1]]-Table2[[#This Row],[nest_age_feb]]),"NA")</f>
        <v>NA</v>
      </c>
      <c r="Q219" s="24">
        <f>IF(ISNUMBER(Table2[[#This Row],[final_obs_int2]]),ABS(Table2[[#This Row],[final_obs_int2]]-Table2[[#This Row],[final_obs_int_feb]]), "NA")</f>
        <v>0</v>
      </c>
      <c r="R219" s="24"/>
      <c r="S219" s="57" t="s">
        <v>88</v>
      </c>
      <c r="T219" s="57" t="str">
        <f>Table2[[#This Row],[camera_old]]</f>
        <v>N</v>
      </c>
      <c r="U219" s="24"/>
      <c r="V219" s="16" t="s">
        <v>24</v>
      </c>
      <c r="W219" s="16" t="s">
        <v>24</v>
      </c>
      <c r="X219" s="145">
        <v>3</v>
      </c>
      <c r="Y219" s="147" t="s">
        <v>48</v>
      </c>
      <c r="Z219" s="146" t="s">
        <v>48</v>
      </c>
      <c r="AA219" s="4" t="str">
        <f>Table2[[#This Row],[field_fate]]</f>
        <v>F</v>
      </c>
      <c r="AB219" s="4" t="str">
        <f>Table2[[#This Row],[field_fate2]]</f>
        <v>F</v>
      </c>
      <c r="AC219" s="4" t="str">
        <f>Table2[[#This Row],[field_fate3]]</f>
        <v>F</v>
      </c>
      <c r="AD219" s="4" t="str">
        <f>Table2[[#This Row],[field_fate4]]</f>
        <v>F</v>
      </c>
      <c r="AE219" s="4" t="str">
        <f>Table2[[#This Row],[field_fate5]]</f>
        <v>F</v>
      </c>
      <c r="AF219" s="4" t="str">
        <f>Table2[[#This Row],[field_fate5]]</f>
        <v>F</v>
      </c>
      <c r="AG219" s="4" t="str">
        <f>Table2[[#This Row],[field_fate5]]</f>
        <v>F</v>
      </c>
      <c r="AH219" s="4" t="str">
        <f>Table2[[#This Row],[field_fate2]]</f>
        <v>F</v>
      </c>
      <c r="AI219" s="4" t="str">
        <f>Table2[[#This Row],[field_fate8]]</f>
        <v>F</v>
      </c>
      <c r="AJ219" s="4" t="str">
        <f>Table2[[#This Row],[field_fate10]]</f>
        <v>F</v>
      </c>
      <c r="AK219" s="4" t="b">
        <f>Table2[[#This Row],[field_fate_feb]]=Table2[[#This Row],[field_fate10]]</f>
        <v>1</v>
      </c>
      <c r="AL219" s="43" t="s">
        <v>24</v>
      </c>
      <c r="AM219" s="43" t="b">
        <f>Table2[[#This Row],[cam_fate2]]="NA"</f>
        <v>1</v>
      </c>
      <c r="AN219" s="19" t="str">
        <f>Table2[[#This Row],[cam_fate1]]</f>
        <v>NA</v>
      </c>
      <c r="AO219" s="2" t="s">
        <v>48</v>
      </c>
      <c r="AP219" s="5" t="str">
        <f>Table2[[#This Row],[final_fate1]]</f>
        <v>F</v>
      </c>
      <c r="AQ219" s="6" t="s">
        <v>24</v>
      </c>
      <c r="AR219" s="7" t="s">
        <v>24</v>
      </c>
      <c r="AS219" s="7" t="e">
        <f>Table2[[#This Row],[final_obs_date]]-Table2[[#This Row],[init_date]]</f>
        <v>#VALUE!</v>
      </c>
      <c r="AT219" s="7" t="e">
        <f>(Table2[[#This Row],[final_obs_date2]]-Table2[[#This Row],[estHD]])+16</f>
        <v>#VALUE!</v>
      </c>
      <c r="AU219" s="38">
        <v>3</v>
      </c>
      <c r="AV219" s="33">
        <v>3</v>
      </c>
      <c r="AW219" s="33">
        <f>Table2[[#This Row],[final_obs_date2]]-Table2[[#This Row],[pen_obs_date]]</f>
        <v>55</v>
      </c>
      <c r="AX219" s="67">
        <v>55</v>
      </c>
      <c r="AY219" s="6">
        <f>Table2[[#This Row],[final_obs_date]]</f>
        <v>55</v>
      </c>
      <c r="AZ219" s="6"/>
      <c r="BA219" s="91" t="s">
        <v>60</v>
      </c>
      <c r="BB219" s="6" t="e">
        <f>Table2[[#This Row],[final_obs_date]]&lt;(Table2[[#This Row],[estHD]]-2)</f>
        <v>#VALUE!</v>
      </c>
      <c r="BC219" s="24">
        <f>IF(Table2[[#This Row],[field_fate]]="H",1,0)</f>
        <v>0</v>
      </c>
      <c r="BD219" s="16">
        <f>IF(Table2[[#This Row],[cam_fate2]]="H",1,0)</f>
        <v>0</v>
      </c>
      <c r="BE219" s="6" t="b">
        <f>NOT(Table2[[#This Row],[HF_C]]=Table2[[#This Row],[HF]])</f>
        <v>0</v>
      </c>
      <c r="BF219" s="6" t="b">
        <f>NOT(Table2[[#This Row],[cam_fate2]]=Table2[[#This Row],[field_fate3]])</f>
        <v>1</v>
      </c>
      <c r="BG219" s="6" t="b">
        <f>OR(Table2[[#This Row],[field_fate3]]="U",Table2[[#This Row],[field_fate3]]="U-H")</f>
        <v>0</v>
      </c>
      <c r="BH219" s="8">
        <v>52</v>
      </c>
      <c r="BI219" s="8">
        <v>52</v>
      </c>
      <c r="BJ219" s="14">
        <f>IF(ISTEXT(Table2[[#This Row],[j.cam]]),Table2[[#This Row],[j]],Table2[[#This Row],[j.cam]])</f>
        <v>52</v>
      </c>
      <c r="BK219" s="9">
        <v>55</v>
      </c>
      <c r="BL219" s="15">
        <f>IF(ISTEXT(Table2[[#This Row],[k.cam]]), Table2[[#This Row],[k]], Table2[[#This Row],[k.cam]])</f>
        <v>55</v>
      </c>
      <c r="BM219" s="4" t="s">
        <v>24</v>
      </c>
      <c r="BN219" s="8" t="s">
        <v>24</v>
      </c>
      <c r="BO219" s="4">
        <v>2</v>
      </c>
      <c r="BP219" s="4">
        <f>Table2[[#This Row],[final_obs_date]]-Table2[[#This Row],[i]]</f>
        <v>3</v>
      </c>
      <c r="BQ219" s="4" t="e">
        <f>Table2[[#This Row],[final_obs_date2]]&gt;Table2[[#This Row],[estHD]]+3</f>
        <v>#VALUE!</v>
      </c>
      <c r="BR219" s="4" t="s">
        <v>33</v>
      </c>
      <c r="BS219" s="4" t="s">
        <v>100</v>
      </c>
      <c r="BT219" s="79" t="s">
        <v>1135</v>
      </c>
      <c r="BU219" s="26" t="s">
        <v>189</v>
      </c>
      <c r="BV219" s="79" t="s">
        <v>1430</v>
      </c>
      <c r="BW219" s="49"/>
      <c r="BX219" s="47"/>
      <c r="BY219" s="36" t="s">
        <v>612</v>
      </c>
    </row>
    <row r="220" spans="1:77" hidden="1" x14ac:dyDescent="0.35">
      <c r="A220" s="62">
        <v>10295</v>
      </c>
      <c r="B220" s="2" t="s">
        <v>22</v>
      </c>
      <c r="C220" s="44">
        <v>2019</v>
      </c>
      <c r="D220" s="3">
        <v>29.666830000000001</v>
      </c>
      <c r="E220" s="3">
        <v>-92.842370000000003</v>
      </c>
      <c r="F220" s="3">
        <v>5</v>
      </c>
      <c r="G220" s="3">
        <v>5</v>
      </c>
      <c r="H220" s="3" t="s">
        <v>26</v>
      </c>
      <c r="I220" s="43"/>
      <c r="J220" s="55">
        <v>67</v>
      </c>
      <c r="K220" s="4">
        <v>67</v>
      </c>
      <c r="L220" s="22">
        <f>IF(ISNUMBER(Table2[[#This Row],[estHD]]),ABS(Table2[[#This Row],[HD]]-Table2[[#This Row],[estHD]]),"NA")</f>
        <v>0</v>
      </c>
      <c r="M220" s="4" t="b">
        <f>Table2[[#This Row],[HD]]=Table2[[#This Row],[estHD]]</f>
        <v>1</v>
      </c>
      <c r="N220" s="4" t="str">
        <f>IF(ISNUMBER([1]!Table2[[#This Row],[hatch_date]]),[1]!Table2[[#This Row],[hatch_date]]-19,"NA")</f>
        <v>NA</v>
      </c>
      <c r="O220" s="31">
        <v>48</v>
      </c>
      <c r="P220" s="23">
        <f>IF(ISNUMBER(Table2[[#This Row],[nest_age1]]),ABS(Table2[[#This Row],[nest_age1]]-Table2[[#This Row],[nest_age_feb]]),"NA")</f>
        <v>0</v>
      </c>
      <c r="Q220" s="24">
        <f>IF(ISNUMBER(Table2[[#This Row],[final_obs_int2]]),ABS(Table2[[#This Row],[final_obs_int2]]-Table2[[#This Row],[final_obs_int_feb]]), "NA")</f>
        <v>0</v>
      </c>
      <c r="R220" s="24"/>
      <c r="S220" s="20" t="s">
        <v>75</v>
      </c>
      <c r="T220" s="20" t="str">
        <f>Table2[[#This Row],[camera_old]]</f>
        <v>Y</v>
      </c>
      <c r="U220" s="22" t="s">
        <v>88</v>
      </c>
      <c r="V220" s="16" t="s">
        <v>31</v>
      </c>
      <c r="W220" s="16">
        <v>7</v>
      </c>
      <c r="X220" s="145">
        <v>3</v>
      </c>
      <c r="Y220" s="147" t="s">
        <v>31</v>
      </c>
      <c r="Z220" s="146" t="s">
        <v>31</v>
      </c>
      <c r="AA220" s="4" t="str">
        <f>Table2[[#This Row],[field_fate]]</f>
        <v>D</v>
      </c>
      <c r="AB220" s="4" t="str">
        <f>Table2[[#This Row],[field_fate2]]</f>
        <v>D</v>
      </c>
      <c r="AC220" s="94" t="str">
        <f>Table2[[#This Row],[field_fate3]]</f>
        <v>D</v>
      </c>
      <c r="AD220" s="94" t="str">
        <f>Table2[[#This Row],[field_fate4]]</f>
        <v>D</v>
      </c>
      <c r="AE220" s="94" t="str">
        <f>Table2[[#This Row],[field_fate5]]</f>
        <v>D</v>
      </c>
      <c r="AF220" s="94" t="str">
        <f>Table2[[#This Row],[field_fate5]]</f>
        <v>D</v>
      </c>
      <c r="AG220" s="94" t="str">
        <f>Table2[[#This Row],[field_fate5]]</f>
        <v>D</v>
      </c>
      <c r="AH220" s="94" t="str">
        <f>Table2[[#This Row],[field_fate2]]</f>
        <v>D</v>
      </c>
      <c r="AI220" s="94" t="str">
        <f>Table2[[#This Row],[field_fate8]]</f>
        <v>D</v>
      </c>
      <c r="AJ220" s="94" t="str">
        <f>Table2[[#This Row],[field_fate10]]</f>
        <v>D</v>
      </c>
      <c r="AK220" s="94" t="b">
        <f>Table2[[#This Row],[field_fate_feb]]=Table2[[#This Row],[field_fate10]]</f>
        <v>1</v>
      </c>
      <c r="AL220" s="43" t="s">
        <v>31</v>
      </c>
      <c r="AM220" s="43" t="b">
        <f>Table2[[#This Row],[cam_fate2]]="NA"</f>
        <v>0</v>
      </c>
      <c r="AN220" s="19" t="str">
        <f>Table2[[#This Row],[cam_fate1]]</f>
        <v>D</v>
      </c>
      <c r="AO220" s="2" t="s">
        <v>31</v>
      </c>
      <c r="AP220" s="5" t="str">
        <f>Table2[[#This Row],[final_fate1]]</f>
        <v>D</v>
      </c>
      <c r="AQ220" s="6">
        <v>7</v>
      </c>
      <c r="AR220" s="7">
        <v>7</v>
      </c>
      <c r="AS220" s="155">
        <f>Table2[[#This Row],[final_obs_date]]-Table2[[#This Row],[init_date]]</f>
        <v>7</v>
      </c>
      <c r="AT220" s="155">
        <f>(Table2[[#This Row],[final_obs_date2]]-Table2[[#This Row],[estHD]])+16</f>
        <v>4</v>
      </c>
      <c r="AU220" s="38">
        <v>3</v>
      </c>
      <c r="AV220" s="33">
        <v>3</v>
      </c>
      <c r="AW220" s="33">
        <f>Table2[[#This Row],[final_obs_date2]]-Table2[[#This Row],[pen_obs_date]]</f>
        <v>3</v>
      </c>
      <c r="AX220" s="67">
        <v>55</v>
      </c>
      <c r="AY220" s="6">
        <f>Table2[[#This Row],[final_obs_date]]</f>
        <v>55</v>
      </c>
      <c r="AZ220" s="6">
        <v>52</v>
      </c>
      <c r="BA220" s="91" t="s">
        <v>47</v>
      </c>
      <c r="BB220" s="6" t="b">
        <f>Table2[[#This Row],[final_obs_date]]&lt;(Table2[[#This Row],[estHD]]-2)</f>
        <v>1</v>
      </c>
      <c r="BC220" s="32">
        <f>IF(Table2[[#This Row],[field_fate]]="H",1,0)</f>
        <v>0</v>
      </c>
      <c r="BD220" s="16">
        <f>IF(Table2[[#This Row],[cam_fate2]]="H",1,0)</f>
        <v>0</v>
      </c>
      <c r="BE220" s="6" t="b">
        <f>NOT(Table2[[#This Row],[HF_C]]=Table2[[#This Row],[HF]])</f>
        <v>0</v>
      </c>
      <c r="BF220" s="6" t="b">
        <f>NOT(Table2[[#This Row],[cam_fate2]]=Table2[[#This Row],[field_fate3]])</f>
        <v>0</v>
      </c>
      <c r="BG220" s="6" t="b">
        <f>OR(Table2[[#This Row],[field_fate3]]="U",Table2[[#This Row],[field_fate3]]="U-H")</f>
        <v>0</v>
      </c>
      <c r="BH220" s="8">
        <v>52</v>
      </c>
      <c r="BI220" s="8">
        <v>52</v>
      </c>
      <c r="BJ220" s="14">
        <f>IF(ISTEXT(Table2[[#This Row],[j.cam]]),Table2[[#This Row],[j]],Table2[[#This Row],[j.cam]])</f>
        <v>52</v>
      </c>
      <c r="BK220" s="8">
        <v>55</v>
      </c>
      <c r="BL220" s="14">
        <f>IF(ISTEXT(Table2[[#This Row],[k.cam]]), Table2[[#This Row],[k]], Table2[[#This Row],[k.cam]])</f>
        <v>55</v>
      </c>
      <c r="BM220" s="4" t="s">
        <v>24</v>
      </c>
      <c r="BN220" s="8" t="s">
        <v>24</v>
      </c>
      <c r="BO220" s="4">
        <v>2</v>
      </c>
      <c r="BP220" s="4">
        <f>Table2[[#This Row],[final_obs_date]]-Table2[[#This Row],[i]]</f>
        <v>3</v>
      </c>
      <c r="BQ220" s="4" t="b">
        <f>Table2[[#This Row],[final_obs_date2]]&gt;Table2[[#This Row],[estHD]]+3</f>
        <v>0</v>
      </c>
      <c r="BR220" s="3" t="s">
        <v>27</v>
      </c>
      <c r="BS220" s="3" t="s">
        <v>45</v>
      </c>
      <c r="BT220" s="88" t="s">
        <v>1135</v>
      </c>
      <c r="BU220" s="26" t="s">
        <v>183</v>
      </c>
      <c r="BV220" s="79" t="s">
        <v>1430</v>
      </c>
      <c r="BW220" s="49"/>
      <c r="BX220" s="47"/>
      <c r="BY220" s="36" t="s">
        <v>613</v>
      </c>
    </row>
    <row r="221" spans="1:77" hidden="1" x14ac:dyDescent="0.35">
      <c r="A221" s="62">
        <v>10296</v>
      </c>
      <c r="B221" s="2" t="s">
        <v>22</v>
      </c>
      <c r="C221" s="44">
        <v>2019</v>
      </c>
      <c r="D221" s="3">
        <v>29.666920000000001</v>
      </c>
      <c r="E221" s="3">
        <v>-92.842619999999997</v>
      </c>
      <c r="F221" s="3">
        <v>5</v>
      </c>
      <c r="G221" s="3">
        <v>5</v>
      </c>
      <c r="H221" s="3" t="s">
        <v>26</v>
      </c>
      <c r="I221" s="43"/>
      <c r="J221" s="55">
        <v>67</v>
      </c>
      <c r="K221" s="4">
        <v>67</v>
      </c>
      <c r="L221" s="22">
        <f>IF(ISNUMBER(Table2[[#This Row],[estHD]]),ABS(Table2[[#This Row],[HD]]-Table2[[#This Row],[estHD]]),"NA")</f>
        <v>0</v>
      </c>
      <c r="M221" s="4" t="b">
        <f>Table2[[#This Row],[HD]]=Table2[[#This Row],[estHD]]</f>
        <v>1</v>
      </c>
      <c r="N221" s="4" t="str">
        <f>IF(ISNUMBER([1]!Table2[[#This Row],[hatch_date]]),[1]!Table2[[#This Row],[hatch_date]]-19,"NA")</f>
        <v>NA</v>
      </c>
      <c r="O221" s="31">
        <v>48</v>
      </c>
      <c r="P221" s="23">
        <f>IF(ISNUMBER(Table2[[#This Row],[nest_age1]]),ABS(Table2[[#This Row],[nest_age1]]-Table2[[#This Row],[nest_age_feb]]),"NA")</f>
        <v>0</v>
      </c>
      <c r="Q221" s="24">
        <f>IF(ISNUMBER(Table2[[#This Row],[final_obs_int2]]),ABS(Table2[[#This Row],[final_obs_int2]]-Table2[[#This Row],[final_obs_int_feb]]), "NA")</f>
        <v>0</v>
      </c>
      <c r="R221" s="24"/>
      <c r="S221" s="57" t="s">
        <v>88</v>
      </c>
      <c r="T221" s="57" t="str">
        <f>Table2[[#This Row],[camera_old]]</f>
        <v>N</v>
      </c>
      <c r="U221" s="24"/>
      <c r="V221" s="16" t="s">
        <v>24</v>
      </c>
      <c r="W221" s="16">
        <v>7</v>
      </c>
      <c r="X221" s="145">
        <v>3</v>
      </c>
      <c r="Y221" s="147" t="s">
        <v>31</v>
      </c>
      <c r="Z221" s="146" t="s">
        <v>31</v>
      </c>
      <c r="AA221" s="4" t="str">
        <f>Table2[[#This Row],[field_fate]]</f>
        <v>D</v>
      </c>
      <c r="AB221" s="4" t="str">
        <f>Table2[[#This Row],[field_fate2]]</f>
        <v>D</v>
      </c>
      <c r="AC221" s="4" t="str">
        <f>Table2[[#This Row],[field_fate3]]</f>
        <v>D</v>
      </c>
      <c r="AD221" s="4" t="str">
        <f>Table2[[#This Row],[field_fate4]]</f>
        <v>D</v>
      </c>
      <c r="AE221" s="4" t="str">
        <f>Table2[[#This Row],[field_fate5]]</f>
        <v>D</v>
      </c>
      <c r="AF221" s="4" t="str">
        <f>Table2[[#This Row],[field_fate5]]</f>
        <v>D</v>
      </c>
      <c r="AG221" s="4" t="str">
        <f>Table2[[#This Row],[field_fate5]]</f>
        <v>D</v>
      </c>
      <c r="AH221" s="4" t="str">
        <f>Table2[[#This Row],[field_fate2]]</f>
        <v>D</v>
      </c>
      <c r="AI221" s="4" t="str">
        <f>Table2[[#This Row],[field_fate8]]</f>
        <v>D</v>
      </c>
      <c r="AJ221" s="4" t="str">
        <f>Table2[[#This Row],[field_fate10]]</f>
        <v>D</v>
      </c>
      <c r="AK221" s="4" t="b">
        <f>Table2[[#This Row],[field_fate_feb]]=Table2[[#This Row],[field_fate10]]</f>
        <v>1</v>
      </c>
      <c r="AL221" s="43" t="s">
        <v>24</v>
      </c>
      <c r="AM221" s="43" t="b">
        <f>Table2[[#This Row],[cam_fate2]]="NA"</f>
        <v>1</v>
      </c>
      <c r="AN221" s="19" t="str">
        <f>Table2[[#This Row],[cam_fate1]]</f>
        <v>NA</v>
      </c>
      <c r="AO221" s="2" t="s">
        <v>31</v>
      </c>
      <c r="AP221" s="5" t="str">
        <f>Table2[[#This Row],[final_fate1]]</f>
        <v>D</v>
      </c>
      <c r="AQ221" s="6">
        <v>7</v>
      </c>
      <c r="AR221" s="7">
        <v>7</v>
      </c>
      <c r="AS221" s="7">
        <f>Table2[[#This Row],[final_obs_date]]-Table2[[#This Row],[init_date]]</f>
        <v>7</v>
      </c>
      <c r="AT221" s="7">
        <f>(Table2[[#This Row],[final_obs_date2]]-Table2[[#This Row],[estHD]])+16</f>
        <v>4</v>
      </c>
      <c r="AU221" s="38">
        <v>3</v>
      </c>
      <c r="AV221" s="33">
        <v>3</v>
      </c>
      <c r="AW221" s="33">
        <f>Table2[[#This Row],[final_obs_date2]]-Table2[[#This Row],[pen_obs_date]]</f>
        <v>55</v>
      </c>
      <c r="AX221" s="67">
        <v>55</v>
      </c>
      <c r="AY221" s="6">
        <f>Table2[[#This Row],[final_obs_date]]</f>
        <v>55</v>
      </c>
      <c r="AZ221" s="6"/>
      <c r="BA221" s="91" t="s">
        <v>47</v>
      </c>
      <c r="BB221" s="6" t="b">
        <f>Table2[[#This Row],[final_obs_date]]&lt;(Table2[[#This Row],[estHD]]-2)</f>
        <v>1</v>
      </c>
      <c r="BC221" s="24">
        <f>IF(Table2[[#This Row],[field_fate]]="H",1,0)</f>
        <v>0</v>
      </c>
      <c r="BD221" s="16">
        <f>IF(Table2[[#This Row],[cam_fate2]]="H",1,0)</f>
        <v>0</v>
      </c>
      <c r="BE221" s="6" t="b">
        <f>NOT(Table2[[#This Row],[HF_C]]=Table2[[#This Row],[HF]])</f>
        <v>0</v>
      </c>
      <c r="BF221" s="6" t="b">
        <f>NOT(Table2[[#This Row],[cam_fate2]]=Table2[[#This Row],[field_fate3]])</f>
        <v>1</v>
      </c>
      <c r="BG221" s="6" t="b">
        <f>OR(Table2[[#This Row],[field_fate3]]="U",Table2[[#This Row],[field_fate3]]="U-H")</f>
        <v>0</v>
      </c>
      <c r="BH221" s="8">
        <v>52</v>
      </c>
      <c r="BI221" s="8">
        <v>52</v>
      </c>
      <c r="BJ221" s="14">
        <f>IF(ISTEXT(Table2[[#This Row],[j.cam]]),Table2[[#This Row],[j]],Table2[[#This Row],[j.cam]])</f>
        <v>52</v>
      </c>
      <c r="BK221" s="9">
        <v>55</v>
      </c>
      <c r="BL221" s="15">
        <f>IF(ISTEXT(Table2[[#This Row],[k.cam]]), Table2[[#This Row],[k]], Table2[[#This Row],[k.cam]])</f>
        <v>55</v>
      </c>
      <c r="BM221" s="4" t="s">
        <v>24</v>
      </c>
      <c r="BN221" s="8" t="s">
        <v>24</v>
      </c>
      <c r="BO221" s="4">
        <v>2</v>
      </c>
      <c r="BP221" s="4">
        <f>Table2[[#This Row],[final_obs_date]]-Table2[[#This Row],[i]]</f>
        <v>3</v>
      </c>
      <c r="BQ221" s="4" t="b">
        <f>Table2[[#This Row],[final_obs_date2]]&gt;Table2[[#This Row],[estHD]]+3</f>
        <v>0</v>
      </c>
      <c r="BR221" s="4" t="s">
        <v>33</v>
      </c>
      <c r="BS221" s="4" t="s">
        <v>45</v>
      </c>
      <c r="BT221" s="79" t="s">
        <v>1135</v>
      </c>
      <c r="BU221" s="26" t="s">
        <v>87</v>
      </c>
      <c r="BV221" s="79" t="s">
        <v>1430</v>
      </c>
      <c r="BW221" s="49"/>
      <c r="BX221" s="47"/>
      <c r="BY221" s="36" t="s">
        <v>614</v>
      </c>
    </row>
    <row r="222" spans="1:77" hidden="1" x14ac:dyDescent="0.35">
      <c r="A222" s="62">
        <v>10298</v>
      </c>
      <c r="B222" s="2" t="s">
        <v>35</v>
      </c>
      <c r="C222" s="44">
        <v>2019</v>
      </c>
      <c r="D222" s="3">
        <v>29.76763</v>
      </c>
      <c r="E222" s="3">
        <v>-93.164519999999996</v>
      </c>
      <c r="F222" s="3">
        <v>15</v>
      </c>
      <c r="G222" s="3">
        <v>30</v>
      </c>
      <c r="H222" s="3" t="s">
        <v>26</v>
      </c>
      <c r="I222" s="43"/>
      <c r="J222" s="116">
        <v>68</v>
      </c>
      <c r="K222" s="4">
        <v>68</v>
      </c>
      <c r="L222" s="22">
        <f>IF(ISNUMBER(Table2[[#This Row],[estHD]]),ABS(Table2[[#This Row],[HD]]-Table2[[#This Row],[estHD]]),"NA")</f>
        <v>0</v>
      </c>
      <c r="M222" s="4" t="b">
        <f>Table2[[#This Row],[HD]]=Table2[[#This Row],[estHD]]</f>
        <v>1</v>
      </c>
      <c r="N222" s="4" t="str">
        <f>IF(ISNUMBER([1]!Table2[[#This Row],[hatch_date]]),[1]!Table2[[#This Row],[hatch_date]]-19,"NA")</f>
        <v>NA</v>
      </c>
      <c r="O222" s="31">
        <v>49</v>
      </c>
      <c r="P222" s="23">
        <f>IF(ISNUMBER(Table2[[#This Row],[nest_age1]]),ABS(Table2[[#This Row],[nest_age1]]-Table2[[#This Row],[nest_age_feb]]),"NA")</f>
        <v>0</v>
      </c>
      <c r="Q222" s="24">
        <f>IF(ISNUMBER(Table2[[#This Row],[final_obs_int2]]),ABS(Table2[[#This Row],[final_obs_int2]]-Table2[[#This Row],[final_obs_int_feb]]), "NA")</f>
        <v>0</v>
      </c>
      <c r="R222" s="24"/>
      <c r="S222" s="20" t="s">
        <v>75</v>
      </c>
      <c r="T222" s="20" t="str">
        <f>Table2[[#This Row],[camera_old]]</f>
        <v>Y</v>
      </c>
      <c r="U222" s="22" t="s">
        <v>88</v>
      </c>
      <c r="V222" s="16" t="s">
        <v>48</v>
      </c>
      <c r="W222" s="16">
        <v>12</v>
      </c>
      <c r="X222" s="145">
        <v>4</v>
      </c>
      <c r="Y222" s="147" t="s">
        <v>48</v>
      </c>
      <c r="Z222" s="146" t="s">
        <v>48</v>
      </c>
      <c r="AA222" s="4" t="str">
        <f>Table2[[#This Row],[field_fate]]</f>
        <v>F</v>
      </c>
      <c r="AB222" s="4" t="str">
        <f>Table2[[#This Row],[field_fate2]]</f>
        <v>F</v>
      </c>
      <c r="AC222" s="94" t="str">
        <f>Table2[[#This Row],[field_fate3]]</f>
        <v>F</v>
      </c>
      <c r="AD222" s="94" t="str">
        <f>Table2[[#This Row],[field_fate4]]</f>
        <v>F</v>
      </c>
      <c r="AE222" s="94" t="str">
        <f>Table2[[#This Row],[field_fate5]]</f>
        <v>F</v>
      </c>
      <c r="AF222" s="94" t="str">
        <f>Table2[[#This Row],[field_fate5]]</f>
        <v>F</v>
      </c>
      <c r="AG222" s="94" t="str">
        <f>Table2[[#This Row],[field_fate5]]</f>
        <v>F</v>
      </c>
      <c r="AH222" s="94" t="str">
        <f>Table2[[#This Row],[field_fate2]]</f>
        <v>F</v>
      </c>
      <c r="AI222" s="94" t="str">
        <f>Table2[[#This Row],[field_fate8]]</f>
        <v>F</v>
      </c>
      <c r="AJ222" s="94" t="str">
        <f>Table2[[#This Row],[field_fate10]]</f>
        <v>F</v>
      </c>
      <c r="AK222" s="94" t="b">
        <f>Table2[[#This Row],[field_fate_feb]]=Table2[[#This Row],[field_fate10]]</f>
        <v>1</v>
      </c>
      <c r="AL222" s="43" t="s">
        <v>48</v>
      </c>
      <c r="AM222" s="160" t="b">
        <f>Table2[[#This Row],[cam_fate2]]="NA"</f>
        <v>0</v>
      </c>
      <c r="AN222" s="19" t="str">
        <f>Table2[[#This Row],[cam_fate1]]</f>
        <v>F</v>
      </c>
      <c r="AO222" s="2" t="s">
        <v>48</v>
      </c>
      <c r="AP222" s="5" t="str">
        <f>Table2[[#This Row],[final_fate1]]</f>
        <v>F</v>
      </c>
      <c r="AQ222" s="6">
        <v>12</v>
      </c>
      <c r="AR222" s="72">
        <v>12</v>
      </c>
      <c r="AS222" s="72">
        <f>Table2[[#This Row],[final_obs_date]]-Table2[[#This Row],[init_date]]</f>
        <v>12</v>
      </c>
      <c r="AT222" s="155">
        <f>(Table2[[#This Row],[final_obs_date2]]-Table2[[#This Row],[estHD]])+19</f>
        <v>12</v>
      </c>
      <c r="AU222" s="38">
        <v>4</v>
      </c>
      <c r="AV222" s="33">
        <v>4</v>
      </c>
      <c r="AW222" s="33">
        <f>Table2[[#This Row],[final_obs_date2]]-Table2[[#This Row],[pen_obs_date]]</f>
        <v>4</v>
      </c>
      <c r="AX222" s="67">
        <v>61</v>
      </c>
      <c r="AY222" s="157">
        <f>Table2[[#This Row],[final_obs_date]]</f>
        <v>61</v>
      </c>
      <c r="AZ222" s="6">
        <v>57</v>
      </c>
      <c r="BA222" s="92" t="s">
        <v>47</v>
      </c>
      <c r="BB222" s="6" t="b">
        <f>Table2[[#This Row],[final_obs_date]]&lt;(Table2[[#This Row],[estHD]]-2)</f>
        <v>1</v>
      </c>
      <c r="BC222" s="32">
        <f>IF(Table2[[#This Row],[field_fate]]="H",1,0)</f>
        <v>0</v>
      </c>
      <c r="BD222" s="16">
        <f>IF(Table2[[#This Row],[cam_fate2]]="H",1,0)</f>
        <v>0</v>
      </c>
      <c r="BE222" s="6" t="b">
        <f>NOT(Table2[[#This Row],[HF_C]]=Table2[[#This Row],[HF]])</f>
        <v>0</v>
      </c>
      <c r="BF222" s="38" t="b">
        <f>NOT(Table2[[#This Row],[cam_fate2]]=Table2[[#This Row],[field_fate3]])</f>
        <v>0</v>
      </c>
      <c r="BG222" s="38" t="b">
        <f>OR(Table2[[#This Row],[field_fate3]]="U",Table2[[#This Row],[field_fate3]]="U-H")</f>
        <v>0</v>
      </c>
      <c r="BH222" s="8">
        <v>53</v>
      </c>
      <c r="BI222" s="8">
        <v>53</v>
      </c>
      <c r="BJ222" s="14">
        <f>IF(ISTEXT(Table2[[#This Row],[j.cam]]),Table2[[#This Row],[j]],Table2[[#This Row],[j.cam]])</f>
        <v>53</v>
      </c>
      <c r="BK222" s="8">
        <v>61</v>
      </c>
      <c r="BL222" s="14">
        <f>IF(ISTEXT(Table2[[#This Row],[k.cam]]), Table2[[#This Row],[k]], Table2[[#This Row],[k.cam]])</f>
        <v>61</v>
      </c>
      <c r="BM222" s="4" t="s">
        <v>24</v>
      </c>
      <c r="BN222" s="8" t="s">
        <v>24</v>
      </c>
      <c r="BO222" s="4">
        <v>3</v>
      </c>
      <c r="BP222" s="4">
        <f>Table2[[#This Row],[final_obs_date]]-Table2[[#This Row],[i]]</f>
        <v>8</v>
      </c>
      <c r="BQ222" s="4" t="b">
        <f>Table2[[#This Row],[final_obs_date2]]&gt;Table2[[#This Row],[estHD]]+3</f>
        <v>0</v>
      </c>
      <c r="BR222" s="3" t="s">
        <v>66</v>
      </c>
      <c r="BS222" s="3" t="s">
        <v>49</v>
      </c>
      <c r="BT222" s="125" t="s">
        <v>1136</v>
      </c>
      <c r="BU222" s="4" t="s">
        <v>218</v>
      </c>
      <c r="BV222" s="79" t="s">
        <v>1454</v>
      </c>
      <c r="BW222" s="69"/>
      <c r="BX222" s="36"/>
      <c r="BY222" s="36" t="s">
        <v>615</v>
      </c>
    </row>
    <row r="223" spans="1:77" ht="15" hidden="1" x14ac:dyDescent="0.35">
      <c r="A223" s="62">
        <v>10299</v>
      </c>
      <c r="B223" s="2" t="s">
        <v>35</v>
      </c>
      <c r="C223" s="44">
        <v>2019</v>
      </c>
      <c r="D223" s="3">
        <v>29.76765</v>
      </c>
      <c r="E223" s="3">
        <v>-93.164540000000002</v>
      </c>
      <c r="F223" s="3">
        <v>20</v>
      </c>
      <c r="G223" s="3">
        <v>30</v>
      </c>
      <c r="H223" s="3" t="s">
        <v>26</v>
      </c>
      <c r="I223" s="43"/>
      <c r="J223" s="116">
        <v>68</v>
      </c>
      <c r="K223" s="4">
        <v>68</v>
      </c>
      <c r="L223" s="22">
        <f>IF(ISNUMBER(Table2[[#This Row],[estHD]]),ABS(Table2[[#This Row],[HD]]-Table2[[#This Row],[estHD]]),"NA")</f>
        <v>0</v>
      </c>
      <c r="M223" s="4" t="b">
        <f>Table2[[#This Row],[HD]]=Table2[[#This Row],[estHD]]</f>
        <v>1</v>
      </c>
      <c r="N223" s="4" t="str">
        <f>IF(ISNUMBER([1]!Table2[[#This Row],[hatch_date]]),[1]!Table2[[#This Row],[hatch_date]]-19,"NA")</f>
        <v>NA</v>
      </c>
      <c r="O223" s="31">
        <v>49</v>
      </c>
      <c r="P223" s="23">
        <f>IF(ISNUMBER(Table2[[#This Row],[nest_age1]]),ABS(Table2[[#This Row],[nest_age1]]-Table2[[#This Row],[nest_age_feb]]),"NA")</f>
        <v>0</v>
      </c>
      <c r="Q223" s="24">
        <f>IF(ISNUMBER(Table2[[#This Row],[final_obs_int2]]),ABS(Table2[[#This Row],[final_obs_int2]]-Table2[[#This Row],[final_obs_int_feb]]), "NA")</f>
        <v>1</v>
      </c>
      <c r="R223" s="24">
        <f>(Table2[[#This Row],[k_adj]]-Table2[[#This Row],[estHD]])/Table2[[#This Row],[estHD]]</f>
        <v>0</v>
      </c>
      <c r="S223" s="20" t="s">
        <v>75</v>
      </c>
      <c r="T223" s="20" t="str">
        <f>Table2[[#This Row],[camera_old]]</f>
        <v>Y</v>
      </c>
      <c r="U223" s="22" t="s">
        <v>88</v>
      </c>
      <c r="V223" s="16" t="s">
        <v>37</v>
      </c>
      <c r="W223" s="16">
        <v>23</v>
      </c>
      <c r="X223" s="145">
        <v>5</v>
      </c>
      <c r="Y223" s="148" t="s">
        <v>90</v>
      </c>
      <c r="Z223" s="146" t="s">
        <v>90</v>
      </c>
      <c r="AA223" s="4" t="str">
        <f>Table2[[#This Row],[field_fate]]</f>
        <v>U</v>
      </c>
      <c r="AB223" s="65" t="str">
        <f>Table2[[#This Row],[field_fate2]]</f>
        <v>U</v>
      </c>
      <c r="AC223" s="106" t="str">
        <f>Table2[[#This Row],[field_fate3]]</f>
        <v>U</v>
      </c>
      <c r="AD223" s="140" t="str">
        <f>Table2[[#This Row],[field_fate4]]</f>
        <v>U</v>
      </c>
      <c r="AE223" s="134" t="str">
        <f>Table2[[#This Row],[field_fate5]]</f>
        <v>U</v>
      </c>
      <c r="AF223" s="93" t="str">
        <f>Table2[[#This Row],[field_fate5]]</f>
        <v>U</v>
      </c>
      <c r="AG223" s="93" t="str">
        <f>Table2[[#This Row],[field_fate5]]</f>
        <v>U</v>
      </c>
      <c r="AH223" s="93" t="str">
        <f>Table2[[#This Row],[field_fate2]]</f>
        <v>U</v>
      </c>
      <c r="AI223" s="93" t="str">
        <f>Table2[[#This Row],[field_fate8]]</f>
        <v>U</v>
      </c>
      <c r="AJ223" s="93" t="str">
        <f>Table2[[#This Row],[field_fate10]]</f>
        <v>U</v>
      </c>
      <c r="AK223" s="93" t="b">
        <f>Table2[[#This Row],[field_fate_feb]]=Table2[[#This Row],[field_fate10]]</f>
        <v>1</v>
      </c>
      <c r="AL223" s="43" t="s">
        <v>37</v>
      </c>
      <c r="AM223" s="160" t="b">
        <f>Table2[[#This Row],[cam_fate2]]="NA"</f>
        <v>0</v>
      </c>
      <c r="AN223" s="19" t="str">
        <f>Table2[[#This Row],[cam_fate1]]</f>
        <v>H</v>
      </c>
      <c r="AO223" s="2" t="s">
        <v>37</v>
      </c>
      <c r="AP223" s="5" t="str">
        <f>Table2[[#This Row],[final_fate1]]</f>
        <v>H</v>
      </c>
      <c r="AQ223" s="6">
        <v>23</v>
      </c>
      <c r="AR223" s="72">
        <v>23</v>
      </c>
      <c r="AS223" s="155">
        <f>Table2[[#This Row],[final_obs_date]]-Table2[[#This Row],[init_date]]</f>
        <v>23</v>
      </c>
      <c r="AT223" s="155">
        <f>(Table2[[#This Row],[final_obs_date2]]-Table2[[#This Row],[estHD]])+19</f>
        <v>23</v>
      </c>
      <c r="AU223" s="41">
        <v>4</v>
      </c>
      <c r="AV223" s="33">
        <v>4</v>
      </c>
      <c r="AW223" s="33">
        <f>Table2[[#This Row],[final_obs_date2]]-Table2[[#This Row],[pen_obs_date]]</f>
        <v>6</v>
      </c>
      <c r="AX223" s="67">
        <v>72</v>
      </c>
      <c r="AY223" s="157">
        <f>Table2[[#This Row],[final_obs_date]]</f>
        <v>72</v>
      </c>
      <c r="AZ223" s="6">
        <v>66</v>
      </c>
      <c r="BA223" s="92" t="s">
        <v>47</v>
      </c>
      <c r="BB223" s="6" t="b">
        <f>Table2[[#This Row],[final_obs_date]]&lt;(Table2[[#This Row],[estHD]]-2)</f>
        <v>0</v>
      </c>
      <c r="BC223" s="32">
        <v>7</v>
      </c>
      <c r="BD223" s="16">
        <f>IF(Table2[[#This Row],[cam_fate2]]="H",1,0)</f>
        <v>1</v>
      </c>
      <c r="BE223" s="6" t="b">
        <f>NOT(Table2[[#This Row],[HF_C]]=Table2[[#This Row],[HF]])</f>
        <v>1</v>
      </c>
      <c r="BF223" s="38" t="b">
        <f>NOT(Table2[[#This Row],[cam_fate2]]=Table2[[#This Row],[field_fate3]])</f>
        <v>1</v>
      </c>
      <c r="BG223" s="38" t="b">
        <f>OR(Table2[[#This Row],[field_fate3]]="U",Table2[[#This Row],[field_fate3]]="U-H")</f>
        <v>1</v>
      </c>
      <c r="BH223" s="8">
        <v>53</v>
      </c>
      <c r="BI223" s="8">
        <v>66</v>
      </c>
      <c r="BJ223" s="14">
        <f>IF(ISTEXT(Table2[[#This Row],[j.cam]]),Table2[[#This Row],[j]],Table2[[#This Row],[j.cam]])</f>
        <v>68</v>
      </c>
      <c r="BK223" s="8">
        <v>72</v>
      </c>
      <c r="BL223" s="14">
        <f>IF(ISTEXT(Table2[[#This Row],[k.cam]]), Table2[[#This Row],[k]], Table2[[#This Row],[k.cam]])</f>
        <v>68</v>
      </c>
      <c r="BM223" s="4">
        <v>68</v>
      </c>
      <c r="BN223" s="8">
        <v>68</v>
      </c>
      <c r="BO223" s="4">
        <v>7</v>
      </c>
      <c r="BP223" s="4">
        <f>Table2[[#This Row],[final_obs_date]]-Table2[[#This Row],[i]]</f>
        <v>19</v>
      </c>
      <c r="BQ223" s="4" t="b">
        <f>Table2[[#This Row],[final_obs_date2]]&gt;Table2[[#This Row],[estHD]]+3</f>
        <v>1</v>
      </c>
      <c r="BR223" s="29" t="s">
        <v>62</v>
      </c>
      <c r="BS223" s="3" t="s">
        <v>45</v>
      </c>
      <c r="BT223" s="125" t="s">
        <v>1137</v>
      </c>
      <c r="BU223" s="4" t="s">
        <v>219</v>
      </c>
      <c r="BV223" s="79" t="s">
        <v>1528</v>
      </c>
      <c r="BW223" s="69" t="s">
        <v>449</v>
      </c>
      <c r="BX223" s="36" t="s">
        <v>931</v>
      </c>
      <c r="BY223" s="47" t="s">
        <v>24</v>
      </c>
    </row>
    <row r="224" spans="1:77" hidden="1" x14ac:dyDescent="0.35">
      <c r="A224" s="62">
        <v>10301</v>
      </c>
      <c r="B224" s="2" t="s">
        <v>35</v>
      </c>
      <c r="C224" s="44">
        <v>2019</v>
      </c>
      <c r="D224" s="3">
        <v>29.762060000000002</v>
      </c>
      <c r="E224" s="3">
        <v>-93.137630000000001</v>
      </c>
      <c r="F224" s="3">
        <v>10</v>
      </c>
      <c r="G224" s="3">
        <v>30</v>
      </c>
      <c r="H224" s="3" t="s">
        <v>462</v>
      </c>
      <c r="I224" s="43"/>
      <c r="J224" s="55">
        <v>70</v>
      </c>
      <c r="K224" s="4">
        <v>70</v>
      </c>
      <c r="L224" s="22">
        <f>IF(ISNUMBER(Table2[[#This Row],[estHD]]),ABS(Table2[[#This Row],[HD]]-Table2[[#This Row],[estHD]]),"NA")</f>
        <v>0</v>
      </c>
      <c r="M224" s="4" t="b">
        <f>Table2[[#This Row],[HD]]=Table2[[#This Row],[estHD]]</f>
        <v>1</v>
      </c>
      <c r="N224" s="4" t="str">
        <f>IF(ISNUMBER([1]!Table2[[#This Row],[hatch_date]]),[1]!Table2[[#This Row],[hatch_date]]-19,"NA")</f>
        <v>NA</v>
      </c>
      <c r="O224" s="31">
        <v>51</v>
      </c>
      <c r="P224" s="23">
        <f>IF(ISNUMBER(Table2[[#This Row],[nest_age1]]),ABS(Table2[[#This Row],[nest_age1]]-Table2[[#This Row],[nest_age_feb]]),"NA")</f>
        <v>0</v>
      </c>
      <c r="Q224" s="24">
        <f>IF(ISNUMBER(Table2[[#This Row],[final_obs_int2]]),ABS(Table2[[#This Row],[final_obs_int2]]-Table2[[#This Row],[final_obs_int_feb]]), "NA")</f>
        <v>0</v>
      </c>
      <c r="R224" s="24"/>
      <c r="S224" s="57" t="s">
        <v>88</v>
      </c>
      <c r="T224" s="57" t="str">
        <f>Table2[[#This Row],[camera_old]]</f>
        <v>N</v>
      </c>
      <c r="U224" s="24"/>
      <c r="V224" s="16" t="s">
        <v>24</v>
      </c>
      <c r="W224" s="16">
        <v>6</v>
      </c>
      <c r="X224" s="145">
        <v>2</v>
      </c>
      <c r="Y224" s="147" t="s">
        <v>149</v>
      </c>
      <c r="Z224" s="146" t="s">
        <v>25</v>
      </c>
      <c r="AA224" s="4" t="str">
        <f>Table2[[#This Row],[field_fate]]</f>
        <v>S</v>
      </c>
      <c r="AB224" s="4" t="str">
        <f>Table2[[#This Row],[field_fate2]]</f>
        <v>S</v>
      </c>
      <c r="AC224" s="4" t="str">
        <f>Table2[[#This Row],[field_fate3]]</f>
        <v>S</v>
      </c>
      <c r="AD224" s="4" t="str">
        <f>Table2[[#This Row],[field_fate4]]</f>
        <v>S</v>
      </c>
      <c r="AE224" s="4" t="str">
        <f>Table2[[#This Row],[field_fate5]]</f>
        <v>S</v>
      </c>
      <c r="AF224" s="4" t="str">
        <f>Table2[[#This Row],[field_fate5]]</f>
        <v>S</v>
      </c>
      <c r="AG224" s="4" t="str">
        <f>Table2[[#This Row],[field_fate5]]</f>
        <v>S</v>
      </c>
      <c r="AH224" s="4" t="str">
        <f>Table2[[#This Row],[field_fate2]]</f>
        <v>S</v>
      </c>
      <c r="AI224" s="4" t="str">
        <f>Table2[[#This Row],[field_fate8]]</f>
        <v>S</v>
      </c>
      <c r="AJ224" s="4" t="str">
        <f>Table2[[#This Row],[field_fate10]]</f>
        <v>S</v>
      </c>
      <c r="AK224" s="4" t="b">
        <f>Table2[[#This Row],[field_fate_feb]]=Table2[[#This Row],[field_fate10]]</f>
        <v>0</v>
      </c>
      <c r="AL224" s="43" t="s">
        <v>24</v>
      </c>
      <c r="AM224" s="43" t="b">
        <f>Table2[[#This Row],[cam_fate2]]="NA"</f>
        <v>1</v>
      </c>
      <c r="AN224" s="19" t="str">
        <f>Table2[[#This Row],[cam_fate1]]</f>
        <v>NA</v>
      </c>
      <c r="AO224" s="2" t="s">
        <v>25</v>
      </c>
      <c r="AP224" s="5" t="str">
        <f>Table2[[#This Row],[final_fate1]]</f>
        <v>S</v>
      </c>
      <c r="AQ224" s="6">
        <v>6</v>
      </c>
      <c r="AR224" s="7">
        <v>6</v>
      </c>
      <c r="AS224" s="7">
        <f>Table2[[#This Row],[final_obs_date]]-Table2[[#This Row],[init_date]]</f>
        <v>6</v>
      </c>
      <c r="AT224" s="7">
        <f>(Table2[[#This Row],[final_obs_date2]]-Table2[[#This Row],[estHD]])+16</f>
        <v>3</v>
      </c>
      <c r="AU224" s="38">
        <v>2</v>
      </c>
      <c r="AV224" s="33">
        <v>2</v>
      </c>
      <c r="AW224" s="33">
        <f>Table2[[#This Row],[final_obs_date2]]-Table2[[#This Row],[pen_obs_date]]</f>
        <v>57</v>
      </c>
      <c r="AX224" s="67">
        <v>57</v>
      </c>
      <c r="AY224" s="6">
        <f>Table2[[#This Row],[final_obs_date]]</f>
        <v>57</v>
      </c>
      <c r="AZ224" s="6"/>
      <c r="BA224" s="91" t="s">
        <v>47</v>
      </c>
      <c r="BB224" s="6" t="b">
        <f>Table2[[#This Row],[final_obs_date]]&lt;(Table2[[#This Row],[estHD]]-2)</f>
        <v>1</v>
      </c>
      <c r="BC224" s="24">
        <f>IF(Table2[[#This Row],[field_fate]]="H",1,0)</f>
        <v>0</v>
      </c>
      <c r="BD224" s="16">
        <f>IF(Table2[[#This Row],[cam_fate2]]="H",1,0)</f>
        <v>0</v>
      </c>
      <c r="BE224" s="6" t="b">
        <f>NOT(Table2[[#This Row],[HF_C]]=Table2[[#This Row],[HF]])</f>
        <v>0</v>
      </c>
      <c r="BF224" s="6" t="b">
        <f>NOT(Table2[[#This Row],[cam_fate2]]=Table2[[#This Row],[field_fate3]])</f>
        <v>1</v>
      </c>
      <c r="BG224" s="6" t="b">
        <f>OR(Table2[[#This Row],[field_fate3]]="U",Table2[[#This Row],[field_fate3]]="U-H")</f>
        <v>0</v>
      </c>
      <c r="BH224" s="8">
        <v>54</v>
      </c>
      <c r="BI224" s="8">
        <v>55</v>
      </c>
      <c r="BJ224" s="14">
        <f>IF(ISTEXT(Table2[[#This Row],[j.cam]]),Table2[[#This Row],[j]],Table2[[#This Row],[j.cam]])</f>
        <v>55</v>
      </c>
      <c r="BK224" s="9">
        <v>57</v>
      </c>
      <c r="BL224" s="15">
        <f>IF(ISTEXT(Table2[[#This Row],[k.cam]]), Table2[[#This Row],[k]], Table2[[#This Row],[k.cam]])</f>
        <v>57</v>
      </c>
      <c r="BM224" s="4" t="s">
        <v>24</v>
      </c>
      <c r="BN224" s="8" t="s">
        <v>24</v>
      </c>
      <c r="BO224" s="4">
        <v>3</v>
      </c>
      <c r="BP224" s="4">
        <f>Table2[[#This Row],[final_obs_date]]-Table2[[#This Row],[i]]</f>
        <v>3</v>
      </c>
      <c r="BQ224" s="4" t="b">
        <f>Table2[[#This Row],[final_obs_date2]]&gt;Table2[[#This Row],[estHD]]+3</f>
        <v>0</v>
      </c>
      <c r="BR224" s="4" t="s">
        <v>66</v>
      </c>
      <c r="BS224" s="4" t="s">
        <v>28</v>
      </c>
      <c r="BT224" s="79" t="s">
        <v>1138</v>
      </c>
      <c r="BU224" s="26" t="s">
        <v>220</v>
      </c>
      <c r="BV224" s="79" t="s">
        <v>1529</v>
      </c>
      <c r="BW224" s="49"/>
      <c r="BX224" s="47"/>
      <c r="BY224" s="36" t="s">
        <v>24</v>
      </c>
    </row>
    <row r="225" spans="1:77" hidden="1" x14ac:dyDescent="0.35">
      <c r="A225" s="62">
        <v>10304</v>
      </c>
      <c r="B225" s="2" t="s">
        <v>35</v>
      </c>
      <c r="C225" s="44">
        <v>2019</v>
      </c>
      <c r="D225" s="3">
        <v>29.763809999999999</v>
      </c>
      <c r="E225" s="3">
        <v>-93.145619999999994</v>
      </c>
      <c r="F225" s="3">
        <v>30</v>
      </c>
      <c r="G225" s="3">
        <v>50</v>
      </c>
      <c r="H225" s="3" t="s">
        <v>26</v>
      </c>
      <c r="I225" s="43"/>
      <c r="J225" s="55">
        <v>73</v>
      </c>
      <c r="K225" s="4">
        <v>73</v>
      </c>
      <c r="L225" s="22">
        <f>IF(ISNUMBER(Table2[[#This Row],[estHD]]),ABS(Table2[[#This Row],[HD]]-Table2[[#This Row],[estHD]]),"NA")</f>
        <v>0</v>
      </c>
      <c r="M225" s="4" t="b">
        <f>Table2[[#This Row],[HD]]=Table2[[#This Row],[estHD]]</f>
        <v>1</v>
      </c>
      <c r="N225" s="4" t="str">
        <f>IF(ISNUMBER([1]!Table2[[#This Row],[hatch_date]]),[1]!Table2[[#This Row],[hatch_date]]-19,"NA")</f>
        <v>NA</v>
      </c>
      <c r="O225" s="31">
        <v>54</v>
      </c>
      <c r="P225" s="23">
        <f>IF(ISNUMBER(Table2[[#This Row],[nest_age1]]),ABS(Table2[[#This Row],[nest_age1]]-Table2[[#This Row],[nest_age_feb]]),"NA")</f>
        <v>0</v>
      </c>
      <c r="Q225" s="24">
        <f>IF(ISNUMBER(Table2[[#This Row],[final_obs_int2]]),ABS(Table2[[#This Row],[final_obs_int2]]-Table2[[#This Row],[final_obs_int_feb]]), "NA")</f>
        <v>0</v>
      </c>
      <c r="R225" s="24"/>
      <c r="S225" s="57" t="s">
        <v>88</v>
      </c>
      <c r="T225" s="57" t="str">
        <f>Table2[[#This Row],[camera_old]]</f>
        <v>N</v>
      </c>
      <c r="U225" s="24"/>
      <c r="V225" s="16" t="s">
        <v>24</v>
      </c>
      <c r="W225" s="16">
        <v>7</v>
      </c>
      <c r="X225" s="145">
        <v>7</v>
      </c>
      <c r="Y225" s="149" t="s">
        <v>48</v>
      </c>
      <c r="Z225" s="146" t="s">
        <v>48</v>
      </c>
      <c r="AA225" s="4" t="str">
        <f>Table2[[#This Row],[field_fate]]</f>
        <v>F</v>
      </c>
      <c r="AB225" s="4" t="str">
        <f>Table2[[#This Row],[field_fate2]]</f>
        <v>F</v>
      </c>
      <c r="AC225" s="4" t="str">
        <f>Table2[[#This Row],[field_fate3]]</f>
        <v>F</v>
      </c>
      <c r="AD225" s="4" t="str">
        <f>Table2[[#This Row],[field_fate4]]</f>
        <v>F</v>
      </c>
      <c r="AE225" s="4" t="str">
        <f>Table2[[#This Row],[field_fate5]]</f>
        <v>F</v>
      </c>
      <c r="AF225" s="4" t="str">
        <f>Table2[[#This Row],[field_fate5]]</f>
        <v>F</v>
      </c>
      <c r="AG225" s="4" t="str">
        <f>Table2[[#This Row],[field_fate5]]</f>
        <v>F</v>
      </c>
      <c r="AH225" s="4" t="str">
        <f>Table2[[#This Row],[field_fate2]]</f>
        <v>F</v>
      </c>
      <c r="AI225" s="4" t="str">
        <f>Table2[[#This Row],[field_fate8]]</f>
        <v>F</v>
      </c>
      <c r="AJ225" s="4" t="str">
        <f>Table2[[#This Row],[field_fate10]]</f>
        <v>F</v>
      </c>
      <c r="AK225" s="4" t="b">
        <f>Table2[[#This Row],[field_fate_feb]]=Table2[[#This Row],[field_fate10]]</f>
        <v>1</v>
      </c>
      <c r="AL225" s="43" t="s">
        <v>24</v>
      </c>
      <c r="AM225" s="43" t="b">
        <f>Table2[[#This Row],[cam_fate2]]="NA"</f>
        <v>1</v>
      </c>
      <c r="AN225" s="19" t="str">
        <f>Table2[[#This Row],[cam_fate1]]</f>
        <v>NA</v>
      </c>
      <c r="AO225" s="2" t="s">
        <v>48</v>
      </c>
      <c r="AP225" s="5" t="str">
        <f>Table2[[#This Row],[final_fate1]]</f>
        <v>F</v>
      </c>
      <c r="AQ225" s="6">
        <v>7</v>
      </c>
      <c r="AR225" s="7">
        <v>7</v>
      </c>
      <c r="AS225" s="7">
        <f>Table2[[#This Row],[final_obs_date]]-Table2[[#This Row],[init_date]]</f>
        <v>7</v>
      </c>
      <c r="AT225" s="7">
        <f>(Table2[[#This Row],[final_obs_date2]]-Table2[[#This Row],[estHD]])+16</f>
        <v>4</v>
      </c>
      <c r="AU225" s="38">
        <v>7</v>
      </c>
      <c r="AV225" s="33">
        <v>7</v>
      </c>
      <c r="AW225" s="33">
        <f>Table2[[#This Row],[final_obs_date2]]-Table2[[#This Row],[pen_obs_date]]</f>
        <v>61</v>
      </c>
      <c r="AX225" s="67">
        <v>61</v>
      </c>
      <c r="AY225" s="6">
        <f>Table2[[#This Row],[final_obs_date]]</f>
        <v>61</v>
      </c>
      <c r="AZ225" s="6"/>
      <c r="BA225" s="91" t="s">
        <v>47</v>
      </c>
      <c r="BB225" s="6" t="b">
        <f>Table2[[#This Row],[final_obs_date]]&lt;(Table2[[#This Row],[estHD]]-2)</f>
        <v>1</v>
      </c>
      <c r="BC225" s="24">
        <f>IF(Table2[[#This Row],[field_fate]]="H",1,0)</f>
        <v>0</v>
      </c>
      <c r="BD225" s="16">
        <f>IF(Table2[[#This Row],[cam_fate2]]="H",1,0)</f>
        <v>0</v>
      </c>
      <c r="BE225" s="6" t="b">
        <f>NOT(Table2[[#This Row],[HF_C]]=Table2[[#This Row],[HF]])</f>
        <v>0</v>
      </c>
      <c r="BF225" s="6" t="b">
        <f>NOT(Table2[[#This Row],[cam_fate2]]=Table2[[#This Row],[field_fate3]])</f>
        <v>1</v>
      </c>
      <c r="BG225" s="6" t="b">
        <f>OR(Table2[[#This Row],[field_fate3]]="U",Table2[[#This Row],[field_fate3]]="U-H")</f>
        <v>0</v>
      </c>
      <c r="BH225" s="8">
        <v>54</v>
      </c>
      <c r="BI225" s="8">
        <v>54</v>
      </c>
      <c r="BJ225" s="14">
        <f>IF(ISTEXT(Table2[[#This Row],[j.cam]]),Table2[[#This Row],[j]],Table2[[#This Row],[j.cam]])</f>
        <v>54</v>
      </c>
      <c r="BK225" s="9">
        <v>61</v>
      </c>
      <c r="BL225" s="15">
        <f>IF(ISTEXT(Table2[[#This Row],[k.cam]]), Table2[[#This Row],[k]], Table2[[#This Row],[k.cam]])</f>
        <v>61</v>
      </c>
      <c r="BM225" s="4" t="s">
        <v>24</v>
      </c>
      <c r="BN225" s="8" t="s">
        <v>24</v>
      </c>
      <c r="BO225" s="4">
        <v>2</v>
      </c>
      <c r="BP225" s="4">
        <f>Table2[[#This Row],[final_obs_date]]-Table2[[#This Row],[i]]</f>
        <v>7</v>
      </c>
      <c r="BQ225" s="4" t="b">
        <f>Table2[[#This Row],[final_obs_date2]]&gt;Table2[[#This Row],[estHD]]+3</f>
        <v>0</v>
      </c>
      <c r="BR225" s="4" t="s">
        <v>58</v>
      </c>
      <c r="BS225" s="4" t="s">
        <v>28</v>
      </c>
      <c r="BT225" s="79" t="s">
        <v>1139</v>
      </c>
      <c r="BU225" s="26" t="s">
        <v>59</v>
      </c>
      <c r="BV225" s="79" t="s">
        <v>1475</v>
      </c>
      <c r="BW225" s="49"/>
      <c r="BX225" s="47"/>
      <c r="BY225" s="36" t="s">
        <v>24</v>
      </c>
    </row>
    <row r="226" spans="1:77" hidden="1" x14ac:dyDescent="0.35">
      <c r="A226" s="62">
        <v>10307</v>
      </c>
      <c r="B226" s="2" t="s">
        <v>35</v>
      </c>
      <c r="C226" s="44">
        <v>2019</v>
      </c>
      <c r="D226" s="3">
        <v>29.76623</v>
      </c>
      <c r="E226" s="3">
        <v>-93.157409999999999</v>
      </c>
      <c r="F226" s="3">
        <v>40</v>
      </c>
      <c r="G226" s="3">
        <v>40</v>
      </c>
      <c r="H226" s="3" t="s">
        <v>26</v>
      </c>
      <c r="I226" s="43"/>
      <c r="J226" s="116">
        <v>73</v>
      </c>
      <c r="K226" s="4">
        <v>73</v>
      </c>
      <c r="L226" s="22">
        <f>IF(ISNUMBER(Table2[[#This Row],[estHD]]),ABS(Table2[[#This Row],[HD]]-Table2[[#This Row],[estHD]]),"NA")</f>
        <v>0</v>
      </c>
      <c r="M226" s="4" t="b">
        <f>Table2[[#This Row],[HD]]=Table2[[#This Row],[estHD]]</f>
        <v>1</v>
      </c>
      <c r="N226" s="4" t="str">
        <f>IF(ISNUMBER([1]!Table2[[#This Row],[hatch_date]]),[1]!Table2[[#This Row],[hatch_date]]-19,"NA")</f>
        <v>NA</v>
      </c>
      <c r="O226" s="31">
        <v>54</v>
      </c>
      <c r="P226" s="23">
        <f>IF(ISNUMBER(Table2[[#This Row],[nest_age1]]),ABS(Table2[[#This Row],[nest_age1]]-Table2[[#This Row],[nest_age_feb]]),"NA")</f>
        <v>0</v>
      </c>
      <c r="Q226" s="24">
        <f>IF(ISNUMBER(Table2[[#This Row],[final_obs_int2]]),ABS(Table2[[#This Row],[final_obs_int2]]-Table2[[#This Row],[final_obs_int_feb]]), "NA")</f>
        <v>0</v>
      </c>
      <c r="R226" s="24"/>
      <c r="S226" s="20" t="s">
        <v>75</v>
      </c>
      <c r="T226" s="20" t="str">
        <f>Table2[[#This Row],[camera_old]]</f>
        <v>Y</v>
      </c>
      <c r="U226" s="22" t="s">
        <v>88</v>
      </c>
      <c r="V226" s="16" t="s">
        <v>48</v>
      </c>
      <c r="W226" s="16">
        <v>7</v>
      </c>
      <c r="X226" s="145">
        <v>7</v>
      </c>
      <c r="Y226" s="147" t="s">
        <v>48</v>
      </c>
      <c r="Z226" s="146" t="s">
        <v>48</v>
      </c>
      <c r="AA226" s="4" t="str">
        <f>Table2[[#This Row],[field_fate]]</f>
        <v>F</v>
      </c>
      <c r="AB226" s="4" t="str">
        <f>Table2[[#This Row],[field_fate2]]</f>
        <v>F</v>
      </c>
      <c r="AC226" s="94" t="str">
        <f>Table2[[#This Row],[field_fate3]]</f>
        <v>F</v>
      </c>
      <c r="AD226" s="94" t="str">
        <f>Table2[[#This Row],[field_fate4]]</f>
        <v>F</v>
      </c>
      <c r="AE226" s="94" t="str">
        <f>Table2[[#This Row],[field_fate5]]</f>
        <v>F</v>
      </c>
      <c r="AF226" s="94" t="str">
        <f>Table2[[#This Row],[field_fate5]]</f>
        <v>F</v>
      </c>
      <c r="AG226" s="94" t="str">
        <f>Table2[[#This Row],[field_fate5]]</f>
        <v>F</v>
      </c>
      <c r="AH226" s="94" t="str">
        <f>Table2[[#This Row],[field_fate2]]</f>
        <v>F</v>
      </c>
      <c r="AI226" s="94" t="str">
        <f>Table2[[#This Row],[field_fate8]]</f>
        <v>F</v>
      </c>
      <c r="AJ226" s="94" t="str">
        <f>Table2[[#This Row],[field_fate10]]</f>
        <v>F</v>
      </c>
      <c r="AK226" s="94" t="b">
        <f>Table2[[#This Row],[field_fate_feb]]=Table2[[#This Row],[field_fate10]]</f>
        <v>1</v>
      </c>
      <c r="AL226" s="43" t="s">
        <v>48</v>
      </c>
      <c r="AM226" s="160" t="b">
        <f>Table2[[#This Row],[cam_fate2]]="NA"</f>
        <v>0</v>
      </c>
      <c r="AN226" s="19" t="str">
        <f>Table2[[#This Row],[cam_fate1]]</f>
        <v>F</v>
      </c>
      <c r="AO226" s="2" t="s">
        <v>48</v>
      </c>
      <c r="AP226" s="5" t="str">
        <f>Table2[[#This Row],[final_fate1]]</f>
        <v>F</v>
      </c>
      <c r="AQ226" s="6">
        <v>7</v>
      </c>
      <c r="AR226" s="72">
        <v>7</v>
      </c>
      <c r="AS226" s="72">
        <f>Table2[[#This Row],[final_obs_date]]-Table2[[#This Row],[init_date]]</f>
        <v>7</v>
      </c>
      <c r="AT226" s="155">
        <f>(Table2[[#This Row],[final_obs_date2]]-Table2[[#This Row],[estHD]])+19</f>
        <v>7</v>
      </c>
      <c r="AU226" s="38">
        <v>7</v>
      </c>
      <c r="AV226" s="33">
        <v>7</v>
      </c>
      <c r="AW226" s="33">
        <f>Table2[[#This Row],[final_obs_date2]]-Table2[[#This Row],[pen_obs_date]]</f>
        <v>7</v>
      </c>
      <c r="AX226" s="67">
        <v>61</v>
      </c>
      <c r="AY226" s="157">
        <f>Table2[[#This Row],[final_obs_date]]</f>
        <v>61</v>
      </c>
      <c r="AZ226" s="6">
        <v>54</v>
      </c>
      <c r="BA226" s="92" t="s">
        <v>47</v>
      </c>
      <c r="BB226" s="6" t="b">
        <f>Table2[[#This Row],[final_obs_date]]&lt;(Table2[[#This Row],[estHD]]-2)</f>
        <v>1</v>
      </c>
      <c r="BC226" s="32">
        <f>IF(Table2[[#This Row],[field_fate]]="H",1,0)</f>
        <v>0</v>
      </c>
      <c r="BD226" s="16">
        <f>IF(Table2[[#This Row],[cam_fate2]]="H",1,0)</f>
        <v>0</v>
      </c>
      <c r="BE226" s="6" t="b">
        <f>NOT(Table2[[#This Row],[HF_C]]=Table2[[#This Row],[HF]])</f>
        <v>0</v>
      </c>
      <c r="BF226" s="38" t="b">
        <f>NOT(Table2[[#This Row],[cam_fate2]]=Table2[[#This Row],[field_fate3]])</f>
        <v>0</v>
      </c>
      <c r="BG226" s="38" t="b">
        <f>OR(Table2[[#This Row],[field_fate3]]="U",Table2[[#This Row],[field_fate3]]="U-H")</f>
        <v>0</v>
      </c>
      <c r="BH226" s="8">
        <v>54</v>
      </c>
      <c r="BI226" s="8">
        <v>54</v>
      </c>
      <c r="BJ226" s="14">
        <f>IF(ISTEXT(Table2[[#This Row],[j.cam]]),Table2[[#This Row],[j]],Table2[[#This Row],[j.cam]])</f>
        <v>54</v>
      </c>
      <c r="BK226" s="8">
        <v>61</v>
      </c>
      <c r="BL226" s="14">
        <f>IF(ISTEXT(Table2[[#This Row],[k.cam]]), Table2[[#This Row],[k]], Table2[[#This Row],[k.cam]])</f>
        <v>61</v>
      </c>
      <c r="BM226" s="4" t="s">
        <v>24</v>
      </c>
      <c r="BN226" s="8" t="s">
        <v>24</v>
      </c>
      <c r="BO226" s="4">
        <v>2</v>
      </c>
      <c r="BP226" s="4">
        <f>Table2[[#This Row],[final_obs_date]]-Table2[[#This Row],[i]]</f>
        <v>7</v>
      </c>
      <c r="BQ226" s="4" t="b">
        <f>Table2[[#This Row],[final_obs_date2]]&gt;Table2[[#This Row],[estHD]]+3</f>
        <v>0</v>
      </c>
      <c r="BR226" s="3" t="s">
        <v>33</v>
      </c>
      <c r="BS226" s="3" t="s">
        <v>28</v>
      </c>
      <c r="BT226" s="125" t="s">
        <v>1139</v>
      </c>
      <c r="BU226" s="4" t="s">
        <v>34</v>
      </c>
      <c r="BV226" s="79" t="s">
        <v>1475</v>
      </c>
      <c r="BW226" s="69"/>
      <c r="BX226" s="36"/>
      <c r="BY226" s="36" t="s">
        <v>24</v>
      </c>
    </row>
    <row r="227" spans="1:77" hidden="1" x14ac:dyDescent="0.35">
      <c r="A227" s="62">
        <v>10308</v>
      </c>
      <c r="B227" s="2" t="s">
        <v>35</v>
      </c>
      <c r="C227" s="44">
        <v>2019</v>
      </c>
      <c r="D227" s="3">
        <v>29.766190000000002</v>
      </c>
      <c r="E227" s="3">
        <v>-93.157210000000006</v>
      </c>
      <c r="F227" s="3">
        <v>10</v>
      </c>
      <c r="G227" s="3">
        <v>40</v>
      </c>
      <c r="H227" s="3" t="s">
        <v>26</v>
      </c>
      <c r="I227" s="43"/>
      <c r="J227" s="116">
        <v>70</v>
      </c>
      <c r="K227" s="4">
        <v>70</v>
      </c>
      <c r="L227" s="22">
        <f>IF(ISNUMBER(Table2[[#This Row],[estHD]]),ABS(Table2[[#This Row],[HD]]-Table2[[#This Row],[estHD]]),"NA")</f>
        <v>0</v>
      </c>
      <c r="M227" s="4" t="b">
        <f>Table2[[#This Row],[HD]]=Table2[[#This Row],[estHD]]</f>
        <v>1</v>
      </c>
      <c r="N227" s="4" t="str">
        <f>IF(ISNUMBER([1]!Table2[[#This Row],[hatch_date]]),[1]!Table2[[#This Row],[hatch_date]]-19,"NA")</f>
        <v>NA</v>
      </c>
      <c r="O227" s="89">
        <v>51</v>
      </c>
      <c r="P227" s="23">
        <f>IF(ISNUMBER(Table2[[#This Row],[nest_age1]]),ABS(Table2[[#This Row],[nest_age1]]-Table2[[#This Row],[nest_age_feb]]),"NA")</f>
        <v>0</v>
      </c>
      <c r="Q227" s="24">
        <f>IF(ISNUMBER(Table2[[#This Row],[final_obs_int2]]),ABS(Table2[[#This Row],[final_obs_int2]]-Table2[[#This Row],[final_obs_int_feb]]), "NA")</f>
        <v>0</v>
      </c>
      <c r="R227" s="24"/>
      <c r="S227" s="20" t="s">
        <v>75</v>
      </c>
      <c r="T227" s="20" t="str">
        <f>Table2[[#This Row],[camera_old]]</f>
        <v>Y</v>
      </c>
      <c r="U227" s="22" t="s">
        <v>88</v>
      </c>
      <c r="V227" s="16" t="s">
        <v>36</v>
      </c>
      <c r="W227" s="16">
        <v>10</v>
      </c>
      <c r="X227" s="145">
        <v>7</v>
      </c>
      <c r="Y227" s="147" t="s">
        <v>48</v>
      </c>
      <c r="Z227" s="146" t="s">
        <v>48</v>
      </c>
      <c r="AA227" s="4" t="str">
        <f>Table2[[#This Row],[field_fate]]</f>
        <v>F</v>
      </c>
      <c r="AB227" s="4" t="str">
        <f>Table2[[#This Row],[field_fate2]]</f>
        <v>F</v>
      </c>
      <c r="AC227" s="94" t="str">
        <f>Table2[[#This Row],[field_fate3]]</f>
        <v>F</v>
      </c>
      <c r="AD227" s="94" t="str">
        <f>Table2[[#This Row],[field_fate4]]</f>
        <v>F</v>
      </c>
      <c r="AE227" s="94" t="str">
        <f>Table2[[#This Row],[field_fate5]]</f>
        <v>F</v>
      </c>
      <c r="AF227" s="94" t="str">
        <f>Table2[[#This Row],[field_fate5]]</f>
        <v>F</v>
      </c>
      <c r="AG227" s="94" t="str">
        <f>Table2[[#This Row],[field_fate5]]</f>
        <v>F</v>
      </c>
      <c r="AH227" s="94" t="str">
        <f>Table2[[#This Row],[field_fate2]]</f>
        <v>F</v>
      </c>
      <c r="AI227" s="94" t="str">
        <f>Table2[[#This Row],[field_fate8]]</f>
        <v>F</v>
      </c>
      <c r="AJ227" s="94" t="str">
        <f>Table2[[#This Row],[field_fate10]]</f>
        <v>F</v>
      </c>
      <c r="AK227" s="94" t="b">
        <f>Table2[[#This Row],[field_fate_feb]]=Table2[[#This Row],[field_fate10]]</f>
        <v>1</v>
      </c>
      <c r="AL227" s="43" t="s">
        <v>36</v>
      </c>
      <c r="AM227" s="160" t="b">
        <f>Table2[[#This Row],[cam_fate2]]="NA"</f>
        <v>0</v>
      </c>
      <c r="AN227" s="159" t="str">
        <f>Table2[[#This Row],[cam_fate1]]</f>
        <v>A</v>
      </c>
      <c r="AO227" s="2" t="s">
        <v>36</v>
      </c>
      <c r="AP227" s="5" t="str">
        <f>Table2[[#This Row],[final_fate1]]</f>
        <v>A</v>
      </c>
      <c r="AQ227" s="6">
        <v>10</v>
      </c>
      <c r="AR227" s="72">
        <v>10</v>
      </c>
      <c r="AS227" s="155">
        <f>Table2[[#This Row],[final_obs_date]]-Table2[[#This Row],[init_date]]</f>
        <v>10</v>
      </c>
      <c r="AT227" s="155">
        <f>(Table2[[#This Row],[final_obs_date2]]-Table2[[#This Row],[estHD]])+19</f>
        <v>10</v>
      </c>
      <c r="AU227" s="38">
        <v>7</v>
      </c>
      <c r="AV227" s="33">
        <v>7</v>
      </c>
      <c r="AW227" s="33">
        <f>Table2[[#This Row],[final_obs_date2]]-Table2[[#This Row],[pen_obs_date]]</f>
        <v>7</v>
      </c>
      <c r="AX227" s="67">
        <v>61</v>
      </c>
      <c r="AY227" s="158">
        <f>Table2[[#This Row],[final_obs_date]]</f>
        <v>61</v>
      </c>
      <c r="AZ227" s="6">
        <v>54</v>
      </c>
      <c r="BA227" s="92" t="s">
        <v>47</v>
      </c>
      <c r="BB227" s="86" t="b">
        <f>Table2[[#This Row],[final_obs_date]]&lt;(Table2[[#This Row],[estHD]]-2)</f>
        <v>1</v>
      </c>
      <c r="BC227" s="83">
        <f>IF(Table2[[#This Row],[field_fate]]="H",1,0)</f>
        <v>0</v>
      </c>
      <c r="BD227" s="82">
        <f>IF(Table2[[#This Row],[cam_fate2]]="H",1,0)</f>
        <v>0</v>
      </c>
      <c r="BE227" s="84" t="b">
        <f>NOT(Table2[[#This Row],[HF_C]]=Table2[[#This Row],[HF]])</f>
        <v>0</v>
      </c>
      <c r="BF227" s="85" t="b">
        <f>NOT(Table2[[#This Row],[cam_fate2]]=Table2[[#This Row],[field_fate3]])</f>
        <v>1</v>
      </c>
      <c r="BG227" s="85" t="b">
        <f>OR(Table2[[#This Row],[field_fate3]]="U",Table2[[#This Row],[field_fate3]]="U-H")</f>
        <v>0</v>
      </c>
      <c r="BH227" s="8">
        <v>54</v>
      </c>
      <c r="BI227" s="8">
        <v>54</v>
      </c>
      <c r="BJ227" s="14">
        <f>IF(ISTEXT(Table2[[#This Row],[j.cam]]),Table2[[#This Row],[j]],Table2[[#This Row],[j.cam]])</f>
        <v>54</v>
      </c>
      <c r="BK227" s="8">
        <v>61</v>
      </c>
      <c r="BL227" s="14">
        <f>IF(ISTEXT(Table2[[#This Row],[k.cam]]), Table2[[#This Row],[k]], Table2[[#This Row],[k.cam]])</f>
        <v>61</v>
      </c>
      <c r="BM227" s="87" t="s">
        <v>24</v>
      </c>
      <c r="BN227" s="87" t="s">
        <v>24</v>
      </c>
      <c r="BO227" s="4">
        <v>2</v>
      </c>
      <c r="BP227" s="4">
        <f>Table2[[#This Row],[final_obs_date]]-Table2[[#This Row],[i]]</f>
        <v>7</v>
      </c>
      <c r="BQ227" s="4" t="b">
        <f>Table2[[#This Row],[final_obs_date2]]&gt;Table2[[#This Row],[estHD]]+3</f>
        <v>0</v>
      </c>
      <c r="BR227" s="3" t="s">
        <v>33</v>
      </c>
      <c r="BS227" s="3" t="s">
        <v>28</v>
      </c>
      <c r="BT227" s="125" t="s">
        <v>1139</v>
      </c>
      <c r="BU227" s="122" t="s">
        <v>34</v>
      </c>
      <c r="BV227" s="88" t="s">
        <v>1475</v>
      </c>
      <c r="BW227" s="69"/>
      <c r="BX227" s="36"/>
      <c r="BY227" s="36" t="s">
        <v>616</v>
      </c>
    </row>
    <row r="228" spans="1:77" hidden="1" x14ac:dyDescent="0.35">
      <c r="A228" s="62">
        <v>10309</v>
      </c>
      <c r="B228" s="2" t="s">
        <v>22</v>
      </c>
      <c r="C228" s="44">
        <v>2019</v>
      </c>
      <c r="D228" s="3">
        <v>29.667549999999999</v>
      </c>
      <c r="E228" s="3">
        <v>-92.844309999999993</v>
      </c>
      <c r="F228" s="3">
        <v>20</v>
      </c>
      <c r="G228" s="3">
        <v>40</v>
      </c>
      <c r="H228" s="3" t="s">
        <v>26</v>
      </c>
      <c r="I228" s="43"/>
      <c r="J228" s="55">
        <v>69</v>
      </c>
      <c r="K228" s="4">
        <v>69</v>
      </c>
      <c r="L228" s="22">
        <f>IF(ISNUMBER(Table2[[#This Row],[estHD]]),ABS(Table2[[#This Row],[HD]]-Table2[[#This Row],[estHD]]),"NA")</f>
        <v>0</v>
      </c>
      <c r="M228" s="4" t="b">
        <f>Table2[[#This Row],[HD]]=Table2[[#This Row],[estHD]]</f>
        <v>1</v>
      </c>
      <c r="N228" s="4" t="str">
        <f>IF(ISNUMBER([1]!Table2[[#This Row],[hatch_date]]), [1]!Table2[[#This Row],[hatch_date]]-16, "NA")</f>
        <v>NA</v>
      </c>
      <c r="O228" s="31">
        <v>53</v>
      </c>
      <c r="P228" s="23">
        <f>IF(ISNUMBER(Table2[[#This Row],[nest_age1]]),ABS(Table2[[#This Row],[nest_age1]]-Table2[[#This Row],[nest_age_feb]]),"NA")</f>
        <v>0</v>
      </c>
      <c r="Q228" s="24">
        <f>IF(ISNUMBER(Table2[[#This Row],[final_obs_int2]]),ABS(Table2[[#This Row],[final_obs_int2]]-Table2[[#This Row],[final_obs_int_feb]]), "NA")</f>
        <v>0</v>
      </c>
      <c r="R228" s="24"/>
      <c r="S228" s="57" t="s">
        <v>88</v>
      </c>
      <c r="T228" s="57" t="str">
        <f>Table2[[#This Row],[camera_old]]</f>
        <v>N</v>
      </c>
      <c r="U228" s="24"/>
      <c r="V228" s="16" t="s">
        <v>24</v>
      </c>
      <c r="W228" s="16">
        <v>9</v>
      </c>
      <c r="X228" s="145">
        <v>7</v>
      </c>
      <c r="Y228" s="147" t="s">
        <v>25</v>
      </c>
      <c r="Z228" s="146" t="s">
        <v>25</v>
      </c>
      <c r="AA228" s="4" t="str">
        <f>Table2[[#This Row],[field_fate]]</f>
        <v>S</v>
      </c>
      <c r="AB228" s="4" t="str">
        <f>Table2[[#This Row],[field_fate2]]</f>
        <v>S</v>
      </c>
      <c r="AC228" s="4" t="str">
        <f>Table2[[#This Row],[field_fate3]]</f>
        <v>S</v>
      </c>
      <c r="AD228" s="4" t="str">
        <f>Table2[[#This Row],[field_fate4]]</f>
        <v>S</v>
      </c>
      <c r="AE228" s="4" t="str">
        <f>Table2[[#This Row],[field_fate5]]</f>
        <v>S</v>
      </c>
      <c r="AF228" s="4" t="str">
        <f>Table2[[#This Row],[field_fate5]]</f>
        <v>S</v>
      </c>
      <c r="AG228" s="4" t="str">
        <f>Table2[[#This Row],[field_fate5]]</f>
        <v>S</v>
      </c>
      <c r="AH228" s="4" t="str">
        <f>Table2[[#This Row],[field_fate2]]</f>
        <v>S</v>
      </c>
      <c r="AI228" s="4" t="str">
        <f>Table2[[#This Row],[field_fate8]]</f>
        <v>S</v>
      </c>
      <c r="AJ228" s="4" t="str">
        <f>Table2[[#This Row],[field_fate10]]</f>
        <v>S</v>
      </c>
      <c r="AK228" s="4" t="b">
        <f>Table2[[#This Row],[field_fate_feb]]=Table2[[#This Row],[field_fate10]]</f>
        <v>1</v>
      </c>
      <c r="AL228" s="43" t="s">
        <v>24</v>
      </c>
      <c r="AM228" s="43" t="b">
        <f>Table2[[#This Row],[cam_fate2]]="NA"</f>
        <v>1</v>
      </c>
      <c r="AN228" s="19" t="str">
        <f>Table2[[#This Row],[cam_fate1]]</f>
        <v>NA</v>
      </c>
      <c r="AO228" s="2" t="s">
        <v>25</v>
      </c>
      <c r="AP228" s="5" t="str">
        <f>Table2[[#This Row],[final_fate1]]</f>
        <v>S</v>
      </c>
      <c r="AQ228" s="6">
        <v>9</v>
      </c>
      <c r="AR228" s="7">
        <v>9</v>
      </c>
      <c r="AS228" s="7">
        <f>Table2[[#This Row],[final_obs_date]]-Table2[[#This Row],[init_date]]</f>
        <v>9</v>
      </c>
      <c r="AT228" s="7">
        <f>(Table2[[#This Row],[final_obs_date2]]-Table2[[#This Row],[estHD]])+16</f>
        <v>9</v>
      </c>
      <c r="AU228" s="38">
        <v>7</v>
      </c>
      <c r="AV228" s="33">
        <v>7</v>
      </c>
      <c r="AW228" s="33">
        <f>Table2[[#This Row],[final_obs_date2]]-Table2[[#This Row],[pen_obs_date]]</f>
        <v>62</v>
      </c>
      <c r="AX228" s="67">
        <v>62</v>
      </c>
      <c r="AY228" s="6">
        <f>Table2[[#This Row],[final_obs_date]]</f>
        <v>62</v>
      </c>
      <c r="AZ228" s="6"/>
      <c r="BA228" s="91" t="s">
        <v>60</v>
      </c>
      <c r="BB228" s="6" t="b">
        <f>Table2[[#This Row],[final_obs_date]]&lt;(Table2[[#This Row],[estHD]]-2)</f>
        <v>1</v>
      </c>
      <c r="BC228" s="24">
        <f>IF(Table2[[#This Row],[field_fate]]="H",1,0)</f>
        <v>0</v>
      </c>
      <c r="BD228" s="16">
        <f>IF(Table2[[#This Row],[cam_fate2]]="H",1,0)</f>
        <v>0</v>
      </c>
      <c r="BE228" s="6" t="b">
        <f>NOT(Table2[[#This Row],[HF_C]]=Table2[[#This Row],[HF]])</f>
        <v>0</v>
      </c>
      <c r="BF228" s="6" t="b">
        <f>NOT(Table2[[#This Row],[cam_fate2]]=Table2[[#This Row],[field_fate3]])</f>
        <v>1</v>
      </c>
      <c r="BG228" s="6" t="b">
        <f>OR(Table2[[#This Row],[field_fate3]]="U",Table2[[#This Row],[field_fate3]]="U-H")</f>
        <v>0</v>
      </c>
      <c r="BH228" s="8">
        <v>55</v>
      </c>
      <c r="BI228" s="8">
        <v>55</v>
      </c>
      <c r="BJ228" s="14">
        <f>IF(ISTEXT(Table2[[#This Row],[j.cam]]),Table2[[#This Row],[j]],Table2[[#This Row],[j.cam]])</f>
        <v>55</v>
      </c>
      <c r="BK228" s="9">
        <v>62</v>
      </c>
      <c r="BL228" s="15">
        <f>IF(ISTEXT(Table2[[#This Row],[k.cam]]), Table2[[#This Row],[k]], Table2[[#This Row],[k.cam]])</f>
        <v>62</v>
      </c>
      <c r="BM228" s="4" t="s">
        <v>24</v>
      </c>
      <c r="BN228" s="8" t="s">
        <v>24</v>
      </c>
      <c r="BO228" s="4">
        <v>2</v>
      </c>
      <c r="BP228" s="4">
        <f>Table2[[#This Row],[final_obs_date]]-Table2[[#This Row],[i]]</f>
        <v>7</v>
      </c>
      <c r="BQ228" s="4" t="b">
        <f>Table2[[#This Row],[final_obs_date2]]&gt;Table2[[#This Row],[estHD]]+3</f>
        <v>0</v>
      </c>
      <c r="BR228" s="4" t="s">
        <v>33</v>
      </c>
      <c r="BS228" s="4" t="s">
        <v>45</v>
      </c>
      <c r="BT228" s="79" t="s">
        <v>1065</v>
      </c>
      <c r="BU228" s="26" t="s">
        <v>87</v>
      </c>
      <c r="BV228" s="79" t="s">
        <v>1475</v>
      </c>
      <c r="BW228" s="49"/>
      <c r="BX228" s="47"/>
      <c r="BY228" s="36" t="s">
        <v>611</v>
      </c>
    </row>
    <row r="229" spans="1:77" hidden="1" x14ac:dyDescent="0.35">
      <c r="A229" s="62">
        <v>10310</v>
      </c>
      <c r="B229" s="2" t="s">
        <v>122</v>
      </c>
      <c r="C229" s="44">
        <v>2019</v>
      </c>
      <c r="D229" s="3">
        <v>29.758410000000001</v>
      </c>
      <c r="E229" s="3">
        <v>-93.121510000000001</v>
      </c>
      <c r="F229" s="3">
        <v>10</v>
      </c>
      <c r="G229" s="3">
        <v>30</v>
      </c>
      <c r="H229" s="3" t="s">
        <v>462</v>
      </c>
      <c r="I229" s="43"/>
      <c r="J229" s="116" t="s">
        <v>24</v>
      </c>
      <c r="K229" s="4">
        <v>84</v>
      </c>
      <c r="L229" s="22" t="str">
        <f>IF(ISNUMBER(Table2[[#This Row],[estHD]]),ABS(Table2[[#This Row],[HD]]-Table2[[#This Row],[estHD]]),"NA")</f>
        <v>NA</v>
      </c>
      <c r="M229" s="4" t="b">
        <f>Table2[[#This Row],[HD]]=Table2[[#This Row],[estHD]]</f>
        <v>0</v>
      </c>
      <c r="N229" s="4" t="str">
        <f>IF(ISNUMBER([1]!Table2[[#This Row],[hatch_date]]),[1]!Table2[[#This Row],[hatch_date]]-19,"NA")</f>
        <v>NA</v>
      </c>
      <c r="O229" s="31">
        <v>65</v>
      </c>
      <c r="P229" s="23">
        <f>IF(ISNUMBER(Table2[[#This Row],[nest_age1]]),ABS(Table2[[#This Row],[nest_age1]]-Table2[[#This Row],[nest_age_feb]]),"NA")</f>
        <v>0</v>
      </c>
      <c r="Q229" s="24">
        <f>IF(ISNUMBER(Table2[[#This Row],[final_obs_int2]]),ABS(Table2[[#This Row],[final_obs_int2]]-Table2[[#This Row],[final_obs_int_feb]]), "NA")</f>
        <v>0</v>
      </c>
      <c r="R229" s="24" t="e">
        <f>(Table2[[#This Row],[k_adj]]-Table2[[#This Row],[estHD]])/Table2[[#This Row],[estHD]]</f>
        <v>#VALUE!</v>
      </c>
      <c r="S229" s="20" t="s">
        <v>75</v>
      </c>
      <c r="T229" s="20" t="str">
        <f>Table2[[#This Row],[camera_old]]</f>
        <v>Y</v>
      </c>
      <c r="U229" s="22" t="s">
        <v>88</v>
      </c>
      <c r="V229" s="16" t="s">
        <v>37</v>
      </c>
      <c r="W229" s="16">
        <v>19</v>
      </c>
      <c r="X229" s="145">
        <v>7</v>
      </c>
      <c r="Y229" s="147" t="s">
        <v>37</v>
      </c>
      <c r="Z229" s="146" t="s">
        <v>37</v>
      </c>
      <c r="AA229" s="4" t="str">
        <f>Table2[[#This Row],[field_fate]]</f>
        <v>H</v>
      </c>
      <c r="AB229" s="4" t="str">
        <f>Table2[[#This Row],[field_fate2]]</f>
        <v>H</v>
      </c>
      <c r="AC229" s="94" t="str">
        <f>Table2[[#This Row],[field_fate3]]</f>
        <v>H</v>
      </c>
      <c r="AD229" s="94" t="str">
        <f>Table2[[#This Row],[field_fate4]]</f>
        <v>H</v>
      </c>
      <c r="AE229" s="94" t="str">
        <f>Table2[[#This Row],[field_fate5]]</f>
        <v>H</v>
      </c>
      <c r="AF229" s="94" t="str">
        <f>Table2[[#This Row],[field_fate5]]</f>
        <v>H</v>
      </c>
      <c r="AG229" s="94" t="str">
        <f>Table2[[#This Row],[field_fate5]]</f>
        <v>H</v>
      </c>
      <c r="AH229" s="94" t="str">
        <f>Table2[[#This Row],[field_fate2]]</f>
        <v>H</v>
      </c>
      <c r="AI229" s="94" t="str">
        <f>Table2[[#This Row],[field_fate8]]</f>
        <v>H</v>
      </c>
      <c r="AJ229" s="94" t="str">
        <f>Table2[[#This Row],[field_fate10]]</f>
        <v>H</v>
      </c>
      <c r="AK229" s="94" t="b">
        <f>Table2[[#This Row],[field_fate_feb]]=Table2[[#This Row],[field_fate10]]</f>
        <v>1</v>
      </c>
      <c r="AL229" s="43" t="s">
        <v>37</v>
      </c>
      <c r="AM229" s="160" t="b">
        <f>Table2[[#This Row],[cam_fate2]]="NA"</f>
        <v>0</v>
      </c>
      <c r="AN229" s="19" t="str">
        <f>Table2[[#This Row],[cam_fate1]]</f>
        <v>H</v>
      </c>
      <c r="AO229" s="2" t="s">
        <v>37</v>
      </c>
      <c r="AP229" s="5" t="str">
        <f>Table2[[#This Row],[final_fate1]]</f>
        <v>H</v>
      </c>
      <c r="AQ229" s="6">
        <v>19</v>
      </c>
      <c r="AR229" s="72">
        <v>19</v>
      </c>
      <c r="AS229" s="155">
        <f>Table2[[#This Row],[final_obs_date]]-Table2[[#This Row],[init_date]]</f>
        <v>19</v>
      </c>
      <c r="AT229" s="155" t="e">
        <f>(Table2[[#This Row],[final_obs_date2]]-Table2[[#This Row],[estHD]])+19</f>
        <v>#VALUE!</v>
      </c>
      <c r="AU229" s="38">
        <v>7</v>
      </c>
      <c r="AV229" s="33">
        <v>7</v>
      </c>
      <c r="AW229" s="33">
        <f>Table2[[#This Row],[final_obs_date2]]-Table2[[#This Row],[pen_obs_date]]</f>
        <v>7</v>
      </c>
      <c r="AX229" s="67">
        <v>84</v>
      </c>
      <c r="AY229" s="157">
        <f>Table2[[#This Row],[final_obs_date]]</f>
        <v>84</v>
      </c>
      <c r="AZ229" s="6">
        <v>77</v>
      </c>
      <c r="BA229" s="92" t="s">
        <v>47</v>
      </c>
      <c r="BB229" s="6" t="e">
        <f>Table2[[#This Row],[final_obs_date]]&lt;(Table2[[#This Row],[estHD]]-2)</f>
        <v>#VALUE!</v>
      </c>
      <c r="BC229" s="32">
        <f>IF(Table2[[#This Row],[field_fate]]="H",1,0)</f>
        <v>1</v>
      </c>
      <c r="BD229" s="16">
        <f>IF(Table2[[#This Row],[cam_fate2]]="H",1,0)</f>
        <v>1</v>
      </c>
      <c r="BE229" s="6" t="b">
        <f>NOT(Table2[[#This Row],[HF_C]]=Table2[[#This Row],[HF]])</f>
        <v>0</v>
      </c>
      <c r="BF229" s="38" t="b">
        <f>NOT(Table2[[#This Row],[cam_fate2]]=Table2[[#This Row],[field_fate3]])</f>
        <v>0</v>
      </c>
      <c r="BG229" s="38" t="b">
        <f>OR(Table2[[#This Row],[field_fate3]]="U",Table2[[#This Row],[field_fate3]]="U-H")</f>
        <v>0</v>
      </c>
      <c r="BH229" s="8">
        <v>68</v>
      </c>
      <c r="BI229" s="8">
        <v>84</v>
      </c>
      <c r="BJ229" s="14">
        <f>IF(ISTEXT(Table2[[#This Row],[j.cam]]),Table2[[#This Row],[j]],Table2[[#This Row],[j.cam]])</f>
        <v>84</v>
      </c>
      <c r="BK229" s="8">
        <v>84</v>
      </c>
      <c r="BL229" s="14">
        <f>IF(ISTEXT(Table2[[#This Row],[k.cam]]), Table2[[#This Row],[k]], Table2[[#This Row],[k.cam]])</f>
        <v>84</v>
      </c>
      <c r="BM229" s="4" t="s">
        <v>24</v>
      </c>
      <c r="BN229" s="8" t="s">
        <v>24</v>
      </c>
      <c r="BO229" s="4">
        <v>4</v>
      </c>
      <c r="BP229" s="4">
        <f>Table2[[#This Row],[final_obs_date]]-Table2[[#This Row],[i]]</f>
        <v>16</v>
      </c>
      <c r="BQ229" s="4" t="e">
        <f>Table2[[#This Row],[final_obs_date2]]&gt;Table2[[#This Row],[estHD]]+3</f>
        <v>#VALUE!</v>
      </c>
      <c r="BR229" s="3" t="s">
        <v>33</v>
      </c>
      <c r="BS229" s="3" t="s">
        <v>139</v>
      </c>
      <c r="BT229" s="125" t="s">
        <v>1140</v>
      </c>
      <c r="BU229" s="4" t="s">
        <v>221</v>
      </c>
      <c r="BV229" s="79" t="s">
        <v>1530</v>
      </c>
      <c r="BW229" s="69"/>
      <c r="BX229" s="36"/>
      <c r="BY229" s="36" t="s">
        <v>617</v>
      </c>
    </row>
    <row r="230" spans="1:77" hidden="1" x14ac:dyDescent="0.35">
      <c r="A230" s="59">
        <v>10311</v>
      </c>
      <c r="B230" s="2" t="s">
        <v>122</v>
      </c>
      <c r="C230" s="44">
        <v>2019</v>
      </c>
      <c r="D230" s="3">
        <v>29.758400000000002</v>
      </c>
      <c r="E230" s="3">
        <v>-93.120819999999995</v>
      </c>
      <c r="F230" s="3" t="s">
        <v>24</v>
      </c>
      <c r="G230" s="3" t="s">
        <v>24</v>
      </c>
      <c r="H230" s="3" t="s">
        <v>462</v>
      </c>
      <c r="I230" s="43"/>
      <c r="J230" s="116" t="s">
        <v>24</v>
      </c>
      <c r="K230" s="4">
        <v>75</v>
      </c>
      <c r="L230" s="22" t="str">
        <f>IF(ISNUMBER(Table2[[#This Row],[estHD]]),ABS(Table2[[#This Row],[HD]]-Table2[[#This Row],[estHD]]),"NA")</f>
        <v>NA</v>
      </c>
      <c r="M230" s="4" t="b">
        <f>Table2[[#This Row],[HD]]=Table2[[#This Row],[estHD]]</f>
        <v>0</v>
      </c>
      <c r="N230" s="4">
        <f>IF(ISNUMBER(Table2[[#This Row],[HD]]),Table2[[#This Row],[HD]]-19,"NA")</f>
        <v>56</v>
      </c>
      <c r="O230" s="31">
        <v>56</v>
      </c>
      <c r="P230" s="23">
        <f>IF(ISNUMBER(Table2[[#This Row],[nest_age1]]),ABS(Table2[[#This Row],[nest_age1]]-Table2[[#This Row],[nest_age_feb]]),"NA")</f>
        <v>2</v>
      </c>
      <c r="Q230" s="24">
        <f>IF(ISNUMBER(Table2[[#This Row],[final_obs_int2]]),ABS(Table2[[#This Row],[final_obs_int2]]-Table2[[#This Row],[final_obs_int_feb]]), "NA")</f>
        <v>0</v>
      </c>
      <c r="R230" s="24"/>
      <c r="S230" s="21" t="s">
        <v>448</v>
      </c>
      <c r="T230" s="21" t="s">
        <v>75</v>
      </c>
      <c r="U230" s="52" t="s">
        <v>75</v>
      </c>
      <c r="V230" s="16" t="s">
        <v>37</v>
      </c>
      <c r="W230" s="16">
        <v>19</v>
      </c>
      <c r="X230" s="145">
        <v>5</v>
      </c>
      <c r="Y230" s="147" t="s">
        <v>37</v>
      </c>
      <c r="Z230" s="146" t="s">
        <v>37</v>
      </c>
      <c r="AA230" s="4" t="str">
        <f>Table2[[#This Row],[field_fate]]</f>
        <v>H</v>
      </c>
      <c r="AB230" s="4" t="str">
        <f>Table2[[#This Row],[field_fate2]]</f>
        <v>H</v>
      </c>
      <c r="AC230" s="94" t="str">
        <f>Table2[[#This Row],[field_fate3]]</f>
        <v>H</v>
      </c>
      <c r="AD230" s="94" t="str">
        <f>Table2[[#This Row],[field_fate4]]</f>
        <v>H</v>
      </c>
      <c r="AE230" s="94" t="str">
        <f>Table2[[#This Row],[field_fate5]]</f>
        <v>H</v>
      </c>
      <c r="AF230" s="94" t="str">
        <f>Table2[[#This Row],[field_fate5]]</f>
        <v>H</v>
      </c>
      <c r="AG230" s="94" t="str">
        <f>Table2[[#This Row],[field_fate5]]</f>
        <v>H</v>
      </c>
      <c r="AH230" s="94" t="str">
        <f>Table2[[#This Row],[field_fate2]]</f>
        <v>H</v>
      </c>
      <c r="AI230" s="94" t="str">
        <f>Table2[[#This Row],[field_fate8]]</f>
        <v>H</v>
      </c>
      <c r="AJ230" s="94" t="str">
        <f>Table2[[#This Row],[field_fate10]]</f>
        <v>H</v>
      </c>
      <c r="AK230" s="94" t="b">
        <f>Table2[[#This Row],[field_fate_feb]]=Table2[[#This Row],[field_fate10]]</f>
        <v>1</v>
      </c>
      <c r="AL230" s="43" t="s">
        <v>37</v>
      </c>
      <c r="AM230" s="160" t="b">
        <f>Table2[[#This Row],[cam_fate2]]="NA"</f>
        <v>0</v>
      </c>
      <c r="AN230" s="19" t="str">
        <f>Table2[[#This Row],[cam_fate1]]</f>
        <v>H</v>
      </c>
      <c r="AO230" s="2" t="s">
        <v>37</v>
      </c>
      <c r="AP230" s="5" t="str">
        <f>Table2[[#This Row],[final_fate1]]</f>
        <v>H</v>
      </c>
      <c r="AQ230" s="6">
        <v>21</v>
      </c>
      <c r="AR230" s="72">
        <v>21</v>
      </c>
      <c r="AS230" s="155">
        <f>Table2[[#This Row],[final_obs_date]]-Table2[[#This Row],[init_date]]</f>
        <v>21</v>
      </c>
      <c r="AT230" s="155" t="e">
        <f>(Table2[[#This Row],[final_obs_date2]]-Table2[[#This Row],[estHD]])+19</f>
        <v>#VALUE!</v>
      </c>
      <c r="AU230" s="38">
        <v>5</v>
      </c>
      <c r="AV230" s="33">
        <v>5</v>
      </c>
      <c r="AW230" s="33">
        <f>Table2[[#This Row],[final_obs_date2]]-Table2[[#This Row],[pen_obs_date]]</f>
        <v>5</v>
      </c>
      <c r="AX230" s="67">
        <v>77</v>
      </c>
      <c r="AY230" s="157">
        <f>Table2[[#This Row],[final_obs_date]]</f>
        <v>77</v>
      </c>
      <c r="AZ230" s="6">
        <v>72</v>
      </c>
      <c r="BA230" s="92" t="s">
        <v>47</v>
      </c>
      <c r="BB230" s="6" t="e">
        <f>Table2[[#This Row],[final_obs_date]]&lt;(Table2[[#This Row],[estHD]]-2)</f>
        <v>#VALUE!</v>
      </c>
      <c r="BC230" s="32">
        <f>IF(Table2[[#This Row],[field_fate]]="H",1,0)</f>
        <v>1</v>
      </c>
      <c r="BD230" s="16">
        <f>IF(Table2[[#This Row],[cam_fate2]]="H",1,0)</f>
        <v>1</v>
      </c>
      <c r="BE230" s="6" t="b">
        <f>NOT(Table2[[#This Row],[HF_C]]=Table2[[#This Row],[HF]])</f>
        <v>0</v>
      </c>
      <c r="BF230" s="38" t="b">
        <f>NOT(Table2[[#This Row],[cam_fate2]]=Table2[[#This Row],[field_fate3]])</f>
        <v>0</v>
      </c>
      <c r="BG230" s="38" t="b">
        <f>OR(Table2[[#This Row],[field_fate3]]="U",Table2[[#This Row],[field_fate3]]="U-H")</f>
        <v>0</v>
      </c>
      <c r="BH230" s="8">
        <v>68</v>
      </c>
      <c r="BI230" s="8">
        <v>75</v>
      </c>
      <c r="BJ230" s="14">
        <f>IF(ISTEXT(Table2[[#This Row],[j.cam]]),Table2[[#This Row],[j]],Table2[[#This Row],[j.cam]])</f>
        <v>75</v>
      </c>
      <c r="BK230" s="8">
        <v>75</v>
      </c>
      <c r="BL230" s="14">
        <f>IF(ISTEXT(Table2[[#This Row],[k.cam]]), Table2[[#This Row],[k]], Table2[[#This Row],[k.cam]])</f>
        <v>75</v>
      </c>
      <c r="BM230" s="4" t="s">
        <v>24</v>
      </c>
      <c r="BN230" s="8" t="s">
        <v>24</v>
      </c>
      <c r="BO230" s="4">
        <v>3</v>
      </c>
      <c r="BP230" s="4">
        <f>Table2[[#This Row],[final_obs_date]]-Table2[[#This Row],[i]]</f>
        <v>9</v>
      </c>
      <c r="BQ230" s="4" t="e">
        <f>Table2[[#This Row],[final_obs_date2]]&gt;Table2[[#This Row],[estHD]]+3</f>
        <v>#VALUE!</v>
      </c>
      <c r="BR230" s="3" t="s">
        <v>33</v>
      </c>
      <c r="BS230" s="3" t="s">
        <v>45</v>
      </c>
      <c r="BT230" s="125" t="s">
        <v>1141</v>
      </c>
      <c r="BU230" s="4" t="s">
        <v>132</v>
      </c>
      <c r="BV230" s="79" t="s">
        <v>1479</v>
      </c>
      <c r="BW230" s="69"/>
      <c r="BX230" s="36"/>
      <c r="BY230" s="54" t="s">
        <v>618</v>
      </c>
    </row>
    <row r="231" spans="1:77" hidden="1" x14ac:dyDescent="0.35">
      <c r="A231" s="62">
        <v>10312</v>
      </c>
      <c r="B231" s="2" t="s">
        <v>22</v>
      </c>
      <c r="C231" s="44">
        <v>2019</v>
      </c>
      <c r="D231" s="3">
        <v>29.669779999999999</v>
      </c>
      <c r="E231" s="3">
        <v>-92.849980000000002</v>
      </c>
      <c r="F231" s="3">
        <v>0</v>
      </c>
      <c r="G231" s="3">
        <v>10</v>
      </c>
      <c r="H231" s="3" t="s">
        <v>26</v>
      </c>
      <c r="I231" s="43"/>
      <c r="J231" s="55" t="s">
        <v>24</v>
      </c>
      <c r="K231" s="4">
        <v>83</v>
      </c>
      <c r="L231" s="22" t="str">
        <f>IF(ISNUMBER(Table2[[#This Row],[estHD]]),ABS(Table2[[#This Row],[HD]]-Table2[[#This Row],[estHD]]),"NA")</f>
        <v>NA</v>
      </c>
      <c r="M231" s="4" t="b">
        <f>Table2[[#This Row],[HD]]=Table2[[#This Row],[estHD]]</f>
        <v>0</v>
      </c>
      <c r="N231" s="4" t="str">
        <f>IF(ISNUMBER([1]!Table2[[#This Row],[hatch_date]]), [1]!Table2[[#This Row],[hatch_date]]-16, "NA")</f>
        <v>NA</v>
      </c>
      <c r="O231" s="31">
        <v>67</v>
      </c>
      <c r="P231" s="23">
        <f>IF(ISNUMBER(Table2[[#This Row],[nest_age1]]),ABS(Table2[[#This Row],[nest_age1]]-Table2[[#This Row],[nest_age_feb]]),"NA")</f>
        <v>0</v>
      </c>
      <c r="Q231" s="24">
        <f>IF(ISNUMBER(Table2[[#This Row],[final_obs_int2]]),ABS(Table2[[#This Row],[final_obs_int2]]-Table2[[#This Row],[final_obs_int_feb]]), "NA")</f>
        <v>0</v>
      </c>
      <c r="R231" s="24"/>
      <c r="S231" s="57" t="s">
        <v>88</v>
      </c>
      <c r="T231" s="57" t="str">
        <f>Table2[[#This Row],[camera_old]]</f>
        <v>N</v>
      </c>
      <c r="U231" s="24"/>
      <c r="V231" s="16" t="s">
        <v>24</v>
      </c>
      <c r="W231" s="16">
        <v>16</v>
      </c>
      <c r="X231" s="145">
        <v>4</v>
      </c>
      <c r="Y231" s="147" t="s">
        <v>37</v>
      </c>
      <c r="Z231" s="146" t="s">
        <v>37</v>
      </c>
      <c r="AA231" s="4" t="str">
        <f>Table2[[#This Row],[field_fate]]</f>
        <v>H</v>
      </c>
      <c r="AB231" s="4" t="str">
        <f>Table2[[#This Row],[field_fate2]]</f>
        <v>H</v>
      </c>
      <c r="AC231" s="4" t="str">
        <f>Table2[[#This Row],[field_fate3]]</f>
        <v>H</v>
      </c>
      <c r="AD231" s="4" t="str">
        <f>Table2[[#This Row],[field_fate4]]</f>
        <v>H</v>
      </c>
      <c r="AE231" s="4" t="str">
        <f>Table2[[#This Row],[field_fate5]]</f>
        <v>H</v>
      </c>
      <c r="AF231" s="4" t="str">
        <f>Table2[[#This Row],[field_fate5]]</f>
        <v>H</v>
      </c>
      <c r="AG231" s="4" t="str">
        <f>Table2[[#This Row],[field_fate5]]</f>
        <v>H</v>
      </c>
      <c r="AH231" s="4" t="str">
        <f>Table2[[#This Row],[field_fate2]]</f>
        <v>H</v>
      </c>
      <c r="AI231" s="4" t="str">
        <f>Table2[[#This Row],[field_fate8]]</f>
        <v>H</v>
      </c>
      <c r="AJ231" s="4" t="str">
        <f>Table2[[#This Row],[field_fate10]]</f>
        <v>H</v>
      </c>
      <c r="AK231" s="4" t="b">
        <f>Table2[[#This Row],[field_fate_feb]]=Table2[[#This Row],[field_fate10]]</f>
        <v>1</v>
      </c>
      <c r="AL231" s="43" t="s">
        <v>24</v>
      </c>
      <c r="AM231" s="43" t="b">
        <f>Table2[[#This Row],[cam_fate2]]="NA"</f>
        <v>1</v>
      </c>
      <c r="AN231" s="19" t="str">
        <f>Table2[[#This Row],[cam_fate1]]</f>
        <v>NA</v>
      </c>
      <c r="AO231" s="2" t="s">
        <v>37</v>
      </c>
      <c r="AP231" s="5" t="str">
        <f>Table2[[#This Row],[final_fate1]]</f>
        <v>H</v>
      </c>
      <c r="AQ231" s="6">
        <v>16</v>
      </c>
      <c r="AR231" s="7">
        <v>16</v>
      </c>
      <c r="AS231" s="7">
        <f>Table2[[#This Row],[final_obs_date]]-Table2[[#This Row],[init_date]]</f>
        <v>16</v>
      </c>
      <c r="AT231" s="7" t="e">
        <f>(Table2[[#This Row],[final_obs_date2]]-Table2[[#This Row],[estHD]])+16</f>
        <v>#VALUE!</v>
      </c>
      <c r="AU231" s="38">
        <v>4</v>
      </c>
      <c r="AV231" s="33">
        <v>4</v>
      </c>
      <c r="AW231" s="33">
        <f>Table2[[#This Row],[final_obs_date2]]-Table2[[#This Row],[pen_obs_date]]</f>
        <v>83</v>
      </c>
      <c r="AX231" s="67">
        <v>83</v>
      </c>
      <c r="AY231" s="6">
        <f>Table2[[#This Row],[final_obs_date]]</f>
        <v>83</v>
      </c>
      <c r="AZ231" s="6"/>
      <c r="BA231" s="91" t="s">
        <v>60</v>
      </c>
      <c r="BB231" s="6" t="e">
        <f>Table2[[#This Row],[final_obs_date]]&lt;(Table2[[#This Row],[estHD]]-2)</f>
        <v>#VALUE!</v>
      </c>
      <c r="BC231" s="24">
        <f>IF(Table2[[#This Row],[field_fate]]="H",1,0)</f>
        <v>1</v>
      </c>
      <c r="BD231" s="16">
        <f>IF(Table2[[#This Row],[cam_fate2]]="H",1,0)</f>
        <v>0</v>
      </c>
      <c r="BE231" s="6" t="b">
        <f>NOT(Table2[[#This Row],[HF_C]]=Table2[[#This Row],[HF]])</f>
        <v>1</v>
      </c>
      <c r="BF231" s="6" t="b">
        <f>NOT(Table2[[#This Row],[cam_fate2]]=Table2[[#This Row],[field_fate3]])</f>
        <v>1</v>
      </c>
      <c r="BG231" s="6" t="b">
        <f>OR(Table2[[#This Row],[field_fate3]]="U",Table2[[#This Row],[field_fate3]]="U-H")</f>
        <v>0</v>
      </c>
      <c r="BH231" s="8">
        <v>69</v>
      </c>
      <c r="BI231" s="8">
        <v>83</v>
      </c>
      <c r="BJ231" s="14">
        <f>IF(ISTEXT(Table2[[#This Row],[j.cam]]),Table2[[#This Row],[j]],Table2[[#This Row],[j.cam]])</f>
        <v>83</v>
      </c>
      <c r="BK231" s="9">
        <v>83</v>
      </c>
      <c r="BL231" s="15">
        <f>IF(ISTEXT(Table2[[#This Row],[k.cam]]), Table2[[#This Row],[k]], Table2[[#This Row],[k.cam]])</f>
        <v>83</v>
      </c>
      <c r="BM231" s="4" t="s">
        <v>24</v>
      </c>
      <c r="BN231" s="8" t="s">
        <v>24</v>
      </c>
      <c r="BO231" s="4">
        <v>4</v>
      </c>
      <c r="BP231" s="4">
        <f>Table2[[#This Row],[final_obs_date]]-Table2[[#This Row],[i]]</f>
        <v>14</v>
      </c>
      <c r="BQ231" s="4" t="e">
        <f>Table2[[#This Row],[final_obs_date2]]&gt;Table2[[#This Row],[estHD]]+3</f>
        <v>#VALUE!</v>
      </c>
      <c r="BR231" s="4" t="s">
        <v>66</v>
      </c>
      <c r="BS231" s="4" t="s">
        <v>53</v>
      </c>
      <c r="BT231" s="79" t="s">
        <v>1142</v>
      </c>
      <c r="BU231" s="26" t="s">
        <v>222</v>
      </c>
      <c r="BV231" s="79" t="s">
        <v>1531</v>
      </c>
      <c r="BW231" s="49"/>
      <c r="BX231" s="47"/>
      <c r="BY231" s="36" t="s">
        <v>619</v>
      </c>
    </row>
    <row r="232" spans="1:77" ht="18.5" hidden="1" x14ac:dyDescent="0.35">
      <c r="A232" s="62">
        <v>10313</v>
      </c>
      <c r="B232" s="2" t="s">
        <v>22</v>
      </c>
      <c r="C232" s="44">
        <v>2019</v>
      </c>
      <c r="D232" s="3">
        <v>29.67248</v>
      </c>
      <c r="E232" s="3">
        <v>-92.858360000000005</v>
      </c>
      <c r="F232" s="3">
        <v>10</v>
      </c>
      <c r="G232" s="3">
        <v>10</v>
      </c>
      <c r="H232" s="3" t="s">
        <v>26</v>
      </c>
      <c r="I232" s="43"/>
      <c r="J232" s="55" t="s">
        <v>24</v>
      </c>
      <c r="K232" s="4" t="s">
        <v>24</v>
      </c>
      <c r="L232" s="22" t="str">
        <f>IF(ISNUMBER(Table2[[#This Row],[estHD]]),ABS(Table2[[#This Row],[HD]]-Table2[[#This Row],[estHD]]),"NA")</f>
        <v>NA</v>
      </c>
      <c r="M232" s="4" t="b">
        <f>Table2[[#This Row],[HD]]=Table2[[#This Row],[estHD]]</f>
        <v>1</v>
      </c>
      <c r="N232" s="4" t="str">
        <f>IF(ISNUMBER([1]!Table2[[#This Row],[hatch_date]]), [1]!Table2[[#This Row],[hatch_date]]-16, "NA")</f>
        <v>NA</v>
      </c>
      <c r="O232" s="31" t="s">
        <v>24</v>
      </c>
      <c r="P232" s="23" t="str">
        <f>IF(ISNUMBER(Table2[[#This Row],[nest_age1]]),ABS(Table2[[#This Row],[nest_age1]]-Table2[[#This Row],[nest_age_feb]]),"NA")</f>
        <v>NA</v>
      </c>
      <c r="Q232" s="24">
        <f>IF(ISNUMBER(Table2[[#This Row],[final_obs_int2]]),ABS(Table2[[#This Row],[final_obs_int2]]-Table2[[#This Row],[final_obs_int_feb]]), "NA")</f>
        <v>0</v>
      </c>
      <c r="R232" s="24"/>
      <c r="S232" s="57" t="s">
        <v>88</v>
      </c>
      <c r="T232" s="57" t="str">
        <f>Table2[[#This Row],[camera_old]]</f>
        <v>N</v>
      </c>
      <c r="U232" s="24"/>
      <c r="V232" s="16" t="s">
        <v>24</v>
      </c>
      <c r="W232" s="16" t="s">
        <v>24</v>
      </c>
      <c r="X232" s="145">
        <v>4</v>
      </c>
      <c r="Y232" s="147" t="s">
        <v>36</v>
      </c>
      <c r="Z232" s="146" t="s">
        <v>36</v>
      </c>
      <c r="AA232" s="4" t="str">
        <f>Table2[[#This Row],[field_fate]]</f>
        <v>A</v>
      </c>
      <c r="AB232" s="4" t="str">
        <f>Table2[[#This Row],[field_fate2]]</f>
        <v>A</v>
      </c>
      <c r="AC232" s="4" t="str">
        <f>Table2[[#This Row],[field_fate3]]</f>
        <v>A</v>
      </c>
      <c r="AD232" s="4" t="str">
        <f>Table2[[#This Row],[field_fate4]]</f>
        <v>A</v>
      </c>
      <c r="AE232" s="4" t="str">
        <f>Table2[[#This Row],[field_fate5]]</f>
        <v>A</v>
      </c>
      <c r="AF232" s="4" t="str">
        <f>Table2[[#This Row],[field_fate5]]</f>
        <v>A</v>
      </c>
      <c r="AG232" s="4" t="str">
        <f>Table2[[#This Row],[field_fate5]]</f>
        <v>A</v>
      </c>
      <c r="AH232" s="4" t="str">
        <f>Table2[[#This Row],[field_fate2]]</f>
        <v>A</v>
      </c>
      <c r="AI232" s="4" t="str">
        <f>Table2[[#This Row],[field_fate8]]</f>
        <v>A</v>
      </c>
      <c r="AJ232" s="4" t="str">
        <f>Table2[[#This Row],[field_fate10]]</f>
        <v>A</v>
      </c>
      <c r="AK232" s="4" t="b">
        <f>Table2[[#This Row],[field_fate_feb]]=Table2[[#This Row],[field_fate10]]</f>
        <v>1</v>
      </c>
      <c r="AL232" s="43" t="s">
        <v>24</v>
      </c>
      <c r="AM232" s="43" t="b">
        <f>Table2[[#This Row],[cam_fate2]]="NA"</f>
        <v>1</v>
      </c>
      <c r="AN232" s="19" t="str">
        <f>Table2[[#This Row],[cam_fate1]]</f>
        <v>NA</v>
      </c>
      <c r="AO232" s="2" t="s">
        <v>36</v>
      </c>
      <c r="AP232" s="5" t="str">
        <f>Table2[[#This Row],[final_fate1]]</f>
        <v>A</v>
      </c>
      <c r="AQ232" s="6" t="s">
        <v>24</v>
      </c>
      <c r="AR232" s="7" t="s">
        <v>24</v>
      </c>
      <c r="AS232" s="7" t="e">
        <f>Table2[[#This Row],[final_obs_date]]-Table2[[#This Row],[init_date]]</f>
        <v>#VALUE!</v>
      </c>
      <c r="AT232" s="7" t="e">
        <f>(Table2[[#This Row],[final_obs_date2]]-Table2[[#This Row],[estHD]])+16</f>
        <v>#VALUE!</v>
      </c>
      <c r="AU232" s="38">
        <v>4</v>
      </c>
      <c r="AV232" s="33">
        <v>4</v>
      </c>
      <c r="AW232" s="33">
        <f>Table2[[#This Row],[final_obs_date2]]-Table2[[#This Row],[pen_obs_date]]</f>
        <v>73</v>
      </c>
      <c r="AX232" s="67">
        <v>73</v>
      </c>
      <c r="AY232" s="6">
        <f>Table2[[#This Row],[final_obs_date]]</f>
        <v>73</v>
      </c>
      <c r="AZ232" s="6"/>
      <c r="BA232" s="91" t="s">
        <v>60</v>
      </c>
      <c r="BB232" s="6" t="e">
        <f>Table2[[#This Row],[final_obs_date]]&lt;(Table2[[#This Row],[estHD]]-2)</f>
        <v>#VALUE!</v>
      </c>
      <c r="BC232" s="24">
        <f>IF(Table2[[#This Row],[field_fate]]="H",1,0)</f>
        <v>0</v>
      </c>
      <c r="BD232" s="16">
        <f>IF(Table2[[#This Row],[cam_fate2]]="H",1,0)</f>
        <v>0</v>
      </c>
      <c r="BE232" s="6" t="b">
        <f>NOT(Table2[[#This Row],[HF_C]]=Table2[[#This Row],[HF]])</f>
        <v>0</v>
      </c>
      <c r="BF232" s="6" t="b">
        <f>NOT(Table2[[#This Row],[cam_fate2]]=Table2[[#This Row],[field_fate3]])</f>
        <v>1</v>
      </c>
      <c r="BG232" s="6" t="b">
        <f>OR(Table2[[#This Row],[field_fate3]]="U",Table2[[#This Row],[field_fate3]]="U-H")</f>
        <v>0</v>
      </c>
      <c r="BH232" s="8">
        <v>69</v>
      </c>
      <c r="BI232" s="8">
        <v>69</v>
      </c>
      <c r="BJ232" s="14">
        <f>IF(ISTEXT(Table2[[#This Row],[j.cam]]),Table2[[#This Row],[j]],Table2[[#This Row],[j.cam]])</f>
        <v>69</v>
      </c>
      <c r="BK232" s="9">
        <v>73</v>
      </c>
      <c r="BL232" s="15">
        <f>IF(ISTEXT(Table2[[#This Row],[k.cam]]), Table2[[#This Row],[k]], Table2[[#This Row],[k.cam]])</f>
        <v>73</v>
      </c>
      <c r="BM232" s="4" t="s">
        <v>24</v>
      </c>
      <c r="BN232" s="8" t="s">
        <v>24</v>
      </c>
      <c r="BO232" s="4">
        <v>2</v>
      </c>
      <c r="BP232" s="4">
        <f>Table2[[#This Row],[final_obs_date]]-Table2[[#This Row],[i]]</f>
        <v>4</v>
      </c>
      <c r="BQ232" s="4" t="e">
        <f>Table2[[#This Row],[final_obs_date2]]&gt;Table2[[#This Row],[estHD]]+3</f>
        <v>#VALUE!</v>
      </c>
      <c r="BR232" s="4" t="s">
        <v>58</v>
      </c>
      <c r="BS232" s="4" t="s">
        <v>58</v>
      </c>
      <c r="BT232" s="79" t="s">
        <v>1075</v>
      </c>
      <c r="BU232" s="26" t="s">
        <v>223</v>
      </c>
      <c r="BV232" s="79" t="s">
        <v>1429</v>
      </c>
      <c r="BW232" s="49"/>
      <c r="BX232" s="47"/>
      <c r="BY232" s="36" t="s">
        <v>620</v>
      </c>
    </row>
    <row r="233" spans="1:77" ht="18.5" hidden="1" x14ac:dyDescent="0.35">
      <c r="A233" s="62">
        <v>10314</v>
      </c>
      <c r="B233" s="2" t="s">
        <v>22</v>
      </c>
      <c r="C233" s="44">
        <v>2019</v>
      </c>
      <c r="D233" s="3">
        <v>29.668600000000001</v>
      </c>
      <c r="E233" s="3">
        <v>-92.847239999999999</v>
      </c>
      <c r="F233" s="3">
        <v>5</v>
      </c>
      <c r="G233" s="3">
        <v>5</v>
      </c>
      <c r="H233" s="3" t="s">
        <v>26</v>
      </c>
      <c r="I233" s="43"/>
      <c r="J233" s="55">
        <v>91</v>
      </c>
      <c r="K233" s="4">
        <v>91</v>
      </c>
      <c r="L233" s="22">
        <f>IF(ISNUMBER(Table2[[#This Row],[estHD]]),ABS(Table2[[#This Row],[HD]]-Table2[[#This Row],[estHD]]),"NA")</f>
        <v>0</v>
      </c>
      <c r="M233" s="4" t="b">
        <f>Table2[[#This Row],[HD]]=Table2[[#This Row],[estHD]]</f>
        <v>1</v>
      </c>
      <c r="N233" s="4" t="str">
        <f>IF(ISNUMBER([1]!Table2[[#This Row],[hatch_date]]), [1]!Table2[[#This Row],[hatch_date]]-28, "NA")</f>
        <v>NA</v>
      </c>
      <c r="O233" s="31">
        <v>63</v>
      </c>
      <c r="P233" s="23">
        <f>IF(ISNUMBER(Table2[[#This Row],[nest_age1]]),ABS(Table2[[#This Row],[nest_age1]]-Table2[[#This Row],[nest_age_feb]]),"NA")</f>
        <v>0</v>
      </c>
      <c r="Q233" s="24">
        <f>IF(ISNUMBER(Table2[[#This Row],[final_obs_int2]]),ABS(Table2[[#This Row],[final_obs_int2]]-Table2[[#This Row],[final_obs_int_feb]]), "NA")</f>
        <v>0</v>
      </c>
      <c r="R233" s="24"/>
      <c r="S233" s="57" t="s">
        <v>88</v>
      </c>
      <c r="T233" s="57" t="str">
        <f>Table2[[#This Row],[camera_old]]</f>
        <v>N</v>
      </c>
      <c r="U233" s="24"/>
      <c r="V233" s="16" t="s">
        <v>24</v>
      </c>
      <c r="W233" s="16">
        <v>16</v>
      </c>
      <c r="X233" s="145">
        <v>6</v>
      </c>
      <c r="Y233" s="147" t="s">
        <v>91</v>
      </c>
      <c r="Z233" s="146" t="s">
        <v>91</v>
      </c>
      <c r="AA233" s="4" t="str">
        <f>Table2[[#This Row],[field_fate]]</f>
        <v>Hu</v>
      </c>
      <c r="AB233" s="4" t="str">
        <f>Table2[[#This Row],[field_fate2]]</f>
        <v>Hu</v>
      </c>
      <c r="AC233" s="4" t="str">
        <f>Table2[[#This Row],[field_fate3]]</f>
        <v>Hu</v>
      </c>
      <c r="AD233" s="4" t="str">
        <f>Table2[[#This Row],[field_fate4]]</f>
        <v>Hu</v>
      </c>
      <c r="AE233" s="4" t="str">
        <f>Table2[[#This Row],[field_fate5]]</f>
        <v>Hu</v>
      </c>
      <c r="AF233" s="4" t="str">
        <f>Table2[[#This Row],[field_fate5]]</f>
        <v>Hu</v>
      </c>
      <c r="AG233" s="4" t="str">
        <f>Table2[[#This Row],[field_fate5]]</f>
        <v>Hu</v>
      </c>
      <c r="AH233" s="4" t="str">
        <f>Table2[[#This Row],[field_fate2]]</f>
        <v>Hu</v>
      </c>
      <c r="AI233" s="4" t="str">
        <f>Table2[[#This Row],[field_fate8]]</f>
        <v>Hu</v>
      </c>
      <c r="AJ233" s="4" t="str">
        <f>Table2[[#This Row],[field_fate10]]</f>
        <v>Hu</v>
      </c>
      <c r="AK233" s="4" t="b">
        <f>Table2[[#This Row],[field_fate_feb]]=Table2[[#This Row],[field_fate10]]</f>
        <v>1</v>
      </c>
      <c r="AL233" s="43" t="s">
        <v>24</v>
      </c>
      <c r="AM233" s="43" t="b">
        <f>Table2[[#This Row],[cam_fate2]]="NA"</f>
        <v>1</v>
      </c>
      <c r="AN233" s="19" t="str">
        <f>Table2[[#This Row],[cam_fate1]]</f>
        <v>NA</v>
      </c>
      <c r="AO233" s="2" t="s">
        <v>91</v>
      </c>
      <c r="AP233" s="5" t="str">
        <f>Table2[[#This Row],[final_fate1]]</f>
        <v>Hu</v>
      </c>
      <c r="AQ233" s="6">
        <v>16</v>
      </c>
      <c r="AR233" s="7">
        <v>16</v>
      </c>
      <c r="AS233" s="7">
        <f>Table2[[#This Row],[final_obs_date]]-Table2[[#This Row],[init_date]]</f>
        <v>16</v>
      </c>
      <c r="AT233" s="7">
        <f>(Table2[[#This Row],[final_obs_date2]]-Table2[[#This Row],[estHD]])+16</f>
        <v>4</v>
      </c>
      <c r="AU233" s="38">
        <v>6</v>
      </c>
      <c r="AV233" s="33">
        <v>6</v>
      </c>
      <c r="AW233" s="33">
        <f>Table2[[#This Row],[final_obs_date2]]-Table2[[#This Row],[pen_obs_date]]</f>
        <v>79</v>
      </c>
      <c r="AX233" s="67">
        <v>79</v>
      </c>
      <c r="AY233" s="6">
        <f>Table2[[#This Row],[final_obs_date]]</f>
        <v>79</v>
      </c>
      <c r="AZ233" s="6"/>
      <c r="BA233" s="91" t="s">
        <v>23</v>
      </c>
      <c r="BB233" s="6" t="b">
        <f>Table2[[#This Row],[final_obs_date]]&lt;(Table2[[#This Row],[estHD]]-2)</f>
        <v>1</v>
      </c>
      <c r="BC233" s="24">
        <f>IF(Table2[[#This Row],[field_fate]]="H",1,0)</f>
        <v>0</v>
      </c>
      <c r="BD233" s="16">
        <f>IF(Table2[[#This Row],[cam_fate2]]="H",1,0)</f>
        <v>0</v>
      </c>
      <c r="BE233" s="6" t="b">
        <f>NOT(Table2[[#This Row],[HF_C]]=Table2[[#This Row],[HF]])</f>
        <v>0</v>
      </c>
      <c r="BF233" s="6" t="b">
        <f>NOT(Table2[[#This Row],[cam_fate2]]=Table2[[#This Row],[field_fate3]])</f>
        <v>1</v>
      </c>
      <c r="BG233" s="6" t="b">
        <f>OR(Table2[[#This Row],[field_fate3]]="U",Table2[[#This Row],[field_fate3]]="U-H")</f>
        <v>0</v>
      </c>
      <c r="BH233" s="8">
        <v>69</v>
      </c>
      <c r="BI233" s="8">
        <v>79</v>
      </c>
      <c r="BJ233" s="14">
        <f>IF(ISTEXT(Table2[[#This Row],[j.cam]]),Table2[[#This Row],[j]],Table2[[#This Row],[j.cam]])</f>
        <v>79</v>
      </c>
      <c r="BK233" s="9">
        <v>79</v>
      </c>
      <c r="BL233" s="15">
        <f>IF(ISTEXT(Table2[[#This Row],[k.cam]]), Table2[[#This Row],[k]], Table2[[#This Row],[k.cam]])</f>
        <v>79</v>
      </c>
      <c r="BM233" s="4" t="s">
        <v>24</v>
      </c>
      <c r="BN233" s="8" t="s">
        <v>24</v>
      </c>
      <c r="BO233" s="4">
        <v>3</v>
      </c>
      <c r="BP233" s="4">
        <f>Table2[[#This Row],[final_obs_date]]-Table2[[#This Row],[i]]</f>
        <v>10</v>
      </c>
      <c r="BQ233" s="4" t="b">
        <f>Table2[[#This Row],[final_obs_date2]]&gt;Table2[[#This Row],[estHD]]+3</f>
        <v>0</v>
      </c>
      <c r="BR233" s="4" t="s">
        <v>27</v>
      </c>
      <c r="BS233" s="4" t="s">
        <v>27</v>
      </c>
      <c r="BT233" s="79" t="s">
        <v>1143</v>
      </c>
      <c r="BU233" s="26" t="s">
        <v>224</v>
      </c>
      <c r="BV233" s="79" t="s">
        <v>1532</v>
      </c>
      <c r="BW233" s="49"/>
      <c r="BX233" s="47"/>
      <c r="BY233" s="36" t="s">
        <v>621</v>
      </c>
    </row>
    <row r="234" spans="1:77" hidden="1" x14ac:dyDescent="0.35">
      <c r="A234" s="62">
        <v>10315</v>
      </c>
      <c r="B234" s="2" t="s">
        <v>159</v>
      </c>
      <c r="C234" s="44">
        <v>2019</v>
      </c>
      <c r="D234" s="3">
        <v>29.76914</v>
      </c>
      <c r="E234" s="3">
        <v>-93.443950000000001</v>
      </c>
      <c r="F234" s="3">
        <v>40</v>
      </c>
      <c r="G234" s="3">
        <v>30</v>
      </c>
      <c r="H234" s="3" t="s">
        <v>26</v>
      </c>
      <c r="I234" s="43"/>
      <c r="J234" s="55">
        <v>83</v>
      </c>
      <c r="K234" s="4">
        <v>83</v>
      </c>
      <c r="L234" s="22">
        <f>IF(ISNUMBER(Table2[[#This Row],[estHD]]),ABS(Table2[[#This Row],[HD]]-Table2[[#This Row],[estHD]]),"NA")</f>
        <v>0</v>
      </c>
      <c r="M234" s="4" t="b">
        <f>Table2[[#This Row],[HD]]=Table2[[#This Row],[estHD]]</f>
        <v>1</v>
      </c>
      <c r="N234" s="4" t="str">
        <f>IF(ISNUMBER([1]!Table2[[#This Row],[hatch_date]]), [1]!Table2[[#This Row],[hatch_date]]-16, "NA")</f>
        <v>NA</v>
      </c>
      <c r="O234" s="31">
        <v>67</v>
      </c>
      <c r="P234" s="23">
        <f>IF(ISNUMBER(Table2[[#This Row],[nest_age1]]),ABS(Table2[[#This Row],[nest_age1]]-Table2[[#This Row],[nest_age_feb]]),"NA")</f>
        <v>0</v>
      </c>
      <c r="Q234" s="24">
        <f>IF(ISNUMBER(Table2[[#This Row],[final_obs_int2]]),ABS(Table2[[#This Row],[final_obs_int2]]-Table2[[#This Row],[final_obs_int_feb]]), "NA")</f>
        <v>0</v>
      </c>
      <c r="R234" s="24"/>
      <c r="S234" s="57" t="s">
        <v>88</v>
      </c>
      <c r="T234" s="57" t="str">
        <f>Table2[[#This Row],[camera_old]]</f>
        <v>N</v>
      </c>
      <c r="U234" s="24"/>
      <c r="V234" s="16" t="s">
        <v>24</v>
      </c>
      <c r="W234" s="16">
        <v>11</v>
      </c>
      <c r="X234" s="145">
        <v>8</v>
      </c>
      <c r="Y234" s="147" t="s">
        <v>48</v>
      </c>
      <c r="Z234" s="146" t="s">
        <v>48</v>
      </c>
      <c r="AA234" s="4" t="str">
        <f>Table2[[#This Row],[field_fate]]</f>
        <v>F</v>
      </c>
      <c r="AB234" s="4" t="str">
        <f>Table2[[#This Row],[field_fate2]]</f>
        <v>F</v>
      </c>
      <c r="AC234" s="4" t="str">
        <f>Table2[[#This Row],[field_fate3]]</f>
        <v>F</v>
      </c>
      <c r="AD234" s="4" t="str">
        <f>Table2[[#This Row],[field_fate4]]</f>
        <v>F</v>
      </c>
      <c r="AE234" s="4" t="str">
        <f>Table2[[#This Row],[field_fate5]]</f>
        <v>F</v>
      </c>
      <c r="AF234" s="4" t="str">
        <f>Table2[[#This Row],[field_fate5]]</f>
        <v>F</v>
      </c>
      <c r="AG234" s="4" t="str">
        <f>Table2[[#This Row],[field_fate5]]</f>
        <v>F</v>
      </c>
      <c r="AH234" s="4" t="str">
        <f>Table2[[#This Row],[field_fate2]]</f>
        <v>F</v>
      </c>
      <c r="AI234" s="4" t="str">
        <f>Table2[[#This Row],[field_fate8]]</f>
        <v>F</v>
      </c>
      <c r="AJ234" s="4" t="str">
        <f>Table2[[#This Row],[field_fate10]]</f>
        <v>F</v>
      </c>
      <c r="AK234" s="4" t="b">
        <f>Table2[[#This Row],[field_fate_feb]]=Table2[[#This Row],[field_fate10]]</f>
        <v>1</v>
      </c>
      <c r="AL234" s="43" t="s">
        <v>24</v>
      </c>
      <c r="AM234" s="43" t="b">
        <f>Table2[[#This Row],[cam_fate2]]="NA"</f>
        <v>1</v>
      </c>
      <c r="AN234" s="19" t="str">
        <f>Table2[[#This Row],[cam_fate1]]</f>
        <v>NA</v>
      </c>
      <c r="AO234" s="2" t="s">
        <v>48</v>
      </c>
      <c r="AP234" s="5" t="str">
        <f>Table2[[#This Row],[final_fate1]]</f>
        <v>F</v>
      </c>
      <c r="AQ234" s="6">
        <v>11</v>
      </c>
      <c r="AR234" s="7">
        <v>11</v>
      </c>
      <c r="AS234" s="7">
        <f>Table2[[#This Row],[final_obs_date]]-Table2[[#This Row],[init_date]]</f>
        <v>11</v>
      </c>
      <c r="AT234" s="7">
        <f>(Table2[[#This Row],[final_obs_date2]]-Table2[[#This Row],[estHD]])+16</f>
        <v>11</v>
      </c>
      <c r="AU234" s="38">
        <v>8</v>
      </c>
      <c r="AV234" s="33">
        <v>8</v>
      </c>
      <c r="AW234" s="33">
        <f>Table2[[#This Row],[final_obs_date2]]-Table2[[#This Row],[pen_obs_date]]</f>
        <v>78</v>
      </c>
      <c r="AX234" s="67">
        <v>78</v>
      </c>
      <c r="AY234" s="6">
        <f>Table2[[#This Row],[final_obs_date]]</f>
        <v>78</v>
      </c>
      <c r="AZ234" s="6"/>
      <c r="BA234" s="91" t="s">
        <v>60</v>
      </c>
      <c r="BB234" s="6" t="b">
        <f>Table2[[#This Row],[final_obs_date]]&lt;(Table2[[#This Row],[estHD]]-2)</f>
        <v>1</v>
      </c>
      <c r="BC234" s="24">
        <f>IF(Table2[[#This Row],[field_fate]]="H",1,0)</f>
        <v>0</v>
      </c>
      <c r="BD234" s="16">
        <f>IF(Table2[[#This Row],[cam_fate2]]="H",1,0)</f>
        <v>0</v>
      </c>
      <c r="BE234" s="6" t="b">
        <f>NOT(Table2[[#This Row],[HF_C]]=Table2[[#This Row],[HF]])</f>
        <v>0</v>
      </c>
      <c r="BF234" s="6" t="b">
        <f>NOT(Table2[[#This Row],[cam_fate2]]=Table2[[#This Row],[field_fate3]])</f>
        <v>1</v>
      </c>
      <c r="BG234" s="6" t="b">
        <f>OR(Table2[[#This Row],[field_fate3]]="U",Table2[[#This Row],[field_fate3]]="U-H")</f>
        <v>0</v>
      </c>
      <c r="BH234" s="8">
        <v>70</v>
      </c>
      <c r="BI234" s="8">
        <v>70</v>
      </c>
      <c r="BJ234" s="14">
        <f>IF(ISTEXT(Table2[[#This Row],[j.cam]]),Table2[[#This Row],[j]],Table2[[#This Row],[j.cam]])</f>
        <v>70</v>
      </c>
      <c r="BK234" s="9">
        <v>78</v>
      </c>
      <c r="BL234" s="15">
        <f>IF(ISTEXT(Table2[[#This Row],[k.cam]]), Table2[[#This Row],[k]], Table2[[#This Row],[k.cam]])</f>
        <v>78</v>
      </c>
      <c r="BM234" s="4" t="s">
        <v>24</v>
      </c>
      <c r="BN234" s="8" t="s">
        <v>24</v>
      </c>
      <c r="BO234" s="4">
        <v>2</v>
      </c>
      <c r="BP234" s="4">
        <f>Table2[[#This Row],[final_obs_date]]-Table2[[#This Row],[i]]</f>
        <v>8</v>
      </c>
      <c r="BQ234" s="4" t="b">
        <f>Table2[[#This Row],[final_obs_date2]]&gt;Table2[[#This Row],[estHD]]+3</f>
        <v>0</v>
      </c>
      <c r="BR234" s="4" t="s">
        <v>33</v>
      </c>
      <c r="BS234" s="4" t="s">
        <v>45</v>
      </c>
      <c r="BT234" s="79" t="s">
        <v>1144</v>
      </c>
      <c r="BU234" s="26" t="s">
        <v>87</v>
      </c>
      <c r="BV234" s="79" t="s">
        <v>1427</v>
      </c>
      <c r="BW234" s="49"/>
      <c r="BX234" s="47"/>
      <c r="BY234" s="36" t="s">
        <v>622</v>
      </c>
    </row>
    <row r="235" spans="1:77" hidden="1" x14ac:dyDescent="0.35">
      <c r="A235" s="62">
        <v>10316</v>
      </c>
      <c r="B235" s="2" t="s">
        <v>159</v>
      </c>
      <c r="C235" s="44">
        <v>2019</v>
      </c>
      <c r="D235" s="3">
        <v>29.768789999999999</v>
      </c>
      <c r="E235" s="3">
        <v>-93.438980000000001</v>
      </c>
      <c r="F235" s="3">
        <v>0</v>
      </c>
      <c r="G235" s="3">
        <v>0</v>
      </c>
      <c r="H235" s="3" t="s">
        <v>26</v>
      </c>
      <c r="I235" s="43"/>
      <c r="J235" s="55" t="s">
        <v>24</v>
      </c>
      <c r="K235" s="4" t="s">
        <v>24</v>
      </c>
      <c r="L235" s="22" t="str">
        <f>IF(ISNUMBER(Table2[[#This Row],[estHD]]),ABS(Table2[[#This Row],[HD]]-Table2[[#This Row],[estHD]]),"NA")</f>
        <v>NA</v>
      </c>
      <c r="M235" s="4" t="b">
        <f>Table2[[#This Row],[HD]]=Table2[[#This Row],[estHD]]</f>
        <v>1</v>
      </c>
      <c r="N235" s="4" t="str">
        <f>IF(ISNUMBER([1]!Table2[[#This Row],[hatch_date]]),[1]!Table2[[#This Row],[hatch_date]]-19,"NA")</f>
        <v>NA</v>
      </c>
      <c r="O235" s="31" t="s">
        <v>24</v>
      </c>
      <c r="P235" s="23" t="str">
        <f>IF(ISNUMBER(Table2[[#This Row],[nest_age1]]),ABS(Table2[[#This Row],[nest_age1]]-Table2[[#This Row],[nest_age_feb]]),"NA")</f>
        <v>NA</v>
      </c>
      <c r="Q235" s="24">
        <f>IF(ISNUMBER(Table2[[#This Row],[final_obs_int2]]),ABS(Table2[[#This Row],[final_obs_int2]]-Table2[[#This Row],[final_obs_int_feb]]), "NA")</f>
        <v>0</v>
      </c>
      <c r="R235" s="24"/>
      <c r="S235" s="57" t="s">
        <v>88</v>
      </c>
      <c r="T235" s="57" t="str">
        <f>Table2[[#This Row],[camera_old]]</f>
        <v>N</v>
      </c>
      <c r="U235" s="24"/>
      <c r="V235" s="16" t="s">
        <v>24</v>
      </c>
      <c r="W235" s="16" t="s">
        <v>24</v>
      </c>
      <c r="X235" s="145">
        <v>8</v>
      </c>
      <c r="Y235" s="147" t="s">
        <v>31</v>
      </c>
      <c r="Z235" s="146" t="s">
        <v>31</v>
      </c>
      <c r="AA235" s="4" t="str">
        <f>Table2[[#This Row],[field_fate]]</f>
        <v>D</v>
      </c>
      <c r="AB235" s="4" t="str">
        <f>Table2[[#This Row],[field_fate2]]</f>
        <v>D</v>
      </c>
      <c r="AC235" s="4" t="str">
        <f>Table2[[#This Row],[field_fate3]]</f>
        <v>D</v>
      </c>
      <c r="AD235" s="4" t="str">
        <f>Table2[[#This Row],[field_fate4]]</f>
        <v>D</v>
      </c>
      <c r="AE235" s="4" t="str">
        <f>Table2[[#This Row],[field_fate5]]</f>
        <v>D</v>
      </c>
      <c r="AF235" s="4" t="str">
        <f>Table2[[#This Row],[field_fate5]]</f>
        <v>D</v>
      </c>
      <c r="AG235" s="4" t="str">
        <f>Table2[[#This Row],[field_fate5]]</f>
        <v>D</v>
      </c>
      <c r="AH235" s="4" t="str">
        <f>Table2[[#This Row],[field_fate2]]</f>
        <v>D</v>
      </c>
      <c r="AI235" s="4" t="str">
        <f>Table2[[#This Row],[field_fate8]]</f>
        <v>D</v>
      </c>
      <c r="AJ235" s="4" t="str">
        <f>Table2[[#This Row],[field_fate10]]</f>
        <v>D</v>
      </c>
      <c r="AK235" s="4" t="b">
        <f>Table2[[#This Row],[field_fate_feb]]=Table2[[#This Row],[field_fate10]]</f>
        <v>1</v>
      </c>
      <c r="AL235" s="43" t="s">
        <v>24</v>
      </c>
      <c r="AM235" s="43" t="b">
        <f>Table2[[#This Row],[cam_fate2]]="NA"</f>
        <v>1</v>
      </c>
      <c r="AN235" s="19" t="str">
        <f>Table2[[#This Row],[cam_fate1]]</f>
        <v>NA</v>
      </c>
      <c r="AO235" s="2" t="s">
        <v>31</v>
      </c>
      <c r="AP235" s="5" t="str">
        <f>Table2[[#This Row],[final_fate1]]</f>
        <v>D</v>
      </c>
      <c r="AQ235" s="6" t="s">
        <v>24</v>
      </c>
      <c r="AR235" s="7" t="s">
        <v>24</v>
      </c>
      <c r="AS235" s="7" t="e">
        <f>Table2[[#This Row],[final_obs_date]]-Table2[[#This Row],[init_date]]</f>
        <v>#VALUE!</v>
      </c>
      <c r="AT235" s="7" t="e">
        <f>(Table2[[#This Row],[final_obs_date2]]-Table2[[#This Row],[estHD]])+16</f>
        <v>#VALUE!</v>
      </c>
      <c r="AU235" s="38">
        <v>8</v>
      </c>
      <c r="AV235" s="33">
        <v>8</v>
      </c>
      <c r="AW235" s="33">
        <f>Table2[[#This Row],[final_obs_date2]]-Table2[[#This Row],[pen_obs_date]]</f>
        <v>78</v>
      </c>
      <c r="AX235" s="67">
        <v>78</v>
      </c>
      <c r="AY235" s="6">
        <f>Table2[[#This Row],[final_obs_date]]</f>
        <v>78</v>
      </c>
      <c r="AZ235" s="6"/>
      <c r="BA235" s="91" t="s">
        <v>47</v>
      </c>
      <c r="BB235" s="6" t="e">
        <f>Table2[[#This Row],[final_obs_date]]&lt;(Table2[[#This Row],[estHD]]-2)</f>
        <v>#VALUE!</v>
      </c>
      <c r="BC235" s="24">
        <f>IF(Table2[[#This Row],[field_fate]]="H",1,0)</f>
        <v>0</v>
      </c>
      <c r="BD235" s="16">
        <f>IF(Table2[[#This Row],[cam_fate2]]="H",1,0)</f>
        <v>0</v>
      </c>
      <c r="BE235" s="6" t="b">
        <f>NOT(Table2[[#This Row],[HF_C]]=Table2[[#This Row],[HF]])</f>
        <v>0</v>
      </c>
      <c r="BF235" s="6" t="b">
        <f>NOT(Table2[[#This Row],[cam_fate2]]=Table2[[#This Row],[field_fate3]])</f>
        <v>1</v>
      </c>
      <c r="BG235" s="6" t="b">
        <f>OR(Table2[[#This Row],[field_fate3]]="U",Table2[[#This Row],[field_fate3]]="U-H")</f>
        <v>0</v>
      </c>
      <c r="BH235" s="8">
        <v>70</v>
      </c>
      <c r="BI235" s="8">
        <v>70</v>
      </c>
      <c r="BJ235" s="14">
        <f>IF(ISTEXT(Table2[[#This Row],[j.cam]]),Table2[[#This Row],[j]],Table2[[#This Row],[j.cam]])</f>
        <v>70</v>
      </c>
      <c r="BK235" s="9">
        <v>78</v>
      </c>
      <c r="BL235" s="15">
        <f>IF(ISTEXT(Table2[[#This Row],[k.cam]]), Table2[[#This Row],[k]], Table2[[#This Row],[k.cam]])</f>
        <v>78</v>
      </c>
      <c r="BM235" s="4" t="s">
        <v>24</v>
      </c>
      <c r="BN235" s="8" t="s">
        <v>24</v>
      </c>
      <c r="BO235" s="4">
        <v>2</v>
      </c>
      <c r="BP235" s="4">
        <f>Table2[[#This Row],[final_obs_date]]-Table2[[#This Row],[i]]</f>
        <v>8</v>
      </c>
      <c r="BQ235" s="4" t="e">
        <f>Table2[[#This Row],[final_obs_date2]]&gt;Table2[[#This Row],[estHD]]+3</f>
        <v>#VALUE!</v>
      </c>
      <c r="BR235" s="4" t="s">
        <v>33</v>
      </c>
      <c r="BS235" s="4" t="s">
        <v>45</v>
      </c>
      <c r="BT235" s="79" t="s">
        <v>1144</v>
      </c>
      <c r="BU235" s="26" t="s">
        <v>87</v>
      </c>
      <c r="BV235" s="79" t="s">
        <v>1427</v>
      </c>
      <c r="BW235" s="49"/>
      <c r="BX235" s="47"/>
      <c r="BY235" s="36" t="s">
        <v>24</v>
      </c>
    </row>
    <row r="236" spans="1:77" ht="18.5" hidden="1" x14ac:dyDescent="0.35">
      <c r="A236" s="62">
        <v>10318</v>
      </c>
      <c r="B236" s="2" t="s">
        <v>35</v>
      </c>
      <c r="C236" s="44">
        <v>2019</v>
      </c>
      <c r="D236" s="3">
        <v>29.76632</v>
      </c>
      <c r="E236" s="3">
        <v>-93.157679999999999</v>
      </c>
      <c r="F236" s="3">
        <v>20</v>
      </c>
      <c r="G236" s="3">
        <v>20</v>
      </c>
      <c r="H236" s="3" t="s">
        <v>26</v>
      </c>
      <c r="I236" s="43"/>
      <c r="J236" s="55">
        <v>84</v>
      </c>
      <c r="K236" s="4">
        <v>82</v>
      </c>
      <c r="L236" s="22">
        <f>IF(ISNUMBER(Table2[[#This Row],[estHD]]),ABS(Table2[[#This Row],[HD]]-Table2[[#This Row],[estHD]]),"NA")</f>
        <v>2</v>
      </c>
      <c r="M236" s="4" t="b">
        <f>Table2[[#This Row],[HD]]=Table2[[#This Row],[estHD]]</f>
        <v>0</v>
      </c>
      <c r="N236" s="4" t="str">
        <f>IF(ISNUMBER([1]!Table2[[#This Row],[hatch_date]]), [1]!Table2[[#This Row],[hatch_date]]-28, "NA")</f>
        <v>NA</v>
      </c>
      <c r="O236" s="31">
        <v>54</v>
      </c>
      <c r="P236" s="23">
        <f>IF(ISNUMBER(Table2[[#This Row],[nest_age1]]),ABS(Table2[[#This Row],[nest_age1]]-Table2[[#This Row],[nest_age_feb]]),"NA")</f>
        <v>2</v>
      </c>
      <c r="Q236" s="24">
        <f>IF(ISNUMBER(Table2[[#This Row],[final_obs_int2]]),ABS(Table2[[#This Row],[final_obs_int2]]-Table2[[#This Row],[final_obs_int_feb]]), "NA")</f>
        <v>0</v>
      </c>
      <c r="R236" s="24"/>
      <c r="S236" s="20" t="s">
        <v>75</v>
      </c>
      <c r="T236" s="20" t="str">
        <f>Table2[[#This Row],[camera_old]]</f>
        <v>Y</v>
      </c>
      <c r="U236" s="22" t="s">
        <v>88</v>
      </c>
      <c r="V236" s="16" t="s">
        <v>37</v>
      </c>
      <c r="W236" s="16">
        <v>26</v>
      </c>
      <c r="X236" s="145">
        <v>1</v>
      </c>
      <c r="Y236" s="147" t="s">
        <v>37</v>
      </c>
      <c r="Z236" s="146" t="s">
        <v>37</v>
      </c>
      <c r="AA236" s="4" t="str">
        <f>Table2[[#This Row],[field_fate]]</f>
        <v>H</v>
      </c>
      <c r="AB236" s="4" t="str">
        <f>Table2[[#This Row],[field_fate2]]</f>
        <v>H</v>
      </c>
      <c r="AC236" s="4" t="str">
        <f>Table2[[#This Row],[field_fate3]]</f>
        <v>H</v>
      </c>
      <c r="AD236" s="4" t="str">
        <f>Table2[[#This Row],[field_fate4]]</f>
        <v>H</v>
      </c>
      <c r="AE236" s="4" t="str">
        <f>Table2[[#This Row],[field_fate5]]</f>
        <v>H</v>
      </c>
      <c r="AF236" s="4" t="str">
        <f>Table2[[#This Row],[field_fate5]]</f>
        <v>H</v>
      </c>
      <c r="AG236" s="4" t="str">
        <f>Table2[[#This Row],[field_fate5]]</f>
        <v>H</v>
      </c>
      <c r="AH236" s="4" t="str">
        <f>Table2[[#This Row],[field_fate2]]</f>
        <v>H</v>
      </c>
      <c r="AI236" s="4" t="str">
        <f>Table2[[#This Row],[field_fate8]]</f>
        <v>H</v>
      </c>
      <c r="AJ236" s="4" t="str">
        <f>Table2[[#This Row],[field_fate10]]</f>
        <v>H</v>
      </c>
      <c r="AK236" s="4" t="b">
        <f>Table2[[#This Row],[field_fate_feb]]=Table2[[#This Row],[field_fate10]]</f>
        <v>1</v>
      </c>
      <c r="AL236" s="43" t="s">
        <v>37</v>
      </c>
      <c r="AM236" s="43" t="b">
        <f>Table2[[#This Row],[cam_fate2]]="NA"</f>
        <v>0</v>
      </c>
      <c r="AN236" s="19" t="str">
        <f>Table2[[#This Row],[cam_fate1]]</f>
        <v>H</v>
      </c>
      <c r="AO236" s="2" t="s">
        <v>37</v>
      </c>
      <c r="AP236" s="5" t="str">
        <f>Table2[[#This Row],[final_fate1]]</f>
        <v>H</v>
      </c>
      <c r="AQ236" s="6">
        <v>28</v>
      </c>
      <c r="AR236" s="7">
        <v>26</v>
      </c>
      <c r="AS236" s="155">
        <f>Table2[[#This Row],[final_obs_date]]-Table2[[#This Row],[init_date]]</f>
        <v>28</v>
      </c>
      <c r="AT236" s="155">
        <f>(Table2[[#This Row],[final_obs_date2]]-Table2[[#This Row],[estHD]])+16</f>
        <v>14</v>
      </c>
      <c r="AU236" s="38">
        <v>1</v>
      </c>
      <c r="AV236" s="33">
        <v>1</v>
      </c>
      <c r="AW236" s="33">
        <f>Table2[[#This Row],[final_obs_date2]]-Table2[[#This Row],[pen_obs_date]]</f>
        <v>1</v>
      </c>
      <c r="AX236" s="67">
        <v>82</v>
      </c>
      <c r="AY236" s="6">
        <f>Table2[[#This Row],[final_obs_date]]</f>
        <v>82</v>
      </c>
      <c r="AZ236" s="6">
        <v>81</v>
      </c>
      <c r="BA236" s="91" t="s">
        <v>23</v>
      </c>
      <c r="BB236" s="6" t="b">
        <f>Table2[[#This Row],[final_obs_date]]&lt;(Table2[[#This Row],[estHD]]-2)</f>
        <v>0</v>
      </c>
      <c r="BC236" s="32">
        <f>IF(Table2[[#This Row],[field_fate]]="H",1,0)</f>
        <v>1</v>
      </c>
      <c r="BD236" s="16">
        <f>IF(Table2[[#This Row],[cam_fate2]]="H",1,0)</f>
        <v>1</v>
      </c>
      <c r="BE236" s="6" t="b">
        <f>NOT(Table2[[#This Row],[HF_C]]=Table2[[#This Row],[HF]])</f>
        <v>0</v>
      </c>
      <c r="BF236" s="6" t="b">
        <f>NOT(Table2[[#This Row],[cam_fate2]]=Table2[[#This Row],[field_fate3]])</f>
        <v>0</v>
      </c>
      <c r="BG236" s="6" t="b">
        <f>OR(Table2[[#This Row],[field_fate3]]="U",Table2[[#This Row],[field_fate3]]="U-H")</f>
        <v>0</v>
      </c>
      <c r="BH236" s="8">
        <v>71</v>
      </c>
      <c r="BI236" s="8">
        <v>82</v>
      </c>
      <c r="BJ236" s="14">
        <f>IF(ISTEXT(Table2[[#This Row],[j.cam]]),Table2[[#This Row],[j]],Table2[[#This Row],[j.cam]])</f>
        <v>82</v>
      </c>
      <c r="BK236" s="8">
        <v>82</v>
      </c>
      <c r="BL236" s="14">
        <f>IF(ISTEXT(Table2[[#This Row],[k.cam]]), Table2[[#This Row],[k]], Table2[[#This Row],[k.cam]])</f>
        <v>82</v>
      </c>
      <c r="BM236" s="4" t="s">
        <v>24</v>
      </c>
      <c r="BN236" s="8" t="s">
        <v>24</v>
      </c>
      <c r="BO236" s="4">
        <v>4</v>
      </c>
      <c r="BP236" s="4">
        <f>Table2[[#This Row],[final_obs_date]]-Table2[[#This Row],[i]]</f>
        <v>11</v>
      </c>
      <c r="BQ236" s="4" t="b">
        <f>Table2[[#This Row],[final_obs_date2]]&gt;Table2[[#This Row],[estHD]]+3</f>
        <v>0</v>
      </c>
      <c r="BR236" s="3" t="s">
        <v>123</v>
      </c>
      <c r="BS236" s="3" t="s">
        <v>155</v>
      </c>
      <c r="BT236" s="88" t="s">
        <v>1145</v>
      </c>
      <c r="BU236" s="26" t="s">
        <v>225</v>
      </c>
      <c r="BV236" s="79" t="s">
        <v>1533</v>
      </c>
      <c r="BW236" s="49"/>
      <c r="BX236" s="47"/>
      <c r="BY236" s="36" t="s">
        <v>623</v>
      </c>
    </row>
    <row r="237" spans="1:77" hidden="1" x14ac:dyDescent="0.35">
      <c r="A237" s="62">
        <v>10319</v>
      </c>
      <c r="B237" s="2" t="s">
        <v>35</v>
      </c>
      <c r="C237" s="44">
        <v>2019</v>
      </c>
      <c r="D237" s="3">
        <v>29.76211</v>
      </c>
      <c r="E237" s="3">
        <v>-93.137720000000002</v>
      </c>
      <c r="F237" s="3" t="s">
        <v>24</v>
      </c>
      <c r="G237" s="3" t="s">
        <v>24</v>
      </c>
      <c r="H237" s="3" t="s">
        <v>462</v>
      </c>
      <c r="I237" s="43"/>
      <c r="J237" s="116">
        <v>78</v>
      </c>
      <c r="K237" s="4">
        <v>80</v>
      </c>
      <c r="L237" s="22">
        <f>IF(ISNUMBER(Table2[[#This Row],[estHD]]),ABS(Table2[[#This Row],[HD]]-Table2[[#This Row],[estHD]]),"NA")</f>
        <v>2</v>
      </c>
      <c r="M237" s="4" t="b">
        <f>Table2[[#This Row],[HD]]=Table2[[#This Row],[estHD]]</f>
        <v>0</v>
      </c>
      <c r="N237" s="4">
        <f>IF(ISNUMBER(Table2[[#This Row],[HD]]),Table2[[#This Row],[HD]]-19,"NA")</f>
        <v>61</v>
      </c>
      <c r="O237" s="31">
        <v>61</v>
      </c>
      <c r="P237" s="23">
        <f>IF(ISNUMBER(Table2[[#This Row],[nest_age1]]),ABS(Table2[[#This Row],[nest_age1]]-Table2[[#This Row],[nest_age_feb]]),"NA")</f>
        <v>1</v>
      </c>
      <c r="Q237" s="24">
        <f>IF(ISNUMBER(Table2[[#This Row],[final_obs_int2]]),ABS(Table2[[#This Row],[final_obs_int2]]-Table2[[#This Row],[final_obs_int_feb]]), "NA")</f>
        <v>1</v>
      </c>
      <c r="R237" s="24">
        <f>(Table2[[#This Row],[k_adj]]-Table2[[#This Row],[estHD]])/Table2[[#This Row],[estHD]]</f>
        <v>2.564102564102564E-2</v>
      </c>
      <c r="S237" s="20" t="s">
        <v>75</v>
      </c>
      <c r="T237" s="20" t="str">
        <f>Table2[[#This Row],[camera_old]]</f>
        <v>Y</v>
      </c>
      <c r="U237" s="22" t="s">
        <v>88</v>
      </c>
      <c r="V237" s="16" t="s">
        <v>37</v>
      </c>
      <c r="W237" s="16">
        <v>21</v>
      </c>
      <c r="X237" s="145">
        <v>2</v>
      </c>
      <c r="Y237" s="147" t="s">
        <v>37</v>
      </c>
      <c r="Z237" s="146" t="s">
        <v>37</v>
      </c>
      <c r="AA237" s="4" t="str">
        <f>Table2[[#This Row],[field_fate]]</f>
        <v>H</v>
      </c>
      <c r="AB237" s="4" t="str">
        <f>Table2[[#This Row],[field_fate2]]</f>
        <v>H</v>
      </c>
      <c r="AC237" s="94" t="str">
        <f>Table2[[#This Row],[field_fate3]]</f>
        <v>H</v>
      </c>
      <c r="AD237" s="94" t="str">
        <f>Table2[[#This Row],[field_fate4]]</f>
        <v>H</v>
      </c>
      <c r="AE237" s="94" t="str">
        <f>Table2[[#This Row],[field_fate5]]</f>
        <v>H</v>
      </c>
      <c r="AF237" s="94" t="str">
        <f>Table2[[#This Row],[field_fate5]]</f>
        <v>H</v>
      </c>
      <c r="AG237" s="94" t="str">
        <f>Table2[[#This Row],[field_fate5]]</f>
        <v>H</v>
      </c>
      <c r="AH237" s="94" t="str">
        <f>Table2[[#This Row],[field_fate2]]</f>
        <v>H</v>
      </c>
      <c r="AI237" s="94" t="str">
        <f>Table2[[#This Row],[field_fate8]]</f>
        <v>H</v>
      </c>
      <c r="AJ237" s="94" t="str">
        <f>Table2[[#This Row],[field_fate10]]</f>
        <v>H</v>
      </c>
      <c r="AK237" s="94" t="b">
        <f>Table2[[#This Row],[field_fate_feb]]=Table2[[#This Row],[field_fate10]]</f>
        <v>1</v>
      </c>
      <c r="AL237" s="43" t="s">
        <v>37</v>
      </c>
      <c r="AM237" s="160" t="b">
        <f>Table2[[#This Row],[cam_fate2]]="NA"</f>
        <v>0</v>
      </c>
      <c r="AN237" s="19" t="str">
        <f>Table2[[#This Row],[cam_fate1]]</f>
        <v>H</v>
      </c>
      <c r="AO237" s="2" t="s">
        <v>37</v>
      </c>
      <c r="AP237" s="5" t="str">
        <f>Table2[[#This Row],[final_fate1]]</f>
        <v>H</v>
      </c>
      <c r="AQ237" s="6">
        <v>20</v>
      </c>
      <c r="AR237" s="72">
        <v>22</v>
      </c>
      <c r="AS237" s="155">
        <f>Table2[[#This Row],[final_obs_date]]-Table2[[#This Row],[init_date]]</f>
        <v>20</v>
      </c>
      <c r="AT237" s="155">
        <f>(Table2[[#This Row],[final_obs_date2]]-Table2[[#This Row],[estHD]])+19</f>
        <v>22</v>
      </c>
      <c r="AU237" s="38">
        <v>1</v>
      </c>
      <c r="AV237" s="33">
        <v>1</v>
      </c>
      <c r="AW237" s="33">
        <f>Table2[[#This Row],[final_obs_date2]]-Table2[[#This Row],[pen_obs_date]]</f>
        <v>3</v>
      </c>
      <c r="AX237" s="67">
        <v>81</v>
      </c>
      <c r="AY237" s="157">
        <f>Table2[[#This Row],[final_obs_date]]</f>
        <v>81</v>
      </c>
      <c r="AZ237" s="6">
        <v>78</v>
      </c>
      <c r="BA237" s="92" t="s">
        <v>47</v>
      </c>
      <c r="BB237" s="6" t="b">
        <f>Table2[[#This Row],[final_obs_date]]&lt;(Table2[[#This Row],[estHD]]-2)</f>
        <v>0</v>
      </c>
      <c r="BC237" s="32">
        <f>IF(Table2[[#This Row],[field_fate]]="H",1,0)</f>
        <v>1</v>
      </c>
      <c r="BD237" s="16">
        <f>IF(Table2[[#This Row],[cam_fate2]]="H",1,0)</f>
        <v>1</v>
      </c>
      <c r="BE237" s="6" t="b">
        <f>NOT(Table2[[#This Row],[HF_C]]=Table2[[#This Row],[HF]])</f>
        <v>0</v>
      </c>
      <c r="BF237" s="38" t="b">
        <f>NOT(Table2[[#This Row],[cam_fate2]]=Table2[[#This Row],[field_fate3]])</f>
        <v>0</v>
      </c>
      <c r="BG237" s="38" t="b">
        <f>OR(Table2[[#This Row],[field_fate3]]="U",Table2[[#This Row],[field_fate3]]="U-H")</f>
        <v>0</v>
      </c>
      <c r="BH237" s="8">
        <v>71</v>
      </c>
      <c r="BI237" s="8">
        <v>80</v>
      </c>
      <c r="BJ237" s="14">
        <f>IF(ISTEXT(Table2[[#This Row],[j.cam]]),Table2[[#This Row],[j]],Table2[[#This Row],[j.cam]])</f>
        <v>80</v>
      </c>
      <c r="BK237" s="8">
        <v>80</v>
      </c>
      <c r="BL237" s="14">
        <f>IF(ISTEXT(Table2[[#This Row],[k.cam]]), Table2[[#This Row],[k]], Table2[[#This Row],[k.cam]])</f>
        <v>80</v>
      </c>
      <c r="BM237" s="4" t="s">
        <v>24</v>
      </c>
      <c r="BN237" s="8" t="s">
        <v>24</v>
      </c>
      <c r="BO237" s="4">
        <v>3</v>
      </c>
      <c r="BP237" s="4">
        <f>Table2[[#This Row],[final_obs_date]]-Table2[[#This Row],[i]]</f>
        <v>10</v>
      </c>
      <c r="BQ237" s="4" t="b">
        <f>Table2[[#This Row],[final_obs_date2]]&gt;Table2[[#This Row],[estHD]]+3</f>
        <v>0</v>
      </c>
      <c r="BR237" s="3" t="s">
        <v>33</v>
      </c>
      <c r="BS237" s="3" t="s">
        <v>53</v>
      </c>
      <c r="BT237" s="125" t="s">
        <v>1146</v>
      </c>
      <c r="BU237" s="4" t="s">
        <v>226</v>
      </c>
      <c r="BV237" s="79" t="s">
        <v>1534</v>
      </c>
      <c r="BW237" s="69"/>
      <c r="BX237" s="36"/>
      <c r="BY237" s="36" t="s">
        <v>624</v>
      </c>
    </row>
    <row r="238" spans="1:77" hidden="1" x14ac:dyDescent="0.35">
      <c r="A238" s="62">
        <v>10322</v>
      </c>
      <c r="B238" s="2" t="s">
        <v>35</v>
      </c>
      <c r="C238" s="44">
        <v>2019</v>
      </c>
      <c r="D238" s="3">
        <v>29.766870000000001</v>
      </c>
      <c r="E238" s="3">
        <v>-93.161050000000003</v>
      </c>
      <c r="F238" s="3" t="s">
        <v>24</v>
      </c>
      <c r="G238" s="3" t="s">
        <v>24</v>
      </c>
      <c r="H238" s="3" t="s">
        <v>26</v>
      </c>
      <c r="I238" s="43"/>
      <c r="J238" s="116">
        <v>91</v>
      </c>
      <c r="K238" s="4">
        <v>91</v>
      </c>
      <c r="L238" s="22">
        <f>IF(ISNUMBER(Table2[[#This Row],[estHD]]),ABS(Table2[[#This Row],[HD]]-Table2[[#This Row],[estHD]]),"NA")</f>
        <v>0</v>
      </c>
      <c r="M238" s="4" t="b">
        <f>Table2[[#This Row],[HD]]=Table2[[#This Row],[estHD]]</f>
        <v>1</v>
      </c>
      <c r="N238" s="4" t="str">
        <f>IF(ISNUMBER([1]!Table2[[#This Row],[hatch_date]]),[1]!Table2[[#This Row],[hatch_date]]-19,"NA")</f>
        <v>NA</v>
      </c>
      <c r="O238" s="31">
        <v>72</v>
      </c>
      <c r="P238" s="23">
        <f>IF(ISNUMBER(Table2[[#This Row],[nest_age1]]),ABS(Table2[[#This Row],[nest_age1]]-Table2[[#This Row],[nest_age_feb]]),"NA")</f>
        <v>0</v>
      </c>
      <c r="Q238" s="24">
        <f>IF(ISNUMBER(Table2[[#This Row],[final_obs_int2]]),ABS(Table2[[#This Row],[final_obs_int2]]-Table2[[#This Row],[final_obs_int_feb]]), "NA")</f>
        <v>0</v>
      </c>
      <c r="R238" s="24"/>
      <c r="S238" s="20" t="s">
        <v>75</v>
      </c>
      <c r="T238" s="20" t="str">
        <f>Table2[[#This Row],[camera_old]]</f>
        <v>Y</v>
      </c>
      <c r="U238" s="22" t="s">
        <v>88</v>
      </c>
      <c r="V238" s="16" t="s">
        <v>65</v>
      </c>
      <c r="W238" s="16">
        <v>9</v>
      </c>
      <c r="X238" s="145">
        <v>4</v>
      </c>
      <c r="Y238" s="147" t="s">
        <v>65</v>
      </c>
      <c r="Z238" s="146" t="s">
        <v>65</v>
      </c>
      <c r="AA238" s="4" t="str">
        <f>Table2[[#This Row],[field_fate]]</f>
        <v>Ca</v>
      </c>
      <c r="AB238" s="4" t="str">
        <f>Table2[[#This Row],[field_fate2]]</f>
        <v>Ca</v>
      </c>
      <c r="AC238" s="94" t="str">
        <f>Table2[[#This Row],[field_fate3]]</f>
        <v>Ca</v>
      </c>
      <c r="AD238" s="105" t="str">
        <f>Table2[[#This Row],[field_fate4]]</f>
        <v>Ca</v>
      </c>
      <c r="AE238" s="105" t="str">
        <f>Table2[[#This Row],[field_fate5]]</f>
        <v>Ca</v>
      </c>
      <c r="AF238" s="105" t="str">
        <f>Table2[[#This Row],[field_fate5]]</f>
        <v>Ca</v>
      </c>
      <c r="AG238" s="105" t="str">
        <f>Table2[[#This Row],[field_fate5]]</f>
        <v>Ca</v>
      </c>
      <c r="AH238" s="105" t="str">
        <f>Table2[[#This Row],[field_fate2]]</f>
        <v>Ca</v>
      </c>
      <c r="AI238" s="105" t="str">
        <f>Table2[[#This Row],[field_fate8]]</f>
        <v>Ca</v>
      </c>
      <c r="AJ238" s="105" t="str">
        <f>Table2[[#This Row],[field_fate10]]</f>
        <v>Ca</v>
      </c>
      <c r="AK238" s="105" t="b">
        <f>Table2[[#This Row],[field_fate_feb]]=Table2[[#This Row],[field_fate10]]</f>
        <v>1</v>
      </c>
      <c r="AL238" s="43" t="s">
        <v>65</v>
      </c>
      <c r="AM238" s="160" t="b">
        <f>Table2[[#This Row],[cam_fate2]]="NA"</f>
        <v>0</v>
      </c>
      <c r="AN238" s="19" t="str">
        <f>Table2[[#This Row],[cam_fate1]]</f>
        <v>Ca</v>
      </c>
      <c r="AO238" s="2" t="s">
        <v>65</v>
      </c>
      <c r="AP238" s="5" t="str">
        <f>Table2[[#This Row],[final_fate1]]</f>
        <v>Ca</v>
      </c>
      <c r="AQ238" s="6">
        <v>9</v>
      </c>
      <c r="AR238" s="72">
        <v>9</v>
      </c>
      <c r="AS238" s="155">
        <f>Table2[[#This Row],[final_obs_date]]-Table2[[#This Row],[init_date]]</f>
        <v>9</v>
      </c>
      <c r="AT238" s="155">
        <f>(Table2[[#This Row],[final_obs_date2]]-Table2[[#This Row],[estHD]])+19</f>
        <v>9</v>
      </c>
      <c r="AU238" s="38">
        <v>4</v>
      </c>
      <c r="AV238" s="33">
        <v>4</v>
      </c>
      <c r="AW238" s="33">
        <f>Table2[[#This Row],[final_obs_date2]]-Table2[[#This Row],[pen_obs_date]]</f>
        <v>4</v>
      </c>
      <c r="AX238" s="67">
        <v>81</v>
      </c>
      <c r="AY238" s="157">
        <f>Table2[[#This Row],[final_obs_date]]</f>
        <v>81</v>
      </c>
      <c r="AZ238" s="6">
        <v>77</v>
      </c>
      <c r="BA238" s="92" t="s">
        <v>47</v>
      </c>
      <c r="BB238" s="6" t="b">
        <f>Table2[[#This Row],[final_obs_date]]&lt;(Table2[[#This Row],[estHD]]-2)</f>
        <v>1</v>
      </c>
      <c r="BC238" s="32">
        <f>IF(Table2[[#This Row],[field_fate]]="H",1,0)</f>
        <v>0</v>
      </c>
      <c r="BD238" s="16">
        <f>IF(Table2[[#This Row],[cam_fate2]]="H",1,0)</f>
        <v>0</v>
      </c>
      <c r="BE238" s="6" t="b">
        <f>NOT(Table2[[#This Row],[HF_C]]=Table2[[#This Row],[HF]])</f>
        <v>0</v>
      </c>
      <c r="BF238" s="38" t="b">
        <f>NOT(Table2[[#This Row],[cam_fate2]]=Table2[[#This Row],[field_fate3]])</f>
        <v>0</v>
      </c>
      <c r="BG238" s="38" t="b">
        <f>OR(Table2[[#This Row],[field_fate3]]="U",Table2[[#This Row],[field_fate3]]="U-H")</f>
        <v>0</v>
      </c>
      <c r="BH238" s="8">
        <v>72</v>
      </c>
      <c r="BI238" s="8">
        <v>77</v>
      </c>
      <c r="BJ238" s="14">
        <f>IF(ISTEXT(Table2[[#This Row],[j.cam]]),Table2[[#This Row],[j]],Table2[[#This Row],[j.cam]])</f>
        <v>77</v>
      </c>
      <c r="BK238" s="8">
        <v>81</v>
      </c>
      <c r="BL238" s="14">
        <f>IF(ISTEXT(Table2[[#This Row],[k.cam]]), Table2[[#This Row],[k]], Table2[[#This Row],[k.cam]])</f>
        <v>81</v>
      </c>
      <c r="BM238" s="4" t="s">
        <v>24</v>
      </c>
      <c r="BN238" s="8" t="s">
        <v>24</v>
      </c>
      <c r="BO238" s="4">
        <v>3</v>
      </c>
      <c r="BP238" s="4">
        <f>Table2[[#This Row],[final_obs_date]]-Table2[[#This Row],[i]]</f>
        <v>9</v>
      </c>
      <c r="BQ238" s="4" t="b">
        <f>Table2[[#This Row],[final_obs_date2]]&gt;Table2[[#This Row],[estHD]]+3</f>
        <v>0</v>
      </c>
      <c r="BR238" s="3" t="s">
        <v>33</v>
      </c>
      <c r="BS238" s="3" t="s">
        <v>28</v>
      </c>
      <c r="BT238" s="125" t="s">
        <v>1147</v>
      </c>
      <c r="BU238" s="4" t="s">
        <v>64</v>
      </c>
      <c r="BV238" s="79" t="s">
        <v>1470</v>
      </c>
      <c r="BW238" s="69"/>
      <c r="BX238" s="36" t="s">
        <v>999</v>
      </c>
      <c r="BY238" s="36" t="s">
        <v>625</v>
      </c>
    </row>
    <row r="239" spans="1:77" ht="15" hidden="1" thickBot="1" x14ac:dyDescent="0.4">
      <c r="A239" s="62">
        <v>10323</v>
      </c>
      <c r="B239" s="2" t="s">
        <v>35</v>
      </c>
      <c r="C239" s="44">
        <v>2019</v>
      </c>
      <c r="D239" s="3">
        <v>29.767019999999999</v>
      </c>
      <c r="E239" s="3">
        <v>-93.161429999999996</v>
      </c>
      <c r="F239" s="3" t="s">
        <v>24</v>
      </c>
      <c r="G239" s="3" t="s">
        <v>24</v>
      </c>
      <c r="H239" s="3" t="s">
        <v>26</v>
      </c>
      <c r="I239" s="43"/>
      <c r="J239" s="116">
        <v>84</v>
      </c>
      <c r="K239" s="4">
        <v>84</v>
      </c>
      <c r="L239" s="22">
        <f>IF(ISNUMBER(Table2[[#This Row],[estHD]]),ABS(Table2[[#This Row],[HD]]-Table2[[#This Row],[estHD]]),"NA")</f>
        <v>0</v>
      </c>
      <c r="M239" s="4" t="b">
        <f>Table2[[#This Row],[HD]]=Table2[[#This Row],[estHD]]</f>
        <v>1</v>
      </c>
      <c r="N239" s="4">
        <f>IF(ISNUMBER(Table2[[#This Row],[HD]]),Table2[[#This Row],[HD]]-19,"NA")</f>
        <v>65</v>
      </c>
      <c r="O239" s="31">
        <v>65</v>
      </c>
      <c r="P239" s="23">
        <f>IF(ISNUMBER(Table2[[#This Row],[nest_age1]]),ABS(Table2[[#This Row],[nest_age1]]-Table2[[#This Row],[nest_age_feb]]),"NA")</f>
        <v>6</v>
      </c>
      <c r="Q239" s="24">
        <f>IF(ISNUMBER(Table2[[#This Row],[final_obs_int2]]),ABS(Table2[[#This Row],[final_obs_int2]]-Table2[[#This Row],[final_obs_int_feb]]), "NA")</f>
        <v>3</v>
      </c>
      <c r="R239" s="24">
        <f>(Table2[[#This Row],[k_adj]]-Table2[[#This Row],[estHD]])/Table2[[#This Row],[estHD]]</f>
        <v>0</v>
      </c>
      <c r="S239" s="20" t="s">
        <v>75</v>
      </c>
      <c r="T239" s="20" t="str">
        <f>Table2[[#This Row],[camera_old]]</f>
        <v>Y</v>
      </c>
      <c r="U239" s="22" t="s">
        <v>88</v>
      </c>
      <c r="V239" s="16" t="s">
        <v>37</v>
      </c>
      <c r="W239" s="16">
        <v>19</v>
      </c>
      <c r="X239" s="145">
        <v>3</v>
      </c>
      <c r="Y239" s="147" t="s">
        <v>90</v>
      </c>
      <c r="Z239" s="146" t="s">
        <v>90</v>
      </c>
      <c r="AA239" s="4" t="str">
        <f>Table2[[#This Row],[field_fate]]</f>
        <v>U</v>
      </c>
      <c r="AB239" s="65" t="str">
        <f>Table2[[#This Row],[field_fate2]]</f>
        <v>U</v>
      </c>
      <c r="AC239" s="106" t="str">
        <f>Table2[[#This Row],[field_fate3]]</f>
        <v>U</v>
      </c>
      <c r="AD239" s="108" t="s">
        <v>37</v>
      </c>
      <c r="AE239" s="112" t="s">
        <v>90</v>
      </c>
      <c r="AF239" s="112" t="str">
        <f>Table2[[#This Row],[field_fate5]]</f>
        <v>H</v>
      </c>
      <c r="AG239" s="112" t="s">
        <v>90</v>
      </c>
      <c r="AH239" s="112" t="str">
        <f>Table2[[#This Row],[field_fate2]]</f>
        <v>U</v>
      </c>
      <c r="AI239" s="112" t="str">
        <f>Table2[[#This Row],[field_fate8]]</f>
        <v>U</v>
      </c>
      <c r="AJ239" s="112" t="str">
        <f>Table2[[#This Row],[field_fate10]]</f>
        <v>U</v>
      </c>
      <c r="AK239" s="112" t="b">
        <f>Table2[[#This Row],[field_fate_feb]]=Table2[[#This Row],[field_fate10]]</f>
        <v>1</v>
      </c>
      <c r="AL239" s="99" t="s">
        <v>37</v>
      </c>
      <c r="AM239" s="161" t="b">
        <f>Table2[[#This Row],[cam_fate2]]="NA"</f>
        <v>0</v>
      </c>
      <c r="AN239" s="19" t="str">
        <f>Table2[[#This Row],[cam_fate1]]</f>
        <v>H</v>
      </c>
      <c r="AO239" s="2" t="s">
        <v>37</v>
      </c>
      <c r="AP239" s="5" t="str">
        <f>Table2[[#This Row],[final_fate1]]</f>
        <v>H</v>
      </c>
      <c r="AQ239" s="6">
        <v>25</v>
      </c>
      <c r="AR239" s="72">
        <v>25</v>
      </c>
      <c r="AS239" s="155">
        <f>Table2[[#This Row],[final_obs_date]]-Table2[[#This Row],[init_date]]</f>
        <v>25</v>
      </c>
      <c r="AT239" s="155">
        <f>(Table2[[#This Row],[final_obs_date2]]-Table2[[#This Row],[estHD]])+19</f>
        <v>25</v>
      </c>
      <c r="AU239" s="38">
        <v>6</v>
      </c>
      <c r="AV239" s="33">
        <v>6</v>
      </c>
      <c r="AW239" s="33">
        <f>Table2[[#This Row],[final_obs_date2]]-Table2[[#This Row],[pen_obs_date]]</f>
        <v>9</v>
      </c>
      <c r="AX239" s="67">
        <v>90</v>
      </c>
      <c r="AY239" s="157">
        <f>Table2[[#This Row],[final_obs_date]]</f>
        <v>90</v>
      </c>
      <c r="AZ239" s="6">
        <v>81</v>
      </c>
      <c r="BA239" s="92" t="s">
        <v>47</v>
      </c>
      <c r="BB239" s="6" t="b">
        <f>Table2[[#This Row],[final_obs_date]]&lt;(Table2[[#This Row],[estHD]]-2)</f>
        <v>0</v>
      </c>
      <c r="BC239" s="32">
        <v>7</v>
      </c>
      <c r="BD239" s="16">
        <f>IF(Table2[[#This Row],[cam_fate2]]="H",1,0)</f>
        <v>1</v>
      </c>
      <c r="BE239" s="6" t="b">
        <f>NOT(Table2[[#This Row],[HF_C]]=Table2[[#This Row],[HF]])</f>
        <v>1</v>
      </c>
      <c r="BF239" s="38" t="b">
        <f>NOT(Table2[[#This Row],[cam_fate2]]=Table2[[#This Row],[field_fate3]])</f>
        <v>1</v>
      </c>
      <c r="BG239" s="38" t="b">
        <f>OR(Table2[[#This Row],[field_fate3]]="U",Table2[[#This Row],[field_fate3]]="U-H")</f>
        <v>1</v>
      </c>
      <c r="BH239" s="8">
        <v>65</v>
      </c>
      <c r="BI239" s="8">
        <v>81</v>
      </c>
      <c r="BJ239" s="14">
        <f>IF(ISTEXT(Table2[[#This Row],[j.cam]]),Table2[[#This Row],[j]],Table2[[#This Row],[j.cam]])</f>
        <v>84</v>
      </c>
      <c r="BK239" s="8">
        <v>90</v>
      </c>
      <c r="BL239" s="14">
        <f>IF(ISTEXT(Table2[[#This Row],[k.cam]]), Table2[[#This Row],[k]], Table2[[#This Row],[k.cam]])</f>
        <v>84</v>
      </c>
      <c r="BM239" s="4">
        <v>84</v>
      </c>
      <c r="BN239" s="8">
        <v>84</v>
      </c>
      <c r="BO239" s="4">
        <v>4</v>
      </c>
      <c r="BP239" s="4">
        <f>Table2[[#This Row],[final_obs_date]]-Table2[[#This Row],[i]]</f>
        <v>25</v>
      </c>
      <c r="BQ239" s="4" t="b">
        <f>Table2[[#This Row],[final_obs_date2]]&gt;Table2[[#This Row],[estHD]]+3</f>
        <v>1</v>
      </c>
      <c r="BR239" s="3" t="s">
        <v>58</v>
      </c>
      <c r="BS239" s="3" t="s">
        <v>45</v>
      </c>
      <c r="BT239" s="125" t="s">
        <v>1148</v>
      </c>
      <c r="BU239" s="4" t="s">
        <v>227</v>
      </c>
      <c r="BV239" s="79" t="s">
        <v>1535</v>
      </c>
      <c r="BW239" s="69"/>
      <c r="BX239" s="36" t="s">
        <v>932</v>
      </c>
      <c r="BY239" s="47" t="s">
        <v>626</v>
      </c>
    </row>
    <row r="240" spans="1:77" ht="20" hidden="1" x14ac:dyDescent="0.35">
      <c r="A240" s="62">
        <v>10324</v>
      </c>
      <c r="B240" s="2" t="s">
        <v>35</v>
      </c>
      <c r="C240" s="44">
        <v>2019</v>
      </c>
      <c r="D240" s="3">
        <v>29.767710000000001</v>
      </c>
      <c r="E240" s="3">
        <v>-93.164919999999995</v>
      </c>
      <c r="F240" s="3" t="s">
        <v>24</v>
      </c>
      <c r="G240" s="3" t="s">
        <v>24</v>
      </c>
      <c r="H240" s="3" t="s">
        <v>26</v>
      </c>
      <c r="I240" s="43"/>
      <c r="J240" s="116">
        <v>77</v>
      </c>
      <c r="K240" s="4">
        <v>77</v>
      </c>
      <c r="L240" s="22">
        <f>IF(ISNUMBER(Table2[[#This Row],[estHD]]),ABS(Table2[[#This Row],[HD]]-Table2[[#This Row],[estHD]]),"NA")</f>
        <v>0</v>
      </c>
      <c r="M240" s="4" t="b">
        <f>Table2[[#This Row],[HD]]=Table2[[#This Row],[estHD]]</f>
        <v>1</v>
      </c>
      <c r="N240" s="4" t="str">
        <f>IF(ISNUMBER([1]!Table2[[#This Row],[hatch_date]]),[1]!Table2[[#This Row],[hatch_date]]-19,"NA")</f>
        <v>NA</v>
      </c>
      <c r="O240" s="31">
        <v>58</v>
      </c>
      <c r="P240" s="23">
        <f>IF(ISNUMBER(Table2[[#This Row],[nest_age1]]),ABS(Table2[[#This Row],[nest_age1]]-Table2[[#This Row],[nest_age_feb]]),"NA")</f>
        <v>0</v>
      </c>
      <c r="Q240" s="24">
        <f>IF(ISNUMBER(Table2[[#This Row],[final_obs_int2]]),ABS(Table2[[#This Row],[final_obs_int2]]-Table2[[#This Row],[final_obs_int_feb]]), "NA")</f>
        <v>0</v>
      </c>
      <c r="R240" s="24"/>
      <c r="S240" s="20" t="s">
        <v>75</v>
      </c>
      <c r="T240" s="20" t="str">
        <f>Table2[[#This Row],[camera_old]]</f>
        <v>Y</v>
      </c>
      <c r="U240" s="22" t="s">
        <v>88</v>
      </c>
      <c r="V240" s="16" t="s">
        <v>24</v>
      </c>
      <c r="W240" s="16">
        <v>23</v>
      </c>
      <c r="X240" s="145">
        <v>4</v>
      </c>
      <c r="Y240" s="147" t="s">
        <v>90</v>
      </c>
      <c r="Z240" s="146" t="s">
        <v>90</v>
      </c>
      <c r="AA240" s="4" t="str">
        <f>Table2[[#This Row],[field_fate]]</f>
        <v>U</v>
      </c>
      <c r="AB240" s="65" t="str">
        <f>Table2[[#This Row],[field_fate2]]</f>
        <v>U</v>
      </c>
      <c r="AC240" s="93" t="str">
        <f>Table2[[#This Row],[field_fate3]]</f>
        <v>U</v>
      </c>
      <c r="AD240" s="107" t="str">
        <f>Table2[[#This Row],[field_fate4]]</f>
        <v>U</v>
      </c>
      <c r="AE240" s="107" t="str">
        <f>Table2[[#This Row],[field_fate5]]</f>
        <v>U</v>
      </c>
      <c r="AF240" s="107" t="str">
        <f>Table2[[#This Row],[field_fate5]]</f>
        <v>U</v>
      </c>
      <c r="AG240" s="107" t="str">
        <f>Table2[[#This Row],[field_fate5]]</f>
        <v>U</v>
      </c>
      <c r="AH240" s="107" t="str">
        <f>Table2[[#This Row],[field_fate2]]</f>
        <v>U</v>
      </c>
      <c r="AI240" s="107" t="str">
        <f>Table2[[#This Row],[field_fate8]]</f>
        <v>U</v>
      </c>
      <c r="AJ240" s="107" t="str">
        <f>Table2[[#This Row],[field_fate10]]</f>
        <v>U</v>
      </c>
      <c r="AK240" s="107" t="b">
        <f>Table2[[#This Row],[field_fate_feb]]=Table2[[#This Row],[field_fate10]]</f>
        <v>1</v>
      </c>
      <c r="AL240" s="43" t="s">
        <v>24</v>
      </c>
      <c r="AM240" s="43" t="b">
        <f>Table2[[#This Row],[cam_fate2]]="NA"</f>
        <v>1</v>
      </c>
      <c r="AN240" s="19" t="str">
        <f>Table2[[#This Row],[cam_fate1]]</f>
        <v>NA</v>
      </c>
      <c r="AO240" s="2" t="s">
        <v>24</v>
      </c>
      <c r="AP240" s="5" t="str">
        <f>Table2[[#This Row],[final_fate1]]</f>
        <v>NA</v>
      </c>
      <c r="AQ240" s="6">
        <v>23</v>
      </c>
      <c r="AR240" s="72">
        <v>23</v>
      </c>
      <c r="AS240" s="72">
        <f>Table2[[#This Row],[final_obs_date]]-Table2[[#This Row],[init_date]]</f>
        <v>23</v>
      </c>
      <c r="AT240" s="72">
        <f>(Table2[[#This Row],[final_obs_date2]]-Table2[[#This Row],[estHD]])+16</f>
        <v>20</v>
      </c>
      <c r="AU240" s="38">
        <v>4</v>
      </c>
      <c r="AV240" s="33">
        <v>4</v>
      </c>
      <c r="AW240" s="33">
        <f>Table2[[#This Row],[final_obs_date2]]-Table2[[#This Row],[pen_obs_date]]</f>
        <v>81</v>
      </c>
      <c r="AX240" s="67">
        <v>81</v>
      </c>
      <c r="AY240" s="156">
        <f>Table2[[#This Row],[final_obs_date]]</f>
        <v>81</v>
      </c>
      <c r="AZ240" s="6"/>
      <c r="BA240" s="92" t="s">
        <v>47</v>
      </c>
      <c r="BB240" s="6" t="b">
        <f>Table2[[#This Row],[final_obs_date]]&lt;(Table2[[#This Row],[estHD]]-2)</f>
        <v>0</v>
      </c>
      <c r="BC240" s="32">
        <v>7</v>
      </c>
      <c r="BD240" s="16" t="s">
        <v>24</v>
      </c>
      <c r="BE240" s="6" t="b">
        <f>NOT(Table2[[#This Row],[HF_C]]=Table2[[#This Row],[HF]])</f>
        <v>1</v>
      </c>
      <c r="BF240" s="38" t="b">
        <f>NOT(Table2[[#This Row],[cam_fate2]]=Table2[[#This Row],[field_fate3]])</f>
        <v>1</v>
      </c>
      <c r="BG240" s="38" t="b">
        <f>OR(Table2[[#This Row],[field_fate3]]="U",Table2[[#This Row],[field_fate3]]="U-H")</f>
        <v>1</v>
      </c>
      <c r="BH240" s="8">
        <v>72</v>
      </c>
      <c r="BI240" s="8">
        <v>77</v>
      </c>
      <c r="BJ240" s="14">
        <f>IF(ISTEXT(Table2[[#This Row],[j.cam]]),Table2[[#This Row],[j]],Table2[[#This Row],[j.cam]])</f>
        <v>77</v>
      </c>
      <c r="BK240" s="8">
        <v>81</v>
      </c>
      <c r="BL240" s="14">
        <f>IF(ISTEXT(Table2[[#This Row],[k.cam]]), Table2[[#This Row],[k]], Table2[[#This Row],[k.cam]])</f>
        <v>81</v>
      </c>
      <c r="BM240" s="4" t="s">
        <v>24</v>
      </c>
      <c r="BN240" s="8" t="s">
        <v>24</v>
      </c>
      <c r="BO240" s="4">
        <v>3</v>
      </c>
      <c r="BP240" s="4">
        <f>Table2[[#This Row],[final_obs_date]]-Table2[[#This Row],[i]]</f>
        <v>9</v>
      </c>
      <c r="BQ240" s="4" t="b">
        <f>Table2[[#This Row],[final_obs_date2]]&gt;Table2[[#This Row],[estHD]]+3</f>
        <v>1</v>
      </c>
      <c r="BR240" s="3" t="s">
        <v>33</v>
      </c>
      <c r="BS240" s="3" t="s">
        <v>49</v>
      </c>
      <c r="BT240" s="125" t="s">
        <v>1147</v>
      </c>
      <c r="BU240" s="4" t="s">
        <v>50</v>
      </c>
      <c r="BV240" s="79" t="s">
        <v>1470</v>
      </c>
      <c r="BW240" s="69"/>
      <c r="BX240" s="73" t="s">
        <v>933</v>
      </c>
      <c r="BY240" s="47" t="s">
        <v>627</v>
      </c>
    </row>
    <row r="241" spans="1:77" hidden="1" x14ac:dyDescent="0.35">
      <c r="A241" s="62">
        <v>10325</v>
      </c>
      <c r="B241" s="2" t="s">
        <v>35</v>
      </c>
      <c r="C241" s="44">
        <v>2019</v>
      </c>
      <c r="D241" s="3">
        <v>29.766829999999999</v>
      </c>
      <c r="E241" s="3">
        <v>-93.160520000000005</v>
      </c>
      <c r="F241" s="3" t="s">
        <v>24</v>
      </c>
      <c r="G241" s="3" t="s">
        <v>24</v>
      </c>
      <c r="H241" s="3" t="s">
        <v>26</v>
      </c>
      <c r="I241" s="43"/>
      <c r="J241" s="116">
        <v>78</v>
      </c>
      <c r="K241" s="4">
        <v>78</v>
      </c>
      <c r="L241" s="22">
        <f>IF(ISNUMBER(Table2[[#This Row],[estHD]]),ABS(Table2[[#This Row],[HD]]-Table2[[#This Row],[estHD]]),"NA")</f>
        <v>0</v>
      </c>
      <c r="M241" s="4" t="b">
        <f>Table2[[#This Row],[HD]]=Table2[[#This Row],[estHD]]</f>
        <v>1</v>
      </c>
      <c r="N241" s="4" t="str">
        <f>IF(ISNUMBER([1]!Table2[[#This Row],[hatch_date]]),[1]!Table2[[#This Row],[hatch_date]]-19,"NA")</f>
        <v>NA</v>
      </c>
      <c r="O241" s="31">
        <v>59</v>
      </c>
      <c r="P241" s="23">
        <f>IF(ISNUMBER(Table2[[#This Row],[nest_age1]]),ABS(Table2[[#This Row],[nest_age1]]-Table2[[#This Row],[nest_age_feb]]),"NA")</f>
        <v>0</v>
      </c>
      <c r="Q241" s="25">
        <f>IF(ISNUMBER(Table2[[#This Row],[final_obs_int2]]),ABS(Table2[[#This Row],[final_obs_int2]]-Table2[[#This Row],[final_obs_int_feb]]), "NA")</f>
        <v>3</v>
      </c>
      <c r="R241" s="25"/>
      <c r="S241" s="20" t="s">
        <v>75</v>
      </c>
      <c r="T241" s="20" t="str">
        <f>Table2[[#This Row],[camera_old]]</f>
        <v>Y</v>
      </c>
      <c r="U241" s="22" t="s">
        <v>88</v>
      </c>
      <c r="V241" s="16" t="s">
        <v>24</v>
      </c>
      <c r="W241" s="16">
        <v>31</v>
      </c>
      <c r="X241" s="145">
        <v>6</v>
      </c>
      <c r="Y241" s="147" t="s">
        <v>90</v>
      </c>
      <c r="Z241" s="146" t="s">
        <v>90</v>
      </c>
      <c r="AA241" s="4" t="str">
        <f>Table2[[#This Row],[field_fate]]</f>
        <v>U</v>
      </c>
      <c r="AB241" s="65" t="str">
        <f>Table2[[#This Row],[field_fate2]]</f>
        <v>U</v>
      </c>
      <c r="AC241" s="93" t="str">
        <f>Table2[[#This Row],[field_fate3]]</f>
        <v>U</v>
      </c>
      <c r="AD241" s="93" t="str">
        <f>Table2[[#This Row],[field_fate4]]</f>
        <v>U</v>
      </c>
      <c r="AE241" s="93" t="str">
        <f>Table2[[#This Row],[field_fate5]]</f>
        <v>U</v>
      </c>
      <c r="AF241" s="93" t="str">
        <f>Table2[[#This Row],[field_fate5]]</f>
        <v>U</v>
      </c>
      <c r="AG241" s="93" t="str">
        <f>Table2[[#This Row],[field_fate5]]</f>
        <v>U</v>
      </c>
      <c r="AH241" s="93" t="str">
        <f>Table2[[#This Row],[field_fate2]]</f>
        <v>U</v>
      </c>
      <c r="AI241" s="93" t="str">
        <f>Table2[[#This Row],[field_fate8]]</f>
        <v>U</v>
      </c>
      <c r="AJ241" s="93" t="str">
        <f>Table2[[#This Row],[field_fate10]]</f>
        <v>U</v>
      </c>
      <c r="AK241" s="93" t="b">
        <f>Table2[[#This Row],[field_fate_feb]]=Table2[[#This Row],[field_fate10]]</f>
        <v>1</v>
      </c>
      <c r="AL241" s="43" t="s">
        <v>24</v>
      </c>
      <c r="AM241" s="43" t="b">
        <f>Table2[[#This Row],[cam_fate2]]="NA"</f>
        <v>1</v>
      </c>
      <c r="AN241" s="19" t="str">
        <f>Table2[[#This Row],[cam_fate1]]</f>
        <v>NA</v>
      </c>
      <c r="AO241" s="2" t="s">
        <v>24</v>
      </c>
      <c r="AP241" s="5" t="str">
        <f>Table2[[#This Row],[final_fate1]]</f>
        <v>NA</v>
      </c>
      <c r="AQ241" s="6">
        <v>31</v>
      </c>
      <c r="AR241" s="72">
        <v>31</v>
      </c>
      <c r="AS241" s="72">
        <f>Table2[[#This Row],[final_obs_date]]-Table2[[#This Row],[init_date]]</f>
        <v>31</v>
      </c>
      <c r="AT241" s="72">
        <f>(Table2[[#This Row],[final_obs_date2]]-Table2[[#This Row],[estHD]])+16</f>
        <v>28</v>
      </c>
      <c r="AU241" s="42">
        <v>9</v>
      </c>
      <c r="AV241" s="33">
        <v>9</v>
      </c>
      <c r="AW241" s="68">
        <f>Table2[[#This Row],[final_obs_date2]]-Table2[[#This Row],[pen_obs_date]]</f>
        <v>90</v>
      </c>
      <c r="AX241" s="67">
        <v>90</v>
      </c>
      <c r="AY241" s="156">
        <f>Table2[[#This Row],[final_obs_date]]</f>
        <v>90</v>
      </c>
      <c r="AZ241" s="6"/>
      <c r="BA241" s="92" t="s">
        <v>47</v>
      </c>
      <c r="BB241" s="6" t="b">
        <f>Table2[[#This Row],[final_obs_date]]&lt;(Table2[[#This Row],[estHD]]-2)</f>
        <v>0</v>
      </c>
      <c r="BC241" s="32">
        <v>7</v>
      </c>
      <c r="BD241" s="16" t="s">
        <v>24</v>
      </c>
      <c r="BE241" s="6" t="b">
        <f>NOT(Table2[[#This Row],[HF_C]]=Table2[[#This Row],[HF]])</f>
        <v>1</v>
      </c>
      <c r="BF241" s="38" t="b">
        <f>NOT(Table2[[#This Row],[cam_fate2]]=Table2[[#This Row],[field_fate3]])</f>
        <v>1</v>
      </c>
      <c r="BG241" s="38" t="b">
        <f>OR(Table2[[#This Row],[field_fate3]]="U",Table2[[#This Row],[field_fate3]]="U-H")</f>
        <v>1</v>
      </c>
      <c r="BH241" s="8">
        <v>72</v>
      </c>
      <c r="BI241" s="8">
        <v>81</v>
      </c>
      <c r="BJ241" s="14">
        <f>IF(ISTEXT(Table2[[#This Row],[j.cam]]),Table2[[#This Row],[j]],Table2[[#This Row],[j.cam]])</f>
        <v>81</v>
      </c>
      <c r="BK241" s="8">
        <v>90</v>
      </c>
      <c r="BL241" s="14">
        <f>IF(ISTEXT(Table2[[#This Row],[k.cam]]), Table2[[#This Row],[k]], Table2[[#This Row],[k.cam]])</f>
        <v>90</v>
      </c>
      <c r="BM241" s="4" t="s">
        <v>24</v>
      </c>
      <c r="BN241" s="8" t="s">
        <v>24</v>
      </c>
      <c r="BO241" s="4">
        <v>5</v>
      </c>
      <c r="BP241" s="4">
        <f>Table2[[#This Row],[final_obs_date]]-Table2[[#This Row],[i]]</f>
        <v>18</v>
      </c>
      <c r="BQ241" s="4" t="b">
        <f>Table2[[#This Row],[final_obs_date2]]&gt;Table2[[#This Row],[estHD]]+3</f>
        <v>1</v>
      </c>
      <c r="BR241" s="28" t="s">
        <v>55</v>
      </c>
      <c r="BS241" s="3" t="s">
        <v>45</v>
      </c>
      <c r="BT241" s="125" t="s">
        <v>1149</v>
      </c>
      <c r="BU241" s="4" t="s">
        <v>228</v>
      </c>
      <c r="BV241" s="79" t="s">
        <v>1536</v>
      </c>
      <c r="BW241" s="69" t="s">
        <v>991</v>
      </c>
      <c r="BX241" s="73" t="s">
        <v>934</v>
      </c>
      <c r="BY241" s="47" t="s">
        <v>625</v>
      </c>
    </row>
    <row r="242" spans="1:77" hidden="1" x14ac:dyDescent="0.35">
      <c r="A242" s="62">
        <v>10326</v>
      </c>
      <c r="B242" s="2" t="s">
        <v>35</v>
      </c>
      <c r="C242" s="44">
        <v>2019</v>
      </c>
      <c r="D242" s="3">
        <v>29.766760000000001</v>
      </c>
      <c r="E242" s="3">
        <v>-93.160510000000002</v>
      </c>
      <c r="F242" s="3" t="s">
        <v>24</v>
      </c>
      <c r="G242" s="3" t="s">
        <v>24</v>
      </c>
      <c r="H242" s="3" t="s">
        <v>26</v>
      </c>
      <c r="I242" s="43"/>
      <c r="J242" s="116">
        <v>87</v>
      </c>
      <c r="K242" s="4">
        <v>87</v>
      </c>
      <c r="L242" s="22">
        <f>IF(ISNUMBER(Table2[[#This Row],[estHD]]),ABS(Table2[[#This Row],[HD]]-Table2[[#This Row],[estHD]]),"NA")</f>
        <v>0</v>
      </c>
      <c r="M242" s="4" t="b">
        <f>Table2[[#This Row],[HD]]=Table2[[#This Row],[estHD]]</f>
        <v>1</v>
      </c>
      <c r="N242" s="4" t="str">
        <f>IF(ISNUMBER([1]!Table2[[#This Row],[hatch_date]]),[1]!Table2[[#This Row],[hatch_date]]-19,"NA")</f>
        <v>NA</v>
      </c>
      <c r="O242" s="31">
        <v>68</v>
      </c>
      <c r="P242" s="23">
        <f>IF(ISNUMBER(Table2[[#This Row],[nest_age1]]),ABS(Table2[[#This Row],[nest_age1]]-Table2[[#This Row],[nest_age_feb]]),"NA")</f>
        <v>0</v>
      </c>
      <c r="Q242" s="25">
        <f>IF(ISNUMBER(Table2[[#This Row],[final_obs_int2]]),ABS(Table2[[#This Row],[final_obs_int2]]-Table2[[#This Row],[final_obs_int_feb]]), "NA")</f>
        <v>3</v>
      </c>
      <c r="R242" s="25"/>
      <c r="S242" s="20" t="s">
        <v>75</v>
      </c>
      <c r="T242" s="20" t="str">
        <f>Table2[[#This Row],[camera_old]]</f>
        <v>Y</v>
      </c>
      <c r="U242" s="22" t="s">
        <v>88</v>
      </c>
      <c r="V242" s="16" t="s">
        <v>24</v>
      </c>
      <c r="W242" s="16">
        <v>22</v>
      </c>
      <c r="X242" s="145">
        <v>6</v>
      </c>
      <c r="Y242" s="147" t="s">
        <v>90</v>
      </c>
      <c r="Z242" s="146" t="s">
        <v>90</v>
      </c>
      <c r="AA242" s="4" t="str">
        <f>Table2[[#This Row],[field_fate]]</f>
        <v>U</v>
      </c>
      <c r="AB242" s="65" t="str">
        <f>Table2[[#This Row],[field_fate2]]</f>
        <v>U</v>
      </c>
      <c r="AC242" s="93" t="str">
        <f>Table2[[#This Row],[field_fate3]]</f>
        <v>U</v>
      </c>
      <c r="AD242" s="93" t="str">
        <f>Table2[[#This Row],[field_fate4]]</f>
        <v>U</v>
      </c>
      <c r="AE242" s="93" t="str">
        <f>Table2[[#This Row],[field_fate5]]</f>
        <v>U</v>
      </c>
      <c r="AF242" s="93" t="str">
        <f>Table2[[#This Row],[field_fate5]]</f>
        <v>U</v>
      </c>
      <c r="AG242" s="93" t="str">
        <f>Table2[[#This Row],[field_fate5]]</f>
        <v>U</v>
      </c>
      <c r="AH242" s="93" t="str">
        <f>Table2[[#This Row],[field_fate2]]</f>
        <v>U</v>
      </c>
      <c r="AI242" s="93" t="str">
        <f>Table2[[#This Row],[field_fate8]]</f>
        <v>U</v>
      </c>
      <c r="AJ242" s="93" t="str">
        <f>Table2[[#This Row],[field_fate10]]</f>
        <v>U</v>
      </c>
      <c r="AK242" s="93" t="b">
        <f>Table2[[#This Row],[field_fate_feb]]=Table2[[#This Row],[field_fate10]]</f>
        <v>1</v>
      </c>
      <c r="AL242" s="43" t="s">
        <v>24</v>
      </c>
      <c r="AM242" s="43" t="b">
        <f>Table2[[#This Row],[cam_fate2]]="NA"</f>
        <v>1</v>
      </c>
      <c r="AN242" s="19" t="str">
        <f>Table2[[#This Row],[cam_fate1]]</f>
        <v>NA</v>
      </c>
      <c r="AO242" s="2" t="s">
        <v>24</v>
      </c>
      <c r="AP242" s="5" t="str">
        <f>Table2[[#This Row],[final_fate1]]</f>
        <v>NA</v>
      </c>
      <c r="AQ242" s="6">
        <v>22</v>
      </c>
      <c r="AR242" s="72">
        <v>22</v>
      </c>
      <c r="AS242" s="72">
        <f>Table2[[#This Row],[final_obs_date]]-Table2[[#This Row],[init_date]]</f>
        <v>22</v>
      </c>
      <c r="AT242" s="72">
        <f>(Table2[[#This Row],[final_obs_date2]]-Table2[[#This Row],[estHD]])+16</f>
        <v>19</v>
      </c>
      <c r="AU242" s="42">
        <v>9</v>
      </c>
      <c r="AV242" s="33">
        <v>9</v>
      </c>
      <c r="AW242" s="68">
        <f>Table2[[#This Row],[final_obs_date2]]-Table2[[#This Row],[pen_obs_date]]</f>
        <v>90</v>
      </c>
      <c r="AX242" s="67">
        <v>90</v>
      </c>
      <c r="AY242" s="156">
        <f>Table2[[#This Row],[final_obs_date]]</f>
        <v>90</v>
      </c>
      <c r="AZ242" s="6"/>
      <c r="BA242" s="92" t="s">
        <v>47</v>
      </c>
      <c r="BB242" s="6" t="b">
        <f>Table2[[#This Row],[final_obs_date]]&lt;(Table2[[#This Row],[estHD]]-2)</f>
        <v>0</v>
      </c>
      <c r="BC242" s="32">
        <v>7</v>
      </c>
      <c r="BD242" s="16" t="s">
        <v>24</v>
      </c>
      <c r="BE242" s="6" t="b">
        <f>NOT(Table2[[#This Row],[HF_C]]=Table2[[#This Row],[HF]])</f>
        <v>1</v>
      </c>
      <c r="BF242" s="38" t="b">
        <f>NOT(Table2[[#This Row],[cam_fate2]]=Table2[[#This Row],[field_fate3]])</f>
        <v>1</v>
      </c>
      <c r="BG242" s="38" t="b">
        <f>OR(Table2[[#This Row],[field_fate3]]="U",Table2[[#This Row],[field_fate3]]="U-H")</f>
        <v>1</v>
      </c>
      <c r="BH242" s="8">
        <v>72</v>
      </c>
      <c r="BI242" s="8">
        <v>81</v>
      </c>
      <c r="BJ242" s="14">
        <f>IF(ISTEXT(Table2[[#This Row],[j.cam]]),Table2[[#This Row],[j]],Table2[[#This Row],[j.cam]])</f>
        <v>81</v>
      </c>
      <c r="BK242" s="8">
        <v>90</v>
      </c>
      <c r="BL242" s="14">
        <f>IF(ISTEXT(Table2[[#This Row],[k.cam]]), Table2[[#This Row],[k]], Table2[[#This Row],[k.cam]])</f>
        <v>90</v>
      </c>
      <c r="BM242" s="4" t="s">
        <v>24</v>
      </c>
      <c r="BN242" s="8" t="s">
        <v>24</v>
      </c>
      <c r="BO242" s="4">
        <v>5</v>
      </c>
      <c r="BP242" s="4">
        <f>Table2[[#This Row],[final_obs_date]]-Table2[[#This Row],[i]]</f>
        <v>18</v>
      </c>
      <c r="BQ242" s="4" t="b">
        <f>Table2[[#This Row],[final_obs_date2]]&gt;Table2[[#This Row],[estHD]]+3</f>
        <v>0</v>
      </c>
      <c r="BR242" s="28" t="s">
        <v>55</v>
      </c>
      <c r="BS242" s="3" t="s">
        <v>45</v>
      </c>
      <c r="BT242" s="125" t="s">
        <v>1149</v>
      </c>
      <c r="BU242" s="4" t="s">
        <v>228</v>
      </c>
      <c r="BV242" s="79" t="s">
        <v>1536</v>
      </c>
      <c r="BW242" s="69" t="s">
        <v>991</v>
      </c>
      <c r="BX242" s="73" t="s">
        <v>934</v>
      </c>
      <c r="BY242" s="47" t="s">
        <v>625</v>
      </c>
    </row>
    <row r="243" spans="1:77" hidden="1" x14ac:dyDescent="0.35">
      <c r="A243" s="62">
        <v>10327</v>
      </c>
      <c r="B243" s="2" t="s">
        <v>35</v>
      </c>
      <c r="C243" s="44">
        <v>2019</v>
      </c>
      <c r="D243" s="3">
        <v>29.766559999999998</v>
      </c>
      <c r="E243" s="3">
        <v>-93.159490000000005</v>
      </c>
      <c r="F243" s="3" t="s">
        <v>24</v>
      </c>
      <c r="G243" s="3" t="s">
        <v>24</v>
      </c>
      <c r="H243" s="3" t="s">
        <v>26</v>
      </c>
      <c r="I243" s="43"/>
      <c r="J243" s="116">
        <v>91</v>
      </c>
      <c r="K243" s="4">
        <v>91</v>
      </c>
      <c r="L243" s="22">
        <f>IF(ISNUMBER(Table2[[#This Row],[estHD]]),ABS(Table2[[#This Row],[HD]]-Table2[[#This Row],[estHD]]),"NA")</f>
        <v>0</v>
      </c>
      <c r="M243" s="4" t="b">
        <f>Table2[[#This Row],[HD]]=Table2[[#This Row],[estHD]]</f>
        <v>1</v>
      </c>
      <c r="N243" s="4" t="str">
        <f>IF(ISNUMBER([1]!Table2[[#This Row],[hatch_date]]),[1]!Table2[[#This Row],[hatch_date]]-19,"NA")</f>
        <v>NA</v>
      </c>
      <c r="O243" s="31">
        <v>72</v>
      </c>
      <c r="P243" s="23">
        <f>IF(ISNUMBER(Table2[[#This Row],[nest_age1]]),ABS(Table2[[#This Row],[nest_age1]]-Table2[[#This Row],[nest_age_feb]]),"NA")</f>
        <v>0</v>
      </c>
      <c r="Q243" s="24">
        <f>IF(ISNUMBER(Table2[[#This Row],[final_obs_int2]]),ABS(Table2[[#This Row],[final_obs_int2]]-Table2[[#This Row],[final_obs_int_feb]]), "NA")</f>
        <v>0</v>
      </c>
      <c r="R243" s="24"/>
      <c r="S243" s="20" t="s">
        <v>75</v>
      </c>
      <c r="T243" s="20" t="str">
        <f>Table2[[#This Row],[camera_old]]</f>
        <v>Y</v>
      </c>
      <c r="U243" s="22" t="s">
        <v>88</v>
      </c>
      <c r="V243" s="16" t="s">
        <v>24</v>
      </c>
      <c r="W243" s="16">
        <v>18</v>
      </c>
      <c r="X243" s="145">
        <v>9</v>
      </c>
      <c r="Y243" s="147" t="s">
        <v>90</v>
      </c>
      <c r="Z243" s="146" t="s">
        <v>90</v>
      </c>
      <c r="AA243" s="4" t="str">
        <f>Table2[[#This Row],[field_fate]]</f>
        <v>U</v>
      </c>
      <c r="AB243" s="65" t="str">
        <f>Table2[[#This Row],[field_fate2]]</f>
        <v>U</v>
      </c>
      <c r="AC243" s="93" t="str">
        <f>Table2[[#This Row],[field_fate3]]</f>
        <v>U</v>
      </c>
      <c r="AD243" s="93" t="str">
        <f>Table2[[#This Row],[field_fate4]]</f>
        <v>U</v>
      </c>
      <c r="AE243" s="93" t="str">
        <f>Table2[[#This Row],[field_fate5]]</f>
        <v>U</v>
      </c>
      <c r="AF243" s="93" t="str">
        <f>Table2[[#This Row],[field_fate5]]</f>
        <v>U</v>
      </c>
      <c r="AG243" s="93" t="str">
        <f>Table2[[#This Row],[field_fate5]]</f>
        <v>U</v>
      </c>
      <c r="AH243" s="93" t="str">
        <f>Table2[[#This Row],[field_fate2]]</f>
        <v>U</v>
      </c>
      <c r="AI243" s="93" t="str">
        <f>Table2[[#This Row],[field_fate8]]</f>
        <v>U</v>
      </c>
      <c r="AJ243" s="93" t="str">
        <f>Table2[[#This Row],[field_fate10]]</f>
        <v>U</v>
      </c>
      <c r="AK243" s="93" t="b">
        <f>Table2[[#This Row],[field_fate_feb]]=Table2[[#This Row],[field_fate10]]</f>
        <v>1</v>
      </c>
      <c r="AL243" s="43" t="s">
        <v>24</v>
      </c>
      <c r="AM243" s="43" t="b">
        <f>Table2[[#This Row],[cam_fate2]]="NA"</f>
        <v>1</v>
      </c>
      <c r="AN243" s="19" t="str">
        <f>Table2[[#This Row],[cam_fate1]]</f>
        <v>NA</v>
      </c>
      <c r="AO243" s="2" t="s">
        <v>24</v>
      </c>
      <c r="AP243" s="5" t="str">
        <f>Table2[[#This Row],[final_fate1]]</f>
        <v>NA</v>
      </c>
      <c r="AQ243" s="6">
        <v>18</v>
      </c>
      <c r="AR243" s="72">
        <v>18</v>
      </c>
      <c r="AS243" s="72">
        <f>Table2[[#This Row],[final_obs_date]]-Table2[[#This Row],[init_date]]</f>
        <v>18</v>
      </c>
      <c r="AT243" s="72">
        <f>(Table2[[#This Row],[final_obs_date2]]-Table2[[#This Row],[estHD]])+16</f>
        <v>15</v>
      </c>
      <c r="AU243" s="38">
        <v>9</v>
      </c>
      <c r="AV243" s="33">
        <v>9</v>
      </c>
      <c r="AW243" s="68">
        <f>Table2[[#This Row],[final_obs_date2]]-Table2[[#This Row],[pen_obs_date]]</f>
        <v>90</v>
      </c>
      <c r="AX243" s="67">
        <v>90</v>
      </c>
      <c r="AY243" s="156">
        <f>Table2[[#This Row],[final_obs_date]]</f>
        <v>90</v>
      </c>
      <c r="AZ243" s="6"/>
      <c r="BA243" s="92" t="s">
        <v>47</v>
      </c>
      <c r="BB243" s="6" t="b">
        <f>Table2[[#This Row],[final_obs_date]]&lt;(Table2[[#This Row],[estHD]]-2)</f>
        <v>0</v>
      </c>
      <c r="BC243" s="32">
        <v>7</v>
      </c>
      <c r="BD243" s="16" t="s">
        <v>24</v>
      </c>
      <c r="BE243" s="6" t="b">
        <f>NOT(Table2[[#This Row],[HF_C]]=Table2[[#This Row],[HF]])</f>
        <v>1</v>
      </c>
      <c r="BF243" s="38" t="b">
        <f>NOT(Table2[[#This Row],[cam_fate2]]=Table2[[#This Row],[field_fate3]])</f>
        <v>1</v>
      </c>
      <c r="BG243" s="38" t="b">
        <f>OR(Table2[[#This Row],[field_fate3]]="U",Table2[[#This Row],[field_fate3]]="U-H")</f>
        <v>1</v>
      </c>
      <c r="BH243" s="8">
        <v>72</v>
      </c>
      <c r="BI243" s="8">
        <v>81</v>
      </c>
      <c r="BJ243" s="14">
        <f>IF(ISTEXT(Table2[[#This Row],[j.cam]]),Table2[[#This Row],[j]],Table2[[#This Row],[j.cam]])</f>
        <v>81</v>
      </c>
      <c r="BK243" s="8">
        <v>90</v>
      </c>
      <c r="BL243" s="14">
        <f>IF(ISTEXT(Table2[[#This Row],[k.cam]]), Table2[[#This Row],[k]], Table2[[#This Row],[k.cam]])</f>
        <v>90</v>
      </c>
      <c r="BM243" s="4" t="s">
        <v>24</v>
      </c>
      <c r="BN243" s="8" t="s">
        <v>24</v>
      </c>
      <c r="BO243" s="4">
        <v>4</v>
      </c>
      <c r="BP243" s="4">
        <f>Table2[[#This Row],[final_obs_date]]-Table2[[#This Row],[i]]</f>
        <v>18</v>
      </c>
      <c r="BQ243" s="4" t="b">
        <f>Table2[[#This Row],[final_obs_date2]]&gt;Table2[[#This Row],[estHD]]+3</f>
        <v>0</v>
      </c>
      <c r="BR243" s="3" t="s">
        <v>27</v>
      </c>
      <c r="BS243" s="3" t="s">
        <v>45</v>
      </c>
      <c r="BT243" s="125" t="s">
        <v>1148</v>
      </c>
      <c r="BU243" s="4" t="s">
        <v>992</v>
      </c>
      <c r="BV243" s="79" t="s">
        <v>1537</v>
      </c>
      <c r="BW243" s="69"/>
      <c r="BX243" s="73" t="s">
        <v>934</v>
      </c>
      <c r="BY243" s="47" t="s">
        <v>625</v>
      </c>
    </row>
    <row r="244" spans="1:77" hidden="1" x14ac:dyDescent="0.35">
      <c r="A244" s="62">
        <v>10328</v>
      </c>
      <c r="B244" s="2" t="s">
        <v>122</v>
      </c>
      <c r="C244" s="44">
        <v>2019</v>
      </c>
      <c r="D244" s="3">
        <v>29.758500000000002</v>
      </c>
      <c r="E244" s="3">
        <v>-93.121769999999998</v>
      </c>
      <c r="F244" s="3" t="s">
        <v>24</v>
      </c>
      <c r="G244" s="3" t="s">
        <v>24</v>
      </c>
      <c r="H244" s="3" t="s">
        <v>26</v>
      </c>
      <c r="I244" s="43"/>
      <c r="J244" s="55" t="s">
        <v>24</v>
      </c>
      <c r="K244" s="4">
        <v>78</v>
      </c>
      <c r="L244" s="22" t="str">
        <f>IF(ISNUMBER(Table2[[#This Row],[estHD]]),ABS(Table2[[#This Row],[HD]]-Table2[[#This Row],[estHD]]),"NA")</f>
        <v>NA</v>
      </c>
      <c r="M244" s="4" t="b">
        <f>Table2[[#This Row],[HD]]=Table2[[#This Row],[estHD]]</f>
        <v>0</v>
      </c>
      <c r="N244" s="4" t="str">
        <f>IF(ISNUMBER([1]!Table2[[#This Row],[hatch_date]]), [1]!Table2[[#This Row],[hatch_date]]-28, "NA")</f>
        <v>NA</v>
      </c>
      <c r="O244" s="31">
        <v>50</v>
      </c>
      <c r="P244" s="23">
        <f>IF(ISNUMBER(Table2[[#This Row],[nest_age1]]),ABS(Table2[[#This Row],[nest_age1]]-Table2[[#This Row],[nest_age_feb]]),"NA")</f>
        <v>0</v>
      </c>
      <c r="Q244" s="24">
        <f>IF(ISNUMBER(Table2[[#This Row],[final_obs_int2]]),ABS(Table2[[#This Row],[final_obs_int2]]-Table2[[#This Row],[final_obs_int_feb]]), "NA")</f>
        <v>0</v>
      </c>
      <c r="R244" s="24"/>
      <c r="S244" s="57" t="s">
        <v>88</v>
      </c>
      <c r="T244" s="57" t="str">
        <f>Table2[[#This Row],[camera_old]]</f>
        <v>N</v>
      </c>
      <c r="U244" s="24"/>
      <c r="V244" s="16" t="s">
        <v>24</v>
      </c>
      <c r="W244" s="16">
        <v>28</v>
      </c>
      <c r="X244" s="145">
        <v>1</v>
      </c>
      <c r="Y244" s="147" t="s">
        <v>37</v>
      </c>
      <c r="Z244" s="146" t="s">
        <v>37</v>
      </c>
      <c r="AA244" s="4" t="str">
        <f>Table2[[#This Row],[field_fate]]</f>
        <v>H</v>
      </c>
      <c r="AB244" s="4" t="str">
        <f>Table2[[#This Row],[field_fate2]]</f>
        <v>H</v>
      </c>
      <c r="AC244" s="4" t="str">
        <f>Table2[[#This Row],[field_fate3]]</f>
        <v>H</v>
      </c>
      <c r="AD244" s="4" t="str">
        <f>Table2[[#This Row],[field_fate4]]</f>
        <v>H</v>
      </c>
      <c r="AE244" s="4" t="str">
        <f>Table2[[#This Row],[field_fate5]]</f>
        <v>H</v>
      </c>
      <c r="AF244" s="4" t="str">
        <f>Table2[[#This Row],[field_fate5]]</f>
        <v>H</v>
      </c>
      <c r="AG244" s="4" t="str">
        <f>Table2[[#This Row],[field_fate5]]</f>
        <v>H</v>
      </c>
      <c r="AH244" s="4" t="str">
        <f>Table2[[#This Row],[field_fate2]]</f>
        <v>H</v>
      </c>
      <c r="AI244" s="4" t="str">
        <f>Table2[[#This Row],[field_fate8]]</f>
        <v>H</v>
      </c>
      <c r="AJ244" s="4" t="str">
        <f>Table2[[#This Row],[field_fate10]]</f>
        <v>H</v>
      </c>
      <c r="AK244" s="4" t="b">
        <f>Table2[[#This Row],[field_fate_feb]]=Table2[[#This Row],[field_fate10]]</f>
        <v>1</v>
      </c>
      <c r="AL244" s="43" t="s">
        <v>24</v>
      </c>
      <c r="AM244" s="43" t="b">
        <f>Table2[[#This Row],[cam_fate2]]="NA"</f>
        <v>1</v>
      </c>
      <c r="AN244" s="19" t="str">
        <f>Table2[[#This Row],[cam_fate1]]</f>
        <v>NA</v>
      </c>
      <c r="AO244" s="2" t="s">
        <v>37</v>
      </c>
      <c r="AP244" s="5" t="str">
        <f>Table2[[#This Row],[final_fate1]]</f>
        <v>H</v>
      </c>
      <c r="AQ244" s="6">
        <v>28</v>
      </c>
      <c r="AR244" s="7">
        <v>28</v>
      </c>
      <c r="AS244" s="7">
        <f>Table2[[#This Row],[final_obs_date]]-Table2[[#This Row],[init_date]]</f>
        <v>28</v>
      </c>
      <c r="AT244" s="7" t="e">
        <f>(Table2[[#This Row],[final_obs_date2]]-Table2[[#This Row],[estHD]])+16</f>
        <v>#VALUE!</v>
      </c>
      <c r="AU244" s="38">
        <v>1</v>
      </c>
      <c r="AV244" s="33">
        <v>1</v>
      </c>
      <c r="AW244" s="33">
        <f>Table2[[#This Row],[final_obs_date2]]-Table2[[#This Row],[pen_obs_date]]</f>
        <v>78</v>
      </c>
      <c r="AX244" s="67">
        <v>78</v>
      </c>
      <c r="AY244" s="6">
        <f>Table2[[#This Row],[final_obs_date]]</f>
        <v>78</v>
      </c>
      <c r="AZ244" s="6"/>
      <c r="BA244" s="91" t="s">
        <v>23</v>
      </c>
      <c r="BB244" s="6" t="e">
        <f>Table2[[#This Row],[final_obs_date]]&lt;(Table2[[#This Row],[estHD]]-2)</f>
        <v>#VALUE!</v>
      </c>
      <c r="BC244" s="24">
        <f>IF(Table2[[#This Row],[field_fate]]="H",1,0)</f>
        <v>1</v>
      </c>
      <c r="BD244" s="16">
        <f>IF(Table2[[#This Row],[cam_fate2]]="H",1,0)</f>
        <v>0</v>
      </c>
      <c r="BE244" s="6" t="b">
        <f>NOT(Table2[[#This Row],[HF_C]]=Table2[[#This Row],[HF]])</f>
        <v>1</v>
      </c>
      <c r="BF244" s="6" t="b">
        <f>NOT(Table2[[#This Row],[cam_fate2]]=Table2[[#This Row],[field_fate3]])</f>
        <v>1</v>
      </c>
      <c r="BG244" s="6" t="b">
        <f>OR(Table2[[#This Row],[field_fate3]]="U",Table2[[#This Row],[field_fate3]]="U-H")</f>
        <v>0</v>
      </c>
      <c r="BH244" s="8">
        <v>72</v>
      </c>
      <c r="BI244" s="8">
        <v>78</v>
      </c>
      <c r="BJ244" s="14">
        <f>IF(ISTEXT(Table2[[#This Row],[j.cam]]),Table2[[#This Row],[j]],Table2[[#This Row],[j.cam]])</f>
        <v>78</v>
      </c>
      <c r="BK244" s="9">
        <v>78</v>
      </c>
      <c r="BL244" s="15">
        <f>IF(ISTEXT(Table2[[#This Row],[k.cam]]), Table2[[#This Row],[k]], Table2[[#This Row],[k.cam]])</f>
        <v>78</v>
      </c>
      <c r="BM244" s="4" t="s">
        <v>24</v>
      </c>
      <c r="BN244" s="8" t="s">
        <v>24</v>
      </c>
      <c r="BO244" s="4">
        <v>3</v>
      </c>
      <c r="BP244" s="4">
        <f>Table2[[#This Row],[final_obs_date]]-Table2[[#This Row],[i]]</f>
        <v>6</v>
      </c>
      <c r="BQ244" s="4" t="e">
        <f>Table2[[#This Row],[final_obs_date2]]&gt;Table2[[#This Row],[estHD]]+3</f>
        <v>#VALUE!</v>
      </c>
      <c r="BR244" s="4" t="s">
        <v>123</v>
      </c>
      <c r="BS244" s="4" t="s">
        <v>38</v>
      </c>
      <c r="BT244" s="79" t="s">
        <v>1150</v>
      </c>
      <c r="BU244" s="26" t="s">
        <v>229</v>
      </c>
      <c r="BV244" s="79" t="s">
        <v>1538</v>
      </c>
      <c r="BW244" s="49"/>
      <c r="BX244" s="47"/>
      <c r="BY244" s="36" t="s">
        <v>628</v>
      </c>
    </row>
    <row r="245" spans="1:77" ht="15" hidden="1" x14ac:dyDescent="0.35">
      <c r="A245" s="62">
        <v>10329</v>
      </c>
      <c r="B245" s="2" t="s">
        <v>122</v>
      </c>
      <c r="C245" s="44">
        <v>2019</v>
      </c>
      <c r="D245" s="3">
        <v>29.75853</v>
      </c>
      <c r="E245" s="3">
        <v>-93.121589999999998</v>
      </c>
      <c r="F245" s="3" t="s">
        <v>24</v>
      </c>
      <c r="G245" s="3" t="s">
        <v>24</v>
      </c>
      <c r="H245" s="3" t="s">
        <v>24</v>
      </c>
      <c r="I245" s="43"/>
      <c r="J245" s="116">
        <v>92</v>
      </c>
      <c r="K245" s="4">
        <v>92</v>
      </c>
      <c r="L245" s="22">
        <f>IF(ISNUMBER(Table2[[#This Row],[estHD]]),ABS(Table2[[#This Row],[HD]]-Table2[[#This Row],[estHD]]),"NA")</f>
        <v>0</v>
      </c>
      <c r="M245" s="4" t="b">
        <f>Table2[[#This Row],[HD]]=Table2[[#This Row],[estHD]]</f>
        <v>1</v>
      </c>
      <c r="N245" s="4" t="str">
        <f>IF(ISNUMBER([1]!Table2[[#This Row],[hatch_date]]),[1]!Table2[[#This Row],[hatch_date]]-19,"NA")</f>
        <v>NA</v>
      </c>
      <c r="O245" s="31">
        <v>73</v>
      </c>
      <c r="P245" s="23">
        <f>IF(ISNUMBER(Table2[[#This Row],[nest_age1]]),ABS(Table2[[#This Row],[nest_age1]]-Table2[[#This Row],[nest_age_feb]]),"NA")</f>
        <v>0</v>
      </c>
      <c r="Q245" s="24">
        <f>IF(ISNUMBER(Table2[[#This Row],[final_obs_int2]]),ABS(Table2[[#This Row],[final_obs_int2]]-Table2[[#This Row],[final_obs_int_feb]]), "NA")</f>
        <v>0</v>
      </c>
      <c r="R245" s="24"/>
      <c r="S245" s="20" t="s">
        <v>75</v>
      </c>
      <c r="T245" s="20" t="str">
        <f>Table2[[#This Row],[camera_old]]</f>
        <v>Y</v>
      </c>
      <c r="U245" s="22" t="s">
        <v>88</v>
      </c>
      <c r="V245" s="16" t="s">
        <v>25</v>
      </c>
      <c r="W245" s="16">
        <v>24</v>
      </c>
      <c r="X245" s="145">
        <v>5</v>
      </c>
      <c r="Y245" s="147" t="s">
        <v>48</v>
      </c>
      <c r="Z245" s="146" t="s">
        <v>48</v>
      </c>
      <c r="AA245" s="4" t="str">
        <f>Table2[[#This Row],[field_fate]]</f>
        <v>F</v>
      </c>
      <c r="AB245" s="4" t="s">
        <v>94</v>
      </c>
      <c r="AC245" s="94" t="s">
        <v>90</v>
      </c>
      <c r="AD245" s="94" t="s">
        <v>48</v>
      </c>
      <c r="AE245" s="94" t="s">
        <v>90</v>
      </c>
      <c r="AF245" s="13" t="s">
        <v>90</v>
      </c>
      <c r="AG245" s="13" t="s">
        <v>48</v>
      </c>
      <c r="AH245" s="13" t="str">
        <f>Table2[[#This Row],[field_fate2]]</f>
        <v>F</v>
      </c>
      <c r="AI245" s="13" t="str">
        <f>Table2[[#This Row],[field_fate8]]</f>
        <v>F</v>
      </c>
      <c r="AJ245" s="13" t="str">
        <f>Table2[[#This Row],[field_fate10]]</f>
        <v>F</v>
      </c>
      <c r="AK245" s="94" t="b">
        <f>Table2[[#This Row],[field_fate_feb]]=Table2[[#This Row],[field_fate10]]</f>
        <v>1</v>
      </c>
      <c r="AL245" s="43" t="s">
        <v>25</v>
      </c>
      <c r="AM245" s="160" t="b">
        <f>Table2[[#This Row],[cam_fate2]]="NA"</f>
        <v>0</v>
      </c>
      <c r="AN245" s="19" t="str">
        <f>Table2[[#This Row],[cam_fate1]]</f>
        <v>S</v>
      </c>
      <c r="AO245" s="2" t="s">
        <v>25</v>
      </c>
      <c r="AP245" s="5" t="str">
        <f>Table2[[#This Row],[final_fate1]]</f>
        <v>S</v>
      </c>
      <c r="AQ245" s="6">
        <v>24</v>
      </c>
      <c r="AR245" s="72">
        <v>24</v>
      </c>
      <c r="AS245" s="155">
        <f>Table2[[#This Row],[final_obs_date]]-Table2[[#This Row],[init_date]]</f>
        <v>24</v>
      </c>
      <c r="AT245" s="155">
        <f>(Table2[[#This Row],[final_obs_date2]]-Table2[[#This Row],[estHD]])+19</f>
        <v>24</v>
      </c>
      <c r="AU245" s="38">
        <v>5</v>
      </c>
      <c r="AV245" s="33">
        <v>5</v>
      </c>
      <c r="AW245" s="33">
        <f>Table2[[#This Row],[final_obs_date2]]-Table2[[#This Row],[pen_obs_date]]</f>
        <v>5</v>
      </c>
      <c r="AX245" s="67">
        <v>97</v>
      </c>
      <c r="AY245" s="157">
        <f>Table2[[#This Row],[final_obs_date]]</f>
        <v>97</v>
      </c>
      <c r="AZ245" s="6">
        <v>92</v>
      </c>
      <c r="BA245" s="92" t="s">
        <v>47</v>
      </c>
      <c r="BB245" s="6" t="b">
        <f>Table2[[#This Row],[final_obs_date]]&lt;(Table2[[#This Row],[estHD]]-2)</f>
        <v>0</v>
      </c>
      <c r="BC245" s="32">
        <f>IF(Table2[[#This Row],[field_fate]]="H",1,0)</f>
        <v>0</v>
      </c>
      <c r="BD245" s="16">
        <f>IF(Table2[[#This Row],[cam_fate2]]="H",1,0)</f>
        <v>0</v>
      </c>
      <c r="BE245" s="6" t="b">
        <f>NOT(Table2[[#This Row],[HF_C]]=Table2[[#This Row],[HF]])</f>
        <v>0</v>
      </c>
      <c r="BF245" s="38" t="b">
        <f>NOT(Table2[[#This Row],[cam_fate2]]=Table2[[#This Row],[field_fate3]])</f>
        <v>1</v>
      </c>
      <c r="BG245" s="38" t="b">
        <f>OR(Table2[[#This Row],[field_fate3]]="U",Table2[[#This Row],[field_fate3]]="U-H")</f>
        <v>0</v>
      </c>
      <c r="BH245" s="8">
        <v>72</v>
      </c>
      <c r="BI245" s="8">
        <v>92</v>
      </c>
      <c r="BJ245" s="14">
        <f>IF(ISTEXT(Table2[[#This Row],[j.cam]]),Table2[[#This Row],[j]],Table2[[#This Row],[j.cam]])</f>
        <v>92</v>
      </c>
      <c r="BK245" s="8">
        <v>97</v>
      </c>
      <c r="BL245" s="14">
        <f>IF(ISTEXT(Table2[[#This Row],[k.cam]]), Table2[[#This Row],[k]], Table2[[#This Row],[k.cam]])</f>
        <v>97</v>
      </c>
      <c r="BM245" s="4" t="s">
        <v>24</v>
      </c>
      <c r="BN245" s="8" t="s">
        <v>24</v>
      </c>
      <c r="BO245" s="4">
        <v>7</v>
      </c>
      <c r="BP245" s="4">
        <f>Table2[[#This Row],[final_obs_date]]-Table2[[#This Row],[i]]</f>
        <v>25</v>
      </c>
      <c r="BQ245" s="4" t="b">
        <f>Table2[[#This Row],[final_obs_date2]]&gt;Table2[[#This Row],[estHD]]+3</f>
        <v>1</v>
      </c>
      <c r="BR245" s="3" t="s">
        <v>33</v>
      </c>
      <c r="BS245" s="3" t="s">
        <v>45</v>
      </c>
      <c r="BT245" s="125" t="s">
        <v>1151</v>
      </c>
      <c r="BU245" s="4" t="s">
        <v>230</v>
      </c>
      <c r="BV245" s="79" t="s">
        <v>1539</v>
      </c>
      <c r="BW245" s="69"/>
      <c r="BX245" s="36"/>
      <c r="BY245" s="36" t="s">
        <v>629</v>
      </c>
    </row>
    <row r="246" spans="1:77" hidden="1" x14ac:dyDescent="0.35">
      <c r="A246" s="62">
        <v>10331</v>
      </c>
      <c r="B246" s="2" t="s">
        <v>35</v>
      </c>
      <c r="C246" s="44">
        <v>2019</v>
      </c>
      <c r="D246" s="3">
        <v>29.768470000000001</v>
      </c>
      <c r="E246" s="3">
        <v>-93.168859999999995</v>
      </c>
      <c r="F246" s="3" t="s">
        <v>24</v>
      </c>
      <c r="G246" s="3" t="s">
        <v>24</v>
      </c>
      <c r="H246" s="3" t="s">
        <v>24</v>
      </c>
      <c r="I246" s="43"/>
      <c r="J246" s="55">
        <v>87</v>
      </c>
      <c r="K246" s="4">
        <v>90</v>
      </c>
      <c r="L246" s="22">
        <f>IF(ISNUMBER(Table2[[#This Row],[estHD]]),ABS(Table2[[#This Row],[HD]]-Table2[[#This Row],[estHD]]),"NA")</f>
        <v>3</v>
      </c>
      <c r="M246" s="4" t="b">
        <f>Table2[[#This Row],[HD]]=Table2[[#This Row],[estHD]]</f>
        <v>0</v>
      </c>
      <c r="N246" s="4" t="str">
        <f>IF(ISNUMBER([1]!Table2[[#This Row],[hatch_date]]), [1]!Table2[[#This Row],[hatch_date]]-16, "NA")</f>
        <v>NA</v>
      </c>
      <c r="O246" s="31">
        <v>74</v>
      </c>
      <c r="P246" s="23">
        <f>IF(ISNUMBER(Table2[[#This Row],[nest_age1]]),ABS(Table2[[#This Row],[nest_age1]]-Table2[[#This Row],[nest_age_feb]]),"NA")</f>
        <v>3</v>
      </c>
      <c r="Q246" s="24">
        <f>IF(ISNUMBER(Table2[[#This Row],[final_obs_int2]]),ABS(Table2[[#This Row],[final_obs_int2]]-Table2[[#This Row],[final_obs_int_feb]]), "NA")</f>
        <v>0</v>
      </c>
      <c r="R246" s="24"/>
      <c r="S246" s="57" t="s">
        <v>88</v>
      </c>
      <c r="T246" s="57" t="str">
        <f>Table2[[#This Row],[camera_old]]</f>
        <v>N</v>
      </c>
      <c r="U246" s="24"/>
      <c r="V246" s="16" t="s">
        <v>24</v>
      </c>
      <c r="W246" s="16">
        <v>19</v>
      </c>
      <c r="X246" s="145">
        <v>9</v>
      </c>
      <c r="Y246" s="147" t="s">
        <v>37</v>
      </c>
      <c r="Z246" s="146" t="s">
        <v>37</v>
      </c>
      <c r="AA246" s="4" t="str">
        <f>Table2[[#This Row],[field_fate]]</f>
        <v>H</v>
      </c>
      <c r="AB246" s="4" t="str">
        <f>Table2[[#This Row],[field_fate2]]</f>
        <v>H</v>
      </c>
      <c r="AC246" s="4" t="str">
        <f>Table2[[#This Row],[field_fate3]]</f>
        <v>H</v>
      </c>
      <c r="AD246" s="4" t="str">
        <f>Table2[[#This Row],[field_fate4]]</f>
        <v>H</v>
      </c>
      <c r="AE246" s="4" t="str">
        <f>Table2[[#This Row],[field_fate5]]</f>
        <v>H</v>
      </c>
      <c r="AF246" s="4" t="str">
        <f>Table2[[#This Row],[field_fate5]]</f>
        <v>H</v>
      </c>
      <c r="AG246" s="4" t="str">
        <f>Table2[[#This Row],[field_fate5]]</f>
        <v>H</v>
      </c>
      <c r="AH246" s="4" t="str">
        <f>Table2[[#This Row],[field_fate2]]</f>
        <v>H</v>
      </c>
      <c r="AI246" s="4" t="str">
        <f>Table2[[#This Row],[field_fate8]]</f>
        <v>H</v>
      </c>
      <c r="AJ246" s="4" t="str">
        <f>Table2[[#This Row],[field_fate10]]</f>
        <v>H</v>
      </c>
      <c r="AK246" s="4" t="b">
        <f>Table2[[#This Row],[field_fate_feb]]=Table2[[#This Row],[field_fate10]]</f>
        <v>1</v>
      </c>
      <c r="AL246" s="43" t="s">
        <v>24</v>
      </c>
      <c r="AM246" s="43" t="b">
        <f>Table2[[#This Row],[cam_fate2]]="NA"</f>
        <v>1</v>
      </c>
      <c r="AN246" s="19" t="str">
        <f>Table2[[#This Row],[cam_fate1]]</f>
        <v>NA</v>
      </c>
      <c r="AO246" s="2" t="s">
        <v>37</v>
      </c>
      <c r="AP246" s="5" t="str">
        <f>Table2[[#This Row],[final_fate1]]</f>
        <v>H</v>
      </c>
      <c r="AQ246" s="6">
        <v>16</v>
      </c>
      <c r="AR246" s="7">
        <v>19</v>
      </c>
      <c r="AS246" s="7">
        <f>Table2[[#This Row],[final_obs_date]]-Table2[[#This Row],[init_date]]</f>
        <v>16</v>
      </c>
      <c r="AT246" s="7">
        <f>(Table2[[#This Row],[final_obs_date2]]-Table2[[#This Row],[estHD]])+16</f>
        <v>19</v>
      </c>
      <c r="AU246" s="38">
        <v>9</v>
      </c>
      <c r="AV246" s="33">
        <v>9</v>
      </c>
      <c r="AW246" s="33">
        <f>Table2[[#This Row],[final_obs_date2]]-Table2[[#This Row],[pen_obs_date]]</f>
        <v>90</v>
      </c>
      <c r="AX246" s="67">
        <v>90</v>
      </c>
      <c r="AY246" s="6">
        <f>Table2[[#This Row],[final_obs_date]]</f>
        <v>90</v>
      </c>
      <c r="AZ246" s="6"/>
      <c r="BA246" s="91" t="s">
        <v>60</v>
      </c>
      <c r="BB246" s="6" t="b">
        <f>Table2[[#This Row],[final_obs_date]]&lt;(Table2[[#This Row],[estHD]]-2)</f>
        <v>0</v>
      </c>
      <c r="BC246" s="24">
        <f>IF(Table2[[#This Row],[field_fate]]="H",1,0)</f>
        <v>1</v>
      </c>
      <c r="BD246" s="16">
        <f>IF(Table2[[#This Row],[cam_fate2]]="H",1,0)</f>
        <v>0</v>
      </c>
      <c r="BE246" s="6" t="b">
        <f>NOT(Table2[[#This Row],[HF_C]]=Table2[[#This Row],[HF]])</f>
        <v>1</v>
      </c>
      <c r="BF246" s="6" t="b">
        <f>NOT(Table2[[#This Row],[cam_fate2]]=Table2[[#This Row],[field_fate3]])</f>
        <v>1</v>
      </c>
      <c r="BG246" s="6" t="b">
        <f>OR(Table2[[#This Row],[field_fate3]]="U",Table2[[#This Row],[field_fate3]]="U-H")</f>
        <v>0</v>
      </c>
      <c r="BH246" s="8">
        <v>77</v>
      </c>
      <c r="BI246" s="8">
        <v>90</v>
      </c>
      <c r="BJ246" s="14">
        <f>IF(ISTEXT(Table2[[#This Row],[j.cam]]),Table2[[#This Row],[j]],Table2[[#This Row],[j.cam]])</f>
        <v>90</v>
      </c>
      <c r="BK246" s="9">
        <v>90</v>
      </c>
      <c r="BL246" s="15">
        <f>IF(ISTEXT(Table2[[#This Row],[k.cam]]), Table2[[#This Row],[k]], Table2[[#This Row],[k.cam]])</f>
        <v>90</v>
      </c>
      <c r="BM246" s="4" t="s">
        <v>24</v>
      </c>
      <c r="BN246" s="8" t="s">
        <v>24</v>
      </c>
      <c r="BO246" s="4">
        <v>3</v>
      </c>
      <c r="BP246" s="4">
        <f>Table2[[#This Row],[final_obs_date]]-Table2[[#This Row],[i]]</f>
        <v>13</v>
      </c>
      <c r="BQ246" s="4" t="b">
        <f>Table2[[#This Row],[final_obs_date2]]&gt;Table2[[#This Row],[estHD]]+3</f>
        <v>0</v>
      </c>
      <c r="BR246" s="4" t="s">
        <v>33</v>
      </c>
      <c r="BS246" s="4" t="s">
        <v>53</v>
      </c>
      <c r="BT246" s="79" t="s">
        <v>1152</v>
      </c>
      <c r="BU246" s="26" t="s">
        <v>226</v>
      </c>
      <c r="BV246" s="79" t="s">
        <v>1540</v>
      </c>
      <c r="BW246" s="49"/>
      <c r="BX246" s="47"/>
      <c r="BY246" s="36" t="s">
        <v>619</v>
      </c>
    </row>
    <row r="247" spans="1:77" ht="18.5" hidden="1" x14ac:dyDescent="0.35">
      <c r="A247" s="62">
        <v>10334</v>
      </c>
      <c r="B247" s="2" t="s">
        <v>159</v>
      </c>
      <c r="C247" s="44">
        <v>2019</v>
      </c>
      <c r="D247" s="3">
        <v>29.768730000000001</v>
      </c>
      <c r="E247" s="3">
        <v>-93.438389999999998</v>
      </c>
      <c r="F247" s="3" t="s">
        <v>24</v>
      </c>
      <c r="G247" s="3" t="s">
        <v>24</v>
      </c>
      <c r="H247" s="3" t="s">
        <v>24</v>
      </c>
      <c r="I247" s="43"/>
      <c r="J247" s="55">
        <v>81</v>
      </c>
      <c r="K247" s="4">
        <v>81</v>
      </c>
      <c r="L247" s="22">
        <f>IF(ISNUMBER(Table2[[#This Row],[estHD]]),ABS(Table2[[#This Row],[HD]]-Table2[[#This Row],[estHD]]),"NA")</f>
        <v>0</v>
      </c>
      <c r="M247" s="4" t="b">
        <f>Table2[[#This Row],[HD]]=Table2[[#This Row],[estHD]]</f>
        <v>1</v>
      </c>
      <c r="N247" s="4" t="str">
        <f>IF(ISNUMBER([1]!Table2[[#This Row],[hatch_date]]),[1]!Table2[[#This Row],[hatch_date]]-19,"NA")</f>
        <v>NA</v>
      </c>
      <c r="O247" s="31">
        <v>62</v>
      </c>
      <c r="P247" s="23">
        <f>IF(ISNUMBER(Table2[[#This Row],[nest_age1]]),ABS(Table2[[#This Row],[nest_age1]]-Table2[[#This Row],[nest_age_feb]]),"NA")</f>
        <v>0</v>
      </c>
      <c r="Q247" s="24">
        <f>IF(ISNUMBER(Table2[[#This Row],[final_obs_int2]]),ABS(Table2[[#This Row],[final_obs_int2]]-Table2[[#This Row],[final_obs_int_feb]]), "NA")</f>
        <v>3</v>
      </c>
      <c r="R247" s="24"/>
      <c r="S247" s="57" t="s">
        <v>88</v>
      </c>
      <c r="T247" s="57" t="str">
        <f>Table2[[#This Row],[camera_old]]</f>
        <v>N</v>
      </c>
      <c r="U247" s="24"/>
      <c r="V247" s="16" t="s">
        <v>36</v>
      </c>
      <c r="W247" s="16">
        <v>26</v>
      </c>
      <c r="X247" s="145">
        <v>7</v>
      </c>
      <c r="Y247" s="147" t="s">
        <v>90</v>
      </c>
      <c r="Z247" s="146" t="s">
        <v>90</v>
      </c>
      <c r="AA247" s="4" t="str">
        <f>Table2[[#This Row],[field_fate]]</f>
        <v>U</v>
      </c>
      <c r="AB247" s="4" t="str">
        <f>Table2[[#This Row],[field_fate2]]</f>
        <v>U</v>
      </c>
      <c r="AC247" s="4" t="str">
        <f>Table2[[#This Row],[field_fate3]]</f>
        <v>U</v>
      </c>
      <c r="AD247" s="4" t="str">
        <f>Table2[[#This Row],[field_fate4]]</f>
        <v>U</v>
      </c>
      <c r="AE247" s="4" t="str">
        <f>Table2[[#This Row],[field_fate5]]</f>
        <v>U</v>
      </c>
      <c r="AF247" s="4" t="str">
        <f>Table2[[#This Row],[field_fate5]]</f>
        <v>U</v>
      </c>
      <c r="AG247" s="4" t="str">
        <f>Table2[[#This Row],[field_fate5]]</f>
        <v>U</v>
      </c>
      <c r="AH247" s="4" t="str">
        <f>Table2[[#This Row],[field_fate2]]</f>
        <v>U</v>
      </c>
      <c r="AI247" s="4" t="str">
        <f>Table2[[#This Row],[field_fate8]]</f>
        <v>U</v>
      </c>
      <c r="AJ247" s="4" t="str">
        <f>Table2[[#This Row],[field_fate10]]</f>
        <v>U</v>
      </c>
      <c r="AK247" s="4" t="b">
        <f>Table2[[#This Row],[field_fate_feb]]=Table2[[#This Row],[field_fate10]]</f>
        <v>1</v>
      </c>
      <c r="AL247" s="43" t="s">
        <v>36</v>
      </c>
      <c r="AM247" s="43" t="b">
        <f>Table2[[#This Row],[cam_fate2]]="NA"</f>
        <v>0</v>
      </c>
      <c r="AN247" s="19" t="str">
        <f>Table2[[#This Row],[cam_fate1]]</f>
        <v>A</v>
      </c>
      <c r="AO247" s="2" t="s">
        <v>36</v>
      </c>
      <c r="AP247" s="5" t="str">
        <f>Table2[[#This Row],[final_fate1]]</f>
        <v>A</v>
      </c>
      <c r="AQ247" s="6">
        <v>26</v>
      </c>
      <c r="AR247" s="7">
        <v>26</v>
      </c>
      <c r="AS247" s="7">
        <f>Table2[[#This Row],[final_obs_date]]-Table2[[#This Row],[init_date]]</f>
        <v>26</v>
      </c>
      <c r="AT247" s="7">
        <f>(Table2[[#This Row],[final_obs_date2]]-Table2[[#This Row],[estHD]])+16</f>
        <v>23</v>
      </c>
      <c r="AU247" s="39">
        <v>7</v>
      </c>
      <c r="AV247" s="33">
        <v>10</v>
      </c>
      <c r="AW247" s="33">
        <f>Table2[[#This Row],[final_obs_date2]]-Table2[[#This Row],[pen_obs_date]]</f>
        <v>88</v>
      </c>
      <c r="AX247" s="67">
        <v>88</v>
      </c>
      <c r="AY247" s="6">
        <f>Table2[[#This Row],[final_obs_date]]</f>
        <v>88</v>
      </c>
      <c r="AZ247" s="6"/>
      <c r="BA247" s="91" t="s">
        <v>47</v>
      </c>
      <c r="BB247" s="6" t="b">
        <f>Table2[[#This Row],[final_obs_date]]&lt;(Table2[[#This Row],[estHD]]-2)</f>
        <v>0</v>
      </c>
      <c r="BC247" s="24">
        <f>IF(Table2[[#This Row],[field_fate]]="H",1,0)</f>
        <v>0</v>
      </c>
      <c r="BD247" s="16">
        <f>IF(Table2[[#This Row],[cam_fate2]]="H",1,0)</f>
        <v>0</v>
      </c>
      <c r="BE247" s="6" t="b">
        <f>NOT(Table2[[#This Row],[HF_C]]=Table2[[#This Row],[HF]])</f>
        <v>0</v>
      </c>
      <c r="BF247" s="6" t="b">
        <f>NOT(Table2[[#This Row],[cam_fate2]]=Table2[[#This Row],[field_fate3]])</f>
        <v>1</v>
      </c>
      <c r="BG247" s="6" t="b">
        <f>OR(Table2[[#This Row],[field_fate3]]="U",Table2[[#This Row],[field_fate3]]="U-H")</f>
        <v>1</v>
      </c>
      <c r="BH247" s="8">
        <v>72</v>
      </c>
      <c r="BI247" s="8">
        <v>78</v>
      </c>
      <c r="BJ247" s="14">
        <f>IF(ISTEXT(Table2[[#This Row],[j.cam]]),Table2[[#This Row],[j]],Table2[[#This Row],[j.cam]])</f>
        <v>78</v>
      </c>
      <c r="BK247" s="9">
        <v>88</v>
      </c>
      <c r="BL247" s="15">
        <f>IF(ISTEXT(Table2[[#This Row],[k.cam]]), Table2[[#This Row],[k]], Table2[[#This Row],[k.cam]])</f>
        <v>88</v>
      </c>
      <c r="BM247" s="4" t="s">
        <v>24</v>
      </c>
      <c r="BN247" s="8" t="s">
        <v>24</v>
      </c>
      <c r="BO247" s="4">
        <v>4</v>
      </c>
      <c r="BP247" s="4">
        <f>Table2[[#This Row],[final_obs_date]]-Table2[[#This Row],[i]]</f>
        <v>16</v>
      </c>
      <c r="BQ247" s="4" t="b">
        <f>Table2[[#This Row],[final_obs_date2]]&gt;Table2[[#This Row],[estHD]]+3</f>
        <v>1</v>
      </c>
      <c r="BR247" s="11" t="s">
        <v>55</v>
      </c>
      <c r="BS247" s="4" t="s">
        <v>100</v>
      </c>
      <c r="BT247" s="79" t="s">
        <v>1153</v>
      </c>
      <c r="BU247" s="26" t="s">
        <v>231</v>
      </c>
      <c r="BV247" s="79" t="s">
        <v>1541</v>
      </c>
      <c r="BW247" s="49"/>
      <c r="BX247" s="47"/>
      <c r="BY247" s="36" t="s">
        <v>630</v>
      </c>
    </row>
    <row r="248" spans="1:77" hidden="1" x14ac:dyDescent="0.35">
      <c r="A248" s="62">
        <v>10335</v>
      </c>
      <c r="B248" s="2" t="s">
        <v>35</v>
      </c>
      <c r="C248" s="44">
        <v>2019</v>
      </c>
      <c r="D248" s="3">
        <v>29.763259999999999</v>
      </c>
      <c r="E248" s="3">
        <v>-93.142700000000005</v>
      </c>
      <c r="F248" s="3" t="s">
        <v>24</v>
      </c>
      <c r="G248" s="3" t="s">
        <v>24</v>
      </c>
      <c r="H248" s="3" t="s">
        <v>462</v>
      </c>
      <c r="I248" s="43"/>
      <c r="J248" s="55">
        <v>88</v>
      </c>
      <c r="K248" s="4">
        <v>90</v>
      </c>
      <c r="L248" s="22">
        <f>IF(ISNUMBER(Table2[[#This Row],[estHD]]),ABS(Table2[[#This Row],[HD]]-Table2[[#This Row],[estHD]]),"NA")</f>
        <v>2</v>
      </c>
      <c r="M248" s="4" t="b">
        <f>Table2[[#This Row],[HD]]=Table2[[#This Row],[estHD]]</f>
        <v>0</v>
      </c>
      <c r="N248" s="4" t="str">
        <f>IF(ISNUMBER([1]!Table2[[#This Row],[hatch_date]]), [1]!Table2[[#This Row],[hatch_date]]-16, "NA")</f>
        <v>NA</v>
      </c>
      <c r="O248" s="31">
        <v>74</v>
      </c>
      <c r="P248" s="23">
        <f>IF(ISNUMBER(Table2[[#This Row],[nest_age1]]),ABS(Table2[[#This Row],[nest_age1]]-Table2[[#This Row],[nest_age_feb]]),"NA")</f>
        <v>2</v>
      </c>
      <c r="Q248" s="24">
        <f>IF(ISNUMBER(Table2[[#This Row],[final_obs_int2]]),ABS(Table2[[#This Row],[final_obs_int2]]-Table2[[#This Row],[final_obs_int_feb]]), "NA")</f>
        <v>0</v>
      </c>
      <c r="R248" s="24"/>
      <c r="S248" s="57" t="s">
        <v>88</v>
      </c>
      <c r="T248" s="57" t="str">
        <f>Table2[[#This Row],[camera_old]]</f>
        <v>N</v>
      </c>
      <c r="U248" s="24"/>
      <c r="V248" s="16" t="s">
        <v>24</v>
      </c>
      <c r="W248" s="16">
        <v>18</v>
      </c>
      <c r="X248" s="145">
        <v>1</v>
      </c>
      <c r="Y248" s="147" t="s">
        <v>37</v>
      </c>
      <c r="Z248" s="146" t="s">
        <v>37</v>
      </c>
      <c r="AA248" s="4" t="str">
        <f>Table2[[#This Row],[field_fate]]</f>
        <v>H</v>
      </c>
      <c r="AB248" s="4" t="str">
        <f>Table2[[#This Row],[field_fate2]]</f>
        <v>H</v>
      </c>
      <c r="AC248" s="4" t="str">
        <f>Table2[[#This Row],[field_fate3]]</f>
        <v>H</v>
      </c>
      <c r="AD248" s="4" t="str">
        <f>Table2[[#This Row],[field_fate4]]</f>
        <v>H</v>
      </c>
      <c r="AE248" s="4" t="str">
        <f>Table2[[#This Row],[field_fate5]]</f>
        <v>H</v>
      </c>
      <c r="AF248" s="4" t="str">
        <f>Table2[[#This Row],[field_fate5]]</f>
        <v>H</v>
      </c>
      <c r="AG248" s="4" t="str">
        <f>Table2[[#This Row],[field_fate5]]</f>
        <v>H</v>
      </c>
      <c r="AH248" s="4" t="str">
        <f>Table2[[#This Row],[field_fate2]]</f>
        <v>H</v>
      </c>
      <c r="AI248" s="4" t="str">
        <f>Table2[[#This Row],[field_fate8]]</f>
        <v>H</v>
      </c>
      <c r="AJ248" s="4" t="str">
        <f>Table2[[#This Row],[field_fate10]]</f>
        <v>H</v>
      </c>
      <c r="AK248" s="4" t="b">
        <f>Table2[[#This Row],[field_fate_feb]]=Table2[[#This Row],[field_fate10]]</f>
        <v>1</v>
      </c>
      <c r="AL248" s="43" t="s">
        <v>24</v>
      </c>
      <c r="AM248" s="43" t="b">
        <f>Table2[[#This Row],[cam_fate2]]="NA"</f>
        <v>1</v>
      </c>
      <c r="AN248" s="19" t="str">
        <f>Table2[[#This Row],[cam_fate1]]</f>
        <v>NA</v>
      </c>
      <c r="AO248" s="2" t="s">
        <v>37</v>
      </c>
      <c r="AP248" s="5" t="str">
        <f>Table2[[#This Row],[final_fate1]]</f>
        <v>H</v>
      </c>
      <c r="AQ248" s="6">
        <v>16</v>
      </c>
      <c r="AR248" s="7">
        <v>18</v>
      </c>
      <c r="AS248" s="7">
        <f>Table2[[#This Row],[final_obs_date]]-Table2[[#This Row],[init_date]]</f>
        <v>16</v>
      </c>
      <c r="AT248" s="7">
        <f>(Table2[[#This Row],[final_obs_date2]]-Table2[[#This Row],[estHD]])+16</f>
        <v>18</v>
      </c>
      <c r="AU248" s="38">
        <v>1</v>
      </c>
      <c r="AV248" s="33">
        <v>1</v>
      </c>
      <c r="AW248" s="33">
        <f>Table2[[#This Row],[final_obs_date2]]-Table2[[#This Row],[pen_obs_date]]</f>
        <v>90</v>
      </c>
      <c r="AX248" s="67">
        <v>90</v>
      </c>
      <c r="AY248" s="6">
        <f>Table2[[#This Row],[final_obs_date]]</f>
        <v>90</v>
      </c>
      <c r="AZ248" s="6"/>
      <c r="BA248" s="91" t="s">
        <v>60</v>
      </c>
      <c r="BB248" s="6" t="b">
        <f>Table2[[#This Row],[final_obs_date]]&lt;(Table2[[#This Row],[estHD]]-2)</f>
        <v>0</v>
      </c>
      <c r="BC248" s="24">
        <f>IF(Table2[[#This Row],[field_fate]]="H",1,0)</f>
        <v>1</v>
      </c>
      <c r="BD248" s="16">
        <f>IF(Table2[[#This Row],[cam_fate2]]="H",1,0)</f>
        <v>0</v>
      </c>
      <c r="BE248" s="6" t="b">
        <f>NOT(Table2[[#This Row],[HF_C]]=Table2[[#This Row],[HF]])</f>
        <v>1</v>
      </c>
      <c r="BF248" s="6" t="b">
        <f>NOT(Table2[[#This Row],[cam_fate2]]=Table2[[#This Row],[field_fate3]])</f>
        <v>1</v>
      </c>
      <c r="BG248" s="6" t="b">
        <f>OR(Table2[[#This Row],[field_fate3]]="U",Table2[[#This Row],[field_fate3]]="U-H")</f>
        <v>0</v>
      </c>
      <c r="BH248" s="8">
        <v>78</v>
      </c>
      <c r="BI248" s="8">
        <v>90</v>
      </c>
      <c r="BJ248" s="14">
        <f>IF(ISTEXT(Table2[[#This Row],[j.cam]]),Table2[[#This Row],[j]],Table2[[#This Row],[j.cam]])</f>
        <v>90</v>
      </c>
      <c r="BK248" s="9">
        <v>90</v>
      </c>
      <c r="BL248" s="15">
        <f>IF(ISTEXT(Table2[[#This Row],[k.cam]]), Table2[[#This Row],[k]], Table2[[#This Row],[k.cam]])</f>
        <v>90</v>
      </c>
      <c r="BM248" s="4" t="s">
        <v>24</v>
      </c>
      <c r="BN248" s="8" t="s">
        <v>24</v>
      </c>
      <c r="BO248" s="4">
        <v>5</v>
      </c>
      <c r="BP248" s="4">
        <f>Table2[[#This Row],[final_obs_date]]-Table2[[#This Row],[i]]</f>
        <v>12</v>
      </c>
      <c r="BQ248" s="4" t="b">
        <f>Table2[[#This Row],[final_obs_date2]]&gt;Table2[[#This Row],[estHD]]+3</f>
        <v>0</v>
      </c>
      <c r="BR248" s="4" t="s">
        <v>66</v>
      </c>
      <c r="BS248" s="4" t="s">
        <v>127</v>
      </c>
      <c r="BT248" s="79" t="s">
        <v>1154</v>
      </c>
      <c r="BU248" s="26" t="s">
        <v>232</v>
      </c>
      <c r="BV248" s="79" t="s">
        <v>1542</v>
      </c>
      <c r="BW248" s="49"/>
      <c r="BX248" s="47"/>
      <c r="BY248" s="36" t="s">
        <v>619</v>
      </c>
    </row>
    <row r="249" spans="1:77" hidden="1" x14ac:dyDescent="0.35">
      <c r="A249" s="62">
        <v>10336</v>
      </c>
      <c r="B249" s="2" t="s">
        <v>22</v>
      </c>
      <c r="C249" s="44">
        <v>2019</v>
      </c>
      <c r="D249" s="3">
        <v>29.67689</v>
      </c>
      <c r="E249" s="3">
        <v>-92.868009999999998</v>
      </c>
      <c r="F249" s="3" t="s">
        <v>24</v>
      </c>
      <c r="G249" s="3" t="s">
        <v>24</v>
      </c>
      <c r="H249" s="3" t="s">
        <v>24</v>
      </c>
      <c r="I249" s="43"/>
      <c r="J249" s="55">
        <v>81</v>
      </c>
      <c r="K249" s="4">
        <v>81</v>
      </c>
      <c r="L249" s="22">
        <f>IF(ISNUMBER(Table2[[#This Row],[estHD]]),ABS(Table2[[#This Row],[HD]]-Table2[[#This Row],[estHD]]),"NA")</f>
        <v>0</v>
      </c>
      <c r="M249" s="4" t="b">
        <f>Table2[[#This Row],[HD]]=Table2[[#This Row],[estHD]]</f>
        <v>1</v>
      </c>
      <c r="N249" s="4" t="str">
        <f>IF(ISNUMBER([1]!Table2[[#This Row],[hatch_date]]), [1]!Table2[[#This Row],[hatch_date]]-16, "NA")</f>
        <v>NA</v>
      </c>
      <c r="O249" s="31">
        <v>65</v>
      </c>
      <c r="P249" s="23">
        <f>IF(ISNUMBER(Table2[[#This Row],[nest_age1]]),ABS(Table2[[#This Row],[nest_age1]]-Table2[[#This Row],[nest_age_feb]]),"NA")</f>
        <v>0</v>
      </c>
      <c r="Q249" s="24">
        <f>IF(ISNUMBER(Table2[[#This Row],[final_obs_int2]]),ABS(Table2[[#This Row],[final_obs_int2]]-Table2[[#This Row],[final_obs_int_feb]]), "NA")</f>
        <v>0</v>
      </c>
      <c r="R249" s="24"/>
      <c r="S249" s="57" t="s">
        <v>88</v>
      </c>
      <c r="T249" s="57" t="str">
        <f>Table2[[#This Row],[camera_old]]</f>
        <v>N</v>
      </c>
      <c r="U249" s="24"/>
      <c r="V249" s="16" t="s">
        <v>24</v>
      </c>
      <c r="W249" s="16">
        <v>18</v>
      </c>
      <c r="X249" s="145">
        <v>4</v>
      </c>
      <c r="Y249" s="147" t="s">
        <v>31</v>
      </c>
      <c r="Z249" s="146" t="s">
        <v>31</v>
      </c>
      <c r="AA249" s="4" t="str">
        <f>Table2[[#This Row],[field_fate]]</f>
        <v>D</v>
      </c>
      <c r="AB249" s="4" t="str">
        <f>Table2[[#This Row],[field_fate2]]</f>
        <v>D</v>
      </c>
      <c r="AC249" s="4" t="str">
        <f>Table2[[#This Row],[field_fate3]]</f>
        <v>D</v>
      </c>
      <c r="AD249" s="4" t="str">
        <f>Table2[[#This Row],[field_fate4]]</f>
        <v>D</v>
      </c>
      <c r="AE249" s="4" t="str">
        <f>Table2[[#This Row],[field_fate5]]</f>
        <v>D</v>
      </c>
      <c r="AF249" s="4" t="str">
        <f>Table2[[#This Row],[field_fate5]]</f>
        <v>D</v>
      </c>
      <c r="AG249" s="4" t="str">
        <f>Table2[[#This Row],[field_fate5]]</f>
        <v>D</v>
      </c>
      <c r="AH249" s="4" t="str">
        <f>Table2[[#This Row],[field_fate2]]</f>
        <v>D</v>
      </c>
      <c r="AI249" s="4" t="str">
        <f>Table2[[#This Row],[field_fate8]]</f>
        <v>D</v>
      </c>
      <c r="AJ249" s="4" t="str">
        <f>Table2[[#This Row],[field_fate10]]</f>
        <v>D</v>
      </c>
      <c r="AK249" s="4" t="b">
        <f>Table2[[#This Row],[field_fate_feb]]=Table2[[#This Row],[field_fate10]]</f>
        <v>1</v>
      </c>
      <c r="AL249" s="43" t="s">
        <v>24</v>
      </c>
      <c r="AM249" s="43" t="b">
        <f>Table2[[#This Row],[cam_fate2]]="NA"</f>
        <v>1</v>
      </c>
      <c r="AN249" s="19" t="str">
        <f>Table2[[#This Row],[cam_fate1]]</f>
        <v>NA</v>
      </c>
      <c r="AO249" s="2" t="s">
        <v>31</v>
      </c>
      <c r="AP249" s="5" t="str">
        <f>Table2[[#This Row],[final_fate1]]</f>
        <v>D</v>
      </c>
      <c r="AQ249" s="6">
        <v>18</v>
      </c>
      <c r="AR249" s="7">
        <v>18</v>
      </c>
      <c r="AS249" s="7">
        <f>Table2[[#This Row],[final_obs_date]]-Table2[[#This Row],[init_date]]</f>
        <v>18</v>
      </c>
      <c r="AT249" s="7">
        <f>(Table2[[#This Row],[final_obs_date2]]-Table2[[#This Row],[estHD]])+16</f>
        <v>18</v>
      </c>
      <c r="AU249" s="38">
        <v>4</v>
      </c>
      <c r="AV249" s="33">
        <v>4</v>
      </c>
      <c r="AW249" s="33">
        <f>Table2[[#This Row],[final_obs_date2]]-Table2[[#This Row],[pen_obs_date]]</f>
        <v>83</v>
      </c>
      <c r="AX249" s="67">
        <v>83</v>
      </c>
      <c r="AY249" s="6">
        <f>Table2[[#This Row],[final_obs_date]]</f>
        <v>83</v>
      </c>
      <c r="AZ249" s="6"/>
      <c r="BA249" s="91" t="s">
        <v>60</v>
      </c>
      <c r="BB249" s="6" t="b">
        <f>Table2[[#This Row],[final_obs_date]]&lt;(Table2[[#This Row],[estHD]]-2)</f>
        <v>0</v>
      </c>
      <c r="BC249" s="24">
        <f>IF(Table2[[#This Row],[field_fate]]="H",1,0)</f>
        <v>0</v>
      </c>
      <c r="BD249" s="16">
        <f>IF(Table2[[#This Row],[cam_fate2]]="H",1,0)</f>
        <v>0</v>
      </c>
      <c r="BE249" s="6" t="b">
        <f>NOT(Table2[[#This Row],[HF_C]]=Table2[[#This Row],[HF]])</f>
        <v>0</v>
      </c>
      <c r="BF249" s="6" t="b">
        <f>NOT(Table2[[#This Row],[cam_fate2]]=Table2[[#This Row],[field_fate3]])</f>
        <v>1</v>
      </c>
      <c r="BG249" s="6" t="b">
        <f>OR(Table2[[#This Row],[field_fate3]]="U",Table2[[#This Row],[field_fate3]]="U-H")</f>
        <v>0</v>
      </c>
      <c r="BH249" s="8">
        <v>79</v>
      </c>
      <c r="BI249" s="8">
        <v>79</v>
      </c>
      <c r="BJ249" s="14">
        <f>IF(ISTEXT(Table2[[#This Row],[j.cam]]),Table2[[#This Row],[j]],Table2[[#This Row],[j.cam]])</f>
        <v>79</v>
      </c>
      <c r="BK249" s="9">
        <v>83</v>
      </c>
      <c r="BL249" s="15">
        <f>IF(ISTEXT(Table2[[#This Row],[k.cam]]), Table2[[#This Row],[k]], Table2[[#This Row],[k.cam]])</f>
        <v>83</v>
      </c>
      <c r="BM249" s="4" t="s">
        <v>24</v>
      </c>
      <c r="BN249" s="8" t="s">
        <v>24</v>
      </c>
      <c r="BO249" s="4">
        <v>2</v>
      </c>
      <c r="BP249" s="4">
        <f>Table2[[#This Row],[final_obs_date]]-Table2[[#This Row],[i]]</f>
        <v>4</v>
      </c>
      <c r="BQ249" s="4" t="b">
        <f>Table2[[#This Row],[final_obs_date2]]&gt;Table2[[#This Row],[estHD]]+3</f>
        <v>0</v>
      </c>
      <c r="BR249" s="4" t="s">
        <v>33</v>
      </c>
      <c r="BS249" s="4" t="s">
        <v>45</v>
      </c>
      <c r="BT249" s="79" t="s">
        <v>1155</v>
      </c>
      <c r="BU249" s="26" t="s">
        <v>87</v>
      </c>
      <c r="BV249" s="79" t="s">
        <v>1429</v>
      </c>
      <c r="BW249" s="49"/>
      <c r="BX249" s="47"/>
      <c r="BY249" s="36" t="s">
        <v>631</v>
      </c>
    </row>
    <row r="250" spans="1:77" hidden="1" x14ac:dyDescent="0.35">
      <c r="A250" s="59">
        <v>10338</v>
      </c>
      <c r="B250" s="2" t="s">
        <v>35</v>
      </c>
      <c r="C250" s="44">
        <v>2019</v>
      </c>
      <c r="D250" s="3">
        <v>29.767749999999999</v>
      </c>
      <c r="E250" s="3">
        <v>-93.165080000000003</v>
      </c>
      <c r="F250" s="3" t="s">
        <v>24</v>
      </c>
      <c r="G250" s="3" t="s">
        <v>24</v>
      </c>
      <c r="H250" s="3" t="s">
        <v>26</v>
      </c>
      <c r="I250" s="43"/>
      <c r="J250" s="116" t="s">
        <v>24</v>
      </c>
      <c r="K250" s="4">
        <v>92</v>
      </c>
      <c r="L250" s="22" t="str">
        <f>IF(ISNUMBER(Table2[[#This Row],[estHD]]),ABS(Table2[[#This Row],[HD]]-Table2[[#This Row],[estHD]]),"NA")</f>
        <v>NA</v>
      </c>
      <c r="M250" s="4" t="b">
        <f>Table2[[#This Row],[HD]]=Table2[[#This Row],[estHD]]</f>
        <v>0</v>
      </c>
      <c r="N250" s="4">
        <f>IF(ISNUMBER(Table2[[#This Row],[HD]]),Table2[[#This Row],[HD]]-19,"NA")</f>
        <v>73</v>
      </c>
      <c r="O250" s="31">
        <v>73</v>
      </c>
      <c r="P250" s="23" t="e">
        <f>IF(ISNUMBER(Table2[[#This Row],[nest_age1]]),ABS(Table2[[#This Row],[nest_age1]]-Table2[[#This Row],[nest_age_feb]]),"NA")</f>
        <v>#VALUE!</v>
      </c>
      <c r="Q250" s="25">
        <f>IF(ISNUMBER(Table2[[#This Row],[final_obs_int2]]),ABS(Table2[[#This Row],[final_obs_int2]]-Table2[[#This Row],[final_obs_int_feb]]), "NA")</f>
        <v>0</v>
      </c>
      <c r="R250" s="24" t="e">
        <f>(Table2[[#This Row],[k_adj]]-Table2[[#This Row],[estHD]])/Table2[[#This Row],[estHD]]</f>
        <v>#VALUE!</v>
      </c>
      <c r="S250" s="20" t="s">
        <v>75</v>
      </c>
      <c r="T250" s="20" t="str">
        <f>Table2[[#This Row],[camera_old]]</f>
        <v>Y</v>
      </c>
      <c r="U250" s="22" t="s">
        <v>88</v>
      </c>
      <c r="V250" s="16" t="s">
        <v>24</v>
      </c>
      <c r="W250" s="16" t="s">
        <v>24</v>
      </c>
      <c r="X250" s="145">
        <v>8</v>
      </c>
      <c r="Y250" s="147" t="s">
        <v>25</v>
      </c>
      <c r="Z250" s="146" t="s">
        <v>25</v>
      </c>
      <c r="AA250" s="4" t="str">
        <f>Table2[[#This Row],[field_fate]]</f>
        <v>S</v>
      </c>
      <c r="AB250" s="4" t="str">
        <f>Table2[[#This Row],[field_fate2]]</f>
        <v>S</v>
      </c>
      <c r="AC250" s="94" t="str">
        <f>Table2[[#This Row],[field_fate3]]</f>
        <v>S</v>
      </c>
      <c r="AD250" s="94" t="str">
        <f>Table2[[#This Row],[field_fate4]]</f>
        <v>S</v>
      </c>
      <c r="AE250" s="94" t="str">
        <f>Table2[[#This Row],[field_fate5]]</f>
        <v>S</v>
      </c>
      <c r="AF250" s="94" t="str">
        <f>Table2[[#This Row],[field_fate5]]</f>
        <v>S</v>
      </c>
      <c r="AG250" s="94" t="str">
        <f>Table2[[#This Row],[field_fate5]]</f>
        <v>S</v>
      </c>
      <c r="AH250" s="94" t="str">
        <f>Table2[[#This Row],[field_fate2]]</f>
        <v>S</v>
      </c>
      <c r="AI250" s="94" t="str">
        <f>Table2[[#This Row],[field_fate8]]</f>
        <v>S</v>
      </c>
      <c r="AJ250" s="94" t="str">
        <f>Table2[[#This Row],[field_fate10]]</f>
        <v>S</v>
      </c>
      <c r="AK250" s="94" t="b">
        <f>Table2[[#This Row],[field_fate_feb]]=Table2[[#This Row],[field_fate10]]</f>
        <v>1</v>
      </c>
      <c r="AL250" s="43" t="s">
        <v>25</v>
      </c>
      <c r="AM250" s="160" t="b">
        <f>Table2[[#This Row],[cam_fate2]]="NA"</f>
        <v>0</v>
      </c>
      <c r="AN250" s="19" t="s">
        <v>37</v>
      </c>
      <c r="AO250" s="2" t="s">
        <v>25</v>
      </c>
      <c r="AP250" s="13" t="s">
        <v>37</v>
      </c>
      <c r="AQ250" s="6">
        <v>25</v>
      </c>
      <c r="AR250" s="72">
        <v>25</v>
      </c>
      <c r="AS250" s="155">
        <f>Table2[[#This Row],[final_obs_date]]-Table2[[#This Row],[init_date]]</f>
        <v>25</v>
      </c>
      <c r="AT250" s="155" t="e">
        <f>(Table2[[#This Row],[final_obs_date2]]-Table2[[#This Row],[estHD]])+19</f>
        <v>#VALUE!</v>
      </c>
      <c r="AU250" s="42">
        <v>8</v>
      </c>
      <c r="AV250" s="33">
        <v>8</v>
      </c>
      <c r="AW250" s="33">
        <f>Table2[[#This Row],[final_obs_date2]]-Table2[[#This Row],[pen_obs_date]]</f>
        <v>6</v>
      </c>
      <c r="AX250" s="67">
        <v>98</v>
      </c>
      <c r="AY250" s="157">
        <f>Table2[[#This Row],[final_obs_date]]</f>
        <v>98</v>
      </c>
      <c r="AZ250" s="6">
        <v>92</v>
      </c>
      <c r="BA250" s="92" t="s">
        <v>47</v>
      </c>
      <c r="BB250" s="6" t="e">
        <f>Table2[[#This Row],[final_obs_date]]&lt;(Table2[[#This Row],[estHD]]-2)</f>
        <v>#VALUE!</v>
      </c>
      <c r="BC250" s="32">
        <f>IF(Table2[[#This Row],[field_fate]]="H",1,0)</f>
        <v>0</v>
      </c>
      <c r="BD250" s="16">
        <f>IF(Table2[[#This Row],[cam_fate2]]="H",1,0)</f>
        <v>1</v>
      </c>
      <c r="BE250" s="6" t="b">
        <f>NOT(Table2[[#This Row],[HF_C]]=Table2[[#This Row],[HF]])</f>
        <v>1</v>
      </c>
      <c r="BF250" s="38" t="b">
        <f>NOT(Table2[[#This Row],[cam_fate2]]=Table2[[#This Row],[field_fate3]])</f>
        <v>1</v>
      </c>
      <c r="BG250" s="38" t="b">
        <f>OR(Table2[[#This Row],[field_fate3]]="U",Table2[[#This Row],[field_fate3]]="U-H")</f>
        <v>0</v>
      </c>
      <c r="BH250" s="8">
        <v>90</v>
      </c>
      <c r="BI250" s="8">
        <v>90</v>
      </c>
      <c r="BJ250" s="14">
        <f>IF(ISTEXT(Table2[[#This Row],[j.cam]]),Table2[[#This Row],[j]],Table2[[#This Row],[j.cam]])</f>
        <v>92</v>
      </c>
      <c r="BK250" s="8">
        <v>98</v>
      </c>
      <c r="BL250" s="14">
        <f>IF(ISTEXT(Table2[[#This Row],[k.cam]]), Table2[[#This Row],[k]], Table2[[#This Row],[k.cam]])</f>
        <v>92</v>
      </c>
      <c r="BM250" s="4">
        <v>92</v>
      </c>
      <c r="BN250" s="8">
        <v>92</v>
      </c>
      <c r="BO250" s="4">
        <v>4</v>
      </c>
      <c r="BP250" s="4">
        <f>Table2[[#This Row],[final_obs_date]]-Table2[[#This Row],[i]]</f>
        <v>8</v>
      </c>
      <c r="BQ250" s="4" t="e">
        <f>Table2[[#This Row],[final_obs_date2]]&gt;Table2[[#This Row],[estHD]]+3</f>
        <v>#VALUE!</v>
      </c>
      <c r="BR250" s="30" t="s">
        <v>55</v>
      </c>
      <c r="BS250" s="3" t="s">
        <v>45</v>
      </c>
      <c r="BT250" s="125" t="s">
        <v>1156</v>
      </c>
      <c r="BU250" s="4" t="s">
        <v>233</v>
      </c>
      <c r="BV250" s="79" t="s">
        <v>1543</v>
      </c>
      <c r="BW250" s="70" t="s">
        <v>450</v>
      </c>
      <c r="BX250" s="36" t="s">
        <v>994</v>
      </c>
      <c r="BY250" s="36" t="s">
        <v>632</v>
      </c>
    </row>
    <row r="251" spans="1:77" hidden="1" x14ac:dyDescent="0.35">
      <c r="A251" s="62">
        <v>10339</v>
      </c>
      <c r="B251" s="2" t="s">
        <v>35</v>
      </c>
      <c r="C251" s="44">
        <v>2019</v>
      </c>
      <c r="D251" s="3">
        <v>29.769169999999999</v>
      </c>
      <c r="E251" s="3">
        <v>-93.172409999999999</v>
      </c>
      <c r="F251" s="3" t="s">
        <v>24</v>
      </c>
      <c r="G251" s="3" t="s">
        <v>24</v>
      </c>
      <c r="H251" s="3" t="s">
        <v>26</v>
      </c>
      <c r="I251" s="43"/>
      <c r="J251" s="116">
        <v>98</v>
      </c>
      <c r="K251" s="4">
        <v>98</v>
      </c>
      <c r="L251" s="22">
        <f>IF(ISNUMBER(Table2[[#This Row],[estHD]]),ABS(Table2[[#This Row],[HD]]-Table2[[#This Row],[estHD]]),"NA")</f>
        <v>0</v>
      </c>
      <c r="M251" s="4" t="b">
        <f>Table2[[#This Row],[HD]]=Table2[[#This Row],[estHD]]</f>
        <v>1</v>
      </c>
      <c r="N251" s="4" t="str">
        <f>IF(ISNUMBER([1]!Table2[[#This Row],[hatch_date]]),[1]!Table2[[#This Row],[hatch_date]]-19,"NA")</f>
        <v>NA</v>
      </c>
      <c r="O251" s="31">
        <v>79</v>
      </c>
      <c r="P251" s="23">
        <f>IF(ISNUMBER(Table2[[#This Row],[nest_age1]]),ABS(Table2[[#This Row],[nest_age1]]-Table2[[#This Row],[nest_age_feb]]),"NA")</f>
        <v>0</v>
      </c>
      <c r="Q251" s="24">
        <f>IF(ISNUMBER(Table2[[#This Row],[final_obs_int2]]),ABS(Table2[[#This Row],[final_obs_int2]]-Table2[[#This Row],[final_obs_int_feb]]), "NA")</f>
        <v>0</v>
      </c>
      <c r="R251" s="24"/>
      <c r="S251" s="20" t="s">
        <v>75</v>
      </c>
      <c r="T251" s="20" t="str">
        <f>Table2[[#This Row],[camera_old]]</f>
        <v>Y</v>
      </c>
      <c r="U251" s="22" t="s">
        <v>88</v>
      </c>
      <c r="V251" s="16" t="s">
        <v>25</v>
      </c>
      <c r="W251" s="16">
        <v>19</v>
      </c>
      <c r="X251" s="145">
        <v>6</v>
      </c>
      <c r="Y251" s="147" t="s">
        <v>25</v>
      </c>
      <c r="Z251" s="146" t="s">
        <v>25</v>
      </c>
      <c r="AA251" s="4" t="str">
        <f>Table2[[#This Row],[field_fate]]</f>
        <v>S</v>
      </c>
      <c r="AB251" s="4" t="str">
        <f>Table2[[#This Row],[field_fate2]]</f>
        <v>S</v>
      </c>
      <c r="AC251" s="94" t="str">
        <f>Table2[[#This Row],[field_fate3]]</f>
        <v>S</v>
      </c>
      <c r="AD251" s="94" t="str">
        <f>Table2[[#This Row],[field_fate4]]</f>
        <v>S</v>
      </c>
      <c r="AE251" s="94" t="str">
        <f>Table2[[#This Row],[field_fate5]]</f>
        <v>S</v>
      </c>
      <c r="AF251" s="94" t="str">
        <f>Table2[[#This Row],[field_fate5]]</f>
        <v>S</v>
      </c>
      <c r="AG251" s="94" t="str">
        <f>Table2[[#This Row],[field_fate5]]</f>
        <v>S</v>
      </c>
      <c r="AH251" s="94" t="str">
        <f>Table2[[#This Row],[field_fate2]]</f>
        <v>S</v>
      </c>
      <c r="AI251" s="94" t="str">
        <f>Table2[[#This Row],[field_fate8]]</f>
        <v>S</v>
      </c>
      <c r="AJ251" s="94" t="str">
        <f>Table2[[#This Row],[field_fate10]]</f>
        <v>S</v>
      </c>
      <c r="AK251" s="94" t="b">
        <f>Table2[[#This Row],[field_fate_feb]]=Table2[[#This Row],[field_fate10]]</f>
        <v>1</v>
      </c>
      <c r="AL251" s="43" t="s">
        <v>65</v>
      </c>
      <c r="AM251" s="160" t="b">
        <f>Table2[[#This Row],[cam_fate2]]="NA"</f>
        <v>0</v>
      </c>
      <c r="AN251" s="19" t="str">
        <f>Table2[[#This Row],[cam_fate1]]</f>
        <v>Ca</v>
      </c>
      <c r="AO251" s="2" t="s">
        <v>65</v>
      </c>
      <c r="AP251" s="5" t="str">
        <f>Table2[[#This Row],[final_fate1]]</f>
        <v>Ca</v>
      </c>
      <c r="AQ251" s="6">
        <v>19</v>
      </c>
      <c r="AR251" s="72">
        <v>19</v>
      </c>
      <c r="AS251" s="155">
        <f>Table2[[#This Row],[final_obs_date]]-Table2[[#This Row],[init_date]]</f>
        <v>19</v>
      </c>
      <c r="AT251" s="155">
        <f>(Table2[[#This Row],[final_obs_date2]]-Table2[[#This Row],[estHD]])+19</f>
        <v>19</v>
      </c>
      <c r="AU251" s="38">
        <v>6</v>
      </c>
      <c r="AV251" s="33">
        <v>6</v>
      </c>
      <c r="AW251" s="33">
        <f>Table2[[#This Row],[final_obs_date2]]-Table2[[#This Row],[pen_obs_date]]</f>
        <v>6</v>
      </c>
      <c r="AX251" s="67">
        <v>98</v>
      </c>
      <c r="AY251" s="157">
        <f>Table2[[#This Row],[final_obs_date]]</f>
        <v>98</v>
      </c>
      <c r="AZ251" s="6">
        <v>92</v>
      </c>
      <c r="BA251" s="92" t="s">
        <v>47</v>
      </c>
      <c r="BB251" s="6" t="b">
        <f>Table2[[#This Row],[final_obs_date]]&lt;(Table2[[#This Row],[estHD]]-2)</f>
        <v>0</v>
      </c>
      <c r="BC251" s="32">
        <f>IF(Table2[[#This Row],[field_fate]]="H",1,0)</f>
        <v>0</v>
      </c>
      <c r="BD251" s="16">
        <f>IF(Table2[[#This Row],[cam_fate2]]="H",1,0)</f>
        <v>0</v>
      </c>
      <c r="BE251" s="6" t="b">
        <f>NOT(Table2[[#This Row],[HF_C]]=Table2[[#This Row],[HF]])</f>
        <v>0</v>
      </c>
      <c r="BF251" s="38" t="b">
        <f>NOT(Table2[[#This Row],[cam_fate2]]=Table2[[#This Row],[field_fate3]])</f>
        <v>1</v>
      </c>
      <c r="BG251" s="38" t="b">
        <f>OR(Table2[[#This Row],[field_fate3]]="U",Table2[[#This Row],[field_fate3]]="U-H")</f>
        <v>0</v>
      </c>
      <c r="BH251" s="8">
        <v>81</v>
      </c>
      <c r="BI251" s="8">
        <v>92</v>
      </c>
      <c r="BJ251" s="14">
        <v>92</v>
      </c>
      <c r="BK251" s="8">
        <v>98</v>
      </c>
      <c r="BL251" s="14">
        <f>IF(ISTEXT(Table2[[#This Row],[k.cam]]), Table2[[#This Row],[k]], Table2[[#This Row],[k.cam]])</f>
        <v>98</v>
      </c>
      <c r="BM251" s="4" t="s">
        <v>24</v>
      </c>
      <c r="BN251" s="8" t="s">
        <v>24</v>
      </c>
      <c r="BO251" s="4">
        <v>4</v>
      </c>
      <c r="BP251" s="4">
        <f>Table2[[#This Row],[final_obs_date]]-Table2[[#This Row],[i]]</f>
        <v>17</v>
      </c>
      <c r="BQ251" s="4" t="b">
        <f>Table2[[#This Row],[final_obs_date2]]&gt;Table2[[#This Row],[estHD]]+3</f>
        <v>0</v>
      </c>
      <c r="BR251" s="3" t="s">
        <v>58</v>
      </c>
      <c r="BS251" s="3" t="s">
        <v>45</v>
      </c>
      <c r="BT251" s="125" t="s">
        <v>1156</v>
      </c>
      <c r="BU251" s="4" t="s">
        <v>234</v>
      </c>
      <c r="BV251" s="79" t="s">
        <v>1543</v>
      </c>
      <c r="BW251" s="69"/>
      <c r="BX251" s="36"/>
      <c r="BY251" s="36" t="s">
        <v>633</v>
      </c>
    </row>
    <row r="252" spans="1:77" hidden="1" x14ac:dyDescent="0.35">
      <c r="A252" s="62">
        <v>10341</v>
      </c>
      <c r="B252" s="2" t="s">
        <v>35</v>
      </c>
      <c r="C252" s="44">
        <v>2019</v>
      </c>
      <c r="D252" s="3">
        <v>29.7653</v>
      </c>
      <c r="E252" s="3">
        <v>-93.153019999999998</v>
      </c>
      <c r="F252" s="3" t="s">
        <v>24</v>
      </c>
      <c r="G252" s="3" t="s">
        <v>24</v>
      </c>
      <c r="H252" s="3" t="s">
        <v>26</v>
      </c>
      <c r="I252" s="43"/>
      <c r="J252" s="55">
        <v>84</v>
      </c>
      <c r="K252" s="4">
        <v>84</v>
      </c>
      <c r="L252" s="22">
        <f>IF(ISNUMBER(Table2[[#This Row],[estHD]]),ABS(Table2[[#This Row],[HD]]-Table2[[#This Row],[estHD]]),"NA")</f>
        <v>0</v>
      </c>
      <c r="M252" s="4" t="b">
        <f>Table2[[#This Row],[HD]]=Table2[[#This Row],[estHD]]</f>
        <v>1</v>
      </c>
      <c r="N252" s="4" t="str">
        <f>IF(ISNUMBER([1]!Table2[[#This Row],[hatch_date]]), [1]!Table2[[#This Row],[hatch_date]]-16, "NA")</f>
        <v>NA</v>
      </c>
      <c r="O252" s="31">
        <v>68</v>
      </c>
      <c r="P252" s="23">
        <f>IF(ISNUMBER(Table2[[#This Row],[nest_age1]]),ABS(Table2[[#This Row],[nest_age1]]-Table2[[#This Row],[nest_age_feb]]),"NA")</f>
        <v>0</v>
      </c>
      <c r="Q252" s="24">
        <f>IF(ISNUMBER(Table2[[#This Row],[final_obs_int2]]),ABS(Table2[[#This Row],[final_obs_int2]]-Table2[[#This Row],[final_obs_int_feb]]), "NA")</f>
        <v>0</v>
      </c>
      <c r="R252" s="24"/>
      <c r="S252" s="57" t="s">
        <v>88</v>
      </c>
      <c r="T252" s="57" t="str">
        <f>Table2[[#This Row],[camera_old]]</f>
        <v>N</v>
      </c>
      <c r="U252" s="24"/>
      <c r="V252" s="16" t="s">
        <v>24</v>
      </c>
      <c r="W252" s="16">
        <v>17</v>
      </c>
      <c r="X252" s="145">
        <v>3</v>
      </c>
      <c r="Y252" s="147" t="s">
        <v>65</v>
      </c>
      <c r="Z252" s="146" t="s">
        <v>65</v>
      </c>
      <c r="AA252" s="4" t="str">
        <f>Table2[[#This Row],[field_fate]]</f>
        <v>Ca</v>
      </c>
      <c r="AB252" s="4" t="str">
        <f>Table2[[#This Row],[field_fate2]]</f>
        <v>Ca</v>
      </c>
      <c r="AC252" s="4" t="str">
        <f>Table2[[#This Row],[field_fate3]]</f>
        <v>Ca</v>
      </c>
      <c r="AD252" s="4" t="str">
        <f>Table2[[#This Row],[field_fate4]]</f>
        <v>Ca</v>
      </c>
      <c r="AE252" s="4" t="str">
        <f>Table2[[#This Row],[field_fate5]]</f>
        <v>Ca</v>
      </c>
      <c r="AF252" s="4" t="str">
        <f>Table2[[#This Row],[field_fate5]]</f>
        <v>Ca</v>
      </c>
      <c r="AG252" s="4" t="str">
        <f>Table2[[#This Row],[field_fate5]]</f>
        <v>Ca</v>
      </c>
      <c r="AH252" s="4" t="str">
        <f>Table2[[#This Row],[field_fate2]]</f>
        <v>Ca</v>
      </c>
      <c r="AI252" s="4" t="str">
        <f>Table2[[#This Row],[field_fate8]]</f>
        <v>Ca</v>
      </c>
      <c r="AJ252" s="4" t="str">
        <f>Table2[[#This Row],[field_fate10]]</f>
        <v>Ca</v>
      </c>
      <c r="AK252" s="4" t="b">
        <f>Table2[[#This Row],[field_fate_feb]]=Table2[[#This Row],[field_fate10]]</f>
        <v>1</v>
      </c>
      <c r="AL252" s="43" t="s">
        <v>24</v>
      </c>
      <c r="AM252" s="43" t="b">
        <f>Table2[[#This Row],[cam_fate2]]="NA"</f>
        <v>1</v>
      </c>
      <c r="AN252" s="19" t="str">
        <f>Table2[[#This Row],[cam_fate1]]</f>
        <v>NA</v>
      </c>
      <c r="AO252" s="2" t="s">
        <v>65</v>
      </c>
      <c r="AP252" s="5" t="str">
        <f>Table2[[#This Row],[final_fate1]]</f>
        <v>Ca</v>
      </c>
      <c r="AQ252" s="6">
        <v>17</v>
      </c>
      <c r="AR252" s="7">
        <v>17</v>
      </c>
      <c r="AS252" s="7">
        <f>Table2[[#This Row],[final_obs_date]]-Table2[[#This Row],[init_date]]</f>
        <v>17</v>
      </c>
      <c r="AT252" s="7">
        <f>(Table2[[#This Row],[final_obs_date2]]-Table2[[#This Row],[estHD]])+16</f>
        <v>17</v>
      </c>
      <c r="AU252" s="38">
        <v>3</v>
      </c>
      <c r="AV252" s="33">
        <v>3</v>
      </c>
      <c r="AW252" s="33">
        <f>Table2[[#This Row],[final_obs_date2]]-Table2[[#This Row],[pen_obs_date]]</f>
        <v>85</v>
      </c>
      <c r="AX252" s="67">
        <v>85</v>
      </c>
      <c r="AY252" s="6">
        <f>Table2[[#This Row],[final_obs_date]]</f>
        <v>85</v>
      </c>
      <c r="AZ252" s="6"/>
      <c r="BA252" s="91" t="s">
        <v>60</v>
      </c>
      <c r="BB252" s="6" t="b">
        <f>Table2[[#This Row],[final_obs_date]]&lt;(Table2[[#This Row],[estHD]]-2)</f>
        <v>0</v>
      </c>
      <c r="BC252" s="24">
        <f>IF(Table2[[#This Row],[field_fate]]="H",1,0)</f>
        <v>0</v>
      </c>
      <c r="BD252" s="16">
        <f>IF(Table2[[#This Row],[cam_fate2]]="H",1,0)</f>
        <v>0</v>
      </c>
      <c r="BE252" s="6" t="b">
        <f>NOT(Table2[[#This Row],[HF_C]]=Table2[[#This Row],[HF]])</f>
        <v>0</v>
      </c>
      <c r="BF252" s="6" t="b">
        <f>NOT(Table2[[#This Row],[cam_fate2]]=Table2[[#This Row],[field_fate3]])</f>
        <v>1</v>
      </c>
      <c r="BG252" s="6" t="b">
        <f>OR(Table2[[#This Row],[field_fate3]]="U",Table2[[#This Row],[field_fate3]]="U-H")</f>
        <v>0</v>
      </c>
      <c r="BH252" s="8">
        <v>82</v>
      </c>
      <c r="BI252" s="8">
        <v>82</v>
      </c>
      <c r="BJ252" s="14">
        <f>IF(ISTEXT(Table2[[#This Row],[j.cam]]),Table2[[#This Row],[j]],Table2[[#This Row],[j.cam]])</f>
        <v>82</v>
      </c>
      <c r="BK252" s="9">
        <v>85</v>
      </c>
      <c r="BL252" s="15">
        <f>IF(ISTEXT(Table2[[#This Row],[k.cam]]), Table2[[#This Row],[k]], Table2[[#This Row],[k.cam]])</f>
        <v>85</v>
      </c>
      <c r="BM252" s="4" t="s">
        <v>24</v>
      </c>
      <c r="BN252" s="8" t="s">
        <v>24</v>
      </c>
      <c r="BO252" s="4">
        <v>2</v>
      </c>
      <c r="BP252" s="4">
        <f>Table2[[#This Row],[final_obs_date]]-Table2[[#This Row],[i]]</f>
        <v>3</v>
      </c>
      <c r="BQ252" s="4" t="b">
        <f>Table2[[#This Row],[final_obs_date2]]&gt;Table2[[#This Row],[estHD]]+3</f>
        <v>0</v>
      </c>
      <c r="BR252" s="4" t="s">
        <v>58</v>
      </c>
      <c r="BS252" s="4" t="s">
        <v>45</v>
      </c>
      <c r="BT252" s="79" t="s">
        <v>1157</v>
      </c>
      <c r="BU252" s="26" t="s">
        <v>117</v>
      </c>
      <c r="BV252" s="79" t="s">
        <v>1430</v>
      </c>
      <c r="BW252" s="49"/>
      <c r="BX252" s="47"/>
      <c r="BY252" s="36" t="s">
        <v>634</v>
      </c>
    </row>
    <row r="253" spans="1:77" hidden="1" x14ac:dyDescent="0.35">
      <c r="A253" s="62">
        <v>10342</v>
      </c>
      <c r="B253" s="2" t="s">
        <v>35</v>
      </c>
      <c r="C253" s="44">
        <v>2019</v>
      </c>
      <c r="D253" s="3">
        <v>29.76454</v>
      </c>
      <c r="E253" s="3">
        <v>-93.149630000000002</v>
      </c>
      <c r="F253" s="3" t="s">
        <v>24</v>
      </c>
      <c r="G253" s="3" t="s">
        <v>24</v>
      </c>
      <c r="H253" s="3" t="s">
        <v>26</v>
      </c>
      <c r="I253" s="43"/>
      <c r="J253" s="55">
        <v>95</v>
      </c>
      <c r="K253" s="4">
        <v>95</v>
      </c>
      <c r="L253" s="22">
        <f>IF(ISNUMBER(Table2[[#This Row],[estHD]]),ABS(Table2[[#This Row],[HD]]-Table2[[#This Row],[estHD]]),"NA")</f>
        <v>0</v>
      </c>
      <c r="M253" s="4" t="b">
        <f>Table2[[#This Row],[HD]]=Table2[[#This Row],[estHD]]</f>
        <v>1</v>
      </c>
      <c r="N253" s="4" t="str">
        <f>IF(ISNUMBER([1]!Table2[[#This Row],[hatch_date]]), [1]!Table2[[#This Row],[hatch_date]]-16, "NA")</f>
        <v>NA</v>
      </c>
      <c r="O253" s="31">
        <v>79</v>
      </c>
      <c r="P253" s="23">
        <f>IF(ISNUMBER(Table2[[#This Row],[nest_age1]]),ABS(Table2[[#This Row],[nest_age1]]-Table2[[#This Row],[nest_age_feb]]),"NA")</f>
        <v>0</v>
      </c>
      <c r="Q253" s="24">
        <f>IF(ISNUMBER(Table2[[#This Row],[final_obs_int2]]),ABS(Table2[[#This Row],[final_obs_int2]]-Table2[[#This Row],[final_obs_int_feb]]), "NA")</f>
        <v>0</v>
      </c>
      <c r="R253" s="24"/>
      <c r="S253" s="57" t="s">
        <v>88</v>
      </c>
      <c r="T253" s="57" t="str">
        <f>Table2[[#This Row],[camera_old]]</f>
        <v>N</v>
      </c>
      <c r="U253" s="24"/>
      <c r="V253" s="16" t="s">
        <v>24</v>
      </c>
      <c r="W253" s="16">
        <v>6</v>
      </c>
      <c r="X253" s="145">
        <v>3</v>
      </c>
      <c r="Y253" s="147" t="s">
        <v>91</v>
      </c>
      <c r="Z253" s="146" t="s">
        <v>91</v>
      </c>
      <c r="AA253" s="4" t="str">
        <f>Table2[[#This Row],[field_fate]]</f>
        <v>Hu</v>
      </c>
      <c r="AB253" s="4" t="str">
        <f>Table2[[#This Row],[field_fate2]]</f>
        <v>Hu</v>
      </c>
      <c r="AC253" s="4" t="str">
        <f>Table2[[#This Row],[field_fate3]]</f>
        <v>Hu</v>
      </c>
      <c r="AD253" s="4" t="str">
        <f>Table2[[#This Row],[field_fate4]]</f>
        <v>Hu</v>
      </c>
      <c r="AE253" s="4" t="str">
        <f>Table2[[#This Row],[field_fate5]]</f>
        <v>Hu</v>
      </c>
      <c r="AF253" s="4" t="str">
        <f>Table2[[#This Row],[field_fate5]]</f>
        <v>Hu</v>
      </c>
      <c r="AG253" s="4" t="str">
        <f>Table2[[#This Row],[field_fate5]]</f>
        <v>Hu</v>
      </c>
      <c r="AH253" s="4" t="str">
        <f>Table2[[#This Row],[field_fate2]]</f>
        <v>Hu</v>
      </c>
      <c r="AI253" s="4" t="str">
        <f>Table2[[#This Row],[field_fate8]]</f>
        <v>Hu</v>
      </c>
      <c r="AJ253" s="4" t="str">
        <f>Table2[[#This Row],[field_fate10]]</f>
        <v>Hu</v>
      </c>
      <c r="AK253" s="4" t="b">
        <f>Table2[[#This Row],[field_fate_feb]]=Table2[[#This Row],[field_fate10]]</f>
        <v>1</v>
      </c>
      <c r="AL253" s="43" t="s">
        <v>24</v>
      </c>
      <c r="AM253" s="43" t="b">
        <f>Table2[[#This Row],[cam_fate2]]="NA"</f>
        <v>1</v>
      </c>
      <c r="AN253" s="19" t="str">
        <f>Table2[[#This Row],[cam_fate1]]</f>
        <v>NA</v>
      </c>
      <c r="AO253" s="2" t="s">
        <v>91</v>
      </c>
      <c r="AP253" s="5" t="str">
        <f>Table2[[#This Row],[final_fate1]]</f>
        <v>Hu</v>
      </c>
      <c r="AQ253" s="6">
        <v>6</v>
      </c>
      <c r="AR253" s="7">
        <v>6</v>
      </c>
      <c r="AS253" s="7">
        <f>Table2[[#This Row],[final_obs_date]]-Table2[[#This Row],[init_date]]</f>
        <v>6</v>
      </c>
      <c r="AT253" s="7">
        <f>(Table2[[#This Row],[final_obs_date2]]-Table2[[#This Row],[estHD]])+16</f>
        <v>6</v>
      </c>
      <c r="AU253" s="38">
        <v>3</v>
      </c>
      <c r="AV253" s="33">
        <v>3</v>
      </c>
      <c r="AW253" s="33">
        <f>Table2[[#This Row],[final_obs_date2]]-Table2[[#This Row],[pen_obs_date]]</f>
        <v>85</v>
      </c>
      <c r="AX253" s="67">
        <v>85</v>
      </c>
      <c r="AY253" s="6">
        <f>Table2[[#This Row],[final_obs_date]]</f>
        <v>85</v>
      </c>
      <c r="AZ253" s="6"/>
      <c r="BA253" s="91" t="s">
        <v>60</v>
      </c>
      <c r="BB253" s="6" t="b">
        <f>Table2[[#This Row],[final_obs_date]]&lt;(Table2[[#This Row],[estHD]]-2)</f>
        <v>1</v>
      </c>
      <c r="BC253" s="24">
        <f>IF(Table2[[#This Row],[field_fate]]="H",1,0)</f>
        <v>0</v>
      </c>
      <c r="BD253" s="16">
        <f>IF(Table2[[#This Row],[cam_fate2]]="H",1,0)</f>
        <v>0</v>
      </c>
      <c r="BE253" s="6" t="b">
        <f>NOT(Table2[[#This Row],[HF_C]]=Table2[[#This Row],[HF]])</f>
        <v>0</v>
      </c>
      <c r="BF253" s="6" t="b">
        <f>NOT(Table2[[#This Row],[cam_fate2]]=Table2[[#This Row],[field_fate3]])</f>
        <v>1</v>
      </c>
      <c r="BG253" s="6" t="b">
        <f>OR(Table2[[#This Row],[field_fate3]]="U",Table2[[#This Row],[field_fate3]]="U-H")</f>
        <v>0</v>
      </c>
      <c r="BH253" s="8">
        <v>82</v>
      </c>
      <c r="BI253" s="8">
        <v>82</v>
      </c>
      <c r="BJ253" s="14">
        <f>IF(ISTEXT(Table2[[#This Row],[j.cam]]),Table2[[#This Row],[j]],Table2[[#This Row],[j.cam]])</f>
        <v>82</v>
      </c>
      <c r="BK253" s="9">
        <v>85</v>
      </c>
      <c r="BL253" s="15">
        <f>IF(ISTEXT(Table2[[#This Row],[k.cam]]), Table2[[#This Row],[k]], Table2[[#This Row],[k.cam]])</f>
        <v>85</v>
      </c>
      <c r="BM253" s="4" t="s">
        <v>24</v>
      </c>
      <c r="BN253" s="8" t="s">
        <v>24</v>
      </c>
      <c r="BO253" s="4">
        <v>2</v>
      </c>
      <c r="BP253" s="4">
        <f>Table2[[#This Row],[final_obs_date]]-Table2[[#This Row],[i]]</f>
        <v>3</v>
      </c>
      <c r="BQ253" s="4" t="b">
        <f>Table2[[#This Row],[final_obs_date2]]&gt;Table2[[#This Row],[estHD]]+3</f>
        <v>0</v>
      </c>
      <c r="BR253" s="4" t="s">
        <v>33</v>
      </c>
      <c r="BS253" s="4" t="s">
        <v>45</v>
      </c>
      <c r="BT253" s="79" t="s">
        <v>1157</v>
      </c>
      <c r="BU253" s="26" t="s">
        <v>87</v>
      </c>
      <c r="BV253" s="79" t="s">
        <v>1430</v>
      </c>
      <c r="BW253" s="49"/>
      <c r="BX253" s="47"/>
      <c r="BY253" s="36" t="s">
        <v>635</v>
      </c>
    </row>
    <row r="254" spans="1:77" ht="18.5" hidden="1" x14ac:dyDescent="0.35">
      <c r="A254" s="62">
        <v>10343</v>
      </c>
      <c r="B254" s="2" t="s">
        <v>35</v>
      </c>
      <c r="C254" s="44">
        <v>2019</v>
      </c>
      <c r="D254" s="3">
        <v>29.766120000000001</v>
      </c>
      <c r="E254" s="3">
        <v>-93.156880000000001</v>
      </c>
      <c r="F254" s="3" t="s">
        <v>24</v>
      </c>
      <c r="G254" s="3" t="s">
        <v>24</v>
      </c>
      <c r="H254" s="3" t="s">
        <v>26</v>
      </c>
      <c r="I254" s="43"/>
      <c r="J254" s="55">
        <v>83</v>
      </c>
      <c r="K254" s="4">
        <v>84</v>
      </c>
      <c r="L254" s="22">
        <f>IF(ISNUMBER(Table2[[#This Row],[estHD]]),ABS(Table2[[#This Row],[HD]]-Table2[[#This Row],[estHD]]),"NA")</f>
        <v>1</v>
      </c>
      <c r="M254" s="4" t="b">
        <f>Table2[[#This Row],[HD]]=Table2[[#This Row],[estHD]]</f>
        <v>0</v>
      </c>
      <c r="N254" s="4" t="str">
        <f>IF(ISNUMBER([1]!Table2[[#This Row],[hatch_date]]), [1]!Table2[[#This Row],[hatch_date]]-16, "NA")</f>
        <v>NA</v>
      </c>
      <c r="O254" s="31">
        <v>68</v>
      </c>
      <c r="P254" s="23">
        <f>IF(ISNUMBER(Table2[[#This Row],[nest_age1]]),ABS(Table2[[#This Row],[nest_age1]]-Table2[[#This Row],[nest_age_feb]]),"NA")</f>
        <v>5</v>
      </c>
      <c r="Q254" s="25">
        <f>IF(ISNUMBER(Table2[[#This Row],[final_obs_int2]]),ABS(Table2[[#This Row],[final_obs_int2]]-Table2[[#This Row],[final_obs_int_feb]]), "NA")</f>
        <v>6</v>
      </c>
      <c r="R254" s="25"/>
      <c r="S254" s="57" t="s">
        <v>88</v>
      </c>
      <c r="T254" s="57" t="str">
        <f>Table2[[#This Row],[camera_old]]</f>
        <v>N</v>
      </c>
      <c r="U254" s="24"/>
      <c r="V254" s="16" t="s">
        <v>24</v>
      </c>
      <c r="W254" s="16">
        <v>17</v>
      </c>
      <c r="X254" s="145">
        <v>2</v>
      </c>
      <c r="Y254" s="147" t="s">
        <v>37</v>
      </c>
      <c r="Z254" s="146" t="s">
        <v>37</v>
      </c>
      <c r="AA254" s="4" t="str">
        <f>Table2[[#This Row],[field_fate]]</f>
        <v>H</v>
      </c>
      <c r="AB254" s="4" t="str">
        <f>Table2[[#This Row],[field_fate2]]</f>
        <v>H</v>
      </c>
      <c r="AC254" s="4" t="str">
        <f>Table2[[#This Row],[field_fate3]]</f>
        <v>H</v>
      </c>
      <c r="AD254" s="4" t="str">
        <f>Table2[[#This Row],[field_fate4]]</f>
        <v>H</v>
      </c>
      <c r="AE254" s="4" t="str">
        <f>Table2[[#This Row],[field_fate5]]</f>
        <v>H</v>
      </c>
      <c r="AF254" s="4" t="str">
        <f>Table2[[#This Row],[field_fate5]]</f>
        <v>H</v>
      </c>
      <c r="AG254" s="4" t="str">
        <f>Table2[[#This Row],[field_fate5]]</f>
        <v>H</v>
      </c>
      <c r="AH254" s="4" t="str">
        <f>Table2[[#This Row],[field_fate2]]</f>
        <v>H</v>
      </c>
      <c r="AI254" s="4" t="str">
        <f>Table2[[#This Row],[field_fate8]]</f>
        <v>H</v>
      </c>
      <c r="AJ254" s="4" t="str">
        <f>Table2[[#This Row],[field_fate10]]</f>
        <v>H</v>
      </c>
      <c r="AK254" s="4" t="b">
        <f>Table2[[#This Row],[field_fate_feb]]=Table2[[#This Row],[field_fate10]]</f>
        <v>1</v>
      </c>
      <c r="AL254" s="43" t="s">
        <v>24</v>
      </c>
      <c r="AM254" s="43" t="b">
        <f>Table2[[#This Row],[cam_fate2]]="NA"</f>
        <v>1</v>
      </c>
      <c r="AN254" s="19" t="str">
        <f>Table2[[#This Row],[cam_fate1]]</f>
        <v>NA</v>
      </c>
      <c r="AO254" s="2" t="s">
        <v>37</v>
      </c>
      <c r="AP254" s="5" t="str">
        <f>Table2[[#This Row],[final_fate1]]</f>
        <v>H</v>
      </c>
      <c r="AQ254" s="6">
        <v>22</v>
      </c>
      <c r="AR254" s="7">
        <v>23</v>
      </c>
      <c r="AS254" s="7">
        <f>Table2[[#This Row],[final_obs_date]]-Table2[[#This Row],[init_date]]</f>
        <v>22</v>
      </c>
      <c r="AT254" s="7">
        <f>(Table2[[#This Row],[final_obs_date2]]-Table2[[#This Row],[estHD]])+16</f>
        <v>23</v>
      </c>
      <c r="AU254" s="40">
        <v>8</v>
      </c>
      <c r="AV254" s="33">
        <v>8</v>
      </c>
      <c r="AW254" s="33">
        <f>Table2[[#This Row],[final_obs_date2]]-Table2[[#This Row],[pen_obs_date]]</f>
        <v>90</v>
      </c>
      <c r="AX254" s="67">
        <v>90</v>
      </c>
      <c r="AY254" s="6">
        <f>Table2[[#This Row],[final_obs_date]]</f>
        <v>90</v>
      </c>
      <c r="AZ254" s="6"/>
      <c r="BA254" s="91" t="s">
        <v>60</v>
      </c>
      <c r="BB254" s="6" t="b">
        <f>Table2[[#This Row],[final_obs_date]]&lt;(Table2[[#This Row],[estHD]]-2)</f>
        <v>0</v>
      </c>
      <c r="BC254" s="24">
        <f>IF(Table2[[#This Row],[field_fate]]="H",1,0)</f>
        <v>1</v>
      </c>
      <c r="BD254" s="16">
        <f>IF(Table2[[#This Row],[cam_fate2]]="H",1,0)</f>
        <v>0</v>
      </c>
      <c r="BE254" s="6" t="b">
        <f>NOT(Table2[[#This Row],[HF_C]]=Table2[[#This Row],[HF]])</f>
        <v>1</v>
      </c>
      <c r="BF254" s="6" t="b">
        <f>NOT(Table2[[#This Row],[cam_fate2]]=Table2[[#This Row],[field_fate3]])</f>
        <v>1</v>
      </c>
      <c r="BG254" s="6" t="b">
        <f>OR(Table2[[#This Row],[field_fate3]]="U",Table2[[#This Row],[field_fate3]]="U-H")</f>
        <v>0</v>
      </c>
      <c r="BH254" s="8">
        <v>82</v>
      </c>
      <c r="BI254" s="8">
        <v>84</v>
      </c>
      <c r="BJ254" s="14">
        <f>IF(ISTEXT(Table2[[#This Row],[j.cam]]),Table2[[#This Row],[j]],Table2[[#This Row],[j.cam]])</f>
        <v>84</v>
      </c>
      <c r="BK254" s="9">
        <v>84</v>
      </c>
      <c r="BL254" s="15">
        <f>IF(ISTEXT(Table2[[#This Row],[k.cam]]), Table2[[#This Row],[k]], Table2[[#This Row],[k.cam]])</f>
        <v>84</v>
      </c>
      <c r="BM254" s="4" t="s">
        <v>24</v>
      </c>
      <c r="BN254" s="8" t="s">
        <v>24</v>
      </c>
      <c r="BO254" s="4">
        <v>3</v>
      </c>
      <c r="BP254" s="4">
        <f>Table2[[#This Row],[final_obs_date]]-Table2[[#This Row],[i]]</f>
        <v>8</v>
      </c>
      <c r="BQ254" s="4" t="b">
        <f>Table2[[#This Row],[final_obs_date2]]&gt;Table2[[#This Row],[estHD]]+3</f>
        <v>1</v>
      </c>
      <c r="BR254" s="11" t="s">
        <v>176</v>
      </c>
      <c r="BS254" s="4" t="s">
        <v>45</v>
      </c>
      <c r="BT254" s="79" t="s">
        <v>1158</v>
      </c>
      <c r="BU254" s="26" t="s">
        <v>235</v>
      </c>
      <c r="BV254" s="79" t="s">
        <v>1544</v>
      </c>
      <c r="BW254" s="49" t="s">
        <v>463</v>
      </c>
      <c r="BX254" s="47"/>
      <c r="BY254" s="36" t="s">
        <v>636</v>
      </c>
    </row>
    <row r="255" spans="1:77" ht="18.5" hidden="1" x14ac:dyDescent="0.35">
      <c r="A255" s="62">
        <v>10344</v>
      </c>
      <c r="B255" s="2" t="s">
        <v>35</v>
      </c>
      <c r="C255" s="44">
        <v>2019</v>
      </c>
      <c r="D255" s="3">
        <v>29.764099999999999</v>
      </c>
      <c r="E255" s="3">
        <v>-93.147270000000006</v>
      </c>
      <c r="F255" s="3">
        <v>50</v>
      </c>
      <c r="G255" s="3">
        <v>50</v>
      </c>
      <c r="H255" s="3" t="s">
        <v>462</v>
      </c>
      <c r="I255" s="43"/>
      <c r="J255" s="55">
        <v>95</v>
      </c>
      <c r="K255" s="4">
        <v>95</v>
      </c>
      <c r="L255" s="22">
        <f>IF(ISNUMBER(Table2[[#This Row],[estHD]]),ABS(Table2[[#This Row],[HD]]-Table2[[#This Row],[estHD]]),"NA")</f>
        <v>0</v>
      </c>
      <c r="M255" s="4" t="b">
        <f>Table2[[#This Row],[HD]]=Table2[[#This Row],[estHD]]</f>
        <v>1</v>
      </c>
      <c r="N255" s="4" t="str">
        <f>IF(ISNUMBER([1]!Table2[[#This Row],[hatch_date]]), [1]!Table2[[#This Row],[hatch_date]]-16, "NA")</f>
        <v>NA</v>
      </c>
      <c r="O255" s="31">
        <v>79</v>
      </c>
      <c r="P255" s="23">
        <f>IF(ISNUMBER(Table2[[#This Row],[nest_age1]]),ABS(Table2[[#This Row],[nest_age1]]-Table2[[#This Row],[nest_age_feb]]),"NA")</f>
        <v>0</v>
      </c>
      <c r="Q255" s="24">
        <f>IF(ISNUMBER(Table2[[#This Row],[final_obs_int2]]),ABS(Table2[[#This Row],[final_obs_int2]]-Table2[[#This Row],[final_obs_int_feb]]), "NA")</f>
        <v>0</v>
      </c>
      <c r="R255" s="24"/>
      <c r="S255" s="57" t="s">
        <v>88</v>
      </c>
      <c r="T255" s="57" t="str">
        <f>Table2[[#This Row],[camera_old]]</f>
        <v>N</v>
      </c>
      <c r="U255" s="24"/>
      <c r="V255" s="16" t="s">
        <v>24</v>
      </c>
      <c r="W255" s="16">
        <v>11</v>
      </c>
      <c r="X255" s="145">
        <v>1</v>
      </c>
      <c r="Y255" s="147" t="s">
        <v>36</v>
      </c>
      <c r="Z255" s="146" t="s">
        <v>36</v>
      </c>
      <c r="AA255" s="4" t="str">
        <f>Table2[[#This Row],[field_fate]]</f>
        <v>A</v>
      </c>
      <c r="AB255" s="4" t="str">
        <f>Table2[[#This Row],[field_fate2]]</f>
        <v>A</v>
      </c>
      <c r="AC255" s="4" t="str">
        <f>Table2[[#This Row],[field_fate3]]</f>
        <v>A</v>
      </c>
      <c r="AD255" s="4" t="str">
        <f>Table2[[#This Row],[field_fate4]]</f>
        <v>A</v>
      </c>
      <c r="AE255" s="4" t="str">
        <f>Table2[[#This Row],[field_fate5]]</f>
        <v>A</v>
      </c>
      <c r="AF255" s="4" t="str">
        <f>Table2[[#This Row],[field_fate5]]</f>
        <v>A</v>
      </c>
      <c r="AG255" s="4" t="str">
        <f>Table2[[#This Row],[field_fate5]]</f>
        <v>A</v>
      </c>
      <c r="AH255" s="4" t="str">
        <f>Table2[[#This Row],[field_fate2]]</f>
        <v>A</v>
      </c>
      <c r="AI255" s="4" t="str">
        <f>Table2[[#This Row],[field_fate8]]</f>
        <v>A</v>
      </c>
      <c r="AJ255" s="4" t="str">
        <f>Table2[[#This Row],[field_fate10]]</f>
        <v>A</v>
      </c>
      <c r="AK255" s="4" t="b">
        <f>Table2[[#This Row],[field_fate_feb]]=Table2[[#This Row],[field_fate10]]</f>
        <v>1</v>
      </c>
      <c r="AL255" s="43" t="s">
        <v>24</v>
      </c>
      <c r="AM255" s="43" t="b">
        <f>Table2[[#This Row],[cam_fate2]]="NA"</f>
        <v>1</v>
      </c>
      <c r="AN255" s="19" t="str">
        <f>Table2[[#This Row],[cam_fate1]]</f>
        <v>NA</v>
      </c>
      <c r="AO255" s="2" t="s">
        <v>36</v>
      </c>
      <c r="AP255" s="5" t="str">
        <f>Table2[[#This Row],[final_fate1]]</f>
        <v>A</v>
      </c>
      <c r="AQ255" s="6">
        <v>11</v>
      </c>
      <c r="AR255" s="7">
        <v>11</v>
      </c>
      <c r="AS255" s="7">
        <f>Table2[[#This Row],[final_obs_date]]-Table2[[#This Row],[init_date]]</f>
        <v>11</v>
      </c>
      <c r="AT255" s="7">
        <f>(Table2[[#This Row],[final_obs_date2]]-Table2[[#This Row],[estHD]])+16</f>
        <v>11</v>
      </c>
      <c r="AU255" s="38">
        <v>1</v>
      </c>
      <c r="AV255" s="33">
        <v>1</v>
      </c>
      <c r="AW255" s="33">
        <f>Table2[[#This Row],[final_obs_date2]]-Table2[[#This Row],[pen_obs_date]]</f>
        <v>90</v>
      </c>
      <c r="AX255" s="67">
        <v>90</v>
      </c>
      <c r="AY255" s="6">
        <f>Table2[[#This Row],[final_obs_date]]</f>
        <v>90</v>
      </c>
      <c r="AZ255" s="6"/>
      <c r="BA255" s="91" t="s">
        <v>60</v>
      </c>
      <c r="BB255" s="6" t="b">
        <f>Table2[[#This Row],[final_obs_date]]&lt;(Table2[[#This Row],[estHD]]-2)</f>
        <v>1</v>
      </c>
      <c r="BC255" s="24">
        <f>IF(Table2[[#This Row],[field_fate]]="H",1,0)</f>
        <v>0</v>
      </c>
      <c r="BD255" s="16">
        <f>IF(Table2[[#This Row],[cam_fate2]]="H",1,0)</f>
        <v>0</v>
      </c>
      <c r="BE255" s="6" t="b">
        <f>NOT(Table2[[#This Row],[HF_C]]=Table2[[#This Row],[HF]])</f>
        <v>0</v>
      </c>
      <c r="BF255" s="6" t="b">
        <f>NOT(Table2[[#This Row],[cam_fate2]]=Table2[[#This Row],[field_fate3]])</f>
        <v>1</v>
      </c>
      <c r="BG255" s="6" t="b">
        <f>OR(Table2[[#This Row],[field_fate3]]="U",Table2[[#This Row],[field_fate3]]="U-H")</f>
        <v>0</v>
      </c>
      <c r="BH255" s="8">
        <v>82</v>
      </c>
      <c r="BI255" s="8">
        <v>89</v>
      </c>
      <c r="BJ255" s="14">
        <f>IF(ISTEXT(Table2[[#This Row],[j.cam]]),Table2[[#This Row],[j]],Table2[[#This Row],[j.cam]])</f>
        <v>89</v>
      </c>
      <c r="BK255" s="9">
        <v>90</v>
      </c>
      <c r="BL255" s="15">
        <f>IF(ISTEXT(Table2[[#This Row],[k.cam]]), Table2[[#This Row],[k]], Table2[[#This Row],[k.cam]])</f>
        <v>90</v>
      </c>
      <c r="BM255" s="4" t="s">
        <v>24</v>
      </c>
      <c r="BN255" s="8" t="s">
        <v>24</v>
      </c>
      <c r="BO255" s="4">
        <v>3</v>
      </c>
      <c r="BP255" s="4">
        <f>Table2[[#This Row],[final_obs_date]]-Table2[[#This Row],[i]]</f>
        <v>8</v>
      </c>
      <c r="BQ255" s="4" t="b">
        <f>Table2[[#This Row],[final_obs_date2]]&gt;Table2[[#This Row],[estHD]]+3</f>
        <v>0</v>
      </c>
      <c r="BR255" s="4" t="s">
        <v>33</v>
      </c>
      <c r="BS255" s="4" t="s">
        <v>33</v>
      </c>
      <c r="BT255" s="79" t="s">
        <v>1159</v>
      </c>
      <c r="BU255" s="26" t="s">
        <v>236</v>
      </c>
      <c r="BV255" s="79" t="s">
        <v>1534</v>
      </c>
      <c r="BW255" s="49"/>
      <c r="BX255" s="47"/>
      <c r="BY255" s="36" t="s">
        <v>637</v>
      </c>
    </row>
    <row r="256" spans="1:77" ht="24" hidden="1" x14ac:dyDescent="0.35">
      <c r="A256" s="62">
        <v>10345</v>
      </c>
      <c r="B256" s="2" t="s">
        <v>35</v>
      </c>
      <c r="C256" s="44">
        <v>2019</v>
      </c>
      <c r="D256" s="3">
        <v>29.764189999999999</v>
      </c>
      <c r="E256" s="3">
        <v>-93.144880000000001</v>
      </c>
      <c r="F256" s="3" t="s">
        <v>24</v>
      </c>
      <c r="G256" s="3" t="s">
        <v>24</v>
      </c>
      <c r="H256" s="3" t="s">
        <v>26</v>
      </c>
      <c r="I256" s="43"/>
      <c r="J256" s="55">
        <v>92</v>
      </c>
      <c r="K256" s="4">
        <v>92</v>
      </c>
      <c r="L256" s="22">
        <f>IF(ISNUMBER(Table2[[#This Row],[estHD]]),ABS(Table2[[#This Row],[HD]]-Table2[[#This Row],[estHD]]),"NA")</f>
        <v>0</v>
      </c>
      <c r="M256" s="4" t="b">
        <f>Table2[[#This Row],[HD]]=Table2[[#This Row],[estHD]]</f>
        <v>1</v>
      </c>
      <c r="N256" s="4" t="str">
        <f>IF(ISNUMBER([1]!Table2[[#This Row],[hatch_date]]), [1]!Table2[[#This Row],[hatch_date]]-16, "NA")</f>
        <v>NA</v>
      </c>
      <c r="O256" s="31">
        <v>76</v>
      </c>
      <c r="P256" s="23">
        <f>IF(ISNUMBER(Table2[[#This Row],[nest_age1]]),ABS(Table2[[#This Row],[nest_age1]]-Table2[[#This Row],[nest_age_feb]]),"NA")</f>
        <v>0</v>
      </c>
      <c r="Q256" s="24">
        <f>IF(ISNUMBER(Table2[[#This Row],[final_obs_int2]]),ABS(Table2[[#This Row],[final_obs_int2]]-Table2[[#This Row],[final_obs_int_feb]]), "NA")</f>
        <v>0</v>
      </c>
      <c r="R256" s="24"/>
      <c r="S256" s="57" t="s">
        <v>88</v>
      </c>
      <c r="T256" s="57" t="str">
        <f>Table2[[#This Row],[camera_old]]</f>
        <v>N</v>
      </c>
      <c r="U256" s="24"/>
      <c r="V256" s="16" t="s">
        <v>24</v>
      </c>
      <c r="W256" s="16">
        <v>22</v>
      </c>
      <c r="X256" s="145">
        <v>7</v>
      </c>
      <c r="Y256" s="147" t="s">
        <v>48</v>
      </c>
      <c r="Z256" s="146" t="s">
        <v>48</v>
      </c>
      <c r="AA256" s="4" t="str">
        <f>Table2[[#This Row],[field_fate]]</f>
        <v>F</v>
      </c>
      <c r="AB256" s="4" t="str">
        <f>Table2[[#This Row],[field_fate2]]</f>
        <v>F</v>
      </c>
      <c r="AC256" s="4" t="str">
        <f>Table2[[#This Row],[field_fate3]]</f>
        <v>F</v>
      </c>
      <c r="AD256" s="4" t="str">
        <f>Table2[[#This Row],[field_fate4]]</f>
        <v>F</v>
      </c>
      <c r="AE256" s="4" t="str">
        <f>Table2[[#This Row],[field_fate5]]</f>
        <v>F</v>
      </c>
      <c r="AF256" s="4" t="str">
        <f>Table2[[#This Row],[field_fate5]]</f>
        <v>F</v>
      </c>
      <c r="AG256" s="4" t="str">
        <f>Table2[[#This Row],[field_fate5]]</f>
        <v>F</v>
      </c>
      <c r="AH256" s="4" t="str">
        <f>Table2[[#This Row],[field_fate2]]</f>
        <v>F</v>
      </c>
      <c r="AI256" s="4" t="str">
        <f>Table2[[#This Row],[field_fate8]]</f>
        <v>F</v>
      </c>
      <c r="AJ256" s="4" t="str">
        <f>Table2[[#This Row],[field_fate10]]</f>
        <v>F</v>
      </c>
      <c r="AK256" s="4" t="b">
        <f>Table2[[#This Row],[field_fate_feb]]=Table2[[#This Row],[field_fate10]]</f>
        <v>1</v>
      </c>
      <c r="AL256" s="43" t="s">
        <v>24</v>
      </c>
      <c r="AM256" s="43" t="b">
        <f>Table2[[#This Row],[cam_fate2]]="NA"</f>
        <v>1</v>
      </c>
      <c r="AN256" s="19" t="str">
        <f>Table2[[#This Row],[cam_fate1]]</f>
        <v>NA</v>
      </c>
      <c r="AO256" s="2" t="s">
        <v>48</v>
      </c>
      <c r="AP256" s="5" t="str">
        <f>Table2[[#This Row],[final_fate1]]</f>
        <v>F</v>
      </c>
      <c r="AQ256" s="6">
        <v>22</v>
      </c>
      <c r="AR256" s="7">
        <v>22</v>
      </c>
      <c r="AS256" s="7">
        <f>Table2[[#This Row],[final_obs_date]]-Table2[[#This Row],[init_date]]</f>
        <v>22</v>
      </c>
      <c r="AT256" s="7">
        <f>(Table2[[#This Row],[final_obs_date2]]-Table2[[#This Row],[estHD]])+16</f>
        <v>22</v>
      </c>
      <c r="AU256" s="38">
        <v>7</v>
      </c>
      <c r="AV256" s="33">
        <v>7</v>
      </c>
      <c r="AW256" s="33">
        <f>Table2[[#This Row],[final_obs_date2]]-Table2[[#This Row],[pen_obs_date]]</f>
        <v>98</v>
      </c>
      <c r="AX256" s="67">
        <v>98</v>
      </c>
      <c r="AY256" s="6">
        <f>Table2[[#This Row],[final_obs_date]]</f>
        <v>98</v>
      </c>
      <c r="AZ256" s="6"/>
      <c r="BA256" s="91" t="s">
        <v>60</v>
      </c>
      <c r="BB256" s="6" t="b">
        <f>Table2[[#This Row],[final_obs_date]]&lt;(Table2[[#This Row],[estHD]]-2)</f>
        <v>0</v>
      </c>
      <c r="BC256" s="24">
        <f>IF(Table2[[#This Row],[field_fate]]="H",1,0)</f>
        <v>0</v>
      </c>
      <c r="BD256" s="16">
        <f>IF(Table2[[#This Row],[cam_fate2]]="H",1,0)</f>
        <v>0</v>
      </c>
      <c r="BE256" s="6" t="b">
        <f>NOT(Table2[[#This Row],[HF_C]]=Table2[[#This Row],[HF]])</f>
        <v>0</v>
      </c>
      <c r="BF256" s="6" t="b">
        <f>NOT(Table2[[#This Row],[cam_fate2]]=Table2[[#This Row],[field_fate3]])</f>
        <v>1</v>
      </c>
      <c r="BG256" s="6" t="b">
        <f>OR(Table2[[#This Row],[field_fate3]]="U",Table2[[#This Row],[field_fate3]]="U-H")</f>
        <v>0</v>
      </c>
      <c r="BH256" s="8">
        <v>82</v>
      </c>
      <c r="BI256" s="8">
        <v>91</v>
      </c>
      <c r="BJ256" s="14">
        <f>IF(ISTEXT(Table2[[#This Row],[j.cam]]),Table2[[#This Row],[j]],Table2[[#This Row],[j.cam]])</f>
        <v>91</v>
      </c>
      <c r="BK256" s="9">
        <v>98</v>
      </c>
      <c r="BL256" s="15">
        <f>IF(ISTEXT(Table2[[#This Row],[k.cam]]), Table2[[#This Row],[k]], Table2[[#This Row],[k.cam]])</f>
        <v>98</v>
      </c>
      <c r="BM256" s="4" t="s">
        <v>24</v>
      </c>
      <c r="BN256" s="8" t="s">
        <v>24</v>
      </c>
      <c r="BO256" s="4">
        <v>5</v>
      </c>
      <c r="BP256" s="4">
        <f>Table2[[#This Row],[final_obs_date]]-Table2[[#This Row],[i]]</f>
        <v>16</v>
      </c>
      <c r="BQ256" s="4" t="b">
        <f>Table2[[#This Row],[final_obs_date2]]&gt;Table2[[#This Row],[estHD]]+3</f>
        <v>1</v>
      </c>
      <c r="BR256" s="4" t="s">
        <v>66</v>
      </c>
      <c r="BS256" s="4" t="s">
        <v>28</v>
      </c>
      <c r="BT256" s="79" t="s">
        <v>1160</v>
      </c>
      <c r="BU256" s="26" t="s">
        <v>237</v>
      </c>
      <c r="BV256" s="79" t="s">
        <v>1545</v>
      </c>
      <c r="BW256" s="49"/>
      <c r="BX256" s="47"/>
      <c r="BY256" s="36" t="s">
        <v>638</v>
      </c>
    </row>
    <row r="257" spans="1:77" hidden="1" x14ac:dyDescent="0.35">
      <c r="A257" s="62">
        <v>10346</v>
      </c>
      <c r="B257" s="2" t="s">
        <v>122</v>
      </c>
      <c r="C257" s="44">
        <v>2019</v>
      </c>
      <c r="D257" s="3">
        <v>29.759029999999999</v>
      </c>
      <c r="E257" s="3">
        <v>-93.122929999999997</v>
      </c>
      <c r="F257" s="3">
        <v>70</v>
      </c>
      <c r="G257" s="3">
        <v>60</v>
      </c>
      <c r="H257" s="3" t="s">
        <v>26</v>
      </c>
      <c r="I257" s="43"/>
      <c r="J257" s="55">
        <v>84</v>
      </c>
      <c r="K257" s="4">
        <v>87</v>
      </c>
      <c r="L257" s="22">
        <f>IF(ISNUMBER(Table2[[#This Row],[estHD]]),ABS(Table2[[#This Row],[HD]]-Table2[[#This Row],[estHD]]),"NA")</f>
        <v>3</v>
      </c>
      <c r="M257" s="4" t="b">
        <f>Table2[[#This Row],[HD]]=Table2[[#This Row],[estHD]]</f>
        <v>0</v>
      </c>
      <c r="N257" s="4" t="str">
        <f>IF(ISNUMBER([1]!Table2[[#This Row],[hatch_date]]), [1]!Table2[[#This Row],[hatch_date]]-16, "NA")</f>
        <v>NA</v>
      </c>
      <c r="O257" s="31">
        <v>71</v>
      </c>
      <c r="P257" s="23">
        <f>IF(ISNUMBER(Table2[[#This Row],[nest_age1]]),ABS(Table2[[#This Row],[nest_age1]]-Table2[[#This Row],[nest_age_feb]]),"NA")</f>
        <v>1</v>
      </c>
      <c r="Q257" s="25">
        <f>IF(ISNUMBER(Table2[[#This Row],[final_obs_int2]]),ABS(Table2[[#This Row],[final_obs_int2]]-Table2[[#This Row],[final_obs_int_feb]]), "NA")</f>
        <v>2</v>
      </c>
      <c r="R257" s="25"/>
      <c r="S257" s="57" t="s">
        <v>88</v>
      </c>
      <c r="T257" s="57" t="str">
        <f>Table2[[#This Row],[camera_old]]</f>
        <v>N</v>
      </c>
      <c r="U257" s="24"/>
      <c r="V257" s="16" t="s">
        <v>24</v>
      </c>
      <c r="W257" s="16">
        <v>19</v>
      </c>
      <c r="X257" s="145">
        <v>3</v>
      </c>
      <c r="Y257" s="147" t="s">
        <v>37</v>
      </c>
      <c r="Z257" s="146" t="s">
        <v>37</v>
      </c>
      <c r="AA257" s="4" t="str">
        <f>Table2[[#This Row],[field_fate]]</f>
        <v>H</v>
      </c>
      <c r="AB257" s="4" t="str">
        <f>Table2[[#This Row],[field_fate2]]</f>
        <v>H</v>
      </c>
      <c r="AC257" s="4" t="str">
        <f>Table2[[#This Row],[field_fate3]]</f>
        <v>H</v>
      </c>
      <c r="AD257" s="4" t="str">
        <f>Table2[[#This Row],[field_fate4]]</f>
        <v>H</v>
      </c>
      <c r="AE257" s="4" t="str">
        <f>Table2[[#This Row],[field_fate5]]</f>
        <v>H</v>
      </c>
      <c r="AF257" s="4" t="str">
        <f>Table2[[#This Row],[field_fate5]]</f>
        <v>H</v>
      </c>
      <c r="AG257" s="4" t="str">
        <f>Table2[[#This Row],[field_fate5]]</f>
        <v>H</v>
      </c>
      <c r="AH257" s="4" t="str">
        <f>Table2[[#This Row],[field_fate2]]</f>
        <v>H</v>
      </c>
      <c r="AI257" s="4" t="str">
        <f>Table2[[#This Row],[field_fate8]]</f>
        <v>H</v>
      </c>
      <c r="AJ257" s="4" t="str">
        <f>Table2[[#This Row],[field_fate10]]</f>
        <v>H</v>
      </c>
      <c r="AK257" s="4" t="b">
        <f>Table2[[#This Row],[field_fate_feb]]=Table2[[#This Row],[field_fate10]]</f>
        <v>1</v>
      </c>
      <c r="AL257" s="43" t="s">
        <v>24</v>
      </c>
      <c r="AM257" s="43" t="b">
        <f>Table2[[#This Row],[cam_fate2]]="NA"</f>
        <v>1</v>
      </c>
      <c r="AN257" s="19" t="str">
        <f>Table2[[#This Row],[cam_fate1]]</f>
        <v>NA</v>
      </c>
      <c r="AO257" s="2" t="s">
        <v>37</v>
      </c>
      <c r="AP257" s="5" t="str">
        <f>Table2[[#This Row],[final_fate1]]</f>
        <v>H</v>
      </c>
      <c r="AQ257" s="6">
        <v>18</v>
      </c>
      <c r="AR257" s="7">
        <v>21</v>
      </c>
      <c r="AS257" s="7">
        <f>Table2[[#This Row],[final_obs_date]]-Table2[[#This Row],[init_date]]</f>
        <v>18</v>
      </c>
      <c r="AT257" s="7">
        <f>(Table2[[#This Row],[final_obs_date2]]-Table2[[#This Row],[estHD]])+16</f>
        <v>21</v>
      </c>
      <c r="AU257" s="40">
        <v>5</v>
      </c>
      <c r="AV257" s="33">
        <v>5</v>
      </c>
      <c r="AW257" s="33">
        <f>Table2[[#This Row],[final_obs_date2]]-Table2[[#This Row],[pen_obs_date]]</f>
        <v>89</v>
      </c>
      <c r="AX257" s="67">
        <v>89</v>
      </c>
      <c r="AY257" s="6">
        <f>Table2[[#This Row],[final_obs_date]]</f>
        <v>89</v>
      </c>
      <c r="AZ257" s="6"/>
      <c r="BA257" s="91" t="s">
        <v>60</v>
      </c>
      <c r="BB257" s="6" t="b">
        <f>Table2[[#This Row],[final_obs_date]]&lt;(Table2[[#This Row],[estHD]]-2)</f>
        <v>0</v>
      </c>
      <c r="BC257" s="24">
        <f>IF(Table2[[#This Row],[field_fate]]="H",1,0)</f>
        <v>1</v>
      </c>
      <c r="BD257" s="16">
        <f>IF(Table2[[#This Row],[cam_fate2]]="H",1,0)</f>
        <v>0</v>
      </c>
      <c r="BE257" s="6" t="b">
        <f>NOT(Table2[[#This Row],[HF_C]]=Table2[[#This Row],[HF]])</f>
        <v>1</v>
      </c>
      <c r="BF257" s="6" t="b">
        <f>NOT(Table2[[#This Row],[cam_fate2]]=Table2[[#This Row],[field_fate3]])</f>
        <v>1</v>
      </c>
      <c r="BG257" s="6" t="b">
        <f>OR(Table2[[#This Row],[field_fate3]]="U",Table2[[#This Row],[field_fate3]]="U-H")</f>
        <v>0</v>
      </c>
      <c r="BH257" s="8">
        <v>82</v>
      </c>
      <c r="BI257" s="8">
        <v>87</v>
      </c>
      <c r="BJ257" s="14">
        <f>IF(ISTEXT(Table2[[#This Row],[j.cam]]),Table2[[#This Row],[j]],Table2[[#This Row],[j.cam]])</f>
        <v>87</v>
      </c>
      <c r="BK257" s="9">
        <v>87</v>
      </c>
      <c r="BL257" s="15">
        <f>IF(ISTEXT(Table2[[#This Row],[k.cam]]), Table2[[#This Row],[k]], Table2[[#This Row],[k.cam]])</f>
        <v>87</v>
      </c>
      <c r="BM257" s="4" t="s">
        <v>24</v>
      </c>
      <c r="BN257" s="8" t="s">
        <v>24</v>
      </c>
      <c r="BO257" s="4">
        <v>4</v>
      </c>
      <c r="BP257" s="4">
        <f>Table2[[#This Row],[final_obs_date]]-Table2[[#This Row],[i]]</f>
        <v>7</v>
      </c>
      <c r="BQ257" s="4" t="b">
        <f>Table2[[#This Row],[final_obs_date2]]&gt;Table2[[#This Row],[estHD]]+3</f>
        <v>1</v>
      </c>
      <c r="BR257" s="11" t="s">
        <v>176</v>
      </c>
      <c r="BS257" s="4" t="s">
        <v>53</v>
      </c>
      <c r="BT257" s="79" t="s">
        <v>1161</v>
      </c>
      <c r="BU257" s="26" t="s">
        <v>238</v>
      </c>
      <c r="BV257" s="79" t="s">
        <v>1546</v>
      </c>
      <c r="BW257" s="49" t="s">
        <v>463</v>
      </c>
      <c r="BX257" s="47"/>
      <c r="BY257" s="36" t="s">
        <v>24</v>
      </c>
    </row>
    <row r="258" spans="1:77" hidden="1" x14ac:dyDescent="0.35">
      <c r="A258" s="62">
        <v>10348</v>
      </c>
      <c r="B258" s="2" t="s">
        <v>122</v>
      </c>
      <c r="C258" s="44">
        <v>2019</v>
      </c>
      <c r="D258" s="3">
        <v>29.757909999999999</v>
      </c>
      <c r="E258" s="3">
        <v>-93.118899999999996</v>
      </c>
      <c r="F258" s="3">
        <v>60</v>
      </c>
      <c r="G258" s="3">
        <v>50</v>
      </c>
      <c r="H258" s="3" t="s">
        <v>26</v>
      </c>
      <c r="I258" s="43"/>
      <c r="J258" s="55" t="s">
        <v>24</v>
      </c>
      <c r="K258" s="4">
        <v>97</v>
      </c>
      <c r="L258" s="22" t="str">
        <f>IF(ISNUMBER(Table2[[#This Row],[estHD]]),ABS(Table2[[#This Row],[HD]]-Table2[[#This Row],[estHD]]),"NA")</f>
        <v>NA</v>
      </c>
      <c r="M258" s="4" t="b">
        <f>Table2[[#This Row],[HD]]=Table2[[#This Row],[estHD]]</f>
        <v>0</v>
      </c>
      <c r="N258" s="4" t="str">
        <f>IF(ISNUMBER([1]!Table2[[#This Row],[hatch_date]]), [1]!Table2[[#This Row],[hatch_date]]-16, "NA")</f>
        <v>NA</v>
      </c>
      <c r="O258" s="31">
        <v>81</v>
      </c>
      <c r="P258" s="23">
        <f>IF(ISNUMBER(Table2[[#This Row],[nest_age1]]),ABS(Table2[[#This Row],[nest_age1]]-Table2[[#This Row],[nest_age_feb]]),"NA")</f>
        <v>0</v>
      </c>
      <c r="Q258" s="24">
        <f>IF(ISNUMBER(Table2[[#This Row],[final_obs_int2]]),ABS(Table2[[#This Row],[final_obs_int2]]-Table2[[#This Row],[final_obs_int_feb]]), "NA")</f>
        <v>0</v>
      </c>
      <c r="R258" s="24"/>
      <c r="S258" s="57" t="s">
        <v>88</v>
      </c>
      <c r="T258" s="57" t="str">
        <f>Table2[[#This Row],[camera_old]]</f>
        <v>N</v>
      </c>
      <c r="U258" s="24"/>
      <c r="V258" s="16" t="s">
        <v>24</v>
      </c>
      <c r="W258" s="16">
        <v>16</v>
      </c>
      <c r="X258" s="145">
        <v>7</v>
      </c>
      <c r="Y258" s="147" t="s">
        <v>37</v>
      </c>
      <c r="Z258" s="146" t="s">
        <v>37</v>
      </c>
      <c r="AA258" s="4" t="str">
        <f>Table2[[#This Row],[field_fate]]</f>
        <v>H</v>
      </c>
      <c r="AB258" s="4" t="str">
        <f>Table2[[#This Row],[field_fate2]]</f>
        <v>H</v>
      </c>
      <c r="AC258" s="4" t="str">
        <f>Table2[[#This Row],[field_fate3]]</f>
        <v>H</v>
      </c>
      <c r="AD258" s="4" t="str">
        <f>Table2[[#This Row],[field_fate4]]</f>
        <v>H</v>
      </c>
      <c r="AE258" s="4" t="str">
        <f>Table2[[#This Row],[field_fate5]]</f>
        <v>H</v>
      </c>
      <c r="AF258" s="4" t="str">
        <f>Table2[[#This Row],[field_fate5]]</f>
        <v>H</v>
      </c>
      <c r="AG258" s="4" t="str">
        <f>Table2[[#This Row],[field_fate5]]</f>
        <v>H</v>
      </c>
      <c r="AH258" s="4" t="str">
        <f>Table2[[#This Row],[field_fate2]]</f>
        <v>H</v>
      </c>
      <c r="AI258" s="4" t="str">
        <f>Table2[[#This Row],[field_fate8]]</f>
        <v>H</v>
      </c>
      <c r="AJ258" s="4" t="str">
        <f>Table2[[#This Row],[field_fate10]]</f>
        <v>H</v>
      </c>
      <c r="AK258" s="4" t="b">
        <f>Table2[[#This Row],[field_fate_feb]]=Table2[[#This Row],[field_fate10]]</f>
        <v>1</v>
      </c>
      <c r="AL258" s="43" t="s">
        <v>24</v>
      </c>
      <c r="AM258" s="43" t="b">
        <f>Table2[[#This Row],[cam_fate2]]="NA"</f>
        <v>1</v>
      </c>
      <c r="AN258" s="19" t="str">
        <f>Table2[[#This Row],[cam_fate1]]</f>
        <v>NA</v>
      </c>
      <c r="AO258" s="2" t="s">
        <v>37</v>
      </c>
      <c r="AP258" s="5" t="str">
        <f>Table2[[#This Row],[final_fate1]]</f>
        <v>H</v>
      </c>
      <c r="AQ258" s="6">
        <v>16</v>
      </c>
      <c r="AR258" s="7">
        <v>16</v>
      </c>
      <c r="AS258" s="7">
        <f>Table2[[#This Row],[final_obs_date]]-Table2[[#This Row],[init_date]]</f>
        <v>16</v>
      </c>
      <c r="AT258" s="7" t="e">
        <f>(Table2[[#This Row],[final_obs_date2]]-Table2[[#This Row],[estHD]])+16</f>
        <v>#VALUE!</v>
      </c>
      <c r="AU258" s="38">
        <v>7</v>
      </c>
      <c r="AV258" s="33">
        <v>7</v>
      </c>
      <c r="AW258" s="33">
        <f>Table2[[#This Row],[final_obs_date2]]-Table2[[#This Row],[pen_obs_date]]</f>
        <v>97</v>
      </c>
      <c r="AX258" s="67">
        <v>97</v>
      </c>
      <c r="AY258" s="6">
        <f>Table2[[#This Row],[final_obs_date]]</f>
        <v>97</v>
      </c>
      <c r="AZ258" s="6"/>
      <c r="BA258" s="91" t="s">
        <v>60</v>
      </c>
      <c r="BB258" s="6" t="e">
        <f>Table2[[#This Row],[final_obs_date]]&lt;(Table2[[#This Row],[estHD]]-2)</f>
        <v>#VALUE!</v>
      </c>
      <c r="BC258" s="24">
        <f>IF(Table2[[#This Row],[field_fate]]="H",1,0)</f>
        <v>1</v>
      </c>
      <c r="BD258" s="16">
        <f>IF(Table2[[#This Row],[cam_fate2]]="H",1,0)</f>
        <v>0</v>
      </c>
      <c r="BE258" s="6" t="b">
        <f>NOT(Table2[[#This Row],[HF_C]]=Table2[[#This Row],[HF]])</f>
        <v>1</v>
      </c>
      <c r="BF258" s="6" t="b">
        <f>NOT(Table2[[#This Row],[cam_fate2]]=Table2[[#This Row],[field_fate3]])</f>
        <v>1</v>
      </c>
      <c r="BG258" s="6" t="b">
        <f>OR(Table2[[#This Row],[field_fate3]]="U",Table2[[#This Row],[field_fate3]]="U-H")</f>
        <v>0</v>
      </c>
      <c r="BH258" s="8">
        <v>82</v>
      </c>
      <c r="BI258" s="8">
        <v>97</v>
      </c>
      <c r="BJ258" s="14">
        <f>IF(ISTEXT(Table2[[#This Row],[j.cam]]),Table2[[#This Row],[j]],Table2[[#This Row],[j.cam]])</f>
        <v>97</v>
      </c>
      <c r="BK258" s="9">
        <v>97</v>
      </c>
      <c r="BL258" s="15">
        <f>IF(ISTEXT(Table2[[#This Row],[k.cam]]), Table2[[#This Row],[k]], Table2[[#This Row],[k.cam]])</f>
        <v>97</v>
      </c>
      <c r="BM258" s="4" t="s">
        <v>24</v>
      </c>
      <c r="BN258" s="8" t="s">
        <v>24</v>
      </c>
      <c r="BO258" s="4">
        <v>4</v>
      </c>
      <c r="BP258" s="4">
        <f>Table2[[#This Row],[final_obs_date]]-Table2[[#This Row],[i]]</f>
        <v>15</v>
      </c>
      <c r="BQ258" s="4" t="e">
        <f>Table2[[#This Row],[final_obs_date2]]&gt;Table2[[#This Row],[estHD]]+3</f>
        <v>#VALUE!</v>
      </c>
      <c r="BR258" s="4" t="s">
        <v>33</v>
      </c>
      <c r="BS258" s="4" t="s">
        <v>127</v>
      </c>
      <c r="BT258" s="79" t="s">
        <v>1162</v>
      </c>
      <c r="BU258" s="26" t="s">
        <v>239</v>
      </c>
      <c r="BV258" s="79" t="s">
        <v>1547</v>
      </c>
      <c r="BW258" s="49"/>
      <c r="BX258" s="47"/>
      <c r="BY258" s="36" t="s">
        <v>24</v>
      </c>
    </row>
    <row r="259" spans="1:77" hidden="1" x14ac:dyDescent="0.35">
      <c r="A259" s="62">
        <v>10349</v>
      </c>
      <c r="B259" s="2" t="s">
        <v>22</v>
      </c>
      <c r="C259" s="44">
        <v>2019</v>
      </c>
      <c r="D259" s="3">
        <v>29.66921</v>
      </c>
      <c r="E259" s="3">
        <v>-92.848849999999999</v>
      </c>
      <c r="F259" s="3">
        <v>10</v>
      </c>
      <c r="G259" s="3">
        <v>50</v>
      </c>
      <c r="H259" s="3" t="s">
        <v>26</v>
      </c>
      <c r="I259" s="43"/>
      <c r="J259" s="55">
        <v>94</v>
      </c>
      <c r="K259" s="4">
        <v>94</v>
      </c>
      <c r="L259" s="22">
        <f>IF(ISNUMBER(Table2[[#This Row],[estHD]]),ABS(Table2[[#This Row],[HD]]-Table2[[#This Row],[estHD]]),"NA")</f>
        <v>0</v>
      </c>
      <c r="M259" s="4" t="b">
        <f>Table2[[#This Row],[HD]]=Table2[[#This Row],[estHD]]</f>
        <v>1</v>
      </c>
      <c r="N259" s="4" t="str">
        <f>IF(ISNUMBER([1]!Table2[[#This Row],[hatch_date]]), [1]!Table2[[#This Row],[hatch_date]]-16, "NA")</f>
        <v>NA</v>
      </c>
      <c r="O259" s="31">
        <v>78</v>
      </c>
      <c r="P259" s="23">
        <f>IF(ISNUMBER(Table2[[#This Row],[nest_age1]]),ABS(Table2[[#This Row],[nest_age1]]-Table2[[#This Row],[nest_age_feb]]),"NA")</f>
        <v>0</v>
      </c>
      <c r="Q259" s="24">
        <f>IF(ISNUMBER(Table2[[#This Row],[final_obs_int2]]),ABS(Table2[[#This Row],[final_obs_int2]]-Table2[[#This Row],[final_obs_int_feb]]), "NA")</f>
        <v>0</v>
      </c>
      <c r="R259" s="24"/>
      <c r="S259" s="57" t="s">
        <v>88</v>
      </c>
      <c r="T259" s="57" t="str">
        <f>Table2[[#This Row],[camera_old]]</f>
        <v>N</v>
      </c>
      <c r="U259" s="24"/>
      <c r="V259" s="16" t="s">
        <v>24</v>
      </c>
      <c r="W259" s="16">
        <v>8</v>
      </c>
      <c r="X259" s="145">
        <v>3</v>
      </c>
      <c r="Y259" s="147" t="s">
        <v>48</v>
      </c>
      <c r="Z259" s="146" t="s">
        <v>48</v>
      </c>
      <c r="AA259" s="4" t="str">
        <f>Table2[[#This Row],[field_fate]]</f>
        <v>F</v>
      </c>
      <c r="AB259" s="4" t="str">
        <f>Table2[[#This Row],[field_fate2]]</f>
        <v>F</v>
      </c>
      <c r="AC259" s="4" t="str">
        <f>Table2[[#This Row],[field_fate3]]</f>
        <v>F</v>
      </c>
      <c r="AD259" s="4" t="str">
        <f>Table2[[#This Row],[field_fate4]]</f>
        <v>F</v>
      </c>
      <c r="AE259" s="4" t="str">
        <f>Table2[[#This Row],[field_fate5]]</f>
        <v>F</v>
      </c>
      <c r="AF259" s="4" t="str">
        <f>Table2[[#This Row],[field_fate5]]</f>
        <v>F</v>
      </c>
      <c r="AG259" s="4" t="str">
        <f>Table2[[#This Row],[field_fate5]]</f>
        <v>F</v>
      </c>
      <c r="AH259" s="4" t="str">
        <f>Table2[[#This Row],[field_fate2]]</f>
        <v>F</v>
      </c>
      <c r="AI259" s="4" t="str">
        <f>Table2[[#This Row],[field_fate8]]</f>
        <v>F</v>
      </c>
      <c r="AJ259" s="4" t="str">
        <f>Table2[[#This Row],[field_fate10]]</f>
        <v>F</v>
      </c>
      <c r="AK259" s="4" t="b">
        <f>Table2[[#This Row],[field_fate_feb]]=Table2[[#This Row],[field_fate10]]</f>
        <v>1</v>
      </c>
      <c r="AL259" s="43" t="s">
        <v>24</v>
      </c>
      <c r="AM259" s="43" t="b">
        <f>Table2[[#This Row],[cam_fate2]]="NA"</f>
        <v>1</v>
      </c>
      <c r="AN259" s="19" t="str">
        <f>Table2[[#This Row],[cam_fate1]]</f>
        <v>NA</v>
      </c>
      <c r="AO259" s="2" t="s">
        <v>48</v>
      </c>
      <c r="AP259" s="5" t="str">
        <f>Table2[[#This Row],[final_fate1]]</f>
        <v>F</v>
      </c>
      <c r="AQ259" s="6">
        <v>8</v>
      </c>
      <c r="AR259" s="7">
        <v>8</v>
      </c>
      <c r="AS259" s="7">
        <f>Table2[[#This Row],[final_obs_date]]-Table2[[#This Row],[init_date]]</f>
        <v>8</v>
      </c>
      <c r="AT259" s="7">
        <f>(Table2[[#This Row],[final_obs_date2]]-Table2[[#This Row],[estHD]])+16</f>
        <v>8</v>
      </c>
      <c r="AU259" s="38">
        <v>3</v>
      </c>
      <c r="AV259" s="33">
        <v>3</v>
      </c>
      <c r="AW259" s="33">
        <f>Table2[[#This Row],[final_obs_date2]]-Table2[[#This Row],[pen_obs_date]]</f>
        <v>86</v>
      </c>
      <c r="AX259" s="67">
        <v>86</v>
      </c>
      <c r="AY259" s="6">
        <f>Table2[[#This Row],[final_obs_date]]</f>
        <v>86</v>
      </c>
      <c r="AZ259" s="6"/>
      <c r="BA259" s="91" t="s">
        <v>60</v>
      </c>
      <c r="BB259" s="6" t="b">
        <f>Table2[[#This Row],[final_obs_date]]&lt;(Table2[[#This Row],[estHD]]-2)</f>
        <v>1</v>
      </c>
      <c r="BC259" s="24">
        <f>IF(Table2[[#This Row],[field_fate]]="H",1,0)</f>
        <v>0</v>
      </c>
      <c r="BD259" s="16">
        <f>IF(Table2[[#This Row],[cam_fate2]]="H",1,0)</f>
        <v>0</v>
      </c>
      <c r="BE259" s="6" t="b">
        <f>NOT(Table2[[#This Row],[HF_C]]=Table2[[#This Row],[HF]])</f>
        <v>0</v>
      </c>
      <c r="BF259" s="6" t="b">
        <f>NOT(Table2[[#This Row],[cam_fate2]]=Table2[[#This Row],[field_fate3]])</f>
        <v>1</v>
      </c>
      <c r="BG259" s="6" t="b">
        <f>OR(Table2[[#This Row],[field_fate3]]="U",Table2[[#This Row],[field_fate3]]="U-H")</f>
        <v>0</v>
      </c>
      <c r="BH259" s="8">
        <v>83</v>
      </c>
      <c r="BI259" s="8">
        <v>83</v>
      </c>
      <c r="BJ259" s="14">
        <f>IF(ISTEXT(Table2[[#This Row],[j.cam]]),Table2[[#This Row],[j]],Table2[[#This Row],[j.cam]])</f>
        <v>83</v>
      </c>
      <c r="BK259" s="9">
        <v>86</v>
      </c>
      <c r="BL259" s="15">
        <f>IF(ISTEXT(Table2[[#This Row],[k.cam]]), Table2[[#This Row],[k]], Table2[[#This Row],[k.cam]])</f>
        <v>86</v>
      </c>
      <c r="BM259" s="4" t="s">
        <v>24</v>
      </c>
      <c r="BN259" s="8" t="s">
        <v>24</v>
      </c>
      <c r="BO259" s="4">
        <v>2</v>
      </c>
      <c r="BP259" s="4">
        <f>Table2[[#This Row],[final_obs_date]]-Table2[[#This Row],[i]]</f>
        <v>3</v>
      </c>
      <c r="BQ259" s="4" t="b">
        <f>Table2[[#This Row],[final_obs_date2]]&gt;Table2[[#This Row],[estHD]]+3</f>
        <v>0</v>
      </c>
      <c r="BR259" s="4" t="s">
        <v>33</v>
      </c>
      <c r="BS259" s="4" t="s">
        <v>45</v>
      </c>
      <c r="BT259" s="79" t="s">
        <v>1163</v>
      </c>
      <c r="BU259" s="26" t="s">
        <v>87</v>
      </c>
      <c r="BV259" s="79" t="s">
        <v>1430</v>
      </c>
      <c r="BW259" s="49"/>
      <c r="BX259" s="47"/>
      <c r="BY259" s="36" t="s">
        <v>24</v>
      </c>
    </row>
    <row r="260" spans="1:77" ht="15" hidden="1" x14ac:dyDescent="0.35">
      <c r="A260" s="62">
        <v>10353</v>
      </c>
      <c r="B260" s="2" t="s">
        <v>122</v>
      </c>
      <c r="C260" s="44">
        <v>2019</v>
      </c>
      <c r="D260" s="3">
        <v>29.758400000000002</v>
      </c>
      <c r="E260" s="3">
        <v>3.1210599999999999</v>
      </c>
      <c r="F260" s="3">
        <v>40</v>
      </c>
      <c r="G260" s="3">
        <v>40</v>
      </c>
      <c r="H260" s="3" t="s">
        <v>462</v>
      </c>
      <c r="I260" s="43"/>
      <c r="J260" s="116">
        <v>103</v>
      </c>
      <c r="K260" s="4">
        <v>103</v>
      </c>
      <c r="L260" s="22">
        <f>IF(ISNUMBER(Table2[[#This Row],[estHD]]),ABS(Table2[[#This Row],[HD]]-Table2[[#This Row],[estHD]]),"NA")</f>
        <v>0</v>
      </c>
      <c r="M260" s="4" t="b">
        <f>Table2[[#This Row],[HD]]=Table2[[#This Row],[estHD]]</f>
        <v>1</v>
      </c>
      <c r="N260" s="4" t="str">
        <f>IF(ISNUMBER([1]!Table2[[#This Row],[hatch_date]]),[1]!Table2[[#This Row],[hatch_date]]-19,"NA")</f>
        <v>NA</v>
      </c>
      <c r="O260" s="89">
        <v>84</v>
      </c>
      <c r="P260" s="23">
        <f>IF(ISNUMBER(Table2[[#This Row],[nest_age1]]),ABS(Table2[[#This Row],[nest_age1]]-Table2[[#This Row],[nest_age_feb]]),"NA")</f>
        <v>0</v>
      </c>
      <c r="Q260" s="24">
        <f>IF(ISNUMBER(Table2[[#This Row],[final_obs_int2]]),ABS(Table2[[#This Row],[final_obs_int2]]-Table2[[#This Row],[final_obs_int_feb]]), "NA")</f>
        <v>0</v>
      </c>
      <c r="R260" s="24"/>
      <c r="S260" s="20" t="s">
        <v>75</v>
      </c>
      <c r="T260" s="20" t="str">
        <f>Table2[[#This Row],[camera_old]]</f>
        <v>Y</v>
      </c>
      <c r="U260" s="22" t="s">
        <v>88</v>
      </c>
      <c r="V260" s="16" t="s">
        <v>36</v>
      </c>
      <c r="W260" s="16">
        <v>27</v>
      </c>
      <c r="X260" s="145">
        <v>5</v>
      </c>
      <c r="Y260" s="147" t="s">
        <v>36</v>
      </c>
      <c r="Z260" s="146" t="s">
        <v>36</v>
      </c>
      <c r="AA260" s="4" t="str">
        <f>Table2[[#This Row],[field_fate]]</f>
        <v>A</v>
      </c>
      <c r="AB260" s="4" t="str">
        <f>Table2[[#This Row],[field_fate2]]</f>
        <v>A</v>
      </c>
      <c r="AC260" s="94" t="str">
        <f>Table2[[#This Row],[field_fate3]]</f>
        <v>A</v>
      </c>
      <c r="AD260" s="94" t="str">
        <f>Table2[[#This Row],[field_fate4]]</f>
        <v>A</v>
      </c>
      <c r="AE260" s="94" t="str">
        <f>Table2[[#This Row],[field_fate5]]</f>
        <v>A</v>
      </c>
      <c r="AF260" s="94" t="str">
        <f>Table2[[#This Row],[field_fate5]]</f>
        <v>A</v>
      </c>
      <c r="AG260" s="94" t="str">
        <f>Table2[[#This Row],[field_fate5]]</f>
        <v>A</v>
      </c>
      <c r="AH260" s="94" t="str">
        <f>Table2[[#This Row],[field_fate2]]</f>
        <v>A</v>
      </c>
      <c r="AI260" s="94" t="str">
        <f>Table2[[#This Row],[field_fate8]]</f>
        <v>A</v>
      </c>
      <c r="AJ260" s="94" t="str">
        <f>Table2[[#This Row],[field_fate10]]</f>
        <v>A</v>
      </c>
      <c r="AK260" s="94" t="b">
        <f>Table2[[#This Row],[field_fate_feb]]=Table2[[#This Row],[field_fate10]]</f>
        <v>1</v>
      </c>
      <c r="AL260" s="43" t="s">
        <v>36</v>
      </c>
      <c r="AM260" s="160" t="b">
        <f>Table2[[#This Row],[cam_fate2]]="NA"</f>
        <v>0</v>
      </c>
      <c r="AN260" s="159" t="str">
        <f>Table2[[#This Row],[cam_fate1]]</f>
        <v>A</v>
      </c>
      <c r="AO260" s="2" t="s">
        <v>36</v>
      </c>
      <c r="AP260" s="5" t="str">
        <f>Table2[[#This Row],[final_fate1]]</f>
        <v>A</v>
      </c>
      <c r="AQ260" s="6">
        <v>27</v>
      </c>
      <c r="AR260" s="72">
        <v>27</v>
      </c>
      <c r="AS260" s="155">
        <f>Table2[[#This Row],[final_obs_date]]-Table2[[#This Row],[init_date]]</f>
        <v>27</v>
      </c>
      <c r="AT260" s="155">
        <f>(Table2[[#This Row],[final_obs_date2]]-Table2[[#This Row],[estHD]])+19</f>
        <v>27</v>
      </c>
      <c r="AU260" s="38">
        <v>5</v>
      </c>
      <c r="AV260" s="33">
        <v>5</v>
      </c>
      <c r="AW260" s="33">
        <f>Table2[[#This Row],[final_obs_date2]]-Table2[[#This Row],[pen_obs_date]]</f>
        <v>5</v>
      </c>
      <c r="AX260" s="74">
        <v>111</v>
      </c>
      <c r="AY260" s="158">
        <f>Table2[[#This Row],[final_obs_date]]</f>
        <v>111</v>
      </c>
      <c r="AZ260" s="6">
        <v>106</v>
      </c>
      <c r="BA260" s="92" t="s">
        <v>47</v>
      </c>
      <c r="BB260" s="86" t="b">
        <f>Table2[[#This Row],[final_obs_date]]&lt;(Table2[[#This Row],[estHD]]-2)</f>
        <v>0</v>
      </c>
      <c r="BC260" s="83">
        <f>IF(Table2[[#This Row],[field_fate]]="H",1,0)</f>
        <v>0</v>
      </c>
      <c r="BD260" s="82">
        <f>IF(Table2[[#This Row],[cam_fate2]]="H",1,0)</f>
        <v>0</v>
      </c>
      <c r="BE260" s="84" t="b">
        <f>NOT(Table2[[#This Row],[HF_C]]=Table2[[#This Row],[HF]])</f>
        <v>0</v>
      </c>
      <c r="BF260" s="85" t="b">
        <f>NOT(Table2[[#This Row],[cam_fate2]]=Table2[[#This Row],[field_fate3]])</f>
        <v>0</v>
      </c>
      <c r="BG260" s="85" t="b">
        <f>OR(Table2[[#This Row],[field_fate3]]="U",Table2[[#This Row],[field_fate3]]="U-H")</f>
        <v>0</v>
      </c>
      <c r="BH260" s="8">
        <v>89</v>
      </c>
      <c r="BI260" s="8">
        <v>106</v>
      </c>
      <c r="BJ260" s="14">
        <f>IF(ISTEXT(Table2[[#This Row],[j.cam]]),Table2[[#This Row],[j]],Table2[[#This Row],[j.cam]])</f>
        <v>106</v>
      </c>
      <c r="BK260" s="8">
        <v>111</v>
      </c>
      <c r="BL260" s="14">
        <f>IF(ISTEXT(Table2[[#This Row],[k.cam]]), Table2[[#This Row],[k]], Table2[[#This Row],[k.cam]])</f>
        <v>111</v>
      </c>
      <c r="BM260" s="87" t="s">
        <v>24</v>
      </c>
      <c r="BN260" s="87" t="s">
        <v>24</v>
      </c>
      <c r="BO260" s="4">
        <v>7</v>
      </c>
      <c r="BP260" s="4">
        <f>Table2[[#This Row],[final_obs_date]]-Table2[[#This Row],[i]]</f>
        <v>22</v>
      </c>
      <c r="BQ260" s="4" t="b">
        <f>Table2[[#This Row],[final_obs_date2]]&gt;Table2[[#This Row],[estHD]]+3</f>
        <v>1</v>
      </c>
      <c r="BR260" s="3" t="s">
        <v>33</v>
      </c>
      <c r="BS260" s="28" t="s">
        <v>33</v>
      </c>
      <c r="BT260" s="125" t="s">
        <v>1164</v>
      </c>
      <c r="BU260" s="122" t="s">
        <v>240</v>
      </c>
      <c r="BV260" s="88" t="s">
        <v>1548</v>
      </c>
      <c r="BW260" s="36" t="s">
        <v>984</v>
      </c>
      <c r="BX260" s="47"/>
      <c r="BY260" s="36" t="s">
        <v>639</v>
      </c>
    </row>
    <row r="261" spans="1:77" hidden="1" x14ac:dyDescent="0.35">
      <c r="A261" s="62">
        <v>10354</v>
      </c>
      <c r="B261" s="2" t="s">
        <v>122</v>
      </c>
      <c r="C261" s="44">
        <v>2019</v>
      </c>
      <c r="D261" s="3">
        <v>29.757110000000001</v>
      </c>
      <c r="E261" s="3">
        <v>-93.115459999999999</v>
      </c>
      <c r="F261" s="3">
        <v>50</v>
      </c>
      <c r="G261" s="3">
        <v>40</v>
      </c>
      <c r="H261" s="3" t="s">
        <v>26</v>
      </c>
      <c r="I261" s="43"/>
      <c r="J261" s="55">
        <v>105</v>
      </c>
      <c r="K261" s="4">
        <v>105</v>
      </c>
      <c r="L261" s="22">
        <f>IF(ISNUMBER(Table2[[#This Row],[estHD]]),ABS(Table2[[#This Row],[HD]]-Table2[[#This Row],[estHD]]),"NA")</f>
        <v>0</v>
      </c>
      <c r="M261" s="4" t="b">
        <f>Table2[[#This Row],[HD]]=Table2[[#This Row],[estHD]]</f>
        <v>1</v>
      </c>
      <c r="N261" s="4" t="str">
        <f>IF(ISNUMBER([1]!Table2[[#This Row],[hatch_date]]), [1]!Table2[[#This Row],[hatch_date]]-16, "NA")</f>
        <v>NA</v>
      </c>
      <c r="O261" s="31">
        <v>89</v>
      </c>
      <c r="P261" s="23" t="e">
        <f>IF(ISNUMBER(Table2[[#This Row],[nest_age1]]),ABS(Table2[[#This Row],[nest_age1]]-Table2[[#This Row],[nest_age_feb]]),"NA")</f>
        <v>#VALUE!</v>
      </c>
      <c r="Q261" s="24">
        <f>IF(ISNUMBER(Table2[[#This Row],[final_obs_int2]]),ABS(Table2[[#This Row],[final_obs_int2]]-Table2[[#This Row],[final_obs_int_feb]]), "NA")</f>
        <v>0</v>
      </c>
      <c r="R261" s="24"/>
      <c r="S261" s="57" t="s">
        <v>88</v>
      </c>
      <c r="T261" s="57" t="str">
        <f>Table2[[#This Row],[camera_old]]</f>
        <v>N</v>
      </c>
      <c r="U261" s="24"/>
      <c r="V261" s="16" t="s">
        <v>24</v>
      </c>
      <c r="W261" s="16" t="s">
        <v>24</v>
      </c>
      <c r="X261" s="145">
        <v>8</v>
      </c>
      <c r="Y261" s="147" t="s">
        <v>65</v>
      </c>
      <c r="Z261" s="146" t="s">
        <v>65</v>
      </c>
      <c r="AA261" s="4" t="str">
        <f>Table2[[#This Row],[field_fate]]</f>
        <v>Ca</v>
      </c>
      <c r="AB261" s="4" t="str">
        <f>Table2[[#This Row],[field_fate2]]</f>
        <v>Ca</v>
      </c>
      <c r="AC261" s="4" t="str">
        <f>Table2[[#This Row],[field_fate3]]</f>
        <v>Ca</v>
      </c>
      <c r="AD261" s="4" t="str">
        <f>Table2[[#This Row],[field_fate4]]</f>
        <v>Ca</v>
      </c>
      <c r="AE261" s="4" t="str">
        <f>Table2[[#This Row],[field_fate5]]</f>
        <v>Ca</v>
      </c>
      <c r="AF261" s="4" t="str">
        <f>Table2[[#This Row],[field_fate5]]</f>
        <v>Ca</v>
      </c>
      <c r="AG261" s="4" t="str">
        <f>Table2[[#This Row],[field_fate5]]</f>
        <v>Ca</v>
      </c>
      <c r="AH261" s="4" t="str">
        <f>Table2[[#This Row],[field_fate2]]</f>
        <v>Ca</v>
      </c>
      <c r="AI261" s="4" t="str">
        <f>Table2[[#This Row],[field_fate8]]</f>
        <v>Ca</v>
      </c>
      <c r="AJ261" s="4" t="str">
        <f>Table2[[#This Row],[field_fate10]]</f>
        <v>Ca</v>
      </c>
      <c r="AK261" s="4" t="b">
        <f>Table2[[#This Row],[field_fate_feb]]=Table2[[#This Row],[field_fate10]]</f>
        <v>1</v>
      </c>
      <c r="AL261" s="43" t="s">
        <v>24</v>
      </c>
      <c r="AM261" s="43" t="b">
        <f>Table2[[#This Row],[cam_fate2]]="NA"</f>
        <v>1</v>
      </c>
      <c r="AN261" s="19" t="str">
        <f>Table2[[#This Row],[cam_fate1]]</f>
        <v>NA</v>
      </c>
      <c r="AO261" s="2" t="s">
        <v>65</v>
      </c>
      <c r="AP261" s="5" t="str">
        <f>Table2[[#This Row],[final_fate1]]</f>
        <v>Ca</v>
      </c>
      <c r="AQ261" s="6">
        <v>8</v>
      </c>
      <c r="AR261" s="7">
        <v>8</v>
      </c>
      <c r="AS261" s="7">
        <f>Table2[[#This Row],[final_obs_date]]-Table2[[#This Row],[init_date]]</f>
        <v>8</v>
      </c>
      <c r="AT261" s="7">
        <f>(Table2[[#This Row],[final_obs_date2]]-Table2[[#This Row],[estHD]])+16</f>
        <v>8</v>
      </c>
      <c r="AU261" s="38">
        <v>8</v>
      </c>
      <c r="AV261" s="33">
        <v>8</v>
      </c>
      <c r="AW261" s="33">
        <f>Table2[[#This Row],[final_obs_date2]]-Table2[[#This Row],[pen_obs_date]]</f>
        <v>97</v>
      </c>
      <c r="AX261" s="67">
        <v>97</v>
      </c>
      <c r="AY261" s="6">
        <f>Table2[[#This Row],[final_obs_date]]</f>
        <v>97</v>
      </c>
      <c r="AZ261" s="6"/>
      <c r="BA261" s="91" t="s">
        <v>60</v>
      </c>
      <c r="BB261" s="6" t="b">
        <f>Table2[[#This Row],[final_obs_date]]&lt;(Table2[[#This Row],[estHD]]-2)</f>
        <v>1</v>
      </c>
      <c r="BC261" s="24">
        <f>IF(Table2[[#This Row],[field_fate]]="H",1,0)</f>
        <v>0</v>
      </c>
      <c r="BD261" s="16">
        <f>IF(Table2[[#This Row],[cam_fate2]]="H",1,0)</f>
        <v>0</v>
      </c>
      <c r="BE261" s="6" t="b">
        <f>NOT(Table2[[#This Row],[HF_C]]=Table2[[#This Row],[HF]])</f>
        <v>0</v>
      </c>
      <c r="BF261" s="6" t="b">
        <f>NOT(Table2[[#This Row],[cam_fate2]]=Table2[[#This Row],[field_fate3]])</f>
        <v>1</v>
      </c>
      <c r="BG261" s="6" t="b">
        <f>OR(Table2[[#This Row],[field_fate3]]="U",Table2[[#This Row],[field_fate3]]="U-H")</f>
        <v>0</v>
      </c>
      <c r="BH261" s="8">
        <v>89</v>
      </c>
      <c r="BI261" s="8">
        <v>89</v>
      </c>
      <c r="BJ261" s="14">
        <f>IF(ISTEXT(Table2[[#This Row],[j.cam]]),Table2[[#This Row],[j]],Table2[[#This Row],[j.cam]])</f>
        <v>89</v>
      </c>
      <c r="BK261" s="9">
        <v>97</v>
      </c>
      <c r="BL261" s="15">
        <f>IF(ISTEXT(Table2[[#This Row],[k.cam]]), Table2[[#This Row],[k]], Table2[[#This Row],[k.cam]])</f>
        <v>97</v>
      </c>
      <c r="BM261" s="4" t="s">
        <v>24</v>
      </c>
      <c r="BN261" s="8" t="s">
        <v>24</v>
      </c>
      <c r="BO261" s="4">
        <v>2</v>
      </c>
      <c r="BP261" s="4">
        <f>Table2[[#This Row],[final_obs_date]]-Table2[[#This Row],[i]]</f>
        <v>8</v>
      </c>
      <c r="BQ261" s="4" t="b">
        <f>Table2[[#This Row],[final_obs_date2]]&gt;Table2[[#This Row],[estHD]]+3</f>
        <v>0</v>
      </c>
      <c r="BR261" s="4" t="s">
        <v>58</v>
      </c>
      <c r="BS261" s="4" t="s">
        <v>100</v>
      </c>
      <c r="BT261" s="79" t="s">
        <v>1165</v>
      </c>
      <c r="BU261" s="26" t="s">
        <v>241</v>
      </c>
      <c r="BV261" s="79" t="s">
        <v>1427</v>
      </c>
      <c r="BW261" s="49"/>
      <c r="BX261" s="47"/>
      <c r="BY261" s="36" t="s">
        <v>640</v>
      </c>
    </row>
    <row r="262" spans="1:77" hidden="1" x14ac:dyDescent="0.35">
      <c r="A262" s="62">
        <v>10355</v>
      </c>
      <c r="B262" s="2" t="s">
        <v>35</v>
      </c>
      <c r="C262" s="44">
        <v>2019</v>
      </c>
      <c r="D262" s="3">
        <v>29.769600000000001</v>
      </c>
      <c r="E262" s="3">
        <v>-93.172399999999996</v>
      </c>
      <c r="F262" s="3">
        <v>70</v>
      </c>
      <c r="G262" s="3">
        <v>70</v>
      </c>
      <c r="H262" s="3" t="s">
        <v>26</v>
      </c>
      <c r="I262" s="43"/>
      <c r="J262" s="116">
        <v>108</v>
      </c>
      <c r="K262" s="4">
        <v>108</v>
      </c>
      <c r="L262" s="22">
        <f>IF(ISNUMBER(Table2[[#This Row],[estHD]]),ABS(Table2[[#This Row],[HD]]-Table2[[#This Row],[estHD]]),"NA")</f>
        <v>0</v>
      </c>
      <c r="M262" s="4" t="b">
        <f>Table2[[#This Row],[HD]]=Table2[[#This Row],[estHD]]</f>
        <v>1</v>
      </c>
      <c r="N262" s="4" t="str">
        <f>IF(ISNUMBER([1]!Table2[[#This Row],[hatch_date]]), [1]!Table2[[#This Row],[hatch_date]]-16, "NA")</f>
        <v>NA</v>
      </c>
      <c r="O262" s="31">
        <v>92</v>
      </c>
      <c r="P262" s="23">
        <f>IF(ISNUMBER(Table2[[#This Row],[nest_age1]]),ABS(Table2[[#This Row],[nest_age1]]-Table2[[#This Row],[nest_age_feb]]),"NA")</f>
        <v>0</v>
      </c>
      <c r="Q262" s="24">
        <f>IF(ISNUMBER(Table2[[#This Row],[final_obs_int2]]),ABS(Table2[[#This Row],[final_obs_int2]]-Table2[[#This Row],[final_obs_int_feb]]), "NA")</f>
        <v>0</v>
      </c>
      <c r="R262" s="24"/>
      <c r="S262" s="21" t="s">
        <v>965</v>
      </c>
      <c r="T262" s="21" t="s">
        <v>75</v>
      </c>
      <c r="U262" s="52" t="s">
        <v>75</v>
      </c>
      <c r="V262" s="16" t="s">
        <v>65</v>
      </c>
      <c r="W262" s="16">
        <v>14</v>
      </c>
      <c r="X262" s="145">
        <v>8</v>
      </c>
      <c r="Y262" s="147" t="s">
        <v>48</v>
      </c>
      <c r="Z262" s="146" t="s">
        <v>48</v>
      </c>
      <c r="AA262" s="4" t="str">
        <f>Table2[[#This Row],[field_fate]]</f>
        <v>F</v>
      </c>
      <c r="AB262" s="4" t="str">
        <f>Table2[[#This Row],[field_fate2]]</f>
        <v>F</v>
      </c>
      <c r="AC262" s="94" t="str">
        <f>Table2[[#This Row],[field_fate3]]</f>
        <v>F</v>
      </c>
      <c r="AD262" s="94" t="str">
        <f>Table2[[#This Row],[field_fate4]]</f>
        <v>F</v>
      </c>
      <c r="AE262" s="94" t="str">
        <f>Table2[[#This Row],[field_fate5]]</f>
        <v>F</v>
      </c>
      <c r="AF262" s="94" t="str">
        <f>Table2[[#This Row],[field_fate5]]</f>
        <v>F</v>
      </c>
      <c r="AG262" s="94" t="str">
        <f>Table2[[#This Row],[field_fate5]]</f>
        <v>F</v>
      </c>
      <c r="AH262" s="94" t="str">
        <f>Table2[[#This Row],[field_fate2]]</f>
        <v>F</v>
      </c>
      <c r="AI262" s="94" t="str">
        <f>Table2[[#This Row],[field_fate8]]</f>
        <v>F</v>
      </c>
      <c r="AJ262" s="94" t="str">
        <f>Table2[[#This Row],[field_fate10]]</f>
        <v>F</v>
      </c>
      <c r="AK262" s="94" t="b">
        <f>Table2[[#This Row],[field_fate_feb]]=Table2[[#This Row],[field_fate10]]</f>
        <v>1</v>
      </c>
      <c r="AL262" s="43" t="s">
        <v>65</v>
      </c>
      <c r="AM262" s="160" t="b">
        <f>Table2[[#This Row],[cam_fate2]]="NA"</f>
        <v>0</v>
      </c>
      <c r="AN262" s="19" t="str">
        <f>Table2[[#This Row],[cam_fate1]]</f>
        <v>Ca</v>
      </c>
      <c r="AO262" s="2" t="s">
        <v>65</v>
      </c>
      <c r="AP262" s="5" t="str">
        <f>Table2[[#This Row],[final_fate1]]</f>
        <v>Ca</v>
      </c>
      <c r="AQ262" s="6">
        <v>14</v>
      </c>
      <c r="AR262" s="72">
        <v>14</v>
      </c>
      <c r="AS262" s="155">
        <f>Table2[[#This Row],[final_obs_date]]-Table2[[#This Row],[init_date]]</f>
        <v>14</v>
      </c>
      <c r="AT262" s="155">
        <f>(Table2[[#This Row],[final_obs_date2]]-Table2[[#This Row],[estHD]])+16</f>
        <v>14</v>
      </c>
      <c r="AU262" s="38">
        <v>8</v>
      </c>
      <c r="AV262" s="33">
        <v>8</v>
      </c>
      <c r="AW262" s="33">
        <f>Table2[[#This Row],[final_obs_date2]]-Table2[[#This Row],[pen_obs_date]]</f>
        <v>8</v>
      </c>
      <c r="AX262" s="67">
        <v>106</v>
      </c>
      <c r="AY262" s="157">
        <f>Table2[[#This Row],[final_obs_date]]</f>
        <v>106</v>
      </c>
      <c r="AZ262" s="6">
        <v>98</v>
      </c>
      <c r="BA262" s="92" t="s">
        <v>60</v>
      </c>
      <c r="BB262" s="6" t="b">
        <f>Table2[[#This Row],[final_obs_date]]&lt;(Table2[[#This Row],[estHD]]-2)</f>
        <v>0</v>
      </c>
      <c r="BC262" s="32">
        <f>IF(Table2[[#This Row],[field_fate]]="H",1,0)</f>
        <v>0</v>
      </c>
      <c r="BD262" s="16">
        <f>IF(Table2[[#This Row],[cam_fate2]]="H",1,0)</f>
        <v>0</v>
      </c>
      <c r="BE262" s="6" t="b">
        <f>NOT(Table2[[#This Row],[HF_C]]=Table2[[#This Row],[HF]])</f>
        <v>0</v>
      </c>
      <c r="BF262" s="38" t="b">
        <f>NOT(Table2[[#This Row],[cam_fate2]]=Table2[[#This Row],[field_fate3]])</f>
        <v>1</v>
      </c>
      <c r="BG262" s="38" t="b">
        <f>OR(Table2[[#This Row],[field_fate3]]="U",Table2[[#This Row],[field_fate3]]="U-H")</f>
        <v>0</v>
      </c>
      <c r="BH262" s="8">
        <v>92</v>
      </c>
      <c r="BI262" s="8">
        <v>98</v>
      </c>
      <c r="BJ262" s="14">
        <f>IF(ISTEXT(Table2[[#This Row],[j.cam]]),Table2[[#This Row],[j]],Table2[[#This Row],[j.cam]])</f>
        <v>98</v>
      </c>
      <c r="BK262" s="8">
        <v>106</v>
      </c>
      <c r="BL262" s="14">
        <f>IF(ISTEXT(Table2[[#This Row],[k.cam]]), Table2[[#This Row],[k]], Table2[[#This Row],[k.cam]])</f>
        <v>106</v>
      </c>
      <c r="BM262" s="4" t="s">
        <v>24</v>
      </c>
      <c r="BN262" s="8" t="s">
        <v>24</v>
      </c>
      <c r="BO262" s="4">
        <v>3</v>
      </c>
      <c r="BP262" s="4">
        <f>Table2[[#This Row],[final_obs_date]]-Table2[[#This Row],[i]]</f>
        <v>14</v>
      </c>
      <c r="BQ262" s="4" t="b">
        <f>Table2[[#This Row],[final_obs_date2]]&gt;Table2[[#This Row],[estHD]]+3</f>
        <v>0</v>
      </c>
      <c r="BR262" s="3" t="s">
        <v>58</v>
      </c>
      <c r="BS262" s="3" t="s">
        <v>45</v>
      </c>
      <c r="BT262" s="125" t="s">
        <v>1166</v>
      </c>
      <c r="BU262" s="4" t="s">
        <v>133</v>
      </c>
      <c r="BV262" s="79" t="s">
        <v>1549</v>
      </c>
      <c r="BW262" s="69"/>
      <c r="BX262" s="36"/>
      <c r="BY262" s="36" t="s">
        <v>641</v>
      </c>
    </row>
    <row r="263" spans="1:77" hidden="1" x14ac:dyDescent="0.35">
      <c r="A263" s="62">
        <v>10356</v>
      </c>
      <c r="B263" s="2" t="s">
        <v>35</v>
      </c>
      <c r="C263" s="44">
        <v>2019</v>
      </c>
      <c r="D263" s="3">
        <v>29.76774</v>
      </c>
      <c r="E263" s="3">
        <v>-93.164990000000003</v>
      </c>
      <c r="F263" s="3" t="s">
        <v>24</v>
      </c>
      <c r="G263" s="3" t="s">
        <v>24</v>
      </c>
      <c r="H263" s="3" t="s">
        <v>26</v>
      </c>
      <c r="I263" s="43"/>
      <c r="J263" s="116">
        <v>104</v>
      </c>
      <c r="K263" s="4">
        <v>104</v>
      </c>
      <c r="L263" s="22">
        <f>IF(ISNUMBER(Table2[[#This Row],[estHD]]),ABS(Table2[[#This Row],[HD]]-Table2[[#This Row],[estHD]]),"NA")</f>
        <v>0</v>
      </c>
      <c r="M263" s="4" t="b">
        <f>Table2[[#This Row],[HD]]=Table2[[#This Row],[estHD]]</f>
        <v>1</v>
      </c>
      <c r="N263" s="4" t="str">
        <f>IF(ISNUMBER([1]!Table2[[#This Row],[hatch_date]]),[1]!Table2[[#This Row],[hatch_date]]-19,"NA")</f>
        <v>NA</v>
      </c>
      <c r="O263" s="31">
        <v>85</v>
      </c>
      <c r="P263" s="23">
        <f>IF(ISNUMBER(Table2[[#This Row],[nest_age1]]),ABS(Table2[[#This Row],[nest_age1]]-Table2[[#This Row],[nest_age_feb]]),"NA")</f>
        <v>0</v>
      </c>
      <c r="Q263" s="24">
        <f>IF(ISNUMBER(Table2[[#This Row],[final_obs_int2]]),ABS(Table2[[#This Row],[final_obs_int2]]-Table2[[#This Row],[final_obs_int_feb]]), "NA")</f>
        <v>0</v>
      </c>
      <c r="R263" s="24"/>
      <c r="S263" s="20" t="s">
        <v>75</v>
      </c>
      <c r="T263" s="20" t="str">
        <f>Table2[[#This Row],[camera_old]]</f>
        <v>Y</v>
      </c>
      <c r="U263" s="22" t="s">
        <v>88</v>
      </c>
      <c r="V263" s="16" t="s">
        <v>65</v>
      </c>
      <c r="W263" s="16">
        <v>13</v>
      </c>
      <c r="X263" s="145">
        <v>6</v>
      </c>
      <c r="Y263" s="147" t="s">
        <v>25</v>
      </c>
      <c r="Z263" s="146" t="s">
        <v>25</v>
      </c>
      <c r="AA263" s="4" t="str">
        <f>Table2[[#This Row],[field_fate]]</f>
        <v>S</v>
      </c>
      <c r="AB263" s="4" t="str">
        <f>Table2[[#This Row],[field_fate2]]</f>
        <v>S</v>
      </c>
      <c r="AC263" s="94" t="str">
        <f>Table2[[#This Row],[field_fate3]]</f>
        <v>S</v>
      </c>
      <c r="AD263" s="94" t="str">
        <f>Table2[[#This Row],[field_fate4]]</f>
        <v>S</v>
      </c>
      <c r="AE263" s="94" t="str">
        <f>Table2[[#This Row],[field_fate5]]</f>
        <v>S</v>
      </c>
      <c r="AF263" s="94" t="str">
        <f>Table2[[#This Row],[field_fate5]]</f>
        <v>S</v>
      </c>
      <c r="AG263" s="94" t="str">
        <f>Table2[[#This Row],[field_fate5]]</f>
        <v>S</v>
      </c>
      <c r="AH263" s="94" t="str">
        <f>Table2[[#This Row],[field_fate2]]</f>
        <v>S</v>
      </c>
      <c r="AI263" s="94" t="str">
        <f>Table2[[#This Row],[field_fate8]]</f>
        <v>S</v>
      </c>
      <c r="AJ263" s="94" t="str">
        <f>Table2[[#This Row],[field_fate10]]</f>
        <v>S</v>
      </c>
      <c r="AK263" s="94" t="b">
        <f>Table2[[#This Row],[field_fate_feb]]=Table2[[#This Row],[field_fate10]]</f>
        <v>1</v>
      </c>
      <c r="AL263" s="43" t="s">
        <v>65</v>
      </c>
      <c r="AM263" s="160" t="b">
        <f>Table2[[#This Row],[cam_fate2]]="NA"</f>
        <v>0</v>
      </c>
      <c r="AN263" s="19" t="str">
        <f>Table2[[#This Row],[cam_fate1]]</f>
        <v>Ca</v>
      </c>
      <c r="AO263" s="2" t="s">
        <v>65</v>
      </c>
      <c r="AP263" s="5" t="str">
        <f>Table2[[#This Row],[final_fate1]]</f>
        <v>Ca</v>
      </c>
      <c r="AQ263" s="6">
        <v>13</v>
      </c>
      <c r="AR263" s="72">
        <v>13</v>
      </c>
      <c r="AS263" s="155">
        <f>Table2[[#This Row],[final_obs_date]]-Table2[[#This Row],[init_date]]</f>
        <v>13</v>
      </c>
      <c r="AT263" s="155">
        <f>(Table2[[#This Row],[final_obs_date2]]-Table2[[#This Row],[estHD]])+19</f>
        <v>13</v>
      </c>
      <c r="AU263" s="38">
        <v>6</v>
      </c>
      <c r="AV263" s="33">
        <v>6</v>
      </c>
      <c r="AW263" s="33">
        <f>Table2[[#This Row],[final_obs_date2]]-Table2[[#This Row],[pen_obs_date]]</f>
        <v>6</v>
      </c>
      <c r="AX263" s="67">
        <v>98</v>
      </c>
      <c r="AY263" s="157">
        <f>Table2[[#This Row],[final_obs_date]]</f>
        <v>98</v>
      </c>
      <c r="AZ263" s="6">
        <v>92</v>
      </c>
      <c r="BA263" s="92" t="s">
        <v>47</v>
      </c>
      <c r="BB263" s="6" t="b">
        <f>Table2[[#This Row],[final_obs_date]]&lt;(Table2[[#This Row],[estHD]]-2)</f>
        <v>1</v>
      </c>
      <c r="BC263" s="32">
        <f>IF(Table2[[#This Row],[field_fate]]="H",1,0)</f>
        <v>0</v>
      </c>
      <c r="BD263" s="16">
        <f>IF(Table2[[#This Row],[cam_fate2]]="H",1,0)</f>
        <v>0</v>
      </c>
      <c r="BE263" s="6" t="b">
        <f>NOT(Table2[[#This Row],[HF_C]]=Table2[[#This Row],[HF]])</f>
        <v>0</v>
      </c>
      <c r="BF263" s="38" t="b">
        <f>NOT(Table2[[#This Row],[cam_fate2]]=Table2[[#This Row],[field_fate3]])</f>
        <v>1</v>
      </c>
      <c r="BG263" s="38" t="b">
        <f>OR(Table2[[#This Row],[field_fate3]]="U",Table2[[#This Row],[field_fate3]]="U-H")</f>
        <v>0</v>
      </c>
      <c r="BH263" s="8">
        <v>89</v>
      </c>
      <c r="BI263" s="8">
        <v>92</v>
      </c>
      <c r="BJ263" s="14">
        <f>IF(ISTEXT(Table2[[#This Row],[j.cam]]),Table2[[#This Row],[j]],Table2[[#This Row],[j.cam]])</f>
        <v>92</v>
      </c>
      <c r="BK263" s="8">
        <v>98</v>
      </c>
      <c r="BL263" s="14">
        <f>IF(ISTEXT(Table2[[#This Row],[k.cam]]), Table2[[#This Row],[k]], Table2[[#This Row],[k.cam]])</f>
        <v>98</v>
      </c>
      <c r="BM263" s="4" t="s">
        <v>24</v>
      </c>
      <c r="BN263" s="8" t="s">
        <v>24</v>
      </c>
      <c r="BO263" s="4">
        <v>4</v>
      </c>
      <c r="BP263" s="4">
        <f>Table2[[#This Row],[final_obs_date]]-Table2[[#This Row],[i]]</f>
        <v>9</v>
      </c>
      <c r="BQ263" s="4" t="b">
        <f>Table2[[#This Row],[final_obs_date2]]&gt;Table2[[#This Row],[estHD]]+3</f>
        <v>0</v>
      </c>
      <c r="BR263" s="3" t="s">
        <v>58</v>
      </c>
      <c r="BS263" s="3" t="s">
        <v>45</v>
      </c>
      <c r="BT263" s="125" t="s">
        <v>1167</v>
      </c>
      <c r="BU263" s="4" t="s">
        <v>234</v>
      </c>
      <c r="BV263" s="79" t="s">
        <v>1550</v>
      </c>
      <c r="BW263" s="69"/>
      <c r="BX263" s="36"/>
      <c r="BY263" s="36" t="s">
        <v>642</v>
      </c>
    </row>
    <row r="264" spans="1:77" hidden="1" x14ac:dyDescent="0.35">
      <c r="A264" s="62">
        <v>10357</v>
      </c>
      <c r="B264" s="2" t="s">
        <v>35</v>
      </c>
      <c r="C264" s="44">
        <v>2019</v>
      </c>
      <c r="D264" s="3">
        <v>29.76784</v>
      </c>
      <c r="E264" s="3">
        <v>-93.165319999999994</v>
      </c>
      <c r="F264" s="3" t="s">
        <v>24</v>
      </c>
      <c r="G264" s="3" t="s">
        <v>24</v>
      </c>
      <c r="H264" s="3" t="s">
        <v>26</v>
      </c>
      <c r="I264" s="43"/>
      <c r="J264" s="55">
        <v>92</v>
      </c>
      <c r="K264" s="4">
        <v>92</v>
      </c>
      <c r="L264" s="22">
        <f>IF(ISNUMBER(Table2[[#This Row],[estHD]]),ABS(Table2[[#This Row],[HD]]-Table2[[#This Row],[estHD]]),"NA")</f>
        <v>0</v>
      </c>
      <c r="M264" s="4" t="b">
        <f>Table2[[#This Row],[HD]]=Table2[[#This Row],[estHD]]</f>
        <v>1</v>
      </c>
      <c r="N264" s="4" t="str">
        <f>IF(ISNUMBER([1]!Table2[[#This Row],[hatch_date]]),[1]!Table2[[#This Row],[hatch_date]]-19,"NA")</f>
        <v>NA</v>
      </c>
      <c r="O264" s="31">
        <v>73</v>
      </c>
      <c r="P264" s="23">
        <f>IF(ISNUMBER(Table2[[#This Row],[nest_age1]]),ABS(Table2[[#This Row],[nest_age1]]-Table2[[#This Row],[nest_age_feb]]),"NA")</f>
        <v>0</v>
      </c>
      <c r="Q264" s="24">
        <f>IF(ISNUMBER(Table2[[#This Row],[final_obs_int2]]),ABS(Table2[[#This Row],[final_obs_int2]]-Table2[[#This Row],[final_obs_int_feb]]), "NA")</f>
        <v>0</v>
      </c>
      <c r="R264" s="24"/>
      <c r="S264" s="21" t="s">
        <v>983</v>
      </c>
      <c r="T264" s="21" t="str">
        <f>Table2[[#This Row],[camera_old]]</f>
        <v>Y-but</v>
      </c>
      <c r="U264" s="52" t="s">
        <v>75</v>
      </c>
      <c r="V264" s="16" t="s">
        <v>36</v>
      </c>
      <c r="W264" s="16">
        <v>25</v>
      </c>
      <c r="X264" s="145">
        <v>6</v>
      </c>
      <c r="Y264" s="147" t="s">
        <v>36</v>
      </c>
      <c r="Z264" s="146" t="s">
        <v>36</v>
      </c>
      <c r="AA264" s="4" t="str">
        <f>Table2[[#This Row],[field_fate]]</f>
        <v>A</v>
      </c>
      <c r="AB264" s="4" t="str">
        <f>Table2[[#This Row],[field_fate2]]</f>
        <v>A</v>
      </c>
      <c r="AC264" s="4" t="str">
        <f>Table2[[#This Row],[field_fate3]]</f>
        <v>A</v>
      </c>
      <c r="AD264" s="4" t="str">
        <f>Table2[[#This Row],[field_fate4]]</f>
        <v>A</v>
      </c>
      <c r="AE264" s="4" t="str">
        <f>Table2[[#This Row],[field_fate5]]</f>
        <v>A</v>
      </c>
      <c r="AF264" s="4" t="str">
        <f>Table2[[#This Row],[field_fate5]]</f>
        <v>A</v>
      </c>
      <c r="AG264" s="4" t="str">
        <f>Table2[[#This Row],[field_fate5]]</f>
        <v>A</v>
      </c>
      <c r="AH264" s="4" t="str">
        <f>Table2[[#This Row],[field_fate2]]</f>
        <v>A</v>
      </c>
      <c r="AI264" s="4" t="str">
        <f>Table2[[#This Row],[field_fate8]]</f>
        <v>A</v>
      </c>
      <c r="AJ264" s="4" t="str">
        <f>Table2[[#This Row],[field_fate10]]</f>
        <v>A</v>
      </c>
      <c r="AK264" s="4" t="b">
        <f>Table2[[#This Row],[field_fate_feb]]=Table2[[#This Row],[field_fate10]]</f>
        <v>1</v>
      </c>
      <c r="AL264" s="43" t="s">
        <v>36</v>
      </c>
      <c r="AM264" s="43" t="b">
        <f>Table2[[#This Row],[cam_fate2]]="NA"</f>
        <v>0</v>
      </c>
      <c r="AN264" s="19" t="str">
        <f>Table2[[#This Row],[cam_fate1]]</f>
        <v>A</v>
      </c>
      <c r="AO264" s="2" t="s">
        <v>36</v>
      </c>
      <c r="AP264" s="5" t="str">
        <f>Table2[[#This Row],[final_fate1]]</f>
        <v>A</v>
      </c>
      <c r="AQ264" s="6">
        <v>25</v>
      </c>
      <c r="AR264" s="7">
        <v>25</v>
      </c>
      <c r="AS264" s="7">
        <f>Table2[[#This Row],[final_obs_date]]-Table2[[#This Row],[init_date]]</f>
        <v>25</v>
      </c>
      <c r="AT264" s="7">
        <f>(Table2[[#This Row],[final_obs_date2]]-Table2[[#This Row],[estHD]])+16</f>
        <v>22</v>
      </c>
      <c r="AU264" s="38">
        <v>6</v>
      </c>
      <c r="AV264" s="33">
        <v>6</v>
      </c>
      <c r="AW264" s="33">
        <f>Table2[[#This Row],[final_obs_date2]]-Table2[[#This Row],[pen_obs_date]]</f>
        <v>98</v>
      </c>
      <c r="AX264" s="67">
        <v>98</v>
      </c>
      <c r="AY264" s="6">
        <f>Table2[[#This Row],[final_obs_date]]</f>
        <v>98</v>
      </c>
      <c r="AZ264" s="6"/>
      <c r="BA264" s="91" t="s">
        <v>47</v>
      </c>
      <c r="BB264" s="6" t="b">
        <f>Table2[[#This Row],[final_obs_date]]&lt;(Table2[[#This Row],[estHD]]-2)</f>
        <v>0</v>
      </c>
      <c r="BC264" s="25">
        <f>IF(Table2[[#This Row],[field_fate]]="H",1,0)</f>
        <v>0</v>
      </c>
      <c r="BD264" s="16">
        <f>IF(Table2[[#This Row],[cam_fate2]]="H",1,0)</f>
        <v>0</v>
      </c>
      <c r="BE264" s="6" t="b">
        <f>NOT(Table2[[#This Row],[HF_C]]=Table2[[#This Row],[HF]])</f>
        <v>0</v>
      </c>
      <c r="BF264" s="38" t="b">
        <f>NOT(Table2[[#This Row],[cam_fate2]]=Table2[[#This Row],[field_fate3]])</f>
        <v>0</v>
      </c>
      <c r="BG264" s="38" t="b">
        <f>OR(Table2[[#This Row],[field_fate3]]="U",Table2[[#This Row],[field_fate3]]="U-H")</f>
        <v>0</v>
      </c>
      <c r="BH264" s="8">
        <v>89</v>
      </c>
      <c r="BI264" s="8">
        <v>92</v>
      </c>
      <c r="BJ264" s="14">
        <f>IF(ISTEXT(Table2[[#This Row],[j.cam]]),Table2[[#This Row],[j]],Table2[[#This Row],[j.cam]])</f>
        <v>92</v>
      </c>
      <c r="BK264" s="8">
        <v>98</v>
      </c>
      <c r="BL264" s="14">
        <f>IF(ISTEXT(Table2[[#This Row],[k.cam]]), Table2[[#This Row],[k]], Table2[[#This Row],[k.cam]])</f>
        <v>98</v>
      </c>
      <c r="BM264" s="4" t="s">
        <v>24</v>
      </c>
      <c r="BN264" s="8" t="s">
        <v>24</v>
      </c>
      <c r="BO264" s="4">
        <v>4</v>
      </c>
      <c r="BP264" s="4">
        <f>Table2[[#This Row],[final_obs_date]]-Table2[[#This Row],[i]]</f>
        <v>9</v>
      </c>
      <c r="BQ264" s="4" t="b">
        <f>Table2[[#This Row],[final_obs_date2]]&gt;Table2[[#This Row],[estHD]]+3</f>
        <v>1</v>
      </c>
      <c r="BR264" s="3" t="s">
        <v>58</v>
      </c>
      <c r="BS264" s="3" t="s">
        <v>45</v>
      </c>
      <c r="BT264" s="79" t="s">
        <v>1167</v>
      </c>
      <c r="BU264" s="26" t="s">
        <v>234</v>
      </c>
      <c r="BV264" s="79" t="s">
        <v>1550</v>
      </c>
      <c r="BW264" s="49"/>
      <c r="BX264" s="47" t="s">
        <v>960</v>
      </c>
      <c r="BY264" s="36" t="s">
        <v>643</v>
      </c>
    </row>
    <row r="265" spans="1:77" hidden="1" x14ac:dyDescent="0.35">
      <c r="A265" s="62">
        <v>10358</v>
      </c>
      <c r="B265" s="2" t="s">
        <v>35</v>
      </c>
      <c r="C265" s="44">
        <v>2019</v>
      </c>
      <c r="D265" s="3">
        <v>29.770009999999999</v>
      </c>
      <c r="E265" s="3">
        <v>-93.17689</v>
      </c>
      <c r="F265" s="3" t="s">
        <v>24</v>
      </c>
      <c r="G265" s="3" t="s">
        <v>24</v>
      </c>
      <c r="H265" s="3" t="s">
        <v>26</v>
      </c>
      <c r="I265" s="43"/>
      <c r="J265" s="116" t="s">
        <v>24</v>
      </c>
      <c r="K265" s="4">
        <v>92</v>
      </c>
      <c r="L265" s="22" t="str">
        <f>IF(ISNUMBER(Table2[[#This Row],[estHD]]),ABS(Table2[[#This Row],[HD]]-Table2[[#This Row],[estHD]]),"NA")</f>
        <v>NA</v>
      </c>
      <c r="M265" s="4" t="b">
        <f>Table2[[#This Row],[HD]]=Table2[[#This Row],[estHD]]</f>
        <v>0</v>
      </c>
      <c r="N265" s="4" t="str">
        <f>IF(ISNUMBER([1]!Table2[[#This Row],[hatch_date]]),[1]!Table2[[#This Row],[hatch_date]]-19,"NA")</f>
        <v>NA</v>
      </c>
      <c r="O265" s="31">
        <v>73</v>
      </c>
      <c r="P265" s="23">
        <f>IF(ISNUMBER(Table2[[#This Row],[nest_age1]]),ABS(Table2[[#This Row],[nest_age1]]-Table2[[#This Row],[nest_age_feb]]),"NA")</f>
        <v>0</v>
      </c>
      <c r="Q265" s="24">
        <f>IF(ISNUMBER(Table2[[#This Row],[final_obs_int2]]),ABS(Table2[[#This Row],[final_obs_int2]]-Table2[[#This Row],[final_obs_int_feb]]), "NA")</f>
        <v>0</v>
      </c>
      <c r="R265" s="24" t="e">
        <f>(Table2[[#This Row],[k_adj]]-Table2[[#This Row],[estHD]])/Table2[[#This Row],[estHD]]</f>
        <v>#VALUE!</v>
      </c>
      <c r="S265" s="21" t="s">
        <v>965</v>
      </c>
      <c r="T265" s="21" t="s">
        <v>75</v>
      </c>
      <c r="U265" s="52" t="s">
        <v>172</v>
      </c>
      <c r="V265" s="16" t="s">
        <v>31</v>
      </c>
      <c r="W265" s="16">
        <v>19</v>
      </c>
      <c r="X265" s="145">
        <v>3</v>
      </c>
      <c r="Y265" s="147" t="s">
        <v>37</v>
      </c>
      <c r="Z265" s="146" t="s">
        <v>37</v>
      </c>
      <c r="AA265" s="4" t="str">
        <f>Table2[[#This Row],[field_fate]]</f>
        <v>H</v>
      </c>
      <c r="AB265" s="4" t="str">
        <f>Table2[[#This Row],[field_fate2]]</f>
        <v>H</v>
      </c>
      <c r="AC265" s="94" t="str">
        <f>Table2[[#This Row],[field_fate3]]</f>
        <v>H</v>
      </c>
      <c r="AD265" s="94" t="str">
        <f>Table2[[#This Row],[field_fate4]]</f>
        <v>H</v>
      </c>
      <c r="AE265" s="94" t="str">
        <f>Table2[[#This Row],[field_fate5]]</f>
        <v>H</v>
      </c>
      <c r="AF265" s="94" t="str">
        <f>Table2[[#This Row],[field_fate5]]</f>
        <v>H</v>
      </c>
      <c r="AG265" s="94" t="str">
        <f>Table2[[#This Row],[field_fate5]]</f>
        <v>H</v>
      </c>
      <c r="AH265" s="94" t="str">
        <f>Table2[[#This Row],[field_fate2]]</f>
        <v>H</v>
      </c>
      <c r="AI265" s="94" t="str">
        <f>Table2[[#This Row],[field_fate8]]</f>
        <v>H</v>
      </c>
      <c r="AJ265" s="94" t="str">
        <f>Table2[[#This Row],[field_fate10]]</f>
        <v>H</v>
      </c>
      <c r="AK265" s="94" t="b">
        <f>Table2[[#This Row],[field_fate_feb]]=Table2[[#This Row],[field_fate10]]</f>
        <v>1</v>
      </c>
      <c r="AL265" s="43" t="s">
        <v>37</v>
      </c>
      <c r="AM265" s="160" t="b">
        <f>Table2[[#This Row],[cam_fate2]]="NA"</f>
        <v>0</v>
      </c>
      <c r="AN265" s="19" t="str">
        <f>Table2[[#This Row],[cam_fate1]]</f>
        <v>H</v>
      </c>
      <c r="AO265" s="2" t="s">
        <v>37</v>
      </c>
      <c r="AP265" s="5" t="str">
        <f>Table2[[#This Row],[final_fate1]]</f>
        <v>H</v>
      </c>
      <c r="AQ265" s="6">
        <v>19</v>
      </c>
      <c r="AR265" s="72">
        <v>19</v>
      </c>
      <c r="AS265" s="155">
        <f>Table2[[#This Row],[final_obs_date]]-Table2[[#This Row],[init_date]]</f>
        <v>19</v>
      </c>
      <c r="AT265" s="155" t="e">
        <f>(Table2[[#This Row],[final_obs_date2]]-Table2[[#This Row],[estHD]])+19</f>
        <v>#VALUE!</v>
      </c>
      <c r="AU265" s="38">
        <v>3</v>
      </c>
      <c r="AV265" s="33">
        <v>3</v>
      </c>
      <c r="AW265" s="33">
        <f>Table2[[#This Row],[final_obs_date2]]-Table2[[#This Row],[pen_obs_date]]</f>
        <v>3</v>
      </c>
      <c r="AX265" s="67">
        <v>92</v>
      </c>
      <c r="AY265" s="157">
        <f>Table2[[#This Row],[final_obs_date]]</f>
        <v>92</v>
      </c>
      <c r="AZ265" s="6">
        <v>89</v>
      </c>
      <c r="BA265" s="92" t="s">
        <v>47</v>
      </c>
      <c r="BB265" s="6" t="e">
        <f>Table2[[#This Row],[final_obs_date]]&lt;(Table2[[#This Row],[estHD]]-2)</f>
        <v>#VALUE!</v>
      </c>
      <c r="BC265" s="32">
        <f>IF(Table2[[#This Row],[field_fate]]="H",1,0)</f>
        <v>1</v>
      </c>
      <c r="BD265" s="16">
        <f>IF(Table2[[#This Row],[cam_fate2]]="H",1,0)</f>
        <v>1</v>
      </c>
      <c r="BE265" s="6" t="b">
        <f>NOT(Table2[[#This Row],[HF_C]]=Table2[[#This Row],[HF]])</f>
        <v>0</v>
      </c>
      <c r="BF265" s="38" t="b">
        <f>NOT(Table2[[#This Row],[cam_fate2]]=Table2[[#This Row],[field_fate3]])</f>
        <v>0</v>
      </c>
      <c r="BG265" s="38" t="b">
        <f>OR(Table2[[#This Row],[field_fate3]]="U",Table2[[#This Row],[field_fate3]]="U-H")</f>
        <v>0</v>
      </c>
      <c r="BH265" s="8">
        <v>89</v>
      </c>
      <c r="BI265" s="8">
        <v>92</v>
      </c>
      <c r="BJ265" s="14">
        <f>IF(ISTEXT(Table2[[#This Row],[j.cam]]),Table2[[#This Row],[j]],Table2[[#This Row],[j.cam]])</f>
        <v>92</v>
      </c>
      <c r="BK265" s="8">
        <v>92</v>
      </c>
      <c r="BL265" s="14">
        <f>IF(ISTEXT(Table2[[#This Row],[k.cam]]), Table2[[#This Row],[k]], Table2[[#This Row],[k.cam]])</f>
        <v>92</v>
      </c>
      <c r="BM265" s="4" t="s">
        <v>24</v>
      </c>
      <c r="BN265" s="8" t="s">
        <v>24</v>
      </c>
      <c r="BO265" s="4">
        <v>2</v>
      </c>
      <c r="BP265" s="4">
        <f>Table2[[#This Row],[final_obs_date]]-Table2[[#This Row],[i]]</f>
        <v>3</v>
      </c>
      <c r="BQ265" s="4" t="e">
        <f>Table2[[#This Row],[final_obs_date2]]&gt;Table2[[#This Row],[estHD]]+3</f>
        <v>#VALUE!</v>
      </c>
      <c r="BR265" s="3" t="s">
        <v>58</v>
      </c>
      <c r="BS265" s="3" t="s">
        <v>127</v>
      </c>
      <c r="BT265" s="125" t="s">
        <v>1168</v>
      </c>
      <c r="BU265" s="4" t="s">
        <v>242</v>
      </c>
      <c r="BV265" s="79" t="s">
        <v>1430</v>
      </c>
      <c r="BW265" s="69"/>
      <c r="BX265" s="36"/>
      <c r="BY265" s="36" t="s">
        <v>644</v>
      </c>
    </row>
    <row r="266" spans="1:77" hidden="1" x14ac:dyDescent="0.35">
      <c r="A266" s="62">
        <v>10359</v>
      </c>
      <c r="B266" s="2" t="s">
        <v>35</v>
      </c>
      <c r="C266" s="44">
        <v>2019</v>
      </c>
      <c r="D266" s="3">
        <v>29.766780000000001</v>
      </c>
      <c r="E266" s="3">
        <v>-93.160060000000001</v>
      </c>
      <c r="F266" s="3">
        <v>15</v>
      </c>
      <c r="G266" s="3">
        <v>15</v>
      </c>
      <c r="H266" s="3" t="s">
        <v>26</v>
      </c>
      <c r="I266" s="43"/>
      <c r="J266" s="116">
        <v>93</v>
      </c>
      <c r="K266" s="4">
        <v>93</v>
      </c>
      <c r="L266" s="22">
        <f>IF(ISNUMBER(Table2[[#This Row],[estHD]]),ABS(Table2[[#This Row],[HD]]-Table2[[#This Row],[estHD]]),"NA")</f>
        <v>0</v>
      </c>
      <c r="M266" s="4" t="b">
        <f>Table2[[#This Row],[HD]]=Table2[[#This Row],[estHD]]</f>
        <v>1</v>
      </c>
      <c r="N266" s="4">
        <f>IF(ISNUMBER(Table2[[#This Row],[HD]]),Table2[[#This Row],[HD]]-19,"NA")</f>
        <v>74</v>
      </c>
      <c r="O266" s="31">
        <v>74</v>
      </c>
      <c r="P266" s="23" t="e">
        <f>IF(ISNUMBER(Table2[[#This Row],[nest_age1]]),ABS(Table2[[#This Row],[nest_age1]]-Table2[[#This Row],[nest_age_feb]]),"NA")</f>
        <v>#VALUE!</v>
      </c>
      <c r="Q266" s="24">
        <f>IF(ISNUMBER(Table2[[#This Row],[final_obs_int2]]),ABS(Table2[[#This Row],[final_obs_int2]]-Table2[[#This Row],[final_obs_int_feb]]), "NA")</f>
        <v>0</v>
      </c>
      <c r="R266" s="24"/>
      <c r="S266" s="20" t="s">
        <v>75</v>
      </c>
      <c r="T266" s="20" t="str">
        <f>Table2[[#This Row],[camera_old]]</f>
        <v>Y</v>
      </c>
      <c r="U266" s="22" t="s">
        <v>88</v>
      </c>
      <c r="V266" s="16" t="s">
        <v>25</v>
      </c>
      <c r="W266" s="16" t="s">
        <v>24</v>
      </c>
      <c r="X266" s="145">
        <v>6</v>
      </c>
      <c r="Y266" s="147" t="s">
        <v>25</v>
      </c>
      <c r="Z266" s="146" t="s">
        <v>25</v>
      </c>
      <c r="AA266" s="4" t="str">
        <f>Table2[[#This Row],[field_fate]]</f>
        <v>S</v>
      </c>
      <c r="AB266" s="4" t="str">
        <f>Table2[[#This Row],[field_fate2]]</f>
        <v>S</v>
      </c>
      <c r="AC266" s="94" t="str">
        <f>Table2[[#This Row],[field_fate3]]</f>
        <v>S</v>
      </c>
      <c r="AD266" s="94" t="str">
        <f>Table2[[#This Row],[field_fate4]]</f>
        <v>S</v>
      </c>
      <c r="AE266" s="94" t="str">
        <f>Table2[[#This Row],[field_fate5]]</f>
        <v>S</v>
      </c>
      <c r="AF266" s="94" t="str">
        <f>Table2[[#This Row],[field_fate5]]</f>
        <v>S</v>
      </c>
      <c r="AG266" s="94" t="str">
        <f>Table2[[#This Row],[field_fate5]]</f>
        <v>S</v>
      </c>
      <c r="AH266" s="94" t="str">
        <f>Table2[[#This Row],[field_fate2]]</f>
        <v>S</v>
      </c>
      <c r="AI266" s="94" t="str">
        <f>Table2[[#This Row],[field_fate8]]</f>
        <v>S</v>
      </c>
      <c r="AJ266" s="94" t="str">
        <f>Table2[[#This Row],[field_fate10]]</f>
        <v>S</v>
      </c>
      <c r="AK266" s="94" t="b">
        <f>Table2[[#This Row],[field_fate_feb]]=Table2[[#This Row],[field_fate10]]</f>
        <v>1</v>
      </c>
      <c r="AL266" s="43" t="s">
        <v>25</v>
      </c>
      <c r="AM266" s="160" t="b">
        <f>Table2[[#This Row],[cam_fate2]]="NA"</f>
        <v>0</v>
      </c>
      <c r="AN266" s="19" t="str">
        <f>Table2[[#This Row],[cam_fate1]]</f>
        <v>S</v>
      </c>
      <c r="AO266" s="2" t="s">
        <v>25</v>
      </c>
      <c r="AP266" s="5" t="str">
        <f>Table2[[#This Row],[final_fate1]]</f>
        <v>S</v>
      </c>
      <c r="AQ266" s="6">
        <v>24</v>
      </c>
      <c r="AR266" s="72">
        <v>24</v>
      </c>
      <c r="AS266" s="155">
        <f>Table2[[#This Row],[final_obs_date]]-Table2[[#This Row],[init_date]]</f>
        <v>24</v>
      </c>
      <c r="AT266" s="155">
        <f>(Table2[[#This Row],[final_obs_date2]]-Table2[[#This Row],[estHD]])+19</f>
        <v>24</v>
      </c>
      <c r="AU266" s="38">
        <v>6</v>
      </c>
      <c r="AV266" s="33">
        <v>6</v>
      </c>
      <c r="AW266" s="33">
        <f>Table2[[#This Row],[final_obs_date2]]-Table2[[#This Row],[pen_obs_date]]</f>
        <v>6</v>
      </c>
      <c r="AX266" s="67">
        <v>98</v>
      </c>
      <c r="AY266" s="157">
        <f>Table2[[#This Row],[final_obs_date]]</f>
        <v>98</v>
      </c>
      <c r="AZ266" s="6">
        <v>92</v>
      </c>
      <c r="BA266" s="92" t="s">
        <v>47</v>
      </c>
      <c r="BB266" s="6" t="b">
        <f>Table2[[#This Row],[final_obs_date]]&lt;(Table2[[#This Row],[estHD]]-2)</f>
        <v>0</v>
      </c>
      <c r="BC266" s="32">
        <f>IF(Table2[[#This Row],[field_fate]]="H",1,0)</f>
        <v>0</v>
      </c>
      <c r="BD266" s="16">
        <f>IF(Table2[[#This Row],[cam_fate2]]="H",1,0)</f>
        <v>0</v>
      </c>
      <c r="BE266" s="6" t="b">
        <f>NOT(Table2[[#This Row],[HF_C]]=Table2[[#This Row],[HF]])</f>
        <v>0</v>
      </c>
      <c r="BF266" s="38" t="b">
        <f>NOT(Table2[[#This Row],[cam_fate2]]=Table2[[#This Row],[field_fate3]])</f>
        <v>0</v>
      </c>
      <c r="BG266" s="38" t="b">
        <f>OR(Table2[[#This Row],[field_fate3]]="U",Table2[[#This Row],[field_fate3]]="U-H")</f>
        <v>0</v>
      </c>
      <c r="BH266" s="8">
        <v>89</v>
      </c>
      <c r="BI266" s="8">
        <v>92</v>
      </c>
      <c r="BJ266" s="14">
        <f>IF(ISTEXT(Table2[[#This Row],[j.cam]]),Table2[[#This Row],[j]],Table2[[#This Row],[j.cam]])</f>
        <v>92</v>
      </c>
      <c r="BK266" s="8">
        <v>98</v>
      </c>
      <c r="BL266" s="14">
        <f>IF(ISTEXT(Table2[[#This Row],[k.cam]]), Table2[[#This Row],[k]], Table2[[#This Row],[k.cam]])</f>
        <v>98</v>
      </c>
      <c r="BM266" s="4" t="s">
        <v>24</v>
      </c>
      <c r="BN266" s="8" t="s">
        <v>24</v>
      </c>
      <c r="BO266" s="4">
        <v>3</v>
      </c>
      <c r="BP266" s="4">
        <f>Table2[[#This Row],[final_obs_date]]-Table2[[#This Row],[i]]</f>
        <v>9</v>
      </c>
      <c r="BQ266" s="4" t="b">
        <f>Table2[[#This Row],[final_obs_date2]]&gt;Table2[[#This Row],[estHD]]+3</f>
        <v>1</v>
      </c>
      <c r="BR266" s="3" t="s">
        <v>58</v>
      </c>
      <c r="BS266" s="3" t="s">
        <v>45</v>
      </c>
      <c r="BT266" s="125" t="s">
        <v>1169</v>
      </c>
      <c r="BU266" s="4" t="s">
        <v>133</v>
      </c>
      <c r="BV266" s="79" t="s">
        <v>1459</v>
      </c>
      <c r="BW266" s="69"/>
      <c r="BX266" s="36"/>
      <c r="BY266" s="36" t="s">
        <v>633</v>
      </c>
    </row>
    <row r="267" spans="1:77" hidden="1" x14ac:dyDescent="0.35">
      <c r="A267" s="62">
        <v>10360</v>
      </c>
      <c r="B267" s="2" t="s">
        <v>35</v>
      </c>
      <c r="C267" s="44">
        <v>2019</v>
      </c>
      <c r="D267" s="3">
        <v>29.763120000000001</v>
      </c>
      <c r="E267" s="3">
        <v>-93.141109999999998</v>
      </c>
      <c r="F267" s="3" t="s">
        <v>24</v>
      </c>
      <c r="G267" s="3" t="s">
        <v>24</v>
      </c>
      <c r="H267" s="3" t="s">
        <v>26</v>
      </c>
      <c r="I267" s="43"/>
      <c r="J267" s="116">
        <v>117</v>
      </c>
      <c r="K267" s="4">
        <v>117</v>
      </c>
      <c r="L267" s="22">
        <f>IF(ISNUMBER(Table2[[#This Row],[estHD]]),ABS(Table2[[#This Row],[HD]]-Table2[[#This Row],[estHD]]),"NA")</f>
        <v>0</v>
      </c>
      <c r="M267" s="4" t="b">
        <f>Table2[[#This Row],[HD]]=Table2[[#This Row],[estHD]]</f>
        <v>1</v>
      </c>
      <c r="N267" s="4" t="str">
        <f>IF(ISNUMBER([1]!Table2[[#This Row],[hatch_date]]), [1]!Table2[[#This Row],[hatch_date]]-16, "NA")</f>
        <v>NA</v>
      </c>
      <c r="O267" s="31">
        <v>101</v>
      </c>
      <c r="P267" s="23">
        <f>IF(ISNUMBER(Table2[[#This Row],[nest_age1]]),ABS(Table2[[#This Row],[nest_age1]]-Table2[[#This Row],[nest_age_feb]]),"NA")</f>
        <v>0</v>
      </c>
      <c r="Q267" s="24">
        <f>IF(ISNUMBER(Table2[[#This Row],[final_obs_int2]]),ABS(Table2[[#This Row],[final_obs_int2]]-Table2[[#This Row],[final_obs_int_feb]]), "NA")</f>
        <v>0</v>
      </c>
      <c r="R267" s="24"/>
      <c r="S267" s="20" t="s">
        <v>75</v>
      </c>
      <c r="T267" s="20" t="str">
        <f>Table2[[#This Row],[camera_old]]</f>
        <v>Y</v>
      </c>
      <c r="U267" s="22" t="s">
        <v>88</v>
      </c>
      <c r="V267" s="16" t="s">
        <v>65</v>
      </c>
      <c r="W267" s="16">
        <v>5</v>
      </c>
      <c r="X267" s="145">
        <v>1</v>
      </c>
      <c r="Y267" s="148" t="s">
        <v>65</v>
      </c>
      <c r="Z267" s="146" t="s">
        <v>65</v>
      </c>
      <c r="AA267" s="4" t="str">
        <f>Table2[[#This Row],[field_fate]]</f>
        <v>Ca</v>
      </c>
      <c r="AB267" s="4" t="str">
        <f>Table2[[#This Row],[field_fate2]]</f>
        <v>Ca</v>
      </c>
      <c r="AC267" s="94" t="str">
        <f>Table2[[#This Row],[field_fate3]]</f>
        <v>Ca</v>
      </c>
      <c r="AD267" s="94" t="str">
        <f>Table2[[#This Row],[field_fate4]]</f>
        <v>Ca</v>
      </c>
      <c r="AE267" s="94" t="str">
        <f>Table2[[#This Row],[field_fate5]]</f>
        <v>Ca</v>
      </c>
      <c r="AF267" s="94" t="str">
        <f>Table2[[#This Row],[field_fate5]]</f>
        <v>Ca</v>
      </c>
      <c r="AG267" s="94" t="str">
        <f>Table2[[#This Row],[field_fate5]]</f>
        <v>Ca</v>
      </c>
      <c r="AH267" s="94" t="str">
        <f>Table2[[#This Row],[field_fate2]]</f>
        <v>Ca</v>
      </c>
      <c r="AI267" s="94" t="str">
        <f>Table2[[#This Row],[field_fate8]]</f>
        <v>Ca</v>
      </c>
      <c r="AJ267" s="94" t="str">
        <f>Table2[[#This Row],[field_fate10]]</f>
        <v>Ca</v>
      </c>
      <c r="AK267" s="94" t="b">
        <f>Table2[[#This Row],[field_fate_feb]]=Table2[[#This Row],[field_fate10]]</f>
        <v>1</v>
      </c>
      <c r="AL267" s="43" t="s">
        <v>65</v>
      </c>
      <c r="AM267" s="160" t="b">
        <f>Table2[[#This Row],[cam_fate2]]="NA"</f>
        <v>0</v>
      </c>
      <c r="AN267" s="19" t="str">
        <f>Table2[[#This Row],[cam_fate1]]</f>
        <v>Ca</v>
      </c>
      <c r="AO267" s="2" t="s">
        <v>65</v>
      </c>
      <c r="AP267" s="5" t="str">
        <f>Table2[[#This Row],[final_fate1]]</f>
        <v>Ca</v>
      </c>
      <c r="AQ267" s="6">
        <v>5</v>
      </c>
      <c r="AR267" s="72">
        <v>5</v>
      </c>
      <c r="AS267" s="155">
        <f>Table2[[#This Row],[final_obs_date]]-Table2[[#This Row],[init_date]]</f>
        <v>5</v>
      </c>
      <c r="AT267" s="155">
        <f>(Table2[[#This Row],[final_obs_date2]]-Table2[[#This Row],[estHD]])+16</f>
        <v>5</v>
      </c>
      <c r="AU267" s="38">
        <v>1</v>
      </c>
      <c r="AV267" s="33">
        <v>1</v>
      </c>
      <c r="AW267" s="33">
        <f>Table2[[#This Row],[final_obs_date2]]-Table2[[#This Row],[pen_obs_date]]</f>
        <v>1</v>
      </c>
      <c r="AX267" s="67">
        <v>106</v>
      </c>
      <c r="AY267" s="157">
        <f>Table2[[#This Row],[final_obs_date]]</f>
        <v>106</v>
      </c>
      <c r="AZ267" s="6">
        <v>105</v>
      </c>
      <c r="BA267" s="92" t="s">
        <v>60</v>
      </c>
      <c r="BB267" s="6" t="b">
        <f>Table2[[#This Row],[final_obs_date]]&lt;(Table2[[#This Row],[estHD]]-2)</f>
        <v>1</v>
      </c>
      <c r="BC267" s="32">
        <f>IF(Table2[[#This Row],[field_fate]]="H",1,0)</f>
        <v>0</v>
      </c>
      <c r="BD267" s="16">
        <f>IF(Table2[[#This Row],[cam_fate2]]="H",1,0)</f>
        <v>0</v>
      </c>
      <c r="BE267" s="6" t="b">
        <f>NOT(Table2[[#This Row],[HF_C]]=Table2[[#This Row],[HF]])</f>
        <v>0</v>
      </c>
      <c r="BF267" s="38" t="b">
        <f>NOT(Table2[[#This Row],[cam_fate2]]=Table2[[#This Row],[field_fate3]])</f>
        <v>0</v>
      </c>
      <c r="BG267" s="38" t="b">
        <f>OR(Table2[[#This Row],[field_fate3]]="U",Table2[[#This Row],[field_fate3]]="U-H")</f>
        <v>0</v>
      </c>
      <c r="BH267" s="8">
        <v>98</v>
      </c>
      <c r="BI267" s="8">
        <v>105</v>
      </c>
      <c r="BJ267" s="14">
        <f>IF(ISTEXT(Table2[[#This Row],[j.cam]]),Table2[[#This Row],[j]],Table2[[#This Row],[j.cam]])</f>
        <v>105</v>
      </c>
      <c r="BK267" s="8">
        <v>106</v>
      </c>
      <c r="BL267" s="14">
        <f>IF(ISTEXT(Table2[[#This Row],[k.cam]]), Table2[[#This Row],[k]], Table2[[#This Row],[k.cam]])</f>
        <v>106</v>
      </c>
      <c r="BM267" s="4" t="s">
        <v>24</v>
      </c>
      <c r="BN267" s="8" t="s">
        <v>24</v>
      </c>
      <c r="BO267" s="4">
        <v>4</v>
      </c>
      <c r="BP267" s="4">
        <f>Table2[[#This Row],[final_obs_date]]-Table2[[#This Row],[i]]</f>
        <v>8</v>
      </c>
      <c r="BQ267" s="4" t="b">
        <f>Table2[[#This Row],[final_obs_date2]]&gt;Table2[[#This Row],[estHD]]+3</f>
        <v>0</v>
      </c>
      <c r="BR267" s="3" t="s">
        <v>58</v>
      </c>
      <c r="BS267" s="3" t="s">
        <v>45</v>
      </c>
      <c r="BT267" s="125" t="s">
        <v>1170</v>
      </c>
      <c r="BU267" s="4" t="s">
        <v>234</v>
      </c>
      <c r="BV267" s="79" t="s">
        <v>1551</v>
      </c>
      <c r="BW267" s="69"/>
      <c r="BX267" s="36"/>
      <c r="BY267" s="36" t="s">
        <v>645</v>
      </c>
    </row>
    <row r="268" spans="1:77" ht="18.5" hidden="1" x14ac:dyDescent="0.35">
      <c r="A268" s="62">
        <v>10370</v>
      </c>
      <c r="B268" s="2" t="s">
        <v>35</v>
      </c>
      <c r="C268" s="44">
        <v>2019</v>
      </c>
      <c r="D268" s="3">
        <v>29.76389</v>
      </c>
      <c r="E268" s="3">
        <v>-93.144369999999995</v>
      </c>
      <c r="F268" s="3" t="s">
        <v>24</v>
      </c>
      <c r="G268" s="3" t="s">
        <v>24</v>
      </c>
      <c r="H268" s="3" t="s">
        <v>26</v>
      </c>
      <c r="I268" s="43"/>
      <c r="J268" s="55">
        <v>108</v>
      </c>
      <c r="K268" s="4">
        <v>108</v>
      </c>
      <c r="L268" s="22">
        <f>IF(ISNUMBER(Table2[[#This Row],[estHD]]),ABS(Table2[[#This Row],[HD]]-Table2[[#This Row],[estHD]]),"NA")</f>
        <v>0</v>
      </c>
      <c r="M268" s="4" t="b">
        <f>Table2[[#This Row],[HD]]=Table2[[#This Row],[estHD]]</f>
        <v>1</v>
      </c>
      <c r="N268" s="4" t="str">
        <f>IF(ISNUMBER([1]!Table2[[#This Row],[hatch_date]]), [1]!Table2[[#This Row],[hatch_date]]-16, "NA")</f>
        <v>NA</v>
      </c>
      <c r="O268" s="31">
        <v>92</v>
      </c>
      <c r="P268" s="23" t="e">
        <f>IF(ISNUMBER(Table2[[#This Row],[nest_age1]]),ABS(Table2[[#This Row],[nest_age1]]-Table2[[#This Row],[nest_age_feb]]),"NA")</f>
        <v>#VALUE!</v>
      </c>
      <c r="Q268" s="24">
        <f>IF(ISNUMBER(Table2[[#This Row],[final_obs_int2]]),ABS(Table2[[#This Row],[final_obs_int2]]-Table2[[#This Row],[final_obs_int_feb]]), "NA")</f>
        <v>0</v>
      </c>
      <c r="R268" s="24"/>
      <c r="S268" s="57" t="s">
        <v>88</v>
      </c>
      <c r="T268" s="57" t="str">
        <f>Table2[[#This Row],[camera_old]]</f>
        <v>N</v>
      </c>
      <c r="U268" s="24"/>
      <c r="V268" s="16" t="s">
        <v>24</v>
      </c>
      <c r="W268" s="16" t="s">
        <v>24</v>
      </c>
      <c r="X268" s="145">
        <v>6</v>
      </c>
      <c r="Y268" s="147" t="s">
        <v>1704</v>
      </c>
      <c r="Z268" s="146" t="s">
        <v>104</v>
      </c>
      <c r="AA268" s="4" t="str">
        <f>Table2[[#This Row],[field_fate]]</f>
        <v>U-H</v>
      </c>
      <c r="AB268" s="4" t="str">
        <f>Table2[[#This Row],[field_fate2]]</f>
        <v>U-H</v>
      </c>
      <c r="AC268" s="4" t="str">
        <f>Table2[[#This Row],[field_fate3]]</f>
        <v>U-H</v>
      </c>
      <c r="AD268" s="4" t="str">
        <f>Table2[[#This Row],[field_fate4]]</f>
        <v>U-H</v>
      </c>
      <c r="AE268" s="4" t="str">
        <f>Table2[[#This Row],[field_fate5]]</f>
        <v>U-H</v>
      </c>
      <c r="AF268" s="4" t="str">
        <f>Table2[[#This Row],[field_fate5]]</f>
        <v>U-H</v>
      </c>
      <c r="AG268" s="4" t="str">
        <f>Table2[[#This Row],[field_fate5]]</f>
        <v>U-H</v>
      </c>
      <c r="AH268" s="4" t="str">
        <f>Table2[[#This Row],[field_fate2]]</f>
        <v>U-H</v>
      </c>
      <c r="AI268" s="4" t="str">
        <f>Table2[[#This Row],[field_fate8]]</f>
        <v>U-H</v>
      </c>
      <c r="AJ268" s="4" t="str">
        <f>Table2[[#This Row],[field_fate10]]</f>
        <v>U-H</v>
      </c>
      <c r="AK268" s="4" t="b">
        <f>Table2[[#This Row],[field_fate_feb]]=Table2[[#This Row],[field_fate10]]</f>
        <v>0</v>
      </c>
      <c r="AL268" s="43" t="s">
        <v>24</v>
      </c>
      <c r="AM268" s="43" t="b">
        <f>Table2[[#This Row],[cam_fate2]]="NA"</f>
        <v>1</v>
      </c>
      <c r="AN268" s="19" t="str">
        <f>Table2[[#This Row],[cam_fate1]]</f>
        <v>NA</v>
      </c>
      <c r="AO268" s="2" t="s">
        <v>104</v>
      </c>
      <c r="AP268" s="5" t="str">
        <f>Table2[[#This Row],[final_fate1]]</f>
        <v>U-H</v>
      </c>
      <c r="AQ268" s="6">
        <v>20</v>
      </c>
      <c r="AR268" s="7">
        <v>20</v>
      </c>
      <c r="AS268" s="7">
        <f>Table2[[#This Row],[final_obs_date]]-Table2[[#This Row],[init_date]]</f>
        <v>20</v>
      </c>
      <c r="AT268" s="7">
        <f>(Table2[[#This Row],[final_obs_date2]]-Table2[[#This Row],[estHD]])+16</f>
        <v>20</v>
      </c>
      <c r="AU268" s="38">
        <v>6</v>
      </c>
      <c r="AV268" s="33">
        <v>6</v>
      </c>
      <c r="AW268" s="33">
        <f>Table2[[#This Row],[final_obs_date2]]-Table2[[#This Row],[pen_obs_date]]</f>
        <v>112</v>
      </c>
      <c r="AX268" s="67">
        <v>112</v>
      </c>
      <c r="AY268" s="6">
        <f>Table2[[#This Row],[final_obs_date]]</f>
        <v>112</v>
      </c>
      <c r="AZ268" s="6"/>
      <c r="BA268" s="91" t="s">
        <v>60</v>
      </c>
      <c r="BB268" s="6" t="b">
        <f>Table2[[#This Row],[final_obs_date]]&lt;(Table2[[#This Row],[estHD]]-2)</f>
        <v>0</v>
      </c>
      <c r="BC268" s="24">
        <f>IF(Table2[[#This Row],[field_fate]]="H",1,0)</f>
        <v>0</v>
      </c>
      <c r="BD268" s="16">
        <f>IF(Table2[[#This Row],[cam_fate2]]="H",1,0)</f>
        <v>0</v>
      </c>
      <c r="BE268" s="6" t="b">
        <f>NOT(Table2[[#This Row],[HF_C]]=Table2[[#This Row],[HF]])</f>
        <v>0</v>
      </c>
      <c r="BF268" s="6" t="b">
        <f>NOT(Table2[[#This Row],[cam_fate2]]=Table2[[#This Row],[field_fate3]])</f>
        <v>1</v>
      </c>
      <c r="BG268" s="6" t="b">
        <f>OR(Table2[[#This Row],[field_fate3]]="U",Table2[[#This Row],[field_fate3]]="U-H")</f>
        <v>1</v>
      </c>
      <c r="BH268" s="8">
        <v>106</v>
      </c>
      <c r="BI268" s="8">
        <v>106</v>
      </c>
      <c r="BJ268" s="14">
        <f>IF(ISTEXT(Table2[[#This Row],[j.cam]]),Table2[[#This Row],[j]],Table2[[#This Row],[j.cam]])</f>
        <v>106</v>
      </c>
      <c r="BK268" s="9">
        <v>112</v>
      </c>
      <c r="BL268" s="15">
        <f>IF(ISTEXT(Table2[[#This Row],[k.cam]]), Table2[[#This Row],[k]], Table2[[#This Row],[k.cam]])</f>
        <v>112</v>
      </c>
      <c r="BM268" s="4" t="s">
        <v>24</v>
      </c>
      <c r="BN268" s="8" t="s">
        <v>24</v>
      </c>
      <c r="BO268" s="4">
        <v>2</v>
      </c>
      <c r="BP268" s="4">
        <f>Table2[[#This Row],[final_obs_date]]-Table2[[#This Row],[i]]</f>
        <v>6</v>
      </c>
      <c r="BQ268" s="4" t="b">
        <f>Table2[[#This Row],[final_obs_date2]]&gt;Table2[[#This Row],[estHD]]+3</f>
        <v>1</v>
      </c>
      <c r="BR268" s="4" t="s">
        <v>33</v>
      </c>
      <c r="BS268" s="4" t="s">
        <v>134</v>
      </c>
      <c r="BT268" s="79" t="s">
        <v>1171</v>
      </c>
      <c r="BU268" s="26" t="s">
        <v>243</v>
      </c>
      <c r="BV268" s="79" t="s">
        <v>1437</v>
      </c>
      <c r="BW268" s="49"/>
      <c r="BX268" s="47"/>
      <c r="BY268" s="36" t="s">
        <v>646</v>
      </c>
    </row>
    <row r="269" spans="1:77" hidden="1" x14ac:dyDescent="0.35">
      <c r="A269" s="62">
        <v>10371</v>
      </c>
      <c r="B269" s="2" t="s">
        <v>122</v>
      </c>
      <c r="C269" s="44">
        <v>2019</v>
      </c>
      <c r="D269" s="3">
        <v>29.758579999999998</v>
      </c>
      <c r="E269" s="3">
        <v>-93.121279999999999</v>
      </c>
      <c r="F269" s="3">
        <v>70</v>
      </c>
      <c r="G269" s="3">
        <v>70</v>
      </c>
      <c r="H269" s="3" t="s">
        <v>462</v>
      </c>
      <c r="I269" s="43"/>
      <c r="J269" s="116">
        <v>114</v>
      </c>
      <c r="K269" s="4">
        <v>115</v>
      </c>
      <c r="L269" s="22">
        <f>IF(ISNUMBER(Table2[[#This Row],[estHD]]),ABS(Table2[[#This Row],[HD]]-Table2[[#This Row],[estHD]]),"NA")</f>
        <v>1</v>
      </c>
      <c r="M269" s="4" t="b">
        <f>Table2[[#This Row],[HD]]=Table2[[#This Row],[estHD]]</f>
        <v>0</v>
      </c>
      <c r="N269" s="4">
        <f>IF(ISNUMBER(Table2[[#This Row],[HD]]),Table2[[#This Row],[HD]]-16,"NA")</f>
        <v>99</v>
      </c>
      <c r="O269" s="31">
        <v>99</v>
      </c>
      <c r="P269" s="23">
        <f>IF(ISNUMBER(Table2[[#This Row],[nest_age1]]),ABS(Table2[[#This Row],[nest_age1]]-Table2[[#This Row],[nest_age_feb]]),"NA")</f>
        <v>1</v>
      </c>
      <c r="Q269" s="24">
        <f>IF(ISNUMBER(Table2[[#This Row],[final_obs_int2]]),ABS(Table2[[#This Row],[final_obs_int2]]-Table2[[#This Row],[final_obs_int_feb]]), "NA")</f>
        <v>0</v>
      </c>
      <c r="R269" s="24">
        <f>(Table2[[#This Row],[k_adj]]-Table2[[#This Row],[estHD]])/Table2[[#This Row],[estHD]]</f>
        <v>8.771929824561403E-3</v>
      </c>
      <c r="S269" s="20" t="s">
        <v>75</v>
      </c>
      <c r="T269" s="20" t="str">
        <f>Table2[[#This Row],[camera_old]]</f>
        <v>Y</v>
      </c>
      <c r="U269" s="22" t="s">
        <v>88</v>
      </c>
      <c r="V269" s="16" t="s">
        <v>37</v>
      </c>
      <c r="W269" s="16">
        <v>17</v>
      </c>
      <c r="X269" s="145">
        <v>3</v>
      </c>
      <c r="Y269" s="149" t="s">
        <v>37</v>
      </c>
      <c r="Z269" s="146" t="s">
        <v>37</v>
      </c>
      <c r="AA269" s="4" t="str">
        <f>Table2[[#This Row],[field_fate]]</f>
        <v>H</v>
      </c>
      <c r="AB269" s="4" t="str">
        <f>Table2[[#This Row],[field_fate2]]</f>
        <v>H</v>
      </c>
      <c r="AC269" s="94" t="str">
        <f>Table2[[#This Row],[field_fate3]]</f>
        <v>H</v>
      </c>
      <c r="AD269" s="94" t="str">
        <f>Table2[[#This Row],[field_fate4]]</f>
        <v>H</v>
      </c>
      <c r="AE269" s="94" t="str">
        <f>Table2[[#This Row],[field_fate5]]</f>
        <v>H</v>
      </c>
      <c r="AF269" s="94" t="str">
        <f>Table2[[#This Row],[field_fate5]]</f>
        <v>H</v>
      </c>
      <c r="AG269" s="94" t="str">
        <f>Table2[[#This Row],[field_fate5]]</f>
        <v>H</v>
      </c>
      <c r="AH269" s="94" t="str">
        <f>Table2[[#This Row],[field_fate2]]</f>
        <v>H</v>
      </c>
      <c r="AI269" s="94" t="str">
        <f>Table2[[#This Row],[field_fate8]]</f>
        <v>H</v>
      </c>
      <c r="AJ269" s="94" t="str">
        <f>Table2[[#This Row],[field_fate10]]</f>
        <v>H</v>
      </c>
      <c r="AK269" s="94" t="b">
        <f>Table2[[#This Row],[field_fate_feb]]=Table2[[#This Row],[field_fate10]]</f>
        <v>1</v>
      </c>
      <c r="AL269" s="43" t="s">
        <v>37</v>
      </c>
      <c r="AM269" s="160" t="b">
        <f>Table2[[#This Row],[cam_fate2]]="NA"</f>
        <v>0</v>
      </c>
      <c r="AN269" s="19" t="str">
        <f>Table2[[#This Row],[cam_fate1]]</f>
        <v>H</v>
      </c>
      <c r="AO269" s="2" t="s">
        <v>37</v>
      </c>
      <c r="AP269" s="5" t="str">
        <f>Table2[[#This Row],[final_fate1]]</f>
        <v>H</v>
      </c>
      <c r="AQ269" s="6">
        <v>16</v>
      </c>
      <c r="AR269" s="72">
        <v>17</v>
      </c>
      <c r="AS269" s="155">
        <f>Table2[[#This Row],[final_obs_date]]-Table2[[#This Row],[init_date]]</f>
        <v>16</v>
      </c>
      <c r="AT269" s="155">
        <f>(Table2[[#This Row],[final_obs_date2]]-Table2[[#This Row],[estHD]])+16</f>
        <v>17</v>
      </c>
      <c r="AU269" s="38">
        <v>3</v>
      </c>
      <c r="AV269" s="33">
        <v>3</v>
      </c>
      <c r="AW269" s="33">
        <f>Table2[[#This Row],[final_obs_date2]]-Table2[[#This Row],[pen_obs_date]]</f>
        <v>3</v>
      </c>
      <c r="AX269" s="67">
        <v>115</v>
      </c>
      <c r="AY269" s="157">
        <f>Table2[[#This Row],[final_obs_date]]</f>
        <v>115</v>
      </c>
      <c r="AZ269" s="6">
        <v>112</v>
      </c>
      <c r="BA269" s="92" t="s">
        <v>60</v>
      </c>
      <c r="BB269" s="6" t="b">
        <f>Table2[[#This Row],[final_obs_date]]&lt;(Table2[[#This Row],[estHD]]-2)</f>
        <v>0</v>
      </c>
      <c r="BC269" s="32">
        <f>IF(Table2[[#This Row],[field_fate]]="H",1,0)</f>
        <v>1</v>
      </c>
      <c r="BD269" s="16">
        <f>IF(Table2[[#This Row],[cam_fate2]]="H",1,0)</f>
        <v>1</v>
      </c>
      <c r="BE269" s="6" t="b">
        <f>NOT(Table2[[#This Row],[HF_C]]=Table2[[#This Row],[HF]])</f>
        <v>0</v>
      </c>
      <c r="BF269" s="38" t="b">
        <f>NOT(Table2[[#This Row],[cam_fate2]]=Table2[[#This Row],[field_fate3]])</f>
        <v>0</v>
      </c>
      <c r="BG269" s="38" t="b">
        <f>OR(Table2[[#This Row],[field_fate3]]="U",Table2[[#This Row],[field_fate3]]="U-H")</f>
        <v>0</v>
      </c>
      <c r="BH269" s="8">
        <v>106</v>
      </c>
      <c r="BI269" s="8">
        <v>115</v>
      </c>
      <c r="BJ269" s="14">
        <f>IF(ISTEXT(Table2[[#This Row],[j.cam]]),Table2[[#This Row],[j]],Table2[[#This Row],[j.cam]])</f>
        <v>115</v>
      </c>
      <c r="BK269" s="8">
        <v>115</v>
      </c>
      <c r="BL269" s="14">
        <f>IF(ISTEXT(Table2[[#This Row],[k.cam]]), Table2[[#This Row],[k]], Table2[[#This Row],[k.cam]])</f>
        <v>115</v>
      </c>
      <c r="BM269" s="4" t="s">
        <v>24</v>
      </c>
      <c r="BN269" s="8" t="s">
        <v>24</v>
      </c>
      <c r="BO269" s="4">
        <v>3</v>
      </c>
      <c r="BP269" s="4">
        <f>Table2[[#This Row],[final_obs_date]]-Table2[[#This Row],[i]]</f>
        <v>9</v>
      </c>
      <c r="BQ269" s="4" t="b">
        <f>Table2[[#This Row],[final_obs_date2]]&gt;Table2[[#This Row],[estHD]]+3</f>
        <v>0</v>
      </c>
      <c r="BR269" s="3" t="s">
        <v>66</v>
      </c>
      <c r="BS269" s="3" t="s">
        <v>165</v>
      </c>
      <c r="BT269" s="125" t="s">
        <v>1172</v>
      </c>
      <c r="BU269" s="4" t="s">
        <v>244</v>
      </c>
      <c r="BV269" s="79" t="s">
        <v>1552</v>
      </c>
      <c r="BW269" s="69"/>
      <c r="BX269" s="36"/>
      <c r="BY269" s="36" t="s">
        <v>647</v>
      </c>
    </row>
    <row r="270" spans="1:77" hidden="1" x14ac:dyDescent="0.35">
      <c r="A270" s="62">
        <v>10400</v>
      </c>
      <c r="B270" s="2" t="s">
        <v>245</v>
      </c>
      <c r="C270" s="44">
        <v>2019</v>
      </c>
      <c r="D270" s="3">
        <v>29.785720000000001</v>
      </c>
      <c r="E270" s="3">
        <v>-93.215459999999993</v>
      </c>
      <c r="F270" s="3">
        <v>0</v>
      </c>
      <c r="G270" s="3">
        <v>0</v>
      </c>
      <c r="H270" s="3" t="s">
        <v>462</v>
      </c>
      <c r="I270" s="43"/>
      <c r="J270" s="55">
        <v>59</v>
      </c>
      <c r="K270" s="4">
        <v>62</v>
      </c>
      <c r="L270" s="22">
        <f>IF(ISNUMBER(Table2[[#This Row],[estHD]]),ABS(Table2[[#This Row],[HD]]-Table2[[#This Row],[estHD]]),"NA")</f>
        <v>3</v>
      </c>
      <c r="M270" s="4" t="b">
        <f>Table2[[#This Row],[HD]]=Table2[[#This Row],[estHD]]</f>
        <v>0</v>
      </c>
      <c r="N270" s="4" t="str">
        <f>IF(ISNUMBER([1]!Table2[[#This Row],[hatch_date]]),[1]!Table2[[#This Row],[hatch_date]]-19,"NA")</f>
        <v>NA</v>
      </c>
      <c r="O270" s="31">
        <v>43</v>
      </c>
      <c r="P270" s="23">
        <f>IF(ISNUMBER(Table2[[#This Row],[nest_age1]]),ABS(Table2[[#This Row],[nest_age1]]-Table2[[#This Row],[nest_age_feb]]),"NA")</f>
        <v>3</v>
      </c>
      <c r="Q270" s="24">
        <f>IF(ISNUMBER(Table2[[#This Row],[final_obs_int2]]),ABS(Table2[[#This Row],[final_obs_int2]]-Table2[[#This Row],[final_obs_int_feb]]), "NA")</f>
        <v>0</v>
      </c>
      <c r="R270" s="24"/>
      <c r="S270" s="57" t="s">
        <v>88</v>
      </c>
      <c r="T270" s="57" t="str">
        <f>Table2[[#This Row],[camera_old]]</f>
        <v>N</v>
      </c>
      <c r="U270" s="24"/>
      <c r="V270" s="16" t="s">
        <v>24</v>
      </c>
      <c r="W270" s="16">
        <v>22</v>
      </c>
      <c r="X270" s="145">
        <v>5</v>
      </c>
      <c r="Y270" s="147" t="s">
        <v>37</v>
      </c>
      <c r="Z270" s="146" t="s">
        <v>37</v>
      </c>
      <c r="AA270" s="4" t="str">
        <f>Table2[[#This Row],[field_fate]]</f>
        <v>H</v>
      </c>
      <c r="AB270" s="4" t="str">
        <f>Table2[[#This Row],[field_fate2]]</f>
        <v>H</v>
      </c>
      <c r="AC270" s="4" t="str">
        <f>Table2[[#This Row],[field_fate3]]</f>
        <v>H</v>
      </c>
      <c r="AD270" s="4" t="str">
        <f>Table2[[#This Row],[field_fate4]]</f>
        <v>H</v>
      </c>
      <c r="AE270" s="4" t="str">
        <f>Table2[[#This Row],[field_fate5]]</f>
        <v>H</v>
      </c>
      <c r="AF270" s="4" t="str">
        <f>Table2[[#This Row],[field_fate5]]</f>
        <v>H</v>
      </c>
      <c r="AG270" s="4" t="str">
        <f>Table2[[#This Row],[field_fate5]]</f>
        <v>H</v>
      </c>
      <c r="AH270" s="4" t="str">
        <f>Table2[[#This Row],[field_fate2]]</f>
        <v>H</v>
      </c>
      <c r="AI270" s="4" t="str">
        <f>Table2[[#This Row],[field_fate8]]</f>
        <v>H</v>
      </c>
      <c r="AJ270" s="4" t="str">
        <f>Table2[[#This Row],[field_fate10]]</f>
        <v>H</v>
      </c>
      <c r="AK270" s="4" t="b">
        <f>Table2[[#This Row],[field_fate_feb]]=Table2[[#This Row],[field_fate10]]</f>
        <v>1</v>
      </c>
      <c r="AL270" s="43" t="s">
        <v>24</v>
      </c>
      <c r="AM270" s="43" t="b">
        <f>Table2[[#This Row],[cam_fate2]]="NA"</f>
        <v>1</v>
      </c>
      <c r="AN270" s="19" t="str">
        <f>Table2[[#This Row],[cam_fate1]]</f>
        <v>NA</v>
      </c>
      <c r="AO270" s="2" t="s">
        <v>37</v>
      </c>
      <c r="AP270" s="5" t="str">
        <f>Table2[[#This Row],[final_fate1]]</f>
        <v>H</v>
      </c>
      <c r="AQ270" s="6">
        <v>19</v>
      </c>
      <c r="AR270" s="7">
        <v>22</v>
      </c>
      <c r="AS270" s="7">
        <f>Table2[[#This Row],[final_obs_date]]-Table2[[#This Row],[init_date]]</f>
        <v>19</v>
      </c>
      <c r="AT270" s="7">
        <f>(Table2[[#This Row],[final_obs_date2]]-Table2[[#This Row],[estHD]])+16</f>
        <v>19</v>
      </c>
      <c r="AU270" s="38">
        <v>5</v>
      </c>
      <c r="AV270" s="33">
        <v>5</v>
      </c>
      <c r="AW270" s="33">
        <f>Table2[[#This Row],[final_obs_date2]]-Table2[[#This Row],[pen_obs_date]]</f>
        <v>62</v>
      </c>
      <c r="AX270" s="67">
        <v>62</v>
      </c>
      <c r="AY270" s="6">
        <f>Table2[[#This Row],[final_obs_date]]</f>
        <v>62</v>
      </c>
      <c r="AZ270" s="6"/>
      <c r="BA270" s="91" t="s">
        <v>47</v>
      </c>
      <c r="BB270" s="6" t="b">
        <f>Table2[[#This Row],[final_obs_date]]&lt;(Table2[[#This Row],[estHD]]-2)</f>
        <v>0</v>
      </c>
      <c r="BC270" s="24">
        <f>IF(Table2[[#This Row],[field_fate]]="H",1,0)</f>
        <v>1</v>
      </c>
      <c r="BD270" s="16">
        <f>IF(Table2[[#This Row],[cam_fate2]]="H",1,0)</f>
        <v>0</v>
      </c>
      <c r="BE270" s="6" t="b">
        <f>NOT(Table2[[#This Row],[HF_C]]=Table2[[#This Row],[HF]])</f>
        <v>1</v>
      </c>
      <c r="BF270" s="6" t="b">
        <f>NOT(Table2[[#This Row],[cam_fate2]]=Table2[[#This Row],[field_fate3]])</f>
        <v>1</v>
      </c>
      <c r="BG270" s="6" t="b">
        <f>OR(Table2[[#This Row],[field_fate3]]="U",Table2[[#This Row],[field_fate3]]="U-H")</f>
        <v>0</v>
      </c>
      <c r="BH270" s="8">
        <v>43</v>
      </c>
      <c r="BI270" s="8">
        <v>62</v>
      </c>
      <c r="BJ270" s="14">
        <f>IF(ISTEXT(Table2[[#This Row],[j.cam]]),Table2[[#This Row],[j]],Table2[[#This Row],[j.cam]])</f>
        <v>62</v>
      </c>
      <c r="BK270" s="9">
        <v>62</v>
      </c>
      <c r="BL270" s="15">
        <f>IF(ISTEXT(Table2[[#This Row],[k.cam]]), Table2[[#This Row],[k]], Table2[[#This Row],[k.cam]])</f>
        <v>62</v>
      </c>
      <c r="BM270" s="4" t="s">
        <v>24</v>
      </c>
      <c r="BN270" s="8" t="s">
        <v>24</v>
      </c>
      <c r="BO270" s="4">
        <v>6</v>
      </c>
      <c r="BP270" s="4">
        <f>Table2[[#This Row],[final_obs_date]]-Table2[[#This Row],[i]]</f>
        <v>19</v>
      </c>
      <c r="BQ270" s="4" t="b">
        <f>Table2[[#This Row],[final_obs_date2]]&gt;Table2[[#This Row],[estHD]]+3</f>
        <v>0</v>
      </c>
      <c r="BR270" s="4" t="s">
        <v>33</v>
      </c>
      <c r="BS270" s="4" t="s">
        <v>139</v>
      </c>
      <c r="BT270" s="79" t="s">
        <v>1173</v>
      </c>
      <c r="BU270" s="26" t="s">
        <v>246</v>
      </c>
      <c r="BV270" s="79" t="s">
        <v>1553</v>
      </c>
      <c r="BW270" s="49"/>
      <c r="BX270" s="47"/>
      <c r="BY270" s="36" t="s">
        <v>24</v>
      </c>
    </row>
    <row r="271" spans="1:77" hidden="1" x14ac:dyDescent="0.35">
      <c r="A271" s="62">
        <v>10401</v>
      </c>
      <c r="B271" s="2" t="s">
        <v>245</v>
      </c>
      <c r="C271" s="44">
        <v>2019</v>
      </c>
      <c r="D271" s="3">
        <v>29.78567</v>
      </c>
      <c r="E271" s="3">
        <v>-93.215500000000006</v>
      </c>
      <c r="F271" s="3">
        <v>0</v>
      </c>
      <c r="G271" s="3">
        <v>0</v>
      </c>
      <c r="H271" s="3" t="s">
        <v>462</v>
      </c>
      <c r="I271" s="43"/>
      <c r="J271" s="55">
        <v>80</v>
      </c>
      <c r="K271" s="4">
        <v>49</v>
      </c>
      <c r="L271" s="22">
        <f>IF(ISNUMBER(Table2[[#This Row],[estHD]]),ABS(Table2[[#This Row],[HD]]-Table2[[#This Row],[estHD]]),"NA")</f>
        <v>31</v>
      </c>
      <c r="M271" s="4" t="b">
        <f>Table2[[#This Row],[HD]]=Table2[[#This Row],[estHD]]</f>
        <v>0</v>
      </c>
      <c r="N271" s="4" t="str">
        <f>IF(ISNUMBER([1]!Table2[[#This Row],[hatch_date]]),[1]!Table2[[#This Row],[hatch_date]]-19,"NA")</f>
        <v>NA</v>
      </c>
      <c r="O271" s="31">
        <v>30</v>
      </c>
      <c r="P271" s="23">
        <f>IF(ISNUMBER(Table2[[#This Row],[nest_age1]]),ABS(Table2[[#This Row],[nest_age1]]-Table2[[#This Row],[nest_age_feb]]),"NA")</f>
        <v>31</v>
      </c>
      <c r="Q271" s="24">
        <f>IF(ISNUMBER(Table2[[#This Row],[final_obs_int2]]),ABS(Table2[[#This Row],[final_obs_int2]]-Table2[[#This Row],[final_obs_int_feb]]), "NA")</f>
        <v>0</v>
      </c>
      <c r="R271" s="24"/>
      <c r="S271" s="57" t="s">
        <v>88</v>
      </c>
      <c r="T271" s="57" t="str">
        <f>Table2[[#This Row],[camera_old]]</f>
        <v>N</v>
      </c>
      <c r="U271" s="24"/>
      <c r="V271" s="16" t="s">
        <v>24</v>
      </c>
      <c r="W271" s="16">
        <v>-12</v>
      </c>
      <c r="X271" s="145">
        <v>2</v>
      </c>
      <c r="Y271" s="147" t="s">
        <v>37</v>
      </c>
      <c r="Z271" s="146" t="s">
        <v>37</v>
      </c>
      <c r="AA271" s="4" t="str">
        <f>Table2[[#This Row],[field_fate]]</f>
        <v>H</v>
      </c>
      <c r="AB271" s="4" t="str">
        <f>Table2[[#This Row],[field_fate2]]</f>
        <v>H</v>
      </c>
      <c r="AC271" s="4" t="str">
        <f>Table2[[#This Row],[field_fate3]]</f>
        <v>H</v>
      </c>
      <c r="AD271" s="4" t="str">
        <f>Table2[[#This Row],[field_fate4]]</f>
        <v>H</v>
      </c>
      <c r="AE271" s="4" t="str">
        <f>Table2[[#This Row],[field_fate5]]</f>
        <v>H</v>
      </c>
      <c r="AF271" s="4" t="str">
        <f>Table2[[#This Row],[field_fate5]]</f>
        <v>H</v>
      </c>
      <c r="AG271" s="4" t="str">
        <f>Table2[[#This Row],[field_fate5]]</f>
        <v>H</v>
      </c>
      <c r="AH271" s="4" t="str">
        <f>Table2[[#This Row],[field_fate2]]</f>
        <v>H</v>
      </c>
      <c r="AI271" s="4" t="str">
        <f>Table2[[#This Row],[field_fate8]]</f>
        <v>H</v>
      </c>
      <c r="AJ271" s="4" t="str">
        <f>Table2[[#This Row],[field_fate10]]</f>
        <v>H</v>
      </c>
      <c r="AK271" s="4" t="b">
        <f>Table2[[#This Row],[field_fate_feb]]=Table2[[#This Row],[field_fate10]]</f>
        <v>1</v>
      </c>
      <c r="AL271" s="43" t="s">
        <v>24</v>
      </c>
      <c r="AM271" s="43" t="b">
        <f>Table2[[#This Row],[cam_fate2]]="NA"</f>
        <v>1</v>
      </c>
      <c r="AN271" s="19" t="str">
        <f>Table2[[#This Row],[cam_fate1]]</f>
        <v>NA</v>
      </c>
      <c r="AO271" s="2" t="s">
        <v>37</v>
      </c>
      <c r="AP271" s="5" t="str">
        <f>Table2[[#This Row],[final_fate1]]</f>
        <v>H</v>
      </c>
      <c r="AQ271" s="6">
        <v>19</v>
      </c>
      <c r="AR271" s="7">
        <v>-12</v>
      </c>
      <c r="AS271" s="7">
        <f>Table2[[#This Row],[final_obs_date]]-Table2[[#This Row],[init_date]]</f>
        <v>19</v>
      </c>
      <c r="AT271" s="7">
        <f>(Table2[[#This Row],[final_obs_date2]]-Table2[[#This Row],[estHD]])+16</f>
        <v>-15</v>
      </c>
      <c r="AU271" s="38">
        <v>2</v>
      </c>
      <c r="AV271" s="33">
        <v>2</v>
      </c>
      <c r="AW271" s="33">
        <f>Table2[[#This Row],[final_obs_date2]]-Table2[[#This Row],[pen_obs_date]]</f>
        <v>49</v>
      </c>
      <c r="AX271" s="67">
        <v>49</v>
      </c>
      <c r="AY271" s="6">
        <f>Table2[[#This Row],[final_obs_date]]</f>
        <v>49</v>
      </c>
      <c r="AZ271" s="6"/>
      <c r="BA271" s="91" t="s">
        <v>47</v>
      </c>
      <c r="BB271" s="6" t="b">
        <f>Table2[[#This Row],[final_obs_date]]&lt;(Table2[[#This Row],[estHD]]-2)</f>
        <v>1</v>
      </c>
      <c r="BC271" s="24">
        <f>IF(Table2[[#This Row],[field_fate]]="H",1,0)</f>
        <v>1</v>
      </c>
      <c r="BD271" s="16">
        <f>IF(Table2[[#This Row],[cam_fate2]]="H",1,0)</f>
        <v>0</v>
      </c>
      <c r="BE271" s="6" t="b">
        <f>NOT(Table2[[#This Row],[HF_C]]=Table2[[#This Row],[HF]])</f>
        <v>1</v>
      </c>
      <c r="BF271" s="6" t="b">
        <f>NOT(Table2[[#This Row],[cam_fate2]]=Table2[[#This Row],[field_fate3]])</f>
        <v>1</v>
      </c>
      <c r="BG271" s="6" t="b">
        <f>OR(Table2[[#This Row],[field_fate3]]="U",Table2[[#This Row],[field_fate3]]="U-H")</f>
        <v>0</v>
      </c>
      <c r="BH271" s="8">
        <v>43</v>
      </c>
      <c r="BI271" s="8">
        <v>49</v>
      </c>
      <c r="BJ271" s="14">
        <f>IF(ISTEXT(Table2[[#This Row],[j.cam]]),Table2[[#This Row],[j]],Table2[[#This Row],[j.cam]])</f>
        <v>49</v>
      </c>
      <c r="BK271" s="9">
        <v>49</v>
      </c>
      <c r="BL271" s="15">
        <f>IF(ISTEXT(Table2[[#This Row],[k.cam]]), Table2[[#This Row],[k]], Table2[[#This Row],[k.cam]])</f>
        <v>49</v>
      </c>
      <c r="BM271" s="4" t="s">
        <v>24</v>
      </c>
      <c r="BN271" s="8" t="s">
        <v>24</v>
      </c>
      <c r="BO271" s="4">
        <v>3</v>
      </c>
      <c r="BP271" s="4">
        <f>Table2[[#This Row],[final_obs_date]]-Table2[[#This Row],[i]]</f>
        <v>6</v>
      </c>
      <c r="BQ271" s="4" t="b">
        <f>Table2[[#This Row],[final_obs_date2]]&gt;Table2[[#This Row],[estHD]]+3</f>
        <v>0</v>
      </c>
      <c r="BR271" s="4" t="s">
        <v>33</v>
      </c>
      <c r="BS271" s="4" t="s">
        <v>176</v>
      </c>
      <c r="BT271" s="79" t="s">
        <v>1174</v>
      </c>
      <c r="BU271" s="26" t="s">
        <v>247</v>
      </c>
      <c r="BV271" s="79" t="s">
        <v>1554</v>
      </c>
      <c r="BW271" s="49"/>
      <c r="BX271" s="47"/>
      <c r="BY271" s="36" t="s">
        <v>648</v>
      </c>
    </row>
    <row r="272" spans="1:77" hidden="1" x14ac:dyDescent="0.35">
      <c r="A272" s="62">
        <v>10402</v>
      </c>
      <c r="B272" s="2" t="s">
        <v>245</v>
      </c>
      <c r="C272" s="44">
        <v>2019</v>
      </c>
      <c r="D272" s="3">
        <v>29.78565</v>
      </c>
      <c r="E272" s="3">
        <v>-93.21557</v>
      </c>
      <c r="F272" s="3">
        <v>0</v>
      </c>
      <c r="G272" s="3">
        <v>0</v>
      </c>
      <c r="H272" s="3" t="s">
        <v>462</v>
      </c>
      <c r="I272" s="43"/>
      <c r="J272" s="55">
        <v>47</v>
      </c>
      <c r="K272" s="4">
        <v>47</v>
      </c>
      <c r="L272" s="22">
        <f>IF(ISNUMBER(Table2[[#This Row],[estHD]]),ABS(Table2[[#This Row],[HD]]-Table2[[#This Row],[estHD]]),"NA")</f>
        <v>0</v>
      </c>
      <c r="M272" s="4" t="b">
        <f>Table2[[#This Row],[HD]]=Table2[[#This Row],[estHD]]</f>
        <v>1</v>
      </c>
      <c r="N272" s="4" t="str">
        <f>IF(ISNUMBER([1]!Table2[[#This Row],[hatch_date]]),[1]!Table2[[#This Row],[hatch_date]]-19,"NA")</f>
        <v>NA</v>
      </c>
      <c r="O272" s="31">
        <v>28</v>
      </c>
      <c r="P272" s="23">
        <f>IF(ISNUMBER(Table2[[#This Row],[nest_age1]]),ABS(Table2[[#This Row],[nest_age1]]-Table2[[#This Row],[nest_age_feb]]),"NA")</f>
        <v>0</v>
      </c>
      <c r="Q272" s="24">
        <f>IF(ISNUMBER(Table2[[#This Row],[final_obs_int2]]),ABS(Table2[[#This Row],[final_obs_int2]]-Table2[[#This Row],[final_obs_int_feb]]), "NA")</f>
        <v>0</v>
      </c>
      <c r="R272" s="24"/>
      <c r="S272" s="57" t="s">
        <v>88</v>
      </c>
      <c r="T272" s="57" t="str">
        <f>Table2[[#This Row],[camera_old]]</f>
        <v>N</v>
      </c>
      <c r="U272" s="24"/>
      <c r="V272" s="16" t="s">
        <v>24</v>
      </c>
      <c r="W272" s="16">
        <v>19</v>
      </c>
      <c r="X272" s="145">
        <v>4</v>
      </c>
      <c r="Y272" s="147" t="s">
        <v>37</v>
      </c>
      <c r="Z272" s="146" t="s">
        <v>37</v>
      </c>
      <c r="AA272" s="4" t="str">
        <f>Table2[[#This Row],[field_fate]]</f>
        <v>H</v>
      </c>
      <c r="AB272" s="4" t="str">
        <f>Table2[[#This Row],[field_fate2]]</f>
        <v>H</v>
      </c>
      <c r="AC272" s="4" t="str">
        <f>Table2[[#This Row],[field_fate3]]</f>
        <v>H</v>
      </c>
      <c r="AD272" s="4" t="str">
        <f>Table2[[#This Row],[field_fate4]]</f>
        <v>H</v>
      </c>
      <c r="AE272" s="4" t="str">
        <f>Table2[[#This Row],[field_fate5]]</f>
        <v>H</v>
      </c>
      <c r="AF272" s="4" t="str">
        <f>Table2[[#This Row],[field_fate5]]</f>
        <v>H</v>
      </c>
      <c r="AG272" s="4" t="str">
        <f>Table2[[#This Row],[field_fate5]]</f>
        <v>H</v>
      </c>
      <c r="AH272" s="4" t="str">
        <f>Table2[[#This Row],[field_fate2]]</f>
        <v>H</v>
      </c>
      <c r="AI272" s="4" t="str">
        <f>Table2[[#This Row],[field_fate8]]</f>
        <v>H</v>
      </c>
      <c r="AJ272" s="4" t="str">
        <f>Table2[[#This Row],[field_fate10]]</f>
        <v>H</v>
      </c>
      <c r="AK272" s="4" t="b">
        <f>Table2[[#This Row],[field_fate_feb]]=Table2[[#This Row],[field_fate10]]</f>
        <v>1</v>
      </c>
      <c r="AL272" s="43" t="s">
        <v>24</v>
      </c>
      <c r="AM272" s="43" t="b">
        <f>Table2[[#This Row],[cam_fate2]]="NA"</f>
        <v>1</v>
      </c>
      <c r="AN272" s="19" t="str">
        <f>Table2[[#This Row],[cam_fate1]]</f>
        <v>NA</v>
      </c>
      <c r="AO272" s="2" t="s">
        <v>37</v>
      </c>
      <c r="AP272" s="5" t="str">
        <f>Table2[[#This Row],[final_fate1]]</f>
        <v>H</v>
      </c>
      <c r="AQ272" s="6">
        <v>19</v>
      </c>
      <c r="AR272" s="7">
        <v>19</v>
      </c>
      <c r="AS272" s="7">
        <f>Table2[[#This Row],[final_obs_date]]-Table2[[#This Row],[init_date]]</f>
        <v>19</v>
      </c>
      <c r="AT272" s="7">
        <f>(Table2[[#This Row],[final_obs_date2]]-Table2[[#This Row],[estHD]])+16</f>
        <v>16</v>
      </c>
      <c r="AU272" s="38">
        <v>4</v>
      </c>
      <c r="AV272" s="33">
        <v>4</v>
      </c>
      <c r="AW272" s="33">
        <f>Table2[[#This Row],[final_obs_date2]]-Table2[[#This Row],[pen_obs_date]]</f>
        <v>47</v>
      </c>
      <c r="AX272" s="67">
        <v>47</v>
      </c>
      <c r="AY272" s="6">
        <f>Table2[[#This Row],[final_obs_date]]</f>
        <v>47</v>
      </c>
      <c r="AZ272" s="6"/>
      <c r="BA272" s="91" t="s">
        <v>47</v>
      </c>
      <c r="BB272" s="6" t="b">
        <f>Table2[[#This Row],[final_obs_date]]&lt;(Table2[[#This Row],[estHD]]-2)</f>
        <v>0</v>
      </c>
      <c r="BC272" s="24">
        <f>IF(Table2[[#This Row],[field_fate]]="H",1,0)</f>
        <v>1</v>
      </c>
      <c r="BD272" s="16">
        <f>IF(Table2[[#This Row],[cam_fate2]]="H",1,0)</f>
        <v>0</v>
      </c>
      <c r="BE272" s="6" t="b">
        <f>NOT(Table2[[#This Row],[HF_C]]=Table2[[#This Row],[HF]])</f>
        <v>1</v>
      </c>
      <c r="BF272" s="6" t="b">
        <f>NOT(Table2[[#This Row],[cam_fate2]]=Table2[[#This Row],[field_fate3]])</f>
        <v>1</v>
      </c>
      <c r="BG272" s="6" t="b">
        <f>OR(Table2[[#This Row],[field_fate3]]="U",Table2[[#This Row],[field_fate3]]="U-H")</f>
        <v>0</v>
      </c>
      <c r="BH272" s="8">
        <v>43</v>
      </c>
      <c r="BI272" s="8">
        <v>47</v>
      </c>
      <c r="BJ272" s="14">
        <f>IF(ISTEXT(Table2[[#This Row],[j.cam]]),Table2[[#This Row],[j]],Table2[[#This Row],[j.cam]])</f>
        <v>47</v>
      </c>
      <c r="BK272" s="9">
        <v>47</v>
      </c>
      <c r="BL272" s="15">
        <f>IF(ISTEXT(Table2[[#This Row],[k.cam]]), Table2[[#This Row],[k]], Table2[[#This Row],[k.cam]])</f>
        <v>47</v>
      </c>
      <c r="BM272" s="4" t="s">
        <v>24</v>
      </c>
      <c r="BN272" s="8" t="s">
        <v>24</v>
      </c>
      <c r="BO272" s="4">
        <v>2</v>
      </c>
      <c r="BP272" s="4">
        <f>Table2[[#This Row],[final_obs_date]]-Table2[[#This Row],[i]]</f>
        <v>4</v>
      </c>
      <c r="BQ272" s="4" t="b">
        <f>Table2[[#This Row],[final_obs_date2]]&gt;Table2[[#This Row],[estHD]]+3</f>
        <v>0</v>
      </c>
      <c r="BR272" s="4" t="s">
        <v>33</v>
      </c>
      <c r="BS272" s="4" t="s">
        <v>139</v>
      </c>
      <c r="BT272" s="79" t="s">
        <v>1175</v>
      </c>
      <c r="BU272" s="26" t="s">
        <v>204</v>
      </c>
      <c r="BV272" s="79" t="s">
        <v>1429</v>
      </c>
      <c r="BW272" s="49"/>
      <c r="BX272" s="47"/>
      <c r="BY272" s="36" t="s">
        <v>24</v>
      </c>
    </row>
    <row r="273" spans="1:77" hidden="1" x14ac:dyDescent="0.35">
      <c r="A273" s="62">
        <v>10403</v>
      </c>
      <c r="B273" s="2" t="s">
        <v>245</v>
      </c>
      <c r="C273" s="44">
        <v>2019</v>
      </c>
      <c r="D273" s="3">
        <v>29.78566</v>
      </c>
      <c r="E273" s="3">
        <v>-93.215609999999998</v>
      </c>
      <c r="F273" s="3">
        <v>0</v>
      </c>
      <c r="G273" s="3">
        <v>0</v>
      </c>
      <c r="H273" s="3" t="s">
        <v>462</v>
      </c>
      <c r="I273" s="43"/>
      <c r="J273" s="55">
        <v>56</v>
      </c>
      <c r="K273" s="4">
        <v>62</v>
      </c>
      <c r="L273" s="22">
        <f>IF(ISNUMBER(Table2[[#This Row],[estHD]]),ABS(Table2[[#This Row],[HD]]-Table2[[#This Row],[estHD]]),"NA")</f>
        <v>6</v>
      </c>
      <c r="M273" s="4" t="b">
        <f>Table2[[#This Row],[HD]]=Table2[[#This Row],[estHD]]</f>
        <v>0</v>
      </c>
      <c r="N273" s="4" t="str">
        <f>IF(ISNUMBER([1]!Table2[[#This Row],[hatch_date]]),[1]!Table2[[#This Row],[hatch_date]]-19,"NA")</f>
        <v>NA</v>
      </c>
      <c r="O273" s="31">
        <v>43</v>
      </c>
      <c r="P273" s="23">
        <f>IF(ISNUMBER(Table2[[#This Row],[nest_age1]]),ABS(Table2[[#This Row],[nest_age1]]-Table2[[#This Row],[nest_age_feb]]),"NA")</f>
        <v>6</v>
      </c>
      <c r="Q273" s="24">
        <f>IF(ISNUMBER(Table2[[#This Row],[final_obs_int2]]),ABS(Table2[[#This Row],[final_obs_int2]]-Table2[[#This Row],[final_obs_int_feb]]), "NA")</f>
        <v>0</v>
      </c>
      <c r="R273" s="24"/>
      <c r="S273" s="57" t="s">
        <v>88</v>
      </c>
      <c r="T273" s="57" t="str">
        <f>Table2[[#This Row],[camera_old]]</f>
        <v>N</v>
      </c>
      <c r="U273" s="24"/>
      <c r="V273" s="16" t="s">
        <v>24</v>
      </c>
      <c r="W273" s="16">
        <v>25</v>
      </c>
      <c r="X273" s="145">
        <v>5</v>
      </c>
      <c r="Y273" s="147" t="s">
        <v>37</v>
      </c>
      <c r="Z273" s="146" t="s">
        <v>37</v>
      </c>
      <c r="AA273" s="4" t="str">
        <f>Table2[[#This Row],[field_fate]]</f>
        <v>H</v>
      </c>
      <c r="AB273" s="4" t="str">
        <f>Table2[[#This Row],[field_fate2]]</f>
        <v>H</v>
      </c>
      <c r="AC273" s="4" t="str">
        <f>Table2[[#This Row],[field_fate3]]</f>
        <v>H</v>
      </c>
      <c r="AD273" s="4" t="str">
        <f>Table2[[#This Row],[field_fate4]]</f>
        <v>H</v>
      </c>
      <c r="AE273" s="4" t="str">
        <f>Table2[[#This Row],[field_fate5]]</f>
        <v>H</v>
      </c>
      <c r="AF273" s="4" t="str">
        <f>Table2[[#This Row],[field_fate5]]</f>
        <v>H</v>
      </c>
      <c r="AG273" s="4" t="str">
        <f>Table2[[#This Row],[field_fate5]]</f>
        <v>H</v>
      </c>
      <c r="AH273" s="4" t="str">
        <f>Table2[[#This Row],[field_fate2]]</f>
        <v>H</v>
      </c>
      <c r="AI273" s="4" t="str">
        <f>Table2[[#This Row],[field_fate8]]</f>
        <v>H</v>
      </c>
      <c r="AJ273" s="4" t="str">
        <f>Table2[[#This Row],[field_fate10]]</f>
        <v>H</v>
      </c>
      <c r="AK273" s="4" t="b">
        <f>Table2[[#This Row],[field_fate_feb]]=Table2[[#This Row],[field_fate10]]</f>
        <v>1</v>
      </c>
      <c r="AL273" s="43" t="s">
        <v>24</v>
      </c>
      <c r="AM273" s="43" t="b">
        <f>Table2[[#This Row],[cam_fate2]]="NA"</f>
        <v>1</v>
      </c>
      <c r="AN273" s="19" t="str">
        <f>Table2[[#This Row],[cam_fate1]]</f>
        <v>NA</v>
      </c>
      <c r="AO273" s="2" t="s">
        <v>37</v>
      </c>
      <c r="AP273" s="5" t="str">
        <f>Table2[[#This Row],[final_fate1]]</f>
        <v>H</v>
      </c>
      <c r="AQ273" s="6">
        <v>19</v>
      </c>
      <c r="AR273" s="7">
        <v>25</v>
      </c>
      <c r="AS273" s="7">
        <f>Table2[[#This Row],[final_obs_date]]-Table2[[#This Row],[init_date]]</f>
        <v>19</v>
      </c>
      <c r="AT273" s="7">
        <f>(Table2[[#This Row],[final_obs_date2]]-Table2[[#This Row],[estHD]])+16</f>
        <v>22</v>
      </c>
      <c r="AU273" s="38">
        <v>5</v>
      </c>
      <c r="AV273" s="33">
        <v>5</v>
      </c>
      <c r="AW273" s="33">
        <f>Table2[[#This Row],[final_obs_date2]]-Table2[[#This Row],[pen_obs_date]]</f>
        <v>62</v>
      </c>
      <c r="AX273" s="67">
        <v>62</v>
      </c>
      <c r="AY273" s="6">
        <f>Table2[[#This Row],[final_obs_date]]</f>
        <v>62</v>
      </c>
      <c r="AZ273" s="6"/>
      <c r="BA273" s="91" t="s">
        <v>47</v>
      </c>
      <c r="BB273" s="6" t="b">
        <f>Table2[[#This Row],[final_obs_date]]&lt;(Table2[[#This Row],[estHD]]-2)</f>
        <v>0</v>
      </c>
      <c r="BC273" s="24">
        <f>IF(Table2[[#This Row],[field_fate]]="H",1,0)</f>
        <v>1</v>
      </c>
      <c r="BD273" s="16">
        <f>IF(Table2[[#This Row],[cam_fate2]]="H",1,0)</f>
        <v>0</v>
      </c>
      <c r="BE273" s="6" t="b">
        <f>NOT(Table2[[#This Row],[HF_C]]=Table2[[#This Row],[HF]])</f>
        <v>1</v>
      </c>
      <c r="BF273" s="6" t="b">
        <f>NOT(Table2[[#This Row],[cam_fate2]]=Table2[[#This Row],[field_fate3]])</f>
        <v>1</v>
      </c>
      <c r="BG273" s="6" t="b">
        <f>OR(Table2[[#This Row],[field_fate3]]="U",Table2[[#This Row],[field_fate3]]="U-H")</f>
        <v>0</v>
      </c>
      <c r="BH273" s="8">
        <v>43</v>
      </c>
      <c r="BI273" s="8">
        <v>62</v>
      </c>
      <c r="BJ273" s="14">
        <f>IF(ISTEXT(Table2[[#This Row],[j.cam]]),Table2[[#This Row],[j]],Table2[[#This Row],[j.cam]])</f>
        <v>62</v>
      </c>
      <c r="BK273" s="9">
        <v>62</v>
      </c>
      <c r="BL273" s="15">
        <f>IF(ISTEXT(Table2[[#This Row],[k.cam]]), Table2[[#This Row],[k]], Table2[[#This Row],[k.cam]])</f>
        <v>62</v>
      </c>
      <c r="BM273" s="4" t="s">
        <v>24</v>
      </c>
      <c r="BN273" s="8" t="s">
        <v>24</v>
      </c>
      <c r="BO273" s="4">
        <v>6</v>
      </c>
      <c r="BP273" s="4">
        <f>Table2[[#This Row],[final_obs_date]]-Table2[[#This Row],[i]]</f>
        <v>19</v>
      </c>
      <c r="BQ273" s="4" t="b">
        <f>Table2[[#This Row],[final_obs_date2]]&gt;Table2[[#This Row],[estHD]]+3</f>
        <v>1</v>
      </c>
      <c r="BR273" s="4" t="s">
        <v>33</v>
      </c>
      <c r="BS273" s="4" t="s">
        <v>139</v>
      </c>
      <c r="BT273" s="79" t="s">
        <v>1173</v>
      </c>
      <c r="BU273" s="26" t="s">
        <v>246</v>
      </c>
      <c r="BV273" s="79" t="s">
        <v>1553</v>
      </c>
      <c r="BW273" s="49"/>
      <c r="BX273" s="47"/>
      <c r="BY273" s="36" t="s">
        <v>24</v>
      </c>
    </row>
    <row r="274" spans="1:77" hidden="1" x14ac:dyDescent="0.35">
      <c r="A274" s="62">
        <v>10404</v>
      </c>
      <c r="B274" s="2" t="s">
        <v>245</v>
      </c>
      <c r="C274" s="44">
        <v>2019</v>
      </c>
      <c r="D274" s="3">
        <v>29.78567</v>
      </c>
      <c r="E274" s="3">
        <v>-93.21566</v>
      </c>
      <c r="F274" s="3">
        <v>0</v>
      </c>
      <c r="G274" s="3">
        <v>0</v>
      </c>
      <c r="H274" s="3" t="s">
        <v>462</v>
      </c>
      <c r="I274" s="43"/>
      <c r="J274" s="55">
        <v>56</v>
      </c>
      <c r="K274" s="4">
        <v>59</v>
      </c>
      <c r="L274" s="22">
        <f>IF(ISNUMBER(Table2[[#This Row],[estHD]]),ABS(Table2[[#This Row],[HD]]-Table2[[#This Row],[estHD]]),"NA")</f>
        <v>3</v>
      </c>
      <c r="M274" s="4" t="b">
        <f>Table2[[#This Row],[HD]]=Table2[[#This Row],[estHD]]</f>
        <v>0</v>
      </c>
      <c r="N274" s="4" t="str">
        <f>IF(ISNUMBER([1]!Table2[[#This Row],[hatch_date]]),[1]!Table2[[#This Row],[hatch_date]]-19,"NA")</f>
        <v>NA</v>
      </c>
      <c r="O274" s="31">
        <v>40</v>
      </c>
      <c r="P274" s="23">
        <f>IF(ISNUMBER(Table2[[#This Row],[nest_age1]]),ABS(Table2[[#This Row],[nest_age1]]-Table2[[#This Row],[nest_age_feb]]),"NA")</f>
        <v>3</v>
      </c>
      <c r="Q274" s="24">
        <f>IF(ISNUMBER(Table2[[#This Row],[final_obs_int2]]),ABS(Table2[[#This Row],[final_obs_int2]]-Table2[[#This Row],[final_obs_int_feb]]), "NA")</f>
        <v>0</v>
      </c>
      <c r="R274" s="24"/>
      <c r="S274" s="57" t="s">
        <v>88</v>
      </c>
      <c r="T274" s="57" t="str">
        <f>Table2[[#This Row],[camera_old]]</f>
        <v>N</v>
      </c>
      <c r="U274" s="24"/>
      <c r="V274" s="16" t="s">
        <v>24</v>
      </c>
      <c r="W274" s="16">
        <v>22</v>
      </c>
      <c r="X274" s="145">
        <v>2</v>
      </c>
      <c r="Y274" s="147" t="s">
        <v>37</v>
      </c>
      <c r="Z274" s="146" t="s">
        <v>37</v>
      </c>
      <c r="AA274" s="4" t="str">
        <f>Table2[[#This Row],[field_fate]]</f>
        <v>H</v>
      </c>
      <c r="AB274" s="4" t="str">
        <f>Table2[[#This Row],[field_fate2]]</f>
        <v>H</v>
      </c>
      <c r="AC274" s="4" t="str">
        <f>Table2[[#This Row],[field_fate3]]</f>
        <v>H</v>
      </c>
      <c r="AD274" s="4" t="str">
        <f>Table2[[#This Row],[field_fate4]]</f>
        <v>H</v>
      </c>
      <c r="AE274" s="4" t="str">
        <f>Table2[[#This Row],[field_fate5]]</f>
        <v>H</v>
      </c>
      <c r="AF274" s="4" t="str">
        <f>Table2[[#This Row],[field_fate5]]</f>
        <v>H</v>
      </c>
      <c r="AG274" s="4" t="str">
        <f>Table2[[#This Row],[field_fate5]]</f>
        <v>H</v>
      </c>
      <c r="AH274" s="4" t="str">
        <f>Table2[[#This Row],[field_fate2]]</f>
        <v>H</v>
      </c>
      <c r="AI274" s="4" t="str">
        <f>Table2[[#This Row],[field_fate8]]</f>
        <v>H</v>
      </c>
      <c r="AJ274" s="4" t="str">
        <f>Table2[[#This Row],[field_fate10]]</f>
        <v>H</v>
      </c>
      <c r="AK274" s="4" t="b">
        <f>Table2[[#This Row],[field_fate_feb]]=Table2[[#This Row],[field_fate10]]</f>
        <v>1</v>
      </c>
      <c r="AL274" s="43" t="s">
        <v>24</v>
      </c>
      <c r="AM274" s="43" t="b">
        <f>Table2[[#This Row],[cam_fate2]]="NA"</f>
        <v>1</v>
      </c>
      <c r="AN274" s="19" t="str">
        <f>Table2[[#This Row],[cam_fate1]]</f>
        <v>NA</v>
      </c>
      <c r="AO274" s="2" t="s">
        <v>37</v>
      </c>
      <c r="AP274" s="5" t="str">
        <f>Table2[[#This Row],[final_fate1]]</f>
        <v>H</v>
      </c>
      <c r="AQ274" s="6">
        <v>19</v>
      </c>
      <c r="AR274" s="7">
        <v>22</v>
      </c>
      <c r="AS274" s="7">
        <f>Table2[[#This Row],[final_obs_date]]-Table2[[#This Row],[init_date]]</f>
        <v>19</v>
      </c>
      <c r="AT274" s="7">
        <f>(Table2[[#This Row],[final_obs_date2]]-Table2[[#This Row],[estHD]])+16</f>
        <v>19</v>
      </c>
      <c r="AU274" s="38">
        <v>2</v>
      </c>
      <c r="AV274" s="33">
        <v>2</v>
      </c>
      <c r="AW274" s="33">
        <f>Table2[[#This Row],[final_obs_date2]]-Table2[[#This Row],[pen_obs_date]]</f>
        <v>59</v>
      </c>
      <c r="AX274" s="67">
        <v>59</v>
      </c>
      <c r="AY274" s="6">
        <f>Table2[[#This Row],[final_obs_date]]</f>
        <v>59</v>
      </c>
      <c r="AZ274" s="6"/>
      <c r="BA274" s="91" t="s">
        <v>47</v>
      </c>
      <c r="BB274" s="6" t="b">
        <f>Table2[[#This Row],[final_obs_date]]&lt;(Table2[[#This Row],[estHD]]-2)</f>
        <v>0</v>
      </c>
      <c r="BC274" s="24">
        <f>IF(Table2[[#This Row],[field_fate]]="H",1,0)</f>
        <v>1</v>
      </c>
      <c r="BD274" s="16">
        <f>IF(Table2[[#This Row],[cam_fate2]]="H",1,0)</f>
        <v>0</v>
      </c>
      <c r="BE274" s="6" t="b">
        <f>NOT(Table2[[#This Row],[HF_C]]=Table2[[#This Row],[HF]])</f>
        <v>1</v>
      </c>
      <c r="BF274" s="6" t="b">
        <f>NOT(Table2[[#This Row],[cam_fate2]]=Table2[[#This Row],[field_fate3]])</f>
        <v>1</v>
      </c>
      <c r="BG274" s="6" t="b">
        <f>OR(Table2[[#This Row],[field_fate3]]="U",Table2[[#This Row],[field_fate3]]="U-H")</f>
        <v>0</v>
      </c>
      <c r="BH274" s="8">
        <v>43</v>
      </c>
      <c r="BI274" s="8">
        <v>59</v>
      </c>
      <c r="BJ274" s="14">
        <f>IF(ISTEXT(Table2[[#This Row],[j.cam]]),Table2[[#This Row],[j]],Table2[[#This Row],[j.cam]])</f>
        <v>59</v>
      </c>
      <c r="BK274" s="9">
        <v>59</v>
      </c>
      <c r="BL274" s="15">
        <f>IF(ISTEXT(Table2[[#This Row],[k.cam]]), Table2[[#This Row],[k]], Table2[[#This Row],[k.cam]])</f>
        <v>59</v>
      </c>
      <c r="BM274" s="4" t="s">
        <v>24</v>
      </c>
      <c r="BN274" s="8" t="s">
        <v>24</v>
      </c>
      <c r="BO274" s="4">
        <v>6</v>
      </c>
      <c r="BP274" s="4">
        <f>Table2[[#This Row],[final_obs_date]]-Table2[[#This Row],[i]]</f>
        <v>16</v>
      </c>
      <c r="BQ274" s="4" t="b">
        <f>Table2[[#This Row],[final_obs_date2]]&gt;Table2[[#This Row],[estHD]]+3</f>
        <v>0</v>
      </c>
      <c r="BR274" s="4" t="s">
        <v>33</v>
      </c>
      <c r="BS274" s="4" t="s">
        <v>53</v>
      </c>
      <c r="BT274" s="79" t="s">
        <v>1176</v>
      </c>
      <c r="BU274" s="26" t="s">
        <v>248</v>
      </c>
      <c r="BV274" s="79" t="s">
        <v>1555</v>
      </c>
      <c r="BW274" s="49"/>
      <c r="BX274" s="47"/>
      <c r="BY274" s="36" t="s">
        <v>649</v>
      </c>
    </row>
    <row r="275" spans="1:77" hidden="1" x14ac:dyDescent="0.35">
      <c r="A275" s="62">
        <v>10405</v>
      </c>
      <c r="B275" s="2" t="s">
        <v>245</v>
      </c>
      <c r="C275" s="44">
        <v>2019</v>
      </c>
      <c r="D275" s="3">
        <v>29.78566</v>
      </c>
      <c r="E275" s="3">
        <v>-93.215689999999995</v>
      </c>
      <c r="F275" s="3">
        <v>0</v>
      </c>
      <c r="G275" s="3">
        <v>0</v>
      </c>
      <c r="H275" s="3" t="s">
        <v>462</v>
      </c>
      <c r="I275" s="43"/>
      <c r="J275" s="55">
        <v>54</v>
      </c>
      <c r="K275" s="4">
        <v>54</v>
      </c>
      <c r="L275" s="22">
        <f>IF(ISNUMBER(Table2[[#This Row],[estHD]]),ABS(Table2[[#This Row],[HD]]-Table2[[#This Row],[estHD]]),"NA")</f>
        <v>0</v>
      </c>
      <c r="M275" s="4" t="b">
        <f>Table2[[#This Row],[HD]]=Table2[[#This Row],[estHD]]</f>
        <v>1</v>
      </c>
      <c r="N275" s="4" t="str">
        <f>IF(ISNUMBER([1]!Table2[[#This Row],[hatch_date]]),[1]!Table2[[#This Row],[hatch_date]]-19,"NA")</f>
        <v>NA</v>
      </c>
      <c r="O275" s="31">
        <v>35</v>
      </c>
      <c r="P275" s="23">
        <f>IF(ISNUMBER(Table2[[#This Row],[nest_age1]]),ABS(Table2[[#This Row],[nest_age1]]-Table2[[#This Row],[nest_age_feb]]),"NA")</f>
        <v>0</v>
      </c>
      <c r="Q275" s="24">
        <f>IF(ISNUMBER(Table2[[#This Row],[final_obs_int2]]),ABS(Table2[[#This Row],[final_obs_int2]]-Table2[[#This Row],[final_obs_int_feb]]), "NA")</f>
        <v>0</v>
      </c>
      <c r="R275" s="24"/>
      <c r="S275" s="57" t="s">
        <v>88</v>
      </c>
      <c r="T275" s="57" t="str">
        <f>Table2[[#This Row],[camera_old]]</f>
        <v>N</v>
      </c>
      <c r="U275" s="24"/>
      <c r="V275" s="16" t="s">
        <v>24</v>
      </c>
      <c r="W275" s="16">
        <v>22</v>
      </c>
      <c r="X275" s="145">
        <v>2</v>
      </c>
      <c r="Y275" s="147" t="s">
        <v>36</v>
      </c>
      <c r="Z275" s="146" t="s">
        <v>36</v>
      </c>
      <c r="AA275" s="4" t="str">
        <f>Table2[[#This Row],[field_fate]]</f>
        <v>A</v>
      </c>
      <c r="AB275" s="4" t="str">
        <f>Table2[[#This Row],[field_fate2]]</f>
        <v>A</v>
      </c>
      <c r="AC275" s="4" t="str">
        <f>Table2[[#This Row],[field_fate3]]</f>
        <v>A</v>
      </c>
      <c r="AD275" s="4" t="str">
        <f>Table2[[#This Row],[field_fate4]]</f>
        <v>A</v>
      </c>
      <c r="AE275" s="4" t="str">
        <f>Table2[[#This Row],[field_fate5]]</f>
        <v>A</v>
      </c>
      <c r="AF275" s="4" t="str">
        <f>Table2[[#This Row],[field_fate5]]</f>
        <v>A</v>
      </c>
      <c r="AG275" s="4" t="str">
        <f>Table2[[#This Row],[field_fate5]]</f>
        <v>A</v>
      </c>
      <c r="AH275" s="4" t="str">
        <f>Table2[[#This Row],[field_fate2]]</f>
        <v>A</v>
      </c>
      <c r="AI275" s="4" t="str">
        <f>Table2[[#This Row],[field_fate8]]</f>
        <v>A</v>
      </c>
      <c r="AJ275" s="4" t="str">
        <f>Table2[[#This Row],[field_fate10]]</f>
        <v>A</v>
      </c>
      <c r="AK275" s="4" t="b">
        <f>Table2[[#This Row],[field_fate_feb]]=Table2[[#This Row],[field_fate10]]</f>
        <v>1</v>
      </c>
      <c r="AL275" s="43" t="s">
        <v>24</v>
      </c>
      <c r="AM275" s="43" t="b">
        <f>Table2[[#This Row],[cam_fate2]]="NA"</f>
        <v>1</v>
      </c>
      <c r="AN275" s="19" t="str">
        <f>Table2[[#This Row],[cam_fate1]]</f>
        <v>NA</v>
      </c>
      <c r="AO275" s="2" t="s">
        <v>36</v>
      </c>
      <c r="AP275" s="5" t="str">
        <f>Table2[[#This Row],[final_fate1]]</f>
        <v>A</v>
      </c>
      <c r="AQ275" s="6">
        <v>22</v>
      </c>
      <c r="AR275" s="7">
        <v>22</v>
      </c>
      <c r="AS275" s="7">
        <f>Table2[[#This Row],[final_obs_date]]-Table2[[#This Row],[init_date]]</f>
        <v>22</v>
      </c>
      <c r="AT275" s="7">
        <f>(Table2[[#This Row],[final_obs_date2]]-Table2[[#This Row],[estHD]])+16</f>
        <v>19</v>
      </c>
      <c r="AU275" s="38">
        <v>2</v>
      </c>
      <c r="AV275" s="33">
        <v>2</v>
      </c>
      <c r="AW275" s="33">
        <f>Table2[[#This Row],[final_obs_date2]]-Table2[[#This Row],[pen_obs_date]]</f>
        <v>57</v>
      </c>
      <c r="AX275" s="67">
        <v>57</v>
      </c>
      <c r="AY275" s="6">
        <f>Table2[[#This Row],[final_obs_date]]</f>
        <v>57</v>
      </c>
      <c r="AZ275" s="6"/>
      <c r="BA275" s="91" t="s">
        <v>47</v>
      </c>
      <c r="BB275" s="6" t="b">
        <f>Table2[[#This Row],[final_obs_date]]&lt;(Table2[[#This Row],[estHD]]-2)</f>
        <v>0</v>
      </c>
      <c r="BC275" s="24">
        <f>IF(Table2[[#This Row],[field_fate]]="H",1,0)</f>
        <v>0</v>
      </c>
      <c r="BD275" s="16">
        <f>IF(Table2[[#This Row],[cam_fate2]]="H",1,0)</f>
        <v>0</v>
      </c>
      <c r="BE275" s="6" t="b">
        <f>NOT(Table2[[#This Row],[HF_C]]=Table2[[#This Row],[HF]])</f>
        <v>0</v>
      </c>
      <c r="BF275" s="6" t="b">
        <f>NOT(Table2[[#This Row],[cam_fate2]]=Table2[[#This Row],[field_fate3]])</f>
        <v>1</v>
      </c>
      <c r="BG275" s="6" t="b">
        <f>OR(Table2[[#This Row],[field_fate3]]="U",Table2[[#This Row],[field_fate3]]="U-H")</f>
        <v>0</v>
      </c>
      <c r="BH275" s="8">
        <v>43</v>
      </c>
      <c r="BI275" s="8">
        <v>55</v>
      </c>
      <c r="BJ275" s="14">
        <f>IF(ISTEXT(Table2[[#This Row],[j.cam]]),Table2[[#This Row],[j]],Table2[[#This Row],[j.cam]])</f>
        <v>55</v>
      </c>
      <c r="BK275" s="9">
        <v>57</v>
      </c>
      <c r="BL275" s="15">
        <f>IF(ISTEXT(Table2[[#This Row],[k.cam]]), Table2[[#This Row],[k]], Table2[[#This Row],[k.cam]])</f>
        <v>57</v>
      </c>
      <c r="BM275" s="4" t="s">
        <v>24</v>
      </c>
      <c r="BN275" s="8" t="s">
        <v>24</v>
      </c>
      <c r="BO275" s="4">
        <v>5</v>
      </c>
      <c r="BP275" s="4">
        <f>Table2[[#This Row],[final_obs_date]]-Table2[[#This Row],[i]]</f>
        <v>14</v>
      </c>
      <c r="BQ275" s="4" t="b">
        <f>Table2[[#This Row],[final_obs_date2]]&gt;Table2[[#This Row],[estHD]]+3</f>
        <v>0</v>
      </c>
      <c r="BR275" s="4" t="s">
        <v>33</v>
      </c>
      <c r="BS275" s="4" t="s">
        <v>28</v>
      </c>
      <c r="BT275" s="79" t="s">
        <v>1177</v>
      </c>
      <c r="BU275" s="26" t="s">
        <v>249</v>
      </c>
      <c r="BV275" s="79" t="s">
        <v>1556</v>
      </c>
      <c r="BW275" s="49"/>
      <c r="BX275" s="47"/>
      <c r="BY275" s="36" t="s">
        <v>650</v>
      </c>
    </row>
    <row r="276" spans="1:77" hidden="1" x14ac:dyDescent="0.35">
      <c r="A276" s="62">
        <v>10406</v>
      </c>
      <c r="B276" s="2" t="s">
        <v>245</v>
      </c>
      <c r="C276" s="44">
        <v>2019</v>
      </c>
      <c r="D276" s="3">
        <v>29.78556</v>
      </c>
      <c r="E276" s="3">
        <v>-93.215230000000005</v>
      </c>
      <c r="F276" s="3">
        <v>0</v>
      </c>
      <c r="G276" s="3">
        <v>0</v>
      </c>
      <c r="H276" s="3" t="s">
        <v>462</v>
      </c>
      <c r="I276" s="43"/>
      <c r="J276" s="55">
        <v>52</v>
      </c>
      <c r="K276" s="4">
        <v>52</v>
      </c>
      <c r="L276" s="22">
        <f>IF(ISNUMBER(Table2[[#This Row],[estHD]]),ABS(Table2[[#This Row],[HD]]-Table2[[#This Row],[estHD]]),"NA")</f>
        <v>0</v>
      </c>
      <c r="M276" s="4" t="b">
        <f>Table2[[#This Row],[HD]]=Table2[[#This Row],[estHD]]</f>
        <v>1</v>
      </c>
      <c r="N276" s="4" t="str">
        <f>IF(ISNUMBER([1]!Table2[[#This Row],[hatch_date]]),[1]!Table2[[#This Row],[hatch_date]]-19,"NA")</f>
        <v>NA</v>
      </c>
      <c r="O276" s="31">
        <v>33</v>
      </c>
      <c r="P276" s="23">
        <f>IF(ISNUMBER(Table2[[#This Row],[nest_age1]]),ABS(Table2[[#This Row],[nest_age1]]-Table2[[#This Row],[nest_age_feb]]),"NA")</f>
        <v>0</v>
      </c>
      <c r="Q276" s="24">
        <f>IF(ISNUMBER(Table2[[#This Row],[final_obs_int2]]),ABS(Table2[[#This Row],[final_obs_int2]]-Table2[[#This Row],[final_obs_int_feb]]), "NA")</f>
        <v>0</v>
      </c>
      <c r="R276" s="24"/>
      <c r="S276" s="57" t="s">
        <v>88</v>
      </c>
      <c r="T276" s="57" t="str">
        <f>Table2[[#This Row],[camera_old]]</f>
        <v>N</v>
      </c>
      <c r="U276" s="24"/>
      <c r="V276" s="16" t="s">
        <v>24</v>
      </c>
      <c r="W276" s="16">
        <v>19</v>
      </c>
      <c r="X276" s="145">
        <v>1</v>
      </c>
      <c r="Y276" s="147" t="s">
        <v>37</v>
      </c>
      <c r="Z276" s="146" t="s">
        <v>37</v>
      </c>
      <c r="AA276" s="4" t="str">
        <f>Table2[[#This Row],[field_fate]]</f>
        <v>H</v>
      </c>
      <c r="AB276" s="4" t="str">
        <f>Table2[[#This Row],[field_fate2]]</f>
        <v>H</v>
      </c>
      <c r="AC276" s="4" t="str">
        <f>Table2[[#This Row],[field_fate3]]</f>
        <v>H</v>
      </c>
      <c r="AD276" s="4" t="str">
        <f>Table2[[#This Row],[field_fate4]]</f>
        <v>H</v>
      </c>
      <c r="AE276" s="4" t="str">
        <f>Table2[[#This Row],[field_fate5]]</f>
        <v>H</v>
      </c>
      <c r="AF276" s="4" t="str">
        <f>Table2[[#This Row],[field_fate5]]</f>
        <v>H</v>
      </c>
      <c r="AG276" s="4" t="str">
        <f>Table2[[#This Row],[field_fate5]]</f>
        <v>H</v>
      </c>
      <c r="AH276" s="4" t="str">
        <f>Table2[[#This Row],[field_fate2]]</f>
        <v>H</v>
      </c>
      <c r="AI276" s="4" t="str">
        <f>Table2[[#This Row],[field_fate8]]</f>
        <v>H</v>
      </c>
      <c r="AJ276" s="4" t="str">
        <f>Table2[[#This Row],[field_fate10]]</f>
        <v>H</v>
      </c>
      <c r="AK276" s="4" t="b">
        <f>Table2[[#This Row],[field_fate_feb]]=Table2[[#This Row],[field_fate10]]</f>
        <v>1</v>
      </c>
      <c r="AL276" s="43" t="s">
        <v>24</v>
      </c>
      <c r="AM276" s="43" t="b">
        <f>Table2[[#This Row],[cam_fate2]]="NA"</f>
        <v>1</v>
      </c>
      <c r="AN276" s="19" t="str">
        <f>Table2[[#This Row],[cam_fate1]]</f>
        <v>NA</v>
      </c>
      <c r="AO276" s="2" t="s">
        <v>37</v>
      </c>
      <c r="AP276" s="5" t="str">
        <f>Table2[[#This Row],[final_fate1]]</f>
        <v>H</v>
      </c>
      <c r="AQ276" s="6">
        <v>19</v>
      </c>
      <c r="AR276" s="7">
        <v>19</v>
      </c>
      <c r="AS276" s="7">
        <f>Table2[[#This Row],[final_obs_date]]-Table2[[#This Row],[init_date]]</f>
        <v>19</v>
      </c>
      <c r="AT276" s="7">
        <f>(Table2[[#This Row],[final_obs_date2]]-Table2[[#This Row],[estHD]])+16</f>
        <v>16</v>
      </c>
      <c r="AU276" s="38">
        <v>1</v>
      </c>
      <c r="AV276" s="33">
        <v>1</v>
      </c>
      <c r="AW276" s="33">
        <f>Table2[[#This Row],[final_obs_date2]]-Table2[[#This Row],[pen_obs_date]]</f>
        <v>52</v>
      </c>
      <c r="AX276" s="67">
        <v>52</v>
      </c>
      <c r="AY276" s="6">
        <f>Table2[[#This Row],[final_obs_date]]</f>
        <v>52</v>
      </c>
      <c r="AZ276" s="6"/>
      <c r="BA276" s="91" t="s">
        <v>47</v>
      </c>
      <c r="BB276" s="6" t="b">
        <f>Table2[[#This Row],[final_obs_date]]&lt;(Table2[[#This Row],[estHD]]-2)</f>
        <v>0</v>
      </c>
      <c r="BC276" s="24">
        <f>IF(Table2[[#This Row],[field_fate]]="H",1,0)</f>
        <v>1</v>
      </c>
      <c r="BD276" s="16">
        <f>IF(Table2[[#This Row],[cam_fate2]]="H",1,0)</f>
        <v>0</v>
      </c>
      <c r="BE276" s="6" t="b">
        <f>NOT(Table2[[#This Row],[HF_C]]=Table2[[#This Row],[HF]])</f>
        <v>1</v>
      </c>
      <c r="BF276" s="6" t="b">
        <f>NOT(Table2[[#This Row],[cam_fate2]]=Table2[[#This Row],[field_fate3]])</f>
        <v>1</v>
      </c>
      <c r="BG276" s="6" t="b">
        <f>OR(Table2[[#This Row],[field_fate3]]="U",Table2[[#This Row],[field_fate3]]="U-H")</f>
        <v>0</v>
      </c>
      <c r="BH276" s="8">
        <v>43</v>
      </c>
      <c r="BI276" s="8">
        <v>52</v>
      </c>
      <c r="BJ276" s="14">
        <f>IF(ISTEXT(Table2[[#This Row],[j.cam]]),Table2[[#This Row],[j]],Table2[[#This Row],[j.cam]])</f>
        <v>52</v>
      </c>
      <c r="BK276" s="9">
        <v>52</v>
      </c>
      <c r="BL276" s="15">
        <f>IF(ISTEXT(Table2[[#This Row],[k.cam]]), Table2[[#This Row],[k]], Table2[[#This Row],[k.cam]])</f>
        <v>52</v>
      </c>
      <c r="BM276" s="4" t="s">
        <v>24</v>
      </c>
      <c r="BN276" s="8" t="s">
        <v>24</v>
      </c>
      <c r="BO276" s="4">
        <v>4</v>
      </c>
      <c r="BP276" s="4">
        <f>Table2[[#This Row],[final_obs_date]]-Table2[[#This Row],[i]]</f>
        <v>9</v>
      </c>
      <c r="BQ276" s="4" t="b">
        <f>Table2[[#This Row],[final_obs_date2]]&gt;Table2[[#This Row],[estHD]]+3</f>
        <v>0</v>
      </c>
      <c r="BR276" s="4" t="s">
        <v>27</v>
      </c>
      <c r="BS276" s="4" t="s">
        <v>44</v>
      </c>
      <c r="BT276" s="79" t="s">
        <v>1178</v>
      </c>
      <c r="BU276" s="26" t="s">
        <v>250</v>
      </c>
      <c r="BV276" s="79" t="s">
        <v>1557</v>
      </c>
      <c r="BW276" s="49"/>
      <c r="BX276" s="47"/>
      <c r="BY276" s="36" t="s">
        <v>651</v>
      </c>
    </row>
    <row r="277" spans="1:77" hidden="1" x14ac:dyDescent="0.35">
      <c r="A277" s="62">
        <v>10407</v>
      </c>
      <c r="B277" s="2" t="s">
        <v>245</v>
      </c>
      <c r="C277" s="44">
        <v>2019</v>
      </c>
      <c r="D277" s="3">
        <v>29.78557</v>
      </c>
      <c r="E277" s="3">
        <v>-93.215199999999996</v>
      </c>
      <c r="F277" s="3">
        <v>0</v>
      </c>
      <c r="G277" s="3">
        <v>0</v>
      </c>
      <c r="H277" s="3" t="s">
        <v>462</v>
      </c>
      <c r="I277" s="43"/>
      <c r="J277" s="55">
        <v>59</v>
      </c>
      <c r="K277" s="4">
        <v>59</v>
      </c>
      <c r="L277" s="22">
        <f>IF(ISNUMBER(Table2[[#This Row],[estHD]]),ABS(Table2[[#This Row],[HD]]-Table2[[#This Row],[estHD]]),"NA")</f>
        <v>0</v>
      </c>
      <c r="M277" s="4" t="b">
        <f>Table2[[#This Row],[HD]]=Table2[[#This Row],[estHD]]</f>
        <v>1</v>
      </c>
      <c r="N277" s="4" t="str">
        <f>IF(ISNUMBER([1]!Table2[[#This Row],[hatch_date]]),[1]!Table2[[#This Row],[hatch_date]]-19,"NA")</f>
        <v>NA</v>
      </c>
      <c r="O277" s="31">
        <v>40</v>
      </c>
      <c r="P277" s="23">
        <f>IF(ISNUMBER(Table2[[#This Row],[nest_age1]]),ABS(Table2[[#This Row],[nest_age1]]-Table2[[#This Row],[nest_age_feb]]),"NA")</f>
        <v>0</v>
      </c>
      <c r="Q277" s="24">
        <f>IF(ISNUMBER(Table2[[#This Row],[final_obs_int2]]),ABS(Table2[[#This Row],[final_obs_int2]]-Table2[[#This Row],[final_obs_int_feb]]), "NA")</f>
        <v>0</v>
      </c>
      <c r="R277" s="24"/>
      <c r="S277" s="57" t="s">
        <v>88</v>
      </c>
      <c r="T277" s="57" t="str">
        <f>Table2[[#This Row],[camera_old]]</f>
        <v>N</v>
      </c>
      <c r="U277" s="24"/>
      <c r="V277" s="16" t="s">
        <v>24</v>
      </c>
      <c r="W277" s="16">
        <v>17</v>
      </c>
      <c r="X277" s="145">
        <v>2</v>
      </c>
      <c r="Y277" s="147" t="s">
        <v>149</v>
      </c>
      <c r="Z277" s="146" t="s">
        <v>149</v>
      </c>
      <c r="AA277" s="4" t="str">
        <f>Table2[[#This Row],[field_fate]]</f>
        <v>W</v>
      </c>
      <c r="AB277" s="4" t="str">
        <f>Table2[[#This Row],[field_fate2]]</f>
        <v>W</v>
      </c>
      <c r="AC277" s="4" t="str">
        <f>Table2[[#This Row],[field_fate3]]</f>
        <v>W</v>
      </c>
      <c r="AD277" s="4" t="str">
        <f>Table2[[#This Row],[field_fate4]]</f>
        <v>W</v>
      </c>
      <c r="AE277" s="4" t="str">
        <f>Table2[[#This Row],[field_fate5]]</f>
        <v>W</v>
      </c>
      <c r="AF277" s="4" t="str">
        <f>Table2[[#This Row],[field_fate5]]</f>
        <v>W</v>
      </c>
      <c r="AG277" s="4" t="str">
        <f>Table2[[#This Row],[field_fate5]]</f>
        <v>W</v>
      </c>
      <c r="AH277" s="4" t="str">
        <f>Table2[[#This Row],[field_fate2]]</f>
        <v>W</v>
      </c>
      <c r="AI277" s="4" t="str">
        <f>Table2[[#This Row],[field_fate8]]</f>
        <v>W</v>
      </c>
      <c r="AJ277" s="4" t="str">
        <f>Table2[[#This Row],[field_fate10]]</f>
        <v>W</v>
      </c>
      <c r="AK277" s="4" t="b">
        <f>Table2[[#This Row],[field_fate_feb]]=Table2[[#This Row],[field_fate10]]</f>
        <v>1</v>
      </c>
      <c r="AL277" s="43" t="s">
        <v>24</v>
      </c>
      <c r="AM277" s="43" t="b">
        <f>Table2[[#This Row],[cam_fate2]]="NA"</f>
        <v>1</v>
      </c>
      <c r="AN277" s="19" t="str">
        <f>Table2[[#This Row],[cam_fate1]]</f>
        <v>NA</v>
      </c>
      <c r="AO277" s="2" t="s">
        <v>149</v>
      </c>
      <c r="AP277" s="5" t="str">
        <f>Table2[[#This Row],[final_fate1]]</f>
        <v>W</v>
      </c>
      <c r="AQ277" s="6">
        <v>17</v>
      </c>
      <c r="AR277" s="7">
        <v>17</v>
      </c>
      <c r="AS277" s="7">
        <f>Table2[[#This Row],[final_obs_date]]-Table2[[#This Row],[init_date]]</f>
        <v>17</v>
      </c>
      <c r="AT277" s="7">
        <f>(Table2[[#This Row],[final_obs_date2]]-Table2[[#This Row],[estHD]])+16</f>
        <v>14</v>
      </c>
      <c r="AU277" s="38">
        <v>2</v>
      </c>
      <c r="AV277" s="33">
        <v>2</v>
      </c>
      <c r="AW277" s="33">
        <f>Table2[[#This Row],[final_obs_date2]]-Table2[[#This Row],[pen_obs_date]]</f>
        <v>57</v>
      </c>
      <c r="AX277" s="67">
        <v>57</v>
      </c>
      <c r="AY277" s="6">
        <f>Table2[[#This Row],[final_obs_date]]</f>
        <v>57</v>
      </c>
      <c r="AZ277" s="6"/>
      <c r="BA277" s="91" t="s">
        <v>47</v>
      </c>
      <c r="BB277" s="6" t="b">
        <f>Table2[[#This Row],[final_obs_date]]&lt;(Table2[[#This Row],[estHD]]-2)</f>
        <v>0</v>
      </c>
      <c r="BC277" s="24">
        <f>IF(Table2[[#This Row],[field_fate]]="H",1,0)</f>
        <v>0</v>
      </c>
      <c r="BD277" s="16">
        <f>IF(Table2[[#This Row],[cam_fate2]]="H",1,0)</f>
        <v>0</v>
      </c>
      <c r="BE277" s="6" t="b">
        <f>NOT(Table2[[#This Row],[HF_C]]=Table2[[#This Row],[HF]])</f>
        <v>0</v>
      </c>
      <c r="BF277" s="6" t="b">
        <f>NOT(Table2[[#This Row],[cam_fate2]]=Table2[[#This Row],[field_fate3]])</f>
        <v>1</v>
      </c>
      <c r="BG277" s="6" t="b">
        <f>OR(Table2[[#This Row],[field_fate3]]="U",Table2[[#This Row],[field_fate3]]="U-H")</f>
        <v>0</v>
      </c>
      <c r="BH277" s="8">
        <v>51</v>
      </c>
      <c r="BI277" s="8">
        <v>55</v>
      </c>
      <c r="BJ277" s="14">
        <f>IF(ISTEXT(Table2[[#This Row],[j.cam]]),Table2[[#This Row],[j]],Table2[[#This Row],[j.cam]])</f>
        <v>55</v>
      </c>
      <c r="BK277" s="9">
        <v>57</v>
      </c>
      <c r="BL277" s="15">
        <f>IF(ISTEXT(Table2[[#This Row],[k.cam]]), Table2[[#This Row],[k]], Table2[[#This Row],[k.cam]])</f>
        <v>57</v>
      </c>
      <c r="BM277" s="4" t="s">
        <v>24</v>
      </c>
      <c r="BN277" s="8" t="s">
        <v>24</v>
      </c>
      <c r="BO277" s="4">
        <v>4</v>
      </c>
      <c r="BP277" s="4">
        <f>Table2[[#This Row],[final_obs_date]]-Table2[[#This Row],[i]]</f>
        <v>6</v>
      </c>
      <c r="BQ277" s="4" t="b">
        <f>Table2[[#This Row],[final_obs_date2]]&gt;Table2[[#This Row],[estHD]]+3</f>
        <v>0</v>
      </c>
      <c r="BR277" s="4" t="s">
        <v>33</v>
      </c>
      <c r="BS277" s="4" t="s">
        <v>28</v>
      </c>
      <c r="BT277" s="79" t="s">
        <v>1179</v>
      </c>
      <c r="BU277" s="26" t="s">
        <v>251</v>
      </c>
      <c r="BV277" s="79" t="s">
        <v>1558</v>
      </c>
      <c r="BW277" s="49"/>
      <c r="BX277" s="47"/>
      <c r="BY277" s="36" t="s">
        <v>652</v>
      </c>
    </row>
    <row r="278" spans="1:77" hidden="1" x14ac:dyDescent="0.35">
      <c r="A278" s="62">
        <v>10408</v>
      </c>
      <c r="B278" s="2" t="s">
        <v>245</v>
      </c>
      <c r="C278" s="44">
        <v>2019</v>
      </c>
      <c r="D278" s="3">
        <v>29.78557</v>
      </c>
      <c r="E278" s="3">
        <v>-93.215320000000006</v>
      </c>
      <c r="F278" s="3">
        <v>0</v>
      </c>
      <c r="G278" s="3">
        <v>0</v>
      </c>
      <c r="H278" s="3" t="s">
        <v>462</v>
      </c>
      <c r="I278" s="43"/>
      <c r="J278" s="55">
        <v>59</v>
      </c>
      <c r="K278" s="4">
        <v>62</v>
      </c>
      <c r="L278" s="22">
        <f>IF(ISNUMBER(Table2[[#This Row],[estHD]]),ABS(Table2[[#This Row],[HD]]-Table2[[#This Row],[estHD]]),"NA")</f>
        <v>3</v>
      </c>
      <c r="M278" s="4" t="b">
        <f>Table2[[#This Row],[HD]]=Table2[[#This Row],[estHD]]</f>
        <v>0</v>
      </c>
      <c r="N278" s="4" t="str">
        <f>IF(ISNUMBER([1]!Table2[[#This Row],[hatch_date]]),[1]!Table2[[#This Row],[hatch_date]]-19,"NA")</f>
        <v>NA</v>
      </c>
      <c r="O278" s="31">
        <v>43</v>
      </c>
      <c r="P278" s="23">
        <f>IF(ISNUMBER(Table2[[#This Row],[nest_age1]]),ABS(Table2[[#This Row],[nest_age1]]-Table2[[#This Row],[nest_age_feb]]),"NA")</f>
        <v>3</v>
      </c>
      <c r="Q278" s="24">
        <f>IF(ISNUMBER(Table2[[#This Row],[final_obs_int2]]),ABS(Table2[[#This Row],[final_obs_int2]]-Table2[[#This Row],[final_obs_int_feb]]), "NA")</f>
        <v>0</v>
      </c>
      <c r="R278" s="24"/>
      <c r="S278" s="57" t="s">
        <v>88</v>
      </c>
      <c r="T278" s="57" t="str">
        <f>Table2[[#This Row],[camera_old]]</f>
        <v>N</v>
      </c>
      <c r="U278" s="24"/>
      <c r="V278" s="16" t="s">
        <v>24</v>
      </c>
      <c r="W278" s="16">
        <v>22</v>
      </c>
      <c r="X278" s="145">
        <v>5</v>
      </c>
      <c r="Y278" s="147" t="s">
        <v>37</v>
      </c>
      <c r="Z278" s="146" t="s">
        <v>37</v>
      </c>
      <c r="AA278" s="4" t="str">
        <f>Table2[[#This Row],[field_fate]]</f>
        <v>H</v>
      </c>
      <c r="AB278" s="4" t="str">
        <f>Table2[[#This Row],[field_fate2]]</f>
        <v>H</v>
      </c>
      <c r="AC278" s="4" t="str">
        <f>Table2[[#This Row],[field_fate3]]</f>
        <v>H</v>
      </c>
      <c r="AD278" s="4" t="str">
        <f>Table2[[#This Row],[field_fate4]]</f>
        <v>H</v>
      </c>
      <c r="AE278" s="4" t="str">
        <f>Table2[[#This Row],[field_fate5]]</f>
        <v>H</v>
      </c>
      <c r="AF278" s="4" t="str">
        <f>Table2[[#This Row],[field_fate5]]</f>
        <v>H</v>
      </c>
      <c r="AG278" s="4" t="str">
        <f>Table2[[#This Row],[field_fate5]]</f>
        <v>H</v>
      </c>
      <c r="AH278" s="4" t="str">
        <f>Table2[[#This Row],[field_fate2]]</f>
        <v>H</v>
      </c>
      <c r="AI278" s="4" t="str">
        <f>Table2[[#This Row],[field_fate8]]</f>
        <v>H</v>
      </c>
      <c r="AJ278" s="4" t="str">
        <f>Table2[[#This Row],[field_fate10]]</f>
        <v>H</v>
      </c>
      <c r="AK278" s="4" t="b">
        <f>Table2[[#This Row],[field_fate_feb]]=Table2[[#This Row],[field_fate10]]</f>
        <v>1</v>
      </c>
      <c r="AL278" s="43" t="s">
        <v>24</v>
      </c>
      <c r="AM278" s="43" t="b">
        <f>Table2[[#This Row],[cam_fate2]]="NA"</f>
        <v>1</v>
      </c>
      <c r="AN278" s="19" t="str">
        <f>Table2[[#This Row],[cam_fate1]]</f>
        <v>NA</v>
      </c>
      <c r="AO278" s="2" t="s">
        <v>37</v>
      </c>
      <c r="AP278" s="5" t="str">
        <f>Table2[[#This Row],[final_fate1]]</f>
        <v>H</v>
      </c>
      <c r="AQ278" s="6">
        <v>19</v>
      </c>
      <c r="AR278" s="7">
        <v>22</v>
      </c>
      <c r="AS278" s="7">
        <f>Table2[[#This Row],[final_obs_date]]-Table2[[#This Row],[init_date]]</f>
        <v>19</v>
      </c>
      <c r="AT278" s="7">
        <f>(Table2[[#This Row],[final_obs_date2]]-Table2[[#This Row],[estHD]])+16</f>
        <v>19</v>
      </c>
      <c r="AU278" s="38">
        <v>5</v>
      </c>
      <c r="AV278" s="33">
        <v>5</v>
      </c>
      <c r="AW278" s="33">
        <f>Table2[[#This Row],[final_obs_date2]]-Table2[[#This Row],[pen_obs_date]]</f>
        <v>62</v>
      </c>
      <c r="AX278" s="67">
        <v>62</v>
      </c>
      <c r="AY278" s="6">
        <f>Table2[[#This Row],[final_obs_date]]</f>
        <v>62</v>
      </c>
      <c r="AZ278" s="6"/>
      <c r="BA278" s="91" t="s">
        <v>47</v>
      </c>
      <c r="BB278" s="6" t="b">
        <f>Table2[[#This Row],[final_obs_date]]&lt;(Table2[[#This Row],[estHD]]-2)</f>
        <v>0</v>
      </c>
      <c r="BC278" s="24">
        <f>IF(Table2[[#This Row],[field_fate]]="H",1,0)</f>
        <v>1</v>
      </c>
      <c r="BD278" s="16">
        <f>IF(Table2[[#This Row],[cam_fate2]]="H",1,0)</f>
        <v>0</v>
      </c>
      <c r="BE278" s="6" t="b">
        <f>NOT(Table2[[#This Row],[HF_C]]=Table2[[#This Row],[HF]])</f>
        <v>1</v>
      </c>
      <c r="BF278" s="6" t="b">
        <f>NOT(Table2[[#This Row],[cam_fate2]]=Table2[[#This Row],[field_fate3]])</f>
        <v>1</v>
      </c>
      <c r="BG278" s="6" t="b">
        <f>OR(Table2[[#This Row],[field_fate3]]="U",Table2[[#This Row],[field_fate3]]="U-H")</f>
        <v>0</v>
      </c>
      <c r="BH278" s="8">
        <v>51</v>
      </c>
      <c r="BI278" s="8">
        <v>62</v>
      </c>
      <c r="BJ278" s="14">
        <f>IF(ISTEXT(Table2[[#This Row],[j.cam]]),Table2[[#This Row],[j]],Table2[[#This Row],[j.cam]])</f>
        <v>62</v>
      </c>
      <c r="BK278" s="9">
        <v>62</v>
      </c>
      <c r="BL278" s="15">
        <f>IF(ISTEXT(Table2[[#This Row],[k.cam]]), Table2[[#This Row],[k]], Table2[[#This Row],[k.cam]])</f>
        <v>62</v>
      </c>
      <c r="BM278" s="4" t="s">
        <v>24</v>
      </c>
      <c r="BN278" s="8" t="s">
        <v>24</v>
      </c>
      <c r="BO278" s="4">
        <v>5</v>
      </c>
      <c r="BP278" s="4">
        <f>Table2[[#This Row],[final_obs_date]]-Table2[[#This Row],[i]]</f>
        <v>11</v>
      </c>
      <c r="BQ278" s="4" t="b">
        <f>Table2[[#This Row],[final_obs_date2]]&gt;Table2[[#This Row],[estHD]]+3</f>
        <v>0</v>
      </c>
      <c r="BR278" s="4" t="s">
        <v>33</v>
      </c>
      <c r="BS278" s="4" t="s">
        <v>139</v>
      </c>
      <c r="BT278" s="79" t="s">
        <v>1180</v>
      </c>
      <c r="BU278" s="26" t="s">
        <v>252</v>
      </c>
      <c r="BV278" s="79" t="s">
        <v>1559</v>
      </c>
      <c r="BW278" s="49"/>
      <c r="BX278" s="47"/>
      <c r="BY278" s="36" t="s">
        <v>24</v>
      </c>
    </row>
    <row r="279" spans="1:77" hidden="1" x14ac:dyDescent="0.35">
      <c r="A279" s="62">
        <v>10409</v>
      </c>
      <c r="B279" s="2" t="s">
        <v>245</v>
      </c>
      <c r="C279" s="44">
        <v>2019</v>
      </c>
      <c r="D279" s="3">
        <v>29.78558</v>
      </c>
      <c r="E279" s="3">
        <v>-93.215440000000001</v>
      </c>
      <c r="F279" s="3">
        <v>0</v>
      </c>
      <c r="G279" s="3">
        <v>0</v>
      </c>
      <c r="H279" s="3" t="s">
        <v>462</v>
      </c>
      <c r="I279" s="43"/>
      <c r="J279" s="55">
        <v>59</v>
      </c>
      <c r="K279" s="4">
        <v>62</v>
      </c>
      <c r="L279" s="22">
        <f>IF(ISNUMBER(Table2[[#This Row],[estHD]]),ABS(Table2[[#This Row],[HD]]-Table2[[#This Row],[estHD]]),"NA")</f>
        <v>3</v>
      </c>
      <c r="M279" s="4" t="b">
        <f>Table2[[#This Row],[HD]]=Table2[[#This Row],[estHD]]</f>
        <v>0</v>
      </c>
      <c r="N279" s="4" t="str">
        <f>IF(ISNUMBER([1]!Table2[[#This Row],[hatch_date]]),[1]!Table2[[#This Row],[hatch_date]]-19,"NA")</f>
        <v>NA</v>
      </c>
      <c r="O279" s="31">
        <v>43</v>
      </c>
      <c r="P279" s="23">
        <f>IF(ISNUMBER(Table2[[#This Row],[nest_age1]]),ABS(Table2[[#This Row],[nest_age1]]-Table2[[#This Row],[nest_age_feb]]),"NA")</f>
        <v>3</v>
      </c>
      <c r="Q279" s="24">
        <f>IF(ISNUMBER(Table2[[#This Row],[final_obs_int2]]),ABS(Table2[[#This Row],[final_obs_int2]]-Table2[[#This Row],[final_obs_int_feb]]), "NA")</f>
        <v>0</v>
      </c>
      <c r="R279" s="24"/>
      <c r="S279" s="57" t="s">
        <v>88</v>
      </c>
      <c r="T279" s="57" t="str">
        <f>Table2[[#This Row],[camera_old]]</f>
        <v>N</v>
      </c>
      <c r="U279" s="24"/>
      <c r="V279" s="16" t="s">
        <v>24</v>
      </c>
      <c r="W279" s="16">
        <v>22</v>
      </c>
      <c r="X279" s="145">
        <v>5</v>
      </c>
      <c r="Y279" s="147" t="s">
        <v>37</v>
      </c>
      <c r="Z279" s="146" t="s">
        <v>37</v>
      </c>
      <c r="AA279" s="4" t="str">
        <f>Table2[[#This Row],[field_fate]]</f>
        <v>H</v>
      </c>
      <c r="AB279" s="4" t="str">
        <f>Table2[[#This Row],[field_fate2]]</f>
        <v>H</v>
      </c>
      <c r="AC279" s="4" t="str">
        <f>Table2[[#This Row],[field_fate3]]</f>
        <v>H</v>
      </c>
      <c r="AD279" s="4" t="str">
        <f>Table2[[#This Row],[field_fate4]]</f>
        <v>H</v>
      </c>
      <c r="AE279" s="4" t="str">
        <f>Table2[[#This Row],[field_fate5]]</f>
        <v>H</v>
      </c>
      <c r="AF279" s="4" t="str">
        <f>Table2[[#This Row],[field_fate5]]</f>
        <v>H</v>
      </c>
      <c r="AG279" s="4" t="str">
        <f>Table2[[#This Row],[field_fate5]]</f>
        <v>H</v>
      </c>
      <c r="AH279" s="4" t="str">
        <f>Table2[[#This Row],[field_fate2]]</f>
        <v>H</v>
      </c>
      <c r="AI279" s="4" t="str">
        <f>Table2[[#This Row],[field_fate8]]</f>
        <v>H</v>
      </c>
      <c r="AJ279" s="4" t="str">
        <f>Table2[[#This Row],[field_fate10]]</f>
        <v>H</v>
      </c>
      <c r="AK279" s="4" t="b">
        <f>Table2[[#This Row],[field_fate_feb]]=Table2[[#This Row],[field_fate10]]</f>
        <v>1</v>
      </c>
      <c r="AL279" s="43" t="s">
        <v>24</v>
      </c>
      <c r="AM279" s="43" t="b">
        <f>Table2[[#This Row],[cam_fate2]]="NA"</f>
        <v>1</v>
      </c>
      <c r="AN279" s="19" t="str">
        <f>Table2[[#This Row],[cam_fate1]]</f>
        <v>NA</v>
      </c>
      <c r="AO279" s="2" t="s">
        <v>37</v>
      </c>
      <c r="AP279" s="5" t="str">
        <f>Table2[[#This Row],[final_fate1]]</f>
        <v>H</v>
      </c>
      <c r="AQ279" s="6">
        <v>19</v>
      </c>
      <c r="AR279" s="7">
        <v>22</v>
      </c>
      <c r="AS279" s="7">
        <f>Table2[[#This Row],[final_obs_date]]-Table2[[#This Row],[init_date]]</f>
        <v>19</v>
      </c>
      <c r="AT279" s="7">
        <f>(Table2[[#This Row],[final_obs_date2]]-Table2[[#This Row],[estHD]])+16</f>
        <v>19</v>
      </c>
      <c r="AU279" s="38">
        <v>5</v>
      </c>
      <c r="AV279" s="33">
        <v>5</v>
      </c>
      <c r="AW279" s="33">
        <f>Table2[[#This Row],[final_obs_date2]]-Table2[[#This Row],[pen_obs_date]]</f>
        <v>62</v>
      </c>
      <c r="AX279" s="67">
        <v>62</v>
      </c>
      <c r="AY279" s="6">
        <f>Table2[[#This Row],[final_obs_date]]</f>
        <v>62</v>
      </c>
      <c r="AZ279" s="6"/>
      <c r="BA279" s="91" t="s">
        <v>47</v>
      </c>
      <c r="BB279" s="6" t="b">
        <f>Table2[[#This Row],[final_obs_date]]&lt;(Table2[[#This Row],[estHD]]-2)</f>
        <v>0</v>
      </c>
      <c r="BC279" s="24">
        <f>IF(Table2[[#This Row],[field_fate]]="H",1,0)</f>
        <v>1</v>
      </c>
      <c r="BD279" s="16">
        <f>IF(Table2[[#This Row],[cam_fate2]]="H",1,0)</f>
        <v>0</v>
      </c>
      <c r="BE279" s="6" t="b">
        <f>NOT(Table2[[#This Row],[HF_C]]=Table2[[#This Row],[HF]])</f>
        <v>1</v>
      </c>
      <c r="BF279" s="6" t="b">
        <f>NOT(Table2[[#This Row],[cam_fate2]]=Table2[[#This Row],[field_fate3]])</f>
        <v>1</v>
      </c>
      <c r="BG279" s="6" t="b">
        <f>OR(Table2[[#This Row],[field_fate3]]="U",Table2[[#This Row],[field_fate3]]="U-H")</f>
        <v>0</v>
      </c>
      <c r="BH279" s="8">
        <v>51</v>
      </c>
      <c r="BI279" s="8">
        <v>62</v>
      </c>
      <c r="BJ279" s="14">
        <f>IF(ISTEXT(Table2[[#This Row],[j.cam]]),Table2[[#This Row],[j]],Table2[[#This Row],[j.cam]])</f>
        <v>62</v>
      </c>
      <c r="BK279" s="9">
        <v>62</v>
      </c>
      <c r="BL279" s="15">
        <f>IF(ISTEXT(Table2[[#This Row],[k.cam]]), Table2[[#This Row],[k]], Table2[[#This Row],[k.cam]])</f>
        <v>62</v>
      </c>
      <c r="BM279" s="4" t="s">
        <v>24</v>
      </c>
      <c r="BN279" s="8" t="s">
        <v>24</v>
      </c>
      <c r="BO279" s="4">
        <v>5</v>
      </c>
      <c r="BP279" s="4">
        <f>Table2[[#This Row],[final_obs_date]]-Table2[[#This Row],[i]]</f>
        <v>11</v>
      </c>
      <c r="BQ279" s="4" t="b">
        <f>Table2[[#This Row],[final_obs_date2]]&gt;Table2[[#This Row],[estHD]]+3</f>
        <v>0</v>
      </c>
      <c r="BR279" s="4" t="s">
        <v>27</v>
      </c>
      <c r="BS279" s="4" t="s">
        <v>253</v>
      </c>
      <c r="BT279" s="79" t="s">
        <v>1180</v>
      </c>
      <c r="BU279" s="26" t="s">
        <v>254</v>
      </c>
      <c r="BV279" s="79" t="s">
        <v>1559</v>
      </c>
      <c r="BW279" s="49"/>
      <c r="BX279" s="47"/>
      <c r="BY279" s="36" t="s">
        <v>24</v>
      </c>
    </row>
    <row r="280" spans="1:77" hidden="1" x14ac:dyDescent="0.35">
      <c r="A280" s="62">
        <v>10410</v>
      </c>
      <c r="B280" s="2" t="s">
        <v>245</v>
      </c>
      <c r="C280" s="44">
        <v>2019</v>
      </c>
      <c r="D280" s="3">
        <v>29.785550000000001</v>
      </c>
      <c r="E280" s="3">
        <v>-93.215419999999995</v>
      </c>
      <c r="F280" s="3">
        <v>0</v>
      </c>
      <c r="G280" s="3">
        <v>0</v>
      </c>
      <c r="H280" s="3" t="s">
        <v>462</v>
      </c>
      <c r="I280" s="43"/>
      <c r="J280" s="55">
        <v>59</v>
      </c>
      <c r="K280" s="4">
        <v>62</v>
      </c>
      <c r="L280" s="22">
        <f>IF(ISNUMBER(Table2[[#This Row],[estHD]]),ABS(Table2[[#This Row],[HD]]-Table2[[#This Row],[estHD]]),"NA")</f>
        <v>3</v>
      </c>
      <c r="M280" s="4" t="b">
        <f>Table2[[#This Row],[HD]]=Table2[[#This Row],[estHD]]</f>
        <v>0</v>
      </c>
      <c r="N280" s="4" t="str">
        <f>IF(ISNUMBER([1]!Table2[[#This Row],[hatch_date]]),[1]!Table2[[#This Row],[hatch_date]]-19,"NA")</f>
        <v>NA</v>
      </c>
      <c r="O280" s="31">
        <v>43</v>
      </c>
      <c r="P280" s="23">
        <f>IF(ISNUMBER(Table2[[#This Row],[nest_age1]]),ABS(Table2[[#This Row],[nest_age1]]-Table2[[#This Row],[nest_age_feb]]),"NA")</f>
        <v>3</v>
      </c>
      <c r="Q280" s="24">
        <f>IF(ISNUMBER(Table2[[#This Row],[final_obs_int2]]),ABS(Table2[[#This Row],[final_obs_int2]]-Table2[[#This Row],[final_obs_int_feb]]), "NA")</f>
        <v>0</v>
      </c>
      <c r="R280" s="24"/>
      <c r="S280" s="57" t="s">
        <v>88</v>
      </c>
      <c r="T280" s="57" t="str">
        <f>Table2[[#This Row],[camera_old]]</f>
        <v>N</v>
      </c>
      <c r="U280" s="24"/>
      <c r="V280" s="16" t="s">
        <v>24</v>
      </c>
      <c r="W280" s="16">
        <v>22</v>
      </c>
      <c r="X280" s="145">
        <v>5</v>
      </c>
      <c r="Y280" s="147" t="s">
        <v>37</v>
      </c>
      <c r="Z280" s="146" t="s">
        <v>37</v>
      </c>
      <c r="AA280" s="4" t="str">
        <f>Table2[[#This Row],[field_fate]]</f>
        <v>H</v>
      </c>
      <c r="AB280" s="4" t="str">
        <f>Table2[[#This Row],[field_fate2]]</f>
        <v>H</v>
      </c>
      <c r="AC280" s="4" t="str">
        <f>Table2[[#This Row],[field_fate3]]</f>
        <v>H</v>
      </c>
      <c r="AD280" s="4" t="str">
        <f>Table2[[#This Row],[field_fate4]]</f>
        <v>H</v>
      </c>
      <c r="AE280" s="4" t="str">
        <f>Table2[[#This Row],[field_fate5]]</f>
        <v>H</v>
      </c>
      <c r="AF280" s="4" t="str">
        <f>Table2[[#This Row],[field_fate5]]</f>
        <v>H</v>
      </c>
      <c r="AG280" s="4" t="str">
        <f>Table2[[#This Row],[field_fate5]]</f>
        <v>H</v>
      </c>
      <c r="AH280" s="4" t="str">
        <f>Table2[[#This Row],[field_fate2]]</f>
        <v>H</v>
      </c>
      <c r="AI280" s="4" t="str">
        <f>Table2[[#This Row],[field_fate8]]</f>
        <v>H</v>
      </c>
      <c r="AJ280" s="4" t="str">
        <f>Table2[[#This Row],[field_fate10]]</f>
        <v>H</v>
      </c>
      <c r="AK280" s="4" t="b">
        <f>Table2[[#This Row],[field_fate_feb]]=Table2[[#This Row],[field_fate10]]</f>
        <v>1</v>
      </c>
      <c r="AL280" s="43" t="s">
        <v>24</v>
      </c>
      <c r="AM280" s="43" t="b">
        <f>Table2[[#This Row],[cam_fate2]]="NA"</f>
        <v>1</v>
      </c>
      <c r="AN280" s="19" t="str">
        <f>Table2[[#This Row],[cam_fate1]]</f>
        <v>NA</v>
      </c>
      <c r="AO280" s="2" t="s">
        <v>37</v>
      </c>
      <c r="AP280" s="5" t="str">
        <f>Table2[[#This Row],[final_fate1]]</f>
        <v>H</v>
      </c>
      <c r="AQ280" s="6">
        <v>19</v>
      </c>
      <c r="AR280" s="7">
        <v>22</v>
      </c>
      <c r="AS280" s="7">
        <f>Table2[[#This Row],[final_obs_date]]-Table2[[#This Row],[init_date]]</f>
        <v>19</v>
      </c>
      <c r="AT280" s="7">
        <f>(Table2[[#This Row],[final_obs_date2]]-Table2[[#This Row],[estHD]])+16</f>
        <v>19</v>
      </c>
      <c r="AU280" s="38">
        <v>5</v>
      </c>
      <c r="AV280" s="33">
        <v>5</v>
      </c>
      <c r="AW280" s="33">
        <f>Table2[[#This Row],[final_obs_date2]]-Table2[[#This Row],[pen_obs_date]]</f>
        <v>62</v>
      </c>
      <c r="AX280" s="67">
        <v>62</v>
      </c>
      <c r="AY280" s="6">
        <f>Table2[[#This Row],[final_obs_date]]</f>
        <v>62</v>
      </c>
      <c r="AZ280" s="6"/>
      <c r="BA280" s="91" t="s">
        <v>47</v>
      </c>
      <c r="BB280" s="6" t="b">
        <f>Table2[[#This Row],[final_obs_date]]&lt;(Table2[[#This Row],[estHD]]-2)</f>
        <v>0</v>
      </c>
      <c r="BC280" s="24">
        <f>IF(Table2[[#This Row],[field_fate]]="H",1,0)</f>
        <v>1</v>
      </c>
      <c r="BD280" s="16">
        <f>IF(Table2[[#This Row],[cam_fate2]]="H",1,0)</f>
        <v>0</v>
      </c>
      <c r="BE280" s="6" t="b">
        <f>NOT(Table2[[#This Row],[HF_C]]=Table2[[#This Row],[HF]])</f>
        <v>1</v>
      </c>
      <c r="BF280" s="6" t="b">
        <f>NOT(Table2[[#This Row],[cam_fate2]]=Table2[[#This Row],[field_fate3]])</f>
        <v>1</v>
      </c>
      <c r="BG280" s="6" t="b">
        <f>OR(Table2[[#This Row],[field_fate3]]="U",Table2[[#This Row],[field_fate3]]="U-H")</f>
        <v>0</v>
      </c>
      <c r="BH280" s="8">
        <v>51</v>
      </c>
      <c r="BI280" s="8">
        <v>62</v>
      </c>
      <c r="BJ280" s="14">
        <f>IF(ISTEXT(Table2[[#This Row],[j.cam]]),Table2[[#This Row],[j]],Table2[[#This Row],[j.cam]])</f>
        <v>62</v>
      </c>
      <c r="BK280" s="9">
        <v>62</v>
      </c>
      <c r="BL280" s="15">
        <f>IF(ISTEXT(Table2[[#This Row],[k.cam]]), Table2[[#This Row],[k]], Table2[[#This Row],[k.cam]])</f>
        <v>62</v>
      </c>
      <c r="BM280" s="4" t="s">
        <v>24</v>
      </c>
      <c r="BN280" s="8" t="s">
        <v>24</v>
      </c>
      <c r="BO280" s="4">
        <v>4</v>
      </c>
      <c r="BP280" s="4">
        <f>Table2[[#This Row],[final_obs_date]]-Table2[[#This Row],[i]]</f>
        <v>11</v>
      </c>
      <c r="BQ280" s="4" t="b">
        <f>Table2[[#This Row],[final_obs_date2]]&gt;Table2[[#This Row],[estHD]]+3</f>
        <v>0</v>
      </c>
      <c r="BR280" s="4" t="s">
        <v>33</v>
      </c>
      <c r="BS280" s="4" t="s">
        <v>178</v>
      </c>
      <c r="BT280" s="79" t="s">
        <v>1181</v>
      </c>
      <c r="BU280" s="26" t="s">
        <v>255</v>
      </c>
      <c r="BV280" s="79" t="s">
        <v>1560</v>
      </c>
      <c r="BW280" s="49"/>
      <c r="BX280" s="47"/>
      <c r="BY280" s="36" t="s">
        <v>24</v>
      </c>
    </row>
    <row r="281" spans="1:77" hidden="1" x14ac:dyDescent="0.35">
      <c r="A281" s="62">
        <v>10411</v>
      </c>
      <c r="B281" s="2" t="s">
        <v>245</v>
      </c>
      <c r="C281" s="44">
        <v>2019</v>
      </c>
      <c r="D281" s="3">
        <v>29.785609999999998</v>
      </c>
      <c r="E281" s="3">
        <v>-93.215549999999993</v>
      </c>
      <c r="F281" s="3">
        <v>0</v>
      </c>
      <c r="G281" s="3">
        <v>0</v>
      </c>
      <c r="H281" s="3" t="s">
        <v>462</v>
      </c>
      <c r="I281" s="43"/>
      <c r="J281" s="55">
        <v>59</v>
      </c>
      <c r="K281" s="4">
        <v>62</v>
      </c>
      <c r="L281" s="22">
        <f>IF(ISNUMBER(Table2[[#This Row],[estHD]]),ABS(Table2[[#This Row],[HD]]-Table2[[#This Row],[estHD]]),"NA")</f>
        <v>3</v>
      </c>
      <c r="M281" s="4" t="b">
        <f>Table2[[#This Row],[HD]]=Table2[[#This Row],[estHD]]</f>
        <v>0</v>
      </c>
      <c r="N281" s="4" t="str">
        <f>IF(ISNUMBER([1]!Table2[[#This Row],[hatch_date]]),[1]!Table2[[#This Row],[hatch_date]]-19,"NA")</f>
        <v>NA</v>
      </c>
      <c r="O281" s="31">
        <v>43</v>
      </c>
      <c r="P281" s="23">
        <f>IF(ISNUMBER(Table2[[#This Row],[nest_age1]]),ABS(Table2[[#This Row],[nest_age1]]-Table2[[#This Row],[nest_age_feb]]),"NA")</f>
        <v>3</v>
      </c>
      <c r="Q281" s="24">
        <f>IF(ISNUMBER(Table2[[#This Row],[final_obs_int2]]),ABS(Table2[[#This Row],[final_obs_int2]]-Table2[[#This Row],[final_obs_int_feb]]), "NA")</f>
        <v>0</v>
      </c>
      <c r="R281" s="24"/>
      <c r="S281" s="57" t="s">
        <v>88</v>
      </c>
      <c r="T281" s="57" t="str">
        <f>Table2[[#This Row],[camera_old]]</f>
        <v>N</v>
      </c>
      <c r="U281" s="24"/>
      <c r="V281" s="16" t="s">
        <v>24</v>
      </c>
      <c r="W281" s="16">
        <v>22</v>
      </c>
      <c r="X281" s="145">
        <v>5</v>
      </c>
      <c r="Y281" s="147" t="s">
        <v>37</v>
      </c>
      <c r="Z281" s="146" t="s">
        <v>37</v>
      </c>
      <c r="AA281" s="4" t="str">
        <f>Table2[[#This Row],[field_fate]]</f>
        <v>H</v>
      </c>
      <c r="AB281" s="4" t="str">
        <f>Table2[[#This Row],[field_fate2]]</f>
        <v>H</v>
      </c>
      <c r="AC281" s="4" t="str">
        <f>Table2[[#This Row],[field_fate3]]</f>
        <v>H</v>
      </c>
      <c r="AD281" s="4" t="str">
        <f>Table2[[#This Row],[field_fate4]]</f>
        <v>H</v>
      </c>
      <c r="AE281" s="4" t="str">
        <f>Table2[[#This Row],[field_fate5]]</f>
        <v>H</v>
      </c>
      <c r="AF281" s="4" t="str">
        <f>Table2[[#This Row],[field_fate5]]</f>
        <v>H</v>
      </c>
      <c r="AG281" s="4" t="str">
        <f>Table2[[#This Row],[field_fate5]]</f>
        <v>H</v>
      </c>
      <c r="AH281" s="4" t="str">
        <f>Table2[[#This Row],[field_fate2]]</f>
        <v>H</v>
      </c>
      <c r="AI281" s="4" t="str">
        <f>Table2[[#This Row],[field_fate8]]</f>
        <v>H</v>
      </c>
      <c r="AJ281" s="4" t="str">
        <f>Table2[[#This Row],[field_fate10]]</f>
        <v>H</v>
      </c>
      <c r="AK281" s="4" t="b">
        <f>Table2[[#This Row],[field_fate_feb]]=Table2[[#This Row],[field_fate10]]</f>
        <v>1</v>
      </c>
      <c r="AL281" s="43" t="s">
        <v>24</v>
      </c>
      <c r="AM281" s="43" t="b">
        <f>Table2[[#This Row],[cam_fate2]]="NA"</f>
        <v>1</v>
      </c>
      <c r="AN281" s="19" t="str">
        <f>Table2[[#This Row],[cam_fate1]]</f>
        <v>NA</v>
      </c>
      <c r="AO281" s="2" t="s">
        <v>37</v>
      </c>
      <c r="AP281" s="5" t="str">
        <f>Table2[[#This Row],[final_fate1]]</f>
        <v>H</v>
      </c>
      <c r="AQ281" s="6">
        <v>19</v>
      </c>
      <c r="AR281" s="7">
        <v>22</v>
      </c>
      <c r="AS281" s="7">
        <f>Table2[[#This Row],[final_obs_date]]-Table2[[#This Row],[init_date]]</f>
        <v>19</v>
      </c>
      <c r="AT281" s="7">
        <f>(Table2[[#This Row],[final_obs_date2]]-Table2[[#This Row],[estHD]])+16</f>
        <v>19</v>
      </c>
      <c r="AU281" s="38">
        <v>5</v>
      </c>
      <c r="AV281" s="33">
        <v>5</v>
      </c>
      <c r="AW281" s="33">
        <f>Table2[[#This Row],[final_obs_date2]]-Table2[[#This Row],[pen_obs_date]]</f>
        <v>62</v>
      </c>
      <c r="AX281" s="67">
        <v>62</v>
      </c>
      <c r="AY281" s="6">
        <f>Table2[[#This Row],[final_obs_date]]</f>
        <v>62</v>
      </c>
      <c r="AZ281" s="6"/>
      <c r="BA281" s="91" t="s">
        <v>47</v>
      </c>
      <c r="BB281" s="6" t="b">
        <f>Table2[[#This Row],[final_obs_date]]&lt;(Table2[[#This Row],[estHD]]-2)</f>
        <v>0</v>
      </c>
      <c r="BC281" s="24">
        <f>IF(Table2[[#This Row],[field_fate]]="H",1,0)</f>
        <v>1</v>
      </c>
      <c r="BD281" s="16">
        <f>IF(Table2[[#This Row],[cam_fate2]]="H",1,0)</f>
        <v>0</v>
      </c>
      <c r="BE281" s="6" t="b">
        <f>NOT(Table2[[#This Row],[HF_C]]=Table2[[#This Row],[HF]])</f>
        <v>1</v>
      </c>
      <c r="BF281" s="6" t="b">
        <f>NOT(Table2[[#This Row],[cam_fate2]]=Table2[[#This Row],[field_fate3]])</f>
        <v>1</v>
      </c>
      <c r="BG281" s="6" t="b">
        <f>OR(Table2[[#This Row],[field_fate3]]="U",Table2[[#This Row],[field_fate3]]="U-H")</f>
        <v>0</v>
      </c>
      <c r="BH281" s="8">
        <v>51</v>
      </c>
      <c r="BI281" s="8">
        <v>62</v>
      </c>
      <c r="BJ281" s="14">
        <f>IF(ISTEXT(Table2[[#This Row],[j.cam]]),Table2[[#This Row],[j]],Table2[[#This Row],[j.cam]])</f>
        <v>62</v>
      </c>
      <c r="BK281" s="9">
        <v>62</v>
      </c>
      <c r="BL281" s="15">
        <f>IF(ISTEXT(Table2[[#This Row],[k.cam]]), Table2[[#This Row],[k]], Table2[[#This Row],[k.cam]])</f>
        <v>62</v>
      </c>
      <c r="BM281" s="4" t="s">
        <v>24</v>
      </c>
      <c r="BN281" s="8" t="s">
        <v>24</v>
      </c>
      <c r="BO281" s="4">
        <v>4</v>
      </c>
      <c r="BP281" s="4">
        <f>Table2[[#This Row],[final_obs_date]]-Table2[[#This Row],[i]]</f>
        <v>11</v>
      </c>
      <c r="BQ281" s="4" t="b">
        <f>Table2[[#This Row],[final_obs_date2]]&gt;Table2[[#This Row],[estHD]]+3</f>
        <v>0</v>
      </c>
      <c r="BR281" s="4" t="s">
        <v>27</v>
      </c>
      <c r="BS281" s="4" t="s">
        <v>178</v>
      </c>
      <c r="BT281" s="79" t="s">
        <v>1181</v>
      </c>
      <c r="BU281" s="26" t="s">
        <v>256</v>
      </c>
      <c r="BV281" s="79" t="s">
        <v>1560</v>
      </c>
      <c r="BW281" s="49"/>
      <c r="BX281" s="47"/>
      <c r="BY281" s="36" t="s">
        <v>653</v>
      </c>
    </row>
    <row r="282" spans="1:77" ht="24" hidden="1" x14ac:dyDescent="0.35">
      <c r="A282" s="62">
        <v>10413</v>
      </c>
      <c r="B282" s="2" t="s">
        <v>245</v>
      </c>
      <c r="C282" s="44">
        <v>2019</v>
      </c>
      <c r="D282" s="3">
        <v>29.78501</v>
      </c>
      <c r="E282" s="3">
        <v>-93.214359999999999</v>
      </c>
      <c r="F282" s="3">
        <v>0</v>
      </c>
      <c r="G282" s="3">
        <v>0</v>
      </c>
      <c r="H282" s="3" t="s">
        <v>26</v>
      </c>
      <c r="I282" s="43"/>
      <c r="J282" s="55">
        <v>63</v>
      </c>
      <c r="K282" s="4">
        <v>67</v>
      </c>
      <c r="L282" s="22">
        <f>IF(ISNUMBER(Table2[[#This Row],[estHD]]),ABS(Table2[[#This Row],[HD]]-Table2[[#This Row],[estHD]]),"NA")</f>
        <v>4</v>
      </c>
      <c r="M282" s="4" t="b">
        <f>Table2[[#This Row],[HD]]=Table2[[#This Row],[estHD]]</f>
        <v>0</v>
      </c>
      <c r="N282" s="4" t="str">
        <f>IF(ISNUMBER([1]!Table2[[#This Row],[hatch_date]]),[1]!Table2[[#This Row],[hatch_date]]-19,"NA")</f>
        <v>NA</v>
      </c>
      <c r="O282" s="31">
        <v>48</v>
      </c>
      <c r="P282" s="23">
        <f>IF(ISNUMBER(Table2[[#This Row],[nest_age1]]),ABS(Table2[[#This Row],[nest_age1]]-Table2[[#This Row],[nest_age_feb]]),"NA")</f>
        <v>4</v>
      </c>
      <c r="Q282" s="24">
        <f>IF(ISNUMBER(Table2[[#This Row],[final_obs_int2]]),ABS(Table2[[#This Row],[final_obs_int2]]-Table2[[#This Row],[final_obs_int_feb]]), "NA")</f>
        <v>0</v>
      </c>
      <c r="R282" s="24"/>
      <c r="S282" s="57" t="s">
        <v>88</v>
      </c>
      <c r="T282" s="57" t="str">
        <f>Table2[[#This Row],[camera_old]]</f>
        <v>N</v>
      </c>
      <c r="U282" s="24"/>
      <c r="V282" s="16" t="s">
        <v>24</v>
      </c>
      <c r="W282" s="16">
        <v>23</v>
      </c>
      <c r="X282" s="145">
        <v>1</v>
      </c>
      <c r="Y282" s="147" t="s">
        <v>37</v>
      </c>
      <c r="Z282" s="146" t="s">
        <v>37</v>
      </c>
      <c r="AA282" s="4" t="str">
        <f>Table2[[#This Row],[field_fate]]</f>
        <v>H</v>
      </c>
      <c r="AB282" s="4" t="str">
        <f>Table2[[#This Row],[field_fate2]]</f>
        <v>H</v>
      </c>
      <c r="AC282" s="4" t="str">
        <f>Table2[[#This Row],[field_fate3]]</f>
        <v>H</v>
      </c>
      <c r="AD282" s="4" t="str">
        <f>Table2[[#This Row],[field_fate4]]</f>
        <v>H</v>
      </c>
      <c r="AE282" s="4" t="str">
        <f>Table2[[#This Row],[field_fate5]]</f>
        <v>H</v>
      </c>
      <c r="AF282" s="4" t="str">
        <f>Table2[[#This Row],[field_fate5]]</f>
        <v>H</v>
      </c>
      <c r="AG282" s="4" t="str">
        <f>Table2[[#This Row],[field_fate5]]</f>
        <v>H</v>
      </c>
      <c r="AH282" s="4" t="str">
        <f>Table2[[#This Row],[field_fate2]]</f>
        <v>H</v>
      </c>
      <c r="AI282" s="4" t="str">
        <f>Table2[[#This Row],[field_fate8]]</f>
        <v>H</v>
      </c>
      <c r="AJ282" s="4" t="str">
        <f>Table2[[#This Row],[field_fate10]]</f>
        <v>H</v>
      </c>
      <c r="AK282" s="4" t="b">
        <f>Table2[[#This Row],[field_fate_feb]]=Table2[[#This Row],[field_fate10]]</f>
        <v>1</v>
      </c>
      <c r="AL282" s="43" t="s">
        <v>24</v>
      </c>
      <c r="AM282" s="43" t="b">
        <f>Table2[[#This Row],[cam_fate2]]="NA"</f>
        <v>1</v>
      </c>
      <c r="AN282" s="19" t="str">
        <f>Table2[[#This Row],[cam_fate1]]</f>
        <v>NA</v>
      </c>
      <c r="AO282" s="2" t="s">
        <v>37</v>
      </c>
      <c r="AP282" s="5" t="str">
        <f>Table2[[#This Row],[final_fate1]]</f>
        <v>H</v>
      </c>
      <c r="AQ282" s="6">
        <v>19</v>
      </c>
      <c r="AR282" s="7">
        <v>23</v>
      </c>
      <c r="AS282" s="7">
        <f>Table2[[#This Row],[final_obs_date]]-Table2[[#This Row],[init_date]]</f>
        <v>19</v>
      </c>
      <c r="AT282" s="7">
        <f>(Table2[[#This Row],[final_obs_date2]]-Table2[[#This Row],[estHD]])+16</f>
        <v>20</v>
      </c>
      <c r="AU282" s="38">
        <v>1</v>
      </c>
      <c r="AV282" s="33">
        <v>1</v>
      </c>
      <c r="AW282" s="33">
        <f>Table2[[#This Row],[final_obs_date2]]-Table2[[#This Row],[pen_obs_date]]</f>
        <v>67</v>
      </c>
      <c r="AX282" s="67">
        <v>67</v>
      </c>
      <c r="AY282" s="6">
        <f>Table2[[#This Row],[final_obs_date]]</f>
        <v>67</v>
      </c>
      <c r="AZ282" s="6"/>
      <c r="BA282" s="91" t="s">
        <v>47</v>
      </c>
      <c r="BB282" s="6" t="b">
        <f>Table2[[#This Row],[final_obs_date]]&lt;(Table2[[#This Row],[estHD]]-2)</f>
        <v>0</v>
      </c>
      <c r="BC282" s="24">
        <f>IF(Table2[[#This Row],[field_fate]]="H",1,0)</f>
        <v>1</v>
      </c>
      <c r="BD282" s="16">
        <f>IF(Table2[[#This Row],[cam_fate2]]="H",1,0)</f>
        <v>0</v>
      </c>
      <c r="BE282" s="6" t="b">
        <f>NOT(Table2[[#This Row],[HF_C]]=Table2[[#This Row],[HF]])</f>
        <v>1</v>
      </c>
      <c r="BF282" s="6" t="b">
        <f>NOT(Table2[[#This Row],[cam_fate2]]=Table2[[#This Row],[field_fate3]])</f>
        <v>1</v>
      </c>
      <c r="BG282" s="6" t="b">
        <f>OR(Table2[[#This Row],[field_fate3]]="U",Table2[[#This Row],[field_fate3]]="U-H")</f>
        <v>0</v>
      </c>
      <c r="BH282" s="8">
        <v>51</v>
      </c>
      <c r="BI282" s="8">
        <v>67</v>
      </c>
      <c r="BJ282" s="14">
        <f>IF(ISTEXT(Table2[[#This Row],[j.cam]]),Table2[[#This Row],[j]],Table2[[#This Row],[j.cam]])</f>
        <v>67</v>
      </c>
      <c r="BK282" s="9">
        <v>67</v>
      </c>
      <c r="BL282" s="15">
        <f>IF(ISTEXT(Table2[[#This Row],[k.cam]]), Table2[[#This Row],[k]], Table2[[#This Row],[k.cam]])</f>
        <v>67</v>
      </c>
      <c r="BM282" s="4" t="s">
        <v>24</v>
      </c>
      <c r="BN282" s="8" t="s">
        <v>24</v>
      </c>
      <c r="BO282" s="4">
        <v>6</v>
      </c>
      <c r="BP282" s="4">
        <f>Table2[[#This Row],[final_obs_date]]-Table2[[#This Row],[i]]</f>
        <v>16</v>
      </c>
      <c r="BQ282" s="4" t="b">
        <f>Table2[[#This Row],[final_obs_date2]]&gt;Table2[[#This Row],[estHD]]+3</f>
        <v>1</v>
      </c>
      <c r="BR282" s="4" t="s">
        <v>27</v>
      </c>
      <c r="BS282" s="4" t="s">
        <v>44</v>
      </c>
      <c r="BT282" s="79" t="s">
        <v>1182</v>
      </c>
      <c r="BU282" s="26" t="s">
        <v>257</v>
      </c>
      <c r="BV282" s="79" t="s">
        <v>1561</v>
      </c>
      <c r="BW282" s="49"/>
      <c r="BX282" s="47"/>
      <c r="BY282" s="36" t="s">
        <v>654</v>
      </c>
    </row>
    <row r="283" spans="1:77" ht="18.5" hidden="1" x14ac:dyDescent="0.35">
      <c r="A283" s="62">
        <v>10414</v>
      </c>
      <c r="B283" s="2" t="s">
        <v>245</v>
      </c>
      <c r="C283" s="44">
        <v>2019</v>
      </c>
      <c r="D283" s="3">
        <v>29.785399999999999</v>
      </c>
      <c r="E283" s="3">
        <v>-93.215159999999997</v>
      </c>
      <c r="F283" s="3">
        <v>0</v>
      </c>
      <c r="G283" s="3">
        <v>0</v>
      </c>
      <c r="H283" s="3" t="s">
        <v>462</v>
      </c>
      <c r="I283" s="43"/>
      <c r="J283" s="55" t="s">
        <v>24</v>
      </c>
      <c r="K283" s="4">
        <v>83</v>
      </c>
      <c r="L283" s="22" t="str">
        <f>IF(ISNUMBER(Table2[[#This Row],[estHD]]),ABS(Table2[[#This Row],[HD]]-Table2[[#This Row],[estHD]]),"NA")</f>
        <v>NA</v>
      </c>
      <c r="M283" s="4" t="b">
        <f>Table2[[#This Row],[HD]]=Table2[[#This Row],[estHD]]</f>
        <v>0</v>
      </c>
      <c r="N283" s="4" t="str">
        <f>IF(ISNUMBER([1]!Table2[[#This Row],[hatch_date]]),[1]!Table2[[#This Row],[hatch_date]]-19,"NA")</f>
        <v>NA</v>
      </c>
      <c r="O283" s="31">
        <v>64</v>
      </c>
      <c r="P283" s="23">
        <f>IF(ISNUMBER(Table2[[#This Row],[nest_age1]]),ABS(Table2[[#This Row],[nest_age1]]-Table2[[#This Row],[nest_age_feb]]),"NA")</f>
        <v>0</v>
      </c>
      <c r="Q283" s="24">
        <f>IF(ISNUMBER(Table2[[#This Row],[final_obs_int2]]),ABS(Table2[[#This Row],[final_obs_int2]]-Table2[[#This Row],[final_obs_int_feb]]), "NA")</f>
        <v>0</v>
      </c>
      <c r="R283" s="24"/>
      <c r="S283" s="57" t="s">
        <v>88</v>
      </c>
      <c r="T283" s="57" t="str">
        <f>Table2[[#This Row],[camera_old]]</f>
        <v>N</v>
      </c>
      <c r="U283" s="24"/>
      <c r="V283" s="16" t="s">
        <v>24</v>
      </c>
      <c r="W283" s="16">
        <v>19</v>
      </c>
      <c r="X283" s="145">
        <v>4</v>
      </c>
      <c r="Y283" s="147" t="s">
        <v>37</v>
      </c>
      <c r="Z283" s="146" t="s">
        <v>37</v>
      </c>
      <c r="AA283" s="4" t="str">
        <f>Table2[[#This Row],[field_fate]]</f>
        <v>H</v>
      </c>
      <c r="AB283" s="4" t="str">
        <f>Table2[[#This Row],[field_fate2]]</f>
        <v>H</v>
      </c>
      <c r="AC283" s="4" t="str">
        <f>Table2[[#This Row],[field_fate3]]</f>
        <v>H</v>
      </c>
      <c r="AD283" s="4" t="str">
        <f>Table2[[#This Row],[field_fate4]]</f>
        <v>H</v>
      </c>
      <c r="AE283" s="4" t="str">
        <f>Table2[[#This Row],[field_fate5]]</f>
        <v>H</v>
      </c>
      <c r="AF283" s="4" t="str">
        <f>Table2[[#This Row],[field_fate5]]</f>
        <v>H</v>
      </c>
      <c r="AG283" s="4" t="str">
        <f>Table2[[#This Row],[field_fate5]]</f>
        <v>H</v>
      </c>
      <c r="AH283" s="4" t="str">
        <f>Table2[[#This Row],[field_fate2]]</f>
        <v>H</v>
      </c>
      <c r="AI283" s="4" t="str">
        <f>Table2[[#This Row],[field_fate8]]</f>
        <v>H</v>
      </c>
      <c r="AJ283" s="4" t="str">
        <f>Table2[[#This Row],[field_fate10]]</f>
        <v>H</v>
      </c>
      <c r="AK283" s="4" t="b">
        <f>Table2[[#This Row],[field_fate_feb]]=Table2[[#This Row],[field_fate10]]</f>
        <v>1</v>
      </c>
      <c r="AL283" s="43" t="s">
        <v>24</v>
      </c>
      <c r="AM283" s="43" t="b">
        <f>Table2[[#This Row],[cam_fate2]]="NA"</f>
        <v>1</v>
      </c>
      <c r="AN283" s="19" t="str">
        <f>Table2[[#This Row],[cam_fate1]]</f>
        <v>NA</v>
      </c>
      <c r="AO283" s="2" t="s">
        <v>37</v>
      </c>
      <c r="AP283" s="5" t="str">
        <f>Table2[[#This Row],[final_fate1]]</f>
        <v>H</v>
      </c>
      <c r="AQ283" s="6">
        <v>19</v>
      </c>
      <c r="AR283" s="7">
        <v>19</v>
      </c>
      <c r="AS283" s="7">
        <f>Table2[[#This Row],[final_obs_date]]-Table2[[#This Row],[init_date]]</f>
        <v>19</v>
      </c>
      <c r="AT283" s="7" t="e">
        <f>(Table2[[#This Row],[final_obs_date2]]-Table2[[#This Row],[estHD]])+16</f>
        <v>#VALUE!</v>
      </c>
      <c r="AU283" s="38">
        <v>4</v>
      </c>
      <c r="AV283" s="33">
        <v>4</v>
      </c>
      <c r="AW283" s="33">
        <f>Table2[[#This Row],[final_obs_date2]]-Table2[[#This Row],[pen_obs_date]]</f>
        <v>83</v>
      </c>
      <c r="AX283" s="67">
        <v>83</v>
      </c>
      <c r="AY283" s="6">
        <f>Table2[[#This Row],[final_obs_date]]</f>
        <v>83</v>
      </c>
      <c r="AZ283" s="6"/>
      <c r="BA283" s="91" t="s">
        <v>47</v>
      </c>
      <c r="BB283" s="6" t="e">
        <f>Table2[[#This Row],[final_obs_date]]&lt;(Table2[[#This Row],[estHD]]-2)</f>
        <v>#VALUE!</v>
      </c>
      <c r="BC283" s="24">
        <f>IF(Table2[[#This Row],[field_fate]]="H",1,0)</f>
        <v>1</v>
      </c>
      <c r="BD283" s="16">
        <f>IF(Table2[[#This Row],[cam_fate2]]="H",1,0)</f>
        <v>0</v>
      </c>
      <c r="BE283" s="6" t="b">
        <f>NOT(Table2[[#This Row],[HF_C]]=Table2[[#This Row],[HF]])</f>
        <v>1</v>
      </c>
      <c r="BF283" s="6" t="b">
        <f>NOT(Table2[[#This Row],[cam_fate2]]=Table2[[#This Row],[field_fate3]])</f>
        <v>1</v>
      </c>
      <c r="BG283" s="6" t="b">
        <f>OR(Table2[[#This Row],[field_fate3]]="U",Table2[[#This Row],[field_fate3]]="U-H")</f>
        <v>0</v>
      </c>
      <c r="BH283" s="8">
        <v>66</v>
      </c>
      <c r="BI283" s="8">
        <v>83</v>
      </c>
      <c r="BJ283" s="14">
        <f>IF(ISTEXT(Table2[[#This Row],[j.cam]]),Table2[[#This Row],[j]],Table2[[#This Row],[j.cam]])</f>
        <v>83</v>
      </c>
      <c r="BK283" s="9">
        <v>83</v>
      </c>
      <c r="BL283" s="15">
        <f>IF(ISTEXT(Table2[[#This Row],[k.cam]]), Table2[[#This Row],[k]], Table2[[#This Row],[k.cam]])</f>
        <v>83</v>
      </c>
      <c r="BM283" s="4" t="s">
        <v>24</v>
      </c>
      <c r="BN283" s="8" t="s">
        <v>24</v>
      </c>
      <c r="BO283" s="4">
        <v>5</v>
      </c>
      <c r="BP283" s="4">
        <f>Table2[[#This Row],[final_obs_date]]-Table2[[#This Row],[i]]</f>
        <v>17</v>
      </c>
      <c r="BQ283" s="4" t="e">
        <f>Table2[[#This Row],[final_obs_date2]]&gt;Table2[[#This Row],[estHD]]+3</f>
        <v>#VALUE!</v>
      </c>
      <c r="BR283" s="4" t="s">
        <v>66</v>
      </c>
      <c r="BS283" s="4" t="s">
        <v>151</v>
      </c>
      <c r="BT283" s="79" t="s">
        <v>1183</v>
      </c>
      <c r="BU283" s="26" t="s">
        <v>258</v>
      </c>
      <c r="BV283" s="79" t="s">
        <v>1562</v>
      </c>
      <c r="BW283" s="49"/>
      <c r="BX283" s="47"/>
      <c r="BY283" s="36" t="s">
        <v>655</v>
      </c>
    </row>
    <row r="284" spans="1:77" ht="24" hidden="1" x14ac:dyDescent="0.35">
      <c r="A284" s="62">
        <v>10415</v>
      </c>
      <c r="B284" s="2" t="s">
        <v>245</v>
      </c>
      <c r="C284" s="44">
        <v>2019</v>
      </c>
      <c r="D284" s="3">
        <v>29.785350000000001</v>
      </c>
      <c r="E284" s="3">
        <v>-93.215280000000007</v>
      </c>
      <c r="F284" s="3">
        <v>0</v>
      </c>
      <c r="G284" s="3">
        <v>0</v>
      </c>
      <c r="H284" s="3" t="s">
        <v>462</v>
      </c>
      <c r="I284" s="43"/>
      <c r="J284" s="55" t="s">
        <v>24</v>
      </c>
      <c r="K284" s="4" t="s">
        <v>24</v>
      </c>
      <c r="L284" s="22" t="str">
        <f>IF(ISNUMBER(Table2[[#This Row],[estHD]]),ABS(Table2[[#This Row],[HD]]-Table2[[#This Row],[estHD]]),"NA")</f>
        <v>NA</v>
      </c>
      <c r="M284" s="4" t="b">
        <f>Table2[[#This Row],[HD]]=Table2[[#This Row],[estHD]]</f>
        <v>1</v>
      </c>
      <c r="N284" s="4" t="str">
        <f>IF(ISNUMBER([1]!Table2[[#This Row],[hatch_date]]),[1]!Table2[[#This Row],[hatch_date]]-19,"NA")</f>
        <v>NA</v>
      </c>
      <c r="O284" s="31" t="s">
        <v>24</v>
      </c>
      <c r="P284" s="23" t="str">
        <f>IF(ISNUMBER(Table2[[#This Row],[nest_age1]]),ABS(Table2[[#This Row],[nest_age1]]-Table2[[#This Row],[nest_age_feb]]),"NA")</f>
        <v>NA</v>
      </c>
      <c r="Q284" s="24">
        <f>IF(ISNUMBER(Table2[[#This Row],[final_obs_int2]]),ABS(Table2[[#This Row],[final_obs_int2]]-Table2[[#This Row],[final_obs_int_feb]]), "NA")</f>
        <v>0</v>
      </c>
      <c r="R284" s="24"/>
      <c r="S284" s="57" t="s">
        <v>88</v>
      </c>
      <c r="T284" s="57" t="str">
        <f>Table2[[#This Row],[camera_old]]</f>
        <v>N</v>
      </c>
      <c r="U284" s="24"/>
      <c r="V284" s="16" t="s">
        <v>24</v>
      </c>
      <c r="W284" s="16" t="s">
        <v>24</v>
      </c>
      <c r="X284" s="145">
        <v>5</v>
      </c>
      <c r="Y284" s="147" t="s">
        <v>149</v>
      </c>
      <c r="Z284" s="146" t="s">
        <v>149</v>
      </c>
      <c r="AA284" s="4" t="str">
        <f>Table2[[#This Row],[field_fate]]</f>
        <v>W</v>
      </c>
      <c r="AB284" s="4" t="str">
        <f>Table2[[#This Row],[field_fate2]]</f>
        <v>W</v>
      </c>
      <c r="AC284" s="4" t="str">
        <f>Table2[[#This Row],[field_fate3]]</f>
        <v>W</v>
      </c>
      <c r="AD284" s="4" t="str">
        <f>Table2[[#This Row],[field_fate4]]</f>
        <v>W</v>
      </c>
      <c r="AE284" s="4" t="str">
        <f>Table2[[#This Row],[field_fate5]]</f>
        <v>W</v>
      </c>
      <c r="AF284" s="4" t="str">
        <f>Table2[[#This Row],[field_fate5]]</f>
        <v>W</v>
      </c>
      <c r="AG284" s="4" t="str">
        <f>Table2[[#This Row],[field_fate5]]</f>
        <v>W</v>
      </c>
      <c r="AH284" s="4" t="str">
        <f>Table2[[#This Row],[field_fate2]]</f>
        <v>W</v>
      </c>
      <c r="AI284" s="4" t="str">
        <f>Table2[[#This Row],[field_fate8]]</f>
        <v>W</v>
      </c>
      <c r="AJ284" s="4" t="str">
        <f>Table2[[#This Row],[field_fate10]]</f>
        <v>W</v>
      </c>
      <c r="AK284" s="4" t="b">
        <f>Table2[[#This Row],[field_fate_feb]]=Table2[[#This Row],[field_fate10]]</f>
        <v>1</v>
      </c>
      <c r="AL284" s="43" t="s">
        <v>24</v>
      </c>
      <c r="AM284" s="43" t="b">
        <f>Table2[[#This Row],[cam_fate2]]="NA"</f>
        <v>1</v>
      </c>
      <c r="AN284" s="19" t="str">
        <f>Table2[[#This Row],[cam_fate1]]</f>
        <v>NA</v>
      </c>
      <c r="AO284" s="2" t="s">
        <v>149</v>
      </c>
      <c r="AP284" s="5" t="str">
        <f>Table2[[#This Row],[final_fate1]]</f>
        <v>W</v>
      </c>
      <c r="AQ284" s="6" t="s">
        <v>24</v>
      </c>
      <c r="AR284" s="7" t="s">
        <v>24</v>
      </c>
      <c r="AS284" s="7" t="e">
        <f>Table2[[#This Row],[final_obs_date]]-Table2[[#This Row],[init_date]]</f>
        <v>#VALUE!</v>
      </c>
      <c r="AT284" s="7" t="e">
        <f>(Table2[[#This Row],[final_obs_date2]]-Table2[[#This Row],[estHD]])+16</f>
        <v>#VALUE!</v>
      </c>
      <c r="AU284" s="38">
        <v>5</v>
      </c>
      <c r="AV284" s="33">
        <v>5</v>
      </c>
      <c r="AW284" s="33">
        <f>Table2[[#This Row],[final_obs_date2]]-Table2[[#This Row],[pen_obs_date]]</f>
        <v>79</v>
      </c>
      <c r="AX284" s="67">
        <v>79</v>
      </c>
      <c r="AY284" s="6">
        <f>Table2[[#This Row],[final_obs_date]]</f>
        <v>79</v>
      </c>
      <c r="AZ284" s="6"/>
      <c r="BA284" s="91" t="s">
        <v>47</v>
      </c>
      <c r="BB284" s="6" t="e">
        <f>Table2[[#This Row],[final_obs_date]]&lt;(Table2[[#This Row],[estHD]]-2)</f>
        <v>#VALUE!</v>
      </c>
      <c r="BC284" s="24">
        <f>IF(Table2[[#This Row],[field_fate]]="H",1,0)</f>
        <v>0</v>
      </c>
      <c r="BD284" s="16">
        <f>IF(Table2[[#This Row],[cam_fate2]]="H",1,0)</f>
        <v>0</v>
      </c>
      <c r="BE284" s="6" t="b">
        <f>NOT(Table2[[#This Row],[HF_C]]=Table2[[#This Row],[HF]])</f>
        <v>0</v>
      </c>
      <c r="BF284" s="6" t="b">
        <f>NOT(Table2[[#This Row],[cam_fate2]]=Table2[[#This Row],[field_fate3]])</f>
        <v>1</v>
      </c>
      <c r="BG284" s="6" t="b">
        <f>OR(Table2[[#This Row],[field_fate3]]="U",Table2[[#This Row],[field_fate3]]="U-H")</f>
        <v>0</v>
      </c>
      <c r="BH284" s="8">
        <v>66</v>
      </c>
      <c r="BI284" s="8">
        <v>74</v>
      </c>
      <c r="BJ284" s="14">
        <f>IF(ISTEXT(Table2[[#This Row],[j.cam]]),Table2[[#This Row],[j]],Table2[[#This Row],[j.cam]])</f>
        <v>74</v>
      </c>
      <c r="BK284" s="9">
        <v>79</v>
      </c>
      <c r="BL284" s="15">
        <f>IF(ISTEXT(Table2[[#This Row],[k.cam]]), Table2[[#This Row],[k]], Table2[[#This Row],[k.cam]])</f>
        <v>79</v>
      </c>
      <c r="BM284" s="4" t="s">
        <v>24</v>
      </c>
      <c r="BN284" s="8" t="s">
        <v>24</v>
      </c>
      <c r="BO284" s="4">
        <v>4</v>
      </c>
      <c r="BP284" s="4">
        <f>Table2[[#This Row],[final_obs_date]]-Table2[[#This Row],[i]]</f>
        <v>13</v>
      </c>
      <c r="BQ284" s="4" t="e">
        <f>Table2[[#This Row],[final_obs_date2]]&gt;Table2[[#This Row],[estHD]]+3</f>
        <v>#VALUE!</v>
      </c>
      <c r="BR284" s="4" t="s">
        <v>33</v>
      </c>
      <c r="BS284" s="4" t="s">
        <v>28</v>
      </c>
      <c r="BT284" s="79" t="s">
        <v>1184</v>
      </c>
      <c r="BU284" s="26" t="s">
        <v>259</v>
      </c>
      <c r="BV284" s="79" t="s">
        <v>1563</v>
      </c>
      <c r="BW284" s="49"/>
      <c r="BX284" s="47"/>
      <c r="BY284" s="36" t="s">
        <v>656</v>
      </c>
    </row>
    <row r="285" spans="1:77" hidden="1" x14ac:dyDescent="0.35">
      <c r="A285" s="62">
        <v>10417</v>
      </c>
      <c r="B285" s="2" t="s">
        <v>245</v>
      </c>
      <c r="C285" s="44">
        <v>2019</v>
      </c>
      <c r="D285" s="3">
        <v>29.78519</v>
      </c>
      <c r="E285" s="3">
        <v>-93.215029999999999</v>
      </c>
      <c r="F285" s="3">
        <v>10</v>
      </c>
      <c r="G285" s="3">
        <v>15</v>
      </c>
      <c r="H285" s="3" t="s">
        <v>462</v>
      </c>
      <c r="I285" s="43"/>
      <c r="J285" s="55" t="s">
        <v>24</v>
      </c>
      <c r="K285" s="4" t="s">
        <v>24</v>
      </c>
      <c r="L285" s="22" t="str">
        <f>IF(ISNUMBER(Table2[[#This Row],[estHD]]),ABS(Table2[[#This Row],[HD]]-Table2[[#This Row],[estHD]]),"NA")</f>
        <v>NA</v>
      </c>
      <c r="M285" s="4" t="b">
        <f>Table2[[#This Row],[HD]]=Table2[[#This Row],[estHD]]</f>
        <v>1</v>
      </c>
      <c r="N285" s="4" t="str">
        <f>IF(ISNUMBER([1]!Table2[[#This Row],[hatch_date]]),[1]!Table2[[#This Row],[hatch_date]]-19,"NA")</f>
        <v>NA</v>
      </c>
      <c r="O285" s="31" t="s">
        <v>24</v>
      </c>
      <c r="P285" s="23" t="str">
        <f>IF(ISNUMBER(Table2[[#This Row],[nest_age1]]),ABS(Table2[[#This Row],[nest_age1]]-Table2[[#This Row],[nest_age_feb]]),"NA")</f>
        <v>NA</v>
      </c>
      <c r="Q285" s="24">
        <f>IF(ISNUMBER(Table2[[#This Row],[final_obs_int2]]),ABS(Table2[[#This Row],[final_obs_int2]]-Table2[[#This Row],[final_obs_int_feb]]), "NA")</f>
        <v>0</v>
      </c>
      <c r="R285" s="24"/>
      <c r="S285" s="57" t="s">
        <v>88</v>
      </c>
      <c r="T285" s="57" t="str">
        <f>Table2[[#This Row],[camera_old]]</f>
        <v>N</v>
      </c>
      <c r="U285" s="24"/>
      <c r="V285" s="16" t="s">
        <v>24</v>
      </c>
      <c r="W285" s="16" t="s">
        <v>24</v>
      </c>
      <c r="X285" s="145">
        <v>4</v>
      </c>
      <c r="Y285" s="147" t="s">
        <v>31</v>
      </c>
      <c r="Z285" s="146" t="s">
        <v>31</v>
      </c>
      <c r="AA285" s="4" t="str">
        <f>Table2[[#This Row],[field_fate]]</f>
        <v>D</v>
      </c>
      <c r="AB285" s="4" t="str">
        <f>Table2[[#This Row],[field_fate2]]</f>
        <v>D</v>
      </c>
      <c r="AC285" s="4" t="str">
        <f>Table2[[#This Row],[field_fate3]]</f>
        <v>D</v>
      </c>
      <c r="AD285" s="4" t="str">
        <f>Table2[[#This Row],[field_fate4]]</f>
        <v>D</v>
      </c>
      <c r="AE285" s="4" t="str">
        <f>Table2[[#This Row],[field_fate5]]</f>
        <v>D</v>
      </c>
      <c r="AF285" s="4" t="str">
        <f>Table2[[#This Row],[field_fate5]]</f>
        <v>D</v>
      </c>
      <c r="AG285" s="4" t="str">
        <f>Table2[[#This Row],[field_fate5]]</f>
        <v>D</v>
      </c>
      <c r="AH285" s="4" t="str">
        <f>Table2[[#This Row],[field_fate2]]</f>
        <v>D</v>
      </c>
      <c r="AI285" s="4" t="str">
        <f>Table2[[#This Row],[field_fate8]]</f>
        <v>D</v>
      </c>
      <c r="AJ285" s="4" t="str">
        <f>Table2[[#This Row],[field_fate10]]</f>
        <v>D</v>
      </c>
      <c r="AK285" s="4" t="b">
        <f>Table2[[#This Row],[field_fate_feb]]=Table2[[#This Row],[field_fate10]]</f>
        <v>1</v>
      </c>
      <c r="AL285" s="43" t="s">
        <v>24</v>
      </c>
      <c r="AM285" s="43" t="b">
        <f>Table2[[#This Row],[cam_fate2]]="NA"</f>
        <v>1</v>
      </c>
      <c r="AN285" s="19" t="str">
        <f>Table2[[#This Row],[cam_fate1]]</f>
        <v>NA</v>
      </c>
      <c r="AO285" s="2" t="s">
        <v>31</v>
      </c>
      <c r="AP285" s="5" t="str">
        <f>Table2[[#This Row],[final_fate1]]</f>
        <v>D</v>
      </c>
      <c r="AQ285" s="6" t="s">
        <v>24</v>
      </c>
      <c r="AR285" s="7" t="s">
        <v>24</v>
      </c>
      <c r="AS285" s="7" t="e">
        <f>Table2[[#This Row],[final_obs_date]]-Table2[[#This Row],[init_date]]</f>
        <v>#VALUE!</v>
      </c>
      <c r="AT285" s="7" t="e">
        <f>(Table2[[#This Row],[final_obs_date2]]-Table2[[#This Row],[estHD]])+16</f>
        <v>#VALUE!</v>
      </c>
      <c r="AU285" s="38">
        <v>4</v>
      </c>
      <c r="AV285" s="33">
        <v>4</v>
      </c>
      <c r="AW285" s="33">
        <f>Table2[[#This Row],[final_obs_date2]]-Table2[[#This Row],[pen_obs_date]]</f>
        <v>83</v>
      </c>
      <c r="AX285" s="67">
        <v>83</v>
      </c>
      <c r="AY285" s="6">
        <f>Table2[[#This Row],[final_obs_date]]</f>
        <v>83</v>
      </c>
      <c r="AZ285" s="6"/>
      <c r="BA285" s="91" t="s">
        <v>47</v>
      </c>
      <c r="BB285" s="6" t="e">
        <f>Table2[[#This Row],[final_obs_date]]&lt;(Table2[[#This Row],[estHD]]-2)</f>
        <v>#VALUE!</v>
      </c>
      <c r="BC285" s="24">
        <f>IF(Table2[[#This Row],[field_fate]]="H",1,0)</f>
        <v>0</v>
      </c>
      <c r="BD285" s="16">
        <f>IF(Table2[[#This Row],[cam_fate2]]="H",1,0)</f>
        <v>0</v>
      </c>
      <c r="BE285" s="6" t="b">
        <f>NOT(Table2[[#This Row],[HF_C]]=Table2[[#This Row],[HF]])</f>
        <v>0</v>
      </c>
      <c r="BF285" s="6" t="b">
        <f>NOT(Table2[[#This Row],[cam_fate2]]=Table2[[#This Row],[field_fate3]])</f>
        <v>1</v>
      </c>
      <c r="BG285" s="6" t="b">
        <f>OR(Table2[[#This Row],[field_fate3]]="U",Table2[[#This Row],[field_fate3]]="U-H")</f>
        <v>0</v>
      </c>
      <c r="BH285" s="8">
        <v>74</v>
      </c>
      <c r="BI285" s="8">
        <v>79</v>
      </c>
      <c r="BJ285" s="14">
        <f>IF(ISTEXT(Table2[[#This Row],[j.cam]]),Table2[[#This Row],[j]],Table2[[#This Row],[j.cam]])</f>
        <v>79</v>
      </c>
      <c r="BK285" s="9">
        <v>83</v>
      </c>
      <c r="BL285" s="15">
        <f>IF(ISTEXT(Table2[[#This Row],[k.cam]]), Table2[[#This Row],[k]], Table2[[#This Row],[k.cam]])</f>
        <v>83</v>
      </c>
      <c r="BM285" s="4" t="s">
        <v>24</v>
      </c>
      <c r="BN285" s="8" t="s">
        <v>24</v>
      </c>
      <c r="BO285" s="4">
        <v>3</v>
      </c>
      <c r="BP285" s="4">
        <f>Table2[[#This Row],[final_obs_date]]-Table2[[#This Row],[i]]</f>
        <v>9</v>
      </c>
      <c r="BQ285" s="4" t="e">
        <f>Table2[[#This Row],[final_obs_date2]]&gt;Table2[[#This Row],[estHD]]+3</f>
        <v>#VALUE!</v>
      </c>
      <c r="BR285" s="4" t="s">
        <v>66</v>
      </c>
      <c r="BS285" s="4" t="s">
        <v>28</v>
      </c>
      <c r="BT285" s="79" t="s">
        <v>1185</v>
      </c>
      <c r="BU285" s="26" t="s">
        <v>220</v>
      </c>
      <c r="BV285" s="79" t="s">
        <v>1470</v>
      </c>
      <c r="BW285" s="49"/>
      <c r="BX285" s="47"/>
      <c r="BY285" s="36" t="s">
        <v>657</v>
      </c>
    </row>
    <row r="286" spans="1:77" hidden="1" x14ac:dyDescent="0.35">
      <c r="A286" s="62">
        <v>13211</v>
      </c>
      <c r="B286" s="2" t="s">
        <v>35</v>
      </c>
      <c r="C286" s="44">
        <v>2019</v>
      </c>
      <c r="D286" s="3">
        <v>29.766839999999998</v>
      </c>
      <c r="E286" s="3">
        <v>-93.160600000000002</v>
      </c>
      <c r="F286" s="3" t="s">
        <v>24</v>
      </c>
      <c r="G286" s="3" t="s">
        <v>24</v>
      </c>
      <c r="H286" s="3" t="s">
        <v>26</v>
      </c>
      <c r="I286" s="43"/>
      <c r="J286" s="116">
        <v>86</v>
      </c>
      <c r="K286" s="4">
        <v>86</v>
      </c>
      <c r="L286" s="22">
        <f>IF(ISNUMBER(Table2[[#This Row],[estHD]]),ABS(Table2[[#This Row],[HD]]-Table2[[#This Row],[estHD]]),"NA")</f>
        <v>0</v>
      </c>
      <c r="M286" s="4" t="b">
        <f>Table2[[#This Row],[HD]]=Table2[[#This Row],[estHD]]</f>
        <v>1</v>
      </c>
      <c r="N286" s="4" t="str">
        <f>IF(ISNUMBER([1]!Table2[[#This Row],[hatch_date]]),[1]!Table2[[#This Row],[hatch_date]]-19,"NA")</f>
        <v>NA</v>
      </c>
      <c r="O286" s="31">
        <v>67</v>
      </c>
      <c r="P286" s="23">
        <f>IF(ISNUMBER(Table2[[#This Row],[nest_age1]]),ABS(Table2[[#This Row],[nest_age1]]-Table2[[#This Row],[nest_age_feb]]),"NA")</f>
        <v>0</v>
      </c>
      <c r="Q286" s="25">
        <f>IF(ISNUMBER(Table2[[#This Row],[final_obs_int2]]),ABS(Table2[[#This Row],[final_obs_int2]]-Table2[[#This Row],[final_obs_int_feb]]), "NA")</f>
        <v>0</v>
      </c>
      <c r="R286" s="25"/>
      <c r="S286" s="20" t="s">
        <v>75</v>
      </c>
      <c r="T286" s="20" t="str">
        <f>Table2[[#This Row],[camera_old]]</f>
        <v>Y</v>
      </c>
      <c r="U286" s="22" t="s">
        <v>88</v>
      </c>
      <c r="V286" s="16" t="s">
        <v>24</v>
      </c>
      <c r="W286" s="16">
        <v>23</v>
      </c>
      <c r="X286" s="145">
        <v>9</v>
      </c>
      <c r="Y286" s="147" t="s">
        <v>90</v>
      </c>
      <c r="Z286" s="146" t="s">
        <v>90</v>
      </c>
      <c r="AA286" s="4" t="str">
        <f>Table2[[#This Row],[field_fate]]</f>
        <v>U</v>
      </c>
      <c r="AB286" s="65" t="str">
        <f>Table2[[#This Row],[field_fate2]]</f>
        <v>U</v>
      </c>
      <c r="AC286" s="93" t="str">
        <f>Table2[[#This Row],[field_fate3]]</f>
        <v>U</v>
      </c>
      <c r="AD286" s="93" t="str">
        <f>Table2[[#This Row],[field_fate4]]</f>
        <v>U</v>
      </c>
      <c r="AE286" s="93" t="str">
        <f>Table2[[#This Row],[field_fate5]]</f>
        <v>U</v>
      </c>
      <c r="AF286" s="93" t="str">
        <f>Table2[[#This Row],[field_fate5]]</f>
        <v>U</v>
      </c>
      <c r="AG286" s="93" t="str">
        <f>Table2[[#This Row],[field_fate5]]</f>
        <v>U</v>
      </c>
      <c r="AH286" s="93" t="str">
        <f>Table2[[#This Row],[field_fate2]]</f>
        <v>U</v>
      </c>
      <c r="AI286" s="93" t="str">
        <f>Table2[[#This Row],[field_fate8]]</f>
        <v>U</v>
      </c>
      <c r="AJ286" s="93" t="str">
        <f>Table2[[#This Row],[field_fate10]]</f>
        <v>U</v>
      </c>
      <c r="AK286" s="93" t="b">
        <f>Table2[[#This Row],[field_fate_feb]]=Table2[[#This Row],[field_fate10]]</f>
        <v>1</v>
      </c>
      <c r="AL286" s="43" t="s">
        <v>24</v>
      </c>
      <c r="AM286" s="43" t="b">
        <f>Table2[[#This Row],[cam_fate2]]="NA"</f>
        <v>1</v>
      </c>
      <c r="AN286" s="19" t="str">
        <f>Table2[[#This Row],[cam_fate1]]</f>
        <v>NA</v>
      </c>
      <c r="AO286" s="2" t="s">
        <v>24</v>
      </c>
      <c r="AP286" s="5" t="str">
        <f>Table2[[#This Row],[final_fate1]]</f>
        <v>NA</v>
      </c>
      <c r="AQ286" s="6">
        <v>23</v>
      </c>
      <c r="AR286" s="72">
        <v>23</v>
      </c>
      <c r="AS286" s="72">
        <f>Table2[[#This Row],[final_obs_date]]-Table2[[#This Row],[init_date]]</f>
        <v>23</v>
      </c>
      <c r="AT286" s="72">
        <f>(Table2[[#This Row],[final_obs_date2]]-Table2[[#This Row],[estHD]])+16</f>
        <v>20</v>
      </c>
      <c r="AU286" s="42">
        <v>9</v>
      </c>
      <c r="AV286" s="33">
        <v>9</v>
      </c>
      <c r="AW286" s="68">
        <f>Table2[[#This Row],[final_obs_date2]]-Table2[[#This Row],[pen_obs_date]]</f>
        <v>90</v>
      </c>
      <c r="AX286" s="67">
        <v>90</v>
      </c>
      <c r="AY286" s="156">
        <f>Table2[[#This Row],[final_obs_date]]</f>
        <v>90</v>
      </c>
      <c r="AZ286" s="6"/>
      <c r="BA286" s="92" t="s">
        <v>47</v>
      </c>
      <c r="BB286" s="6" t="b">
        <f>Table2[[#This Row],[final_obs_date]]&lt;(Table2[[#This Row],[estHD]]-2)</f>
        <v>0</v>
      </c>
      <c r="BC286" s="32">
        <v>7</v>
      </c>
      <c r="BD286" s="16" t="s">
        <v>24</v>
      </c>
      <c r="BE286" s="6" t="b">
        <f>NOT(Table2[[#This Row],[HF_C]]=Table2[[#This Row],[HF]])</f>
        <v>1</v>
      </c>
      <c r="BF286" s="38" t="b">
        <f>NOT(Table2[[#This Row],[cam_fate2]]=Table2[[#This Row],[field_fate3]])</f>
        <v>1</v>
      </c>
      <c r="BG286" s="38" t="b">
        <f>OR(Table2[[#This Row],[field_fate3]]="U",Table2[[#This Row],[field_fate3]]="U-H")</f>
        <v>1</v>
      </c>
      <c r="BH286" s="8">
        <v>72</v>
      </c>
      <c r="BI286" s="8">
        <v>81</v>
      </c>
      <c r="BJ286" s="14">
        <f>IF(ISTEXT(Table2[[#This Row],[j.cam]]),Table2[[#This Row],[j]],Table2[[#This Row],[j.cam]])</f>
        <v>81</v>
      </c>
      <c r="BK286" s="8">
        <v>90</v>
      </c>
      <c r="BL286" s="14">
        <f>IF(ISTEXT(Table2[[#This Row],[k.cam]]), Table2[[#This Row],[k]], Table2[[#This Row],[k.cam]])</f>
        <v>90</v>
      </c>
      <c r="BM286" s="4" t="s">
        <v>24</v>
      </c>
      <c r="BN286" s="8" t="s">
        <v>24</v>
      </c>
      <c r="BO286" s="4">
        <v>5</v>
      </c>
      <c r="BP286" s="4">
        <f>Table2[[#This Row],[final_obs_date]]-Table2[[#This Row],[i]]</f>
        <v>18</v>
      </c>
      <c r="BQ286" s="4" t="b">
        <f>Table2[[#This Row],[final_obs_date2]]&gt;Table2[[#This Row],[estHD]]+3</f>
        <v>1</v>
      </c>
      <c r="BR286" s="28" t="s">
        <v>55</v>
      </c>
      <c r="BS286" s="3" t="s">
        <v>45</v>
      </c>
      <c r="BT286" s="125" t="s">
        <v>1149</v>
      </c>
      <c r="BU286" s="4" t="s">
        <v>260</v>
      </c>
      <c r="BV286" s="79" t="s">
        <v>1564</v>
      </c>
      <c r="BW286" s="69" t="s">
        <v>991</v>
      </c>
      <c r="BX286" s="73" t="s">
        <v>934</v>
      </c>
      <c r="BY286" s="47" t="s">
        <v>658</v>
      </c>
    </row>
    <row r="287" spans="1:77" hidden="1" x14ac:dyDescent="0.35">
      <c r="A287" s="63">
        <v>20001</v>
      </c>
      <c r="B287" s="2" t="s">
        <v>35</v>
      </c>
      <c r="C287" s="45">
        <v>2020</v>
      </c>
      <c r="D287" s="3">
        <v>29.76707</v>
      </c>
      <c r="E287" s="3">
        <v>-93.1614</v>
      </c>
      <c r="F287" s="3">
        <v>5</v>
      </c>
      <c r="G287" s="3">
        <v>10</v>
      </c>
      <c r="H287" s="3" t="s">
        <v>26</v>
      </c>
      <c r="I287" s="43"/>
      <c r="J287" s="55">
        <v>44</v>
      </c>
      <c r="K287" s="4">
        <v>44</v>
      </c>
      <c r="L287" s="22">
        <f>IF(ISNUMBER(Table2[[#This Row],[estHD]]),ABS(Table2[[#This Row],[HD]]-Table2[[#This Row],[estHD]]),"NA")</f>
        <v>0</v>
      </c>
      <c r="M287" s="4" t="b">
        <f>Table2[[#This Row],[HD]]=Table2[[#This Row],[estHD]]</f>
        <v>1</v>
      </c>
      <c r="N287" s="4" t="str">
        <f>IF(ISNUMBER([1]!Table2[[#This Row],[hatch_date]]), [1]!Table2[[#This Row],[hatch_date]]-28, "NA")</f>
        <v>NA</v>
      </c>
      <c r="O287" s="31">
        <v>16</v>
      </c>
      <c r="P287" s="23">
        <f>IF(ISNUMBER(Table2[[#This Row],[nest_age1]]),ABS(Table2[[#This Row],[nest_age1]]-Table2[[#This Row],[nest_age_feb]]),"NA")</f>
        <v>1</v>
      </c>
      <c r="Q287" s="24">
        <f>IF(ISNUMBER(Table2[[#This Row],[final_obs_int2]]),ABS(Table2[[#This Row],[final_obs_int2]]-Table2[[#This Row],[final_obs_int_feb]]), "NA")</f>
        <v>0</v>
      </c>
      <c r="R287" s="24"/>
      <c r="S287" s="57" t="s">
        <v>88</v>
      </c>
      <c r="T287" s="57" t="str">
        <f>Table2[[#This Row],[camera_old]]</f>
        <v>N</v>
      </c>
      <c r="U287" s="24"/>
      <c r="V287" s="16" t="s">
        <v>24</v>
      </c>
      <c r="W287" s="16">
        <v>3</v>
      </c>
      <c r="X287" s="145">
        <v>6</v>
      </c>
      <c r="Y287" s="147" t="s">
        <v>48</v>
      </c>
      <c r="Z287" s="146" t="s">
        <v>48</v>
      </c>
      <c r="AA287" s="4" t="str">
        <f>Table2[[#This Row],[field_fate]]</f>
        <v>F</v>
      </c>
      <c r="AB287" s="4" t="str">
        <f>Table2[[#This Row],[field_fate2]]</f>
        <v>F</v>
      </c>
      <c r="AC287" s="4" t="str">
        <f>Table2[[#This Row],[field_fate3]]</f>
        <v>F</v>
      </c>
      <c r="AD287" s="4" t="str">
        <f>Table2[[#This Row],[field_fate4]]</f>
        <v>F</v>
      </c>
      <c r="AE287" s="4" t="str">
        <f>Table2[[#This Row],[field_fate5]]</f>
        <v>F</v>
      </c>
      <c r="AF287" s="4" t="str">
        <f>Table2[[#This Row],[field_fate5]]</f>
        <v>F</v>
      </c>
      <c r="AG287" s="4" t="str">
        <f>Table2[[#This Row],[field_fate5]]</f>
        <v>F</v>
      </c>
      <c r="AH287" s="4" t="str">
        <f>Table2[[#This Row],[field_fate2]]</f>
        <v>F</v>
      </c>
      <c r="AI287" s="4" t="str">
        <f>Table2[[#This Row],[field_fate8]]</f>
        <v>F</v>
      </c>
      <c r="AJ287" s="4" t="str">
        <f>Table2[[#This Row],[field_fate10]]</f>
        <v>F</v>
      </c>
      <c r="AK287" s="4" t="b">
        <f>Table2[[#This Row],[field_fate_feb]]=Table2[[#This Row],[field_fate10]]</f>
        <v>1</v>
      </c>
      <c r="AL287" s="43" t="s">
        <v>24</v>
      </c>
      <c r="AM287" s="43" t="b">
        <f>Table2[[#This Row],[cam_fate2]]="NA"</f>
        <v>1</v>
      </c>
      <c r="AN287" s="19" t="str">
        <f>Table2[[#This Row],[cam_fate1]]</f>
        <v>NA</v>
      </c>
      <c r="AO287" s="2" t="s">
        <v>48</v>
      </c>
      <c r="AP287" s="5" t="str">
        <f>Table2[[#This Row],[final_fate1]]</f>
        <v>F</v>
      </c>
      <c r="AQ287" s="6">
        <v>4</v>
      </c>
      <c r="AR287" s="7">
        <v>4</v>
      </c>
      <c r="AS287" s="7">
        <f>Table2[[#This Row],[final_obs_date]]-Table2[[#This Row],[init_date]]</f>
        <v>4</v>
      </c>
      <c r="AT287" s="7">
        <f>(Table2[[#This Row],[final_obs_date2]]-Table2[[#This Row],[estHD]])+16</f>
        <v>-8</v>
      </c>
      <c r="AU287" s="38">
        <v>6</v>
      </c>
      <c r="AV287" s="33">
        <v>6</v>
      </c>
      <c r="AW287" s="33">
        <f>Table2[[#This Row],[final_obs_date2]]-Table2[[#This Row],[pen_obs_date]]</f>
        <v>20</v>
      </c>
      <c r="AX287" s="67">
        <v>20</v>
      </c>
      <c r="AY287" s="6">
        <f>Table2[[#This Row],[final_obs_date]]</f>
        <v>20</v>
      </c>
      <c r="AZ287" s="6"/>
      <c r="BA287" s="91" t="s">
        <v>23</v>
      </c>
      <c r="BB287" s="6" t="b">
        <f>Table2[[#This Row],[final_obs_date]]&lt;(Table2[[#This Row],[estHD]]-2)</f>
        <v>1</v>
      </c>
      <c r="BC287" s="24">
        <f>IF(Table2[[#This Row],[field_fate]]="H",1,0)</f>
        <v>0</v>
      </c>
      <c r="BD287" s="16">
        <f>IF(Table2[[#This Row],[cam_fate2]]="H",1,0)</f>
        <v>0</v>
      </c>
      <c r="BE287" s="6" t="b">
        <f>NOT(Table2[[#This Row],[HF_C]]=Table2[[#This Row],[HF]])</f>
        <v>0</v>
      </c>
      <c r="BF287" s="6" t="b">
        <f>NOT(Table2[[#This Row],[cam_fate2]]=Table2[[#This Row],[field_fate3]])</f>
        <v>1</v>
      </c>
      <c r="BG287" s="6" t="b">
        <f>OR(Table2[[#This Row],[field_fate3]]="U",Table2[[#This Row],[field_fate3]]="U-H")</f>
        <v>0</v>
      </c>
      <c r="BH287" s="8">
        <v>14</v>
      </c>
      <c r="BI287" s="8">
        <v>14</v>
      </c>
      <c r="BJ287" s="14">
        <f>IF(ISTEXT(Table2[[#This Row],[j.cam]]),Table2[[#This Row],[j]],Table2[[#This Row],[j.cam]])</f>
        <v>14</v>
      </c>
      <c r="BK287" s="9">
        <v>20</v>
      </c>
      <c r="BL287" s="15">
        <f>IF(ISTEXT(Table2[[#This Row],[k.cam]]), Table2[[#This Row],[k]], Table2[[#This Row],[k.cam]])</f>
        <v>20</v>
      </c>
      <c r="BM287" s="4" t="s">
        <v>24</v>
      </c>
      <c r="BN287" s="8" t="s">
        <v>24</v>
      </c>
      <c r="BO287" s="4">
        <v>2</v>
      </c>
      <c r="BP287" s="4">
        <f>Table2[[#This Row],[final_obs_date]]-Table2[[#This Row],[i]]</f>
        <v>6</v>
      </c>
      <c r="BQ287" s="4" t="b">
        <f>Table2[[#This Row],[final_obs_date2]]&gt;Table2[[#This Row],[estHD]]+3</f>
        <v>0</v>
      </c>
      <c r="BR287" s="4" t="s">
        <v>58</v>
      </c>
      <c r="BS287" s="4" t="s">
        <v>45</v>
      </c>
      <c r="BT287" s="79" t="s">
        <v>1186</v>
      </c>
      <c r="BU287" s="26" t="s">
        <v>117</v>
      </c>
      <c r="BV287" s="79" t="s">
        <v>1565</v>
      </c>
      <c r="BW287" s="49"/>
      <c r="BX287" s="47"/>
      <c r="BY287" s="36" t="s">
        <v>659</v>
      </c>
    </row>
    <row r="288" spans="1:77" hidden="1" x14ac:dyDescent="0.35">
      <c r="A288" s="63">
        <v>20002</v>
      </c>
      <c r="B288" s="2" t="s">
        <v>35</v>
      </c>
      <c r="C288" s="45">
        <v>2020</v>
      </c>
      <c r="D288" s="3">
        <v>29.76764</v>
      </c>
      <c r="E288" s="3">
        <v>-93.164959999999994</v>
      </c>
      <c r="F288" s="3">
        <v>0</v>
      </c>
      <c r="G288" s="3">
        <v>10</v>
      </c>
      <c r="H288" s="3" t="s">
        <v>26</v>
      </c>
      <c r="I288" s="43"/>
      <c r="J288" s="55">
        <v>31</v>
      </c>
      <c r="K288" s="4">
        <v>31</v>
      </c>
      <c r="L288" s="22">
        <f>IF(ISNUMBER(Table2[[#This Row],[estHD]]),ABS(Table2[[#This Row],[HD]]-Table2[[#This Row],[estHD]]),"NA")</f>
        <v>0</v>
      </c>
      <c r="M288" s="4" t="b">
        <f>Table2[[#This Row],[HD]]=Table2[[#This Row],[estHD]]</f>
        <v>1</v>
      </c>
      <c r="N288" s="4"/>
      <c r="O288" s="31"/>
      <c r="P288" s="23" t="str">
        <f>IF(ISNUMBER(Table2[[#This Row],[nest_age1]]),ABS(Table2[[#This Row],[nest_age1]]-Table2[[#This Row],[nest_age_feb]]),"NA")</f>
        <v>NA</v>
      </c>
      <c r="Q288" s="24">
        <f>IF(ISNUMBER(Table2[[#This Row],[final_obs_int2]]),ABS(Table2[[#This Row],[final_obs_int2]]-Table2[[#This Row],[final_obs_int_feb]]), "NA")</f>
        <v>0</v>
      </c>
      <c r="R288" s="24"/>
      <c r="S288" s="57" t="s">
        <v>88</v>
      </c>
      <c r="T288" s="57" t="str">
        <f>Table2[[#This Row],[camera_old]]</f>
        <v>N</v>
      </c>
      <c r="U288" s="24"/>
      <c r="V288" s="16" t="s">
        <v>24</v>
      </c>
      <c r="W288" s="16" t="s">
        <v>24</v>
      </c>
      <c r="X288" s="145">
        <v>4</v>
      </c>
      <c r="Y288" s="147" t="s">
        <v>91</v>
      </c>
      <c r="Z288" s="146" t="s">
        <v>91</v>
      </c>
      <c r="AA288" s="4" t="str">
        <f>Table2[[#This Row],[field_fate]]</f>
        <v>Hu</v>
      </c>
      <c r="AB288" s="4" t="str">
        <f>Table2[[#This Row],[field_fate2]]</f>
        <v>Hu</v>
      </c>
      <c r="AC288" s="4" t="str">
        <f>Table2[[#This Row],[field_fate3]]</f>
        <v>Hu</v>
      </c>
      <c r="AD288" s="4" t="str">
        <f>Table2[[#This Row],[field_fate4]]</f>
        <v>Hu</v>
      </c>
      <c r="AE288" s="4" t="str">
        <f>Table2[[#This Row],[field_fate5]]</f>
        <v>Hu</v>
      </c>
      <c r="AF288" s="4" t="str">
        <f>Table2[[#This Row],[field_fate5]]</f>
        <v>Hu</v>
      </c>
      <c r="AG288" s="4" t="str">
        <f>Table2[[#This Row],[field_fate5]]</f>
        <v>Hu</v>
      </c>
      <c r="AH288" s="4" t="str">
        <f>Table2[[#This Row],[field_fate2]]</f>
        <v>Hu</v>
      </c>
      <c r="AI288" s="4" t="str">
        <f>Table2[[#This Row],[field_fate8]]</f>
        <v>Hu</v>
      </c>
      <c r="AJ288" s="4" t="str">
        <f>Table2[[#This Row],[field_fate10]]</f>
        <v>Hu</v>
      </c>
      <c r="AK288" s="4" t="b">
        <f>Table2[[#This Row],[field_fate_feb]]=Table2[[#This Row],[field_fate10]]</f>
        <v>1</v>
      </c>
      <c r="AL288" s="43" t="s">
        <v>24</v>
      </c>
      <c r="AM288" s="43" t="b">
        <f>Table2[[#This Row],[cam_fate2]]="NA"</f>
        <v>1</v>
      </c>
      <c r="AN288" s="19" t="str">
        <f>Table2[[#This Row],[cam_fate1]]</f>
        <v>NA</v>
      </c>
      <c r="AO288" s="2" t="s">
        <v>91</v>
      </c>
      <c r="AP288" s="5" t="str">
        <f>Table2[[#This Row],[final_fate1]]</f>
        <v>Hu</v>
      </c>
      <c r="AQ288" s="6" t="s">
        <v>24</v>
      </c>
      <c r="AR288" s="7" t="s">
        <v>24</v>
      </c>
      <c r="AS288" s="7">
        <f>Table2[[#This Row],[final_obs_date]]-Table2[[#This Row],[init_date]]</f>
        <v>24</v>
      </c>
      <c r="AT288" s="7">
        <f>(Table2[[#This Row],[final_obs_date2]]-Table2[[#This Row],[estHD]])+16</f>
        <v>9</v>
      </c>
      <c r="AU288" s="38">
        <v>4</v>
      </c>
      <c r="AV288" s="33">
        <v>4</v>
      </c>
      <c r="AW288" s="33">
        <f>Table2[[#This Row],[final_obs_date2]]-Table2[[#This Row],[pen_obs_date]]</f>
        <v>24</v>
      </c>
      <c r="AX288" s="67">
        <v>24</v>
      </c>
      <c r="AY288" s="6">
        <f>Table2[[#This Row],[final_obs_date]]</f>
        <v>24</v>
      </c>
      <c r="AZ288" s="6"/>
      <c r="BA288" s="91" t="s">
        <v>40</v>
      </c>
      <c r="BB288" s="6" t="b">
        <f>Table2[[#This Row],[final_obs_date]]&lt;(Table2[[#This Row],[estHD]]-2)</f>
        <v>1</v>
      </c>
      <c r="BC288" s="24">
        <f>IF(Table2[[#This Row],[field_fate]]="H",1,0)</f>
        <v>0</v>
      </c>
      <c r="BD288" s="16">
        <f>IF(Table2[[#This Row],[cam_fate2]]="H",1,0)</f>
        <v>0</v>
      </c>
      <c r="BE288" s="6" t="b">
        <f>NOT(Table2[[#This Row],[HF_C]]=Table2[[#This Row],[HF]])</f>
        <v>0</v>
      </c>
      <c r="BF288" s="6" t="b">
        <f>NOT(Table2[[#This Row],[cam_fate2]]=Table2[[#This Row],[field_fate3]])</f>
        <v>1</v>
      </c>
      <c r="BG288" s="6" t="b">
        <f>OR(Table2[[#This Row],[field_fate3]]="U",Table2[[#This Row],[field_fate3]]="U-H")</f>
        <v>0</v>
      </c>
      <c r="BH288" s="8">
        <v>14</v>
      </c>
      <c r="BI288" s="8">
        <v>20</v>
      </c>
      <c r="BJ288" s="14">
        <f>IF(ISTEXT(Table2[[#This Row],[j.cam]]),Table2[[#This Row],[j]],Table2[[#This Row],[j.cam]])</f>
        <v>20</v>
      </c>
      <c r="BK288" s="9">
        <v>24</v>
      </c>
      <c r="BL288" s="15">
        <f>IF(ISTEXT(Table2[[#This Row],[k.cam]]), Table2[[#This Row],[k]], Table2[[#This Row],[k.cam]])</f>
        <v>24</v>
      </c>
      <c r="BM288" s="4" t="s">
        <v>24</v>
      </c>
      <c r="BN288" s="8" t="s">
        <v>24</v>
      </c>
      <c r="BO288" s="4">
        <v>3</v>
      </c>
      <c r="BP288" s="4">
        <f>Table2[[#This Row],[final_obs_date]]-Table2[[#This Row],[i]]</f>
        <v>10</v>
      </c>
      <c r="BQ288" s="4" t="b">
        <f>Table2[[#This Row],[final_obs_date2]]&gt;Table2[[#This Row],[estHD]]+3</f>
        <v>0</v>
      </c>
      <c r="BR288" s="4" t="s">
        <v>58</v>
      </c>
      <c r="BS288" s="4" t="s">
        <v>45</v>
      </c>
      <c r="BT288" s="79" t="s">
        <v>1187</v>
      </c>
      <c r="BU288" s="26" t="s">
        <v>261</v>
      </c>
      <c r="BV288" s="79" t="s">
        <v>1508</v>
      </c>
      <c r="BW288" s="49"/>
      <c r="BX288" s="47"/>
      <c r="BY288" s="36" t="s">
        <v>660</v>
      </c>
    </row>
    <row r="289" spans="1:77" hidden="1" x14ac:dyDescent="0.35">
      <c r="A289" s="63">
        <v>20003</v>
      </c>
      <c r="B289" s="2" t="s">
        <v>157</v>
      </c>
      <c r="C289" s="45">
        <v>2020</v>
      </c>
      <c r="D289" s="3">
        <v>29.76491</v>
      </c>
      <c r="E289" s="3">
        <v>-93.372200000000007</v>
      </c>
      <c r="F289" s="3">
        <v>0</v>
      </c>
      <c r="G289" s="3">
        <v>0</v>
      </c>
      <c r="H289" s="3" t="s">
        <v>26</v>
      </c>
      <c r="I289" s="43"/>
      <c r="J289" s="55">
        <v>38</v>
      </c>
      <c r="K289" s="4">
        <v>39</v>
      </c>
      <c r="L289" s="22">
        <f>IF(ISNUMBER(Table2[[#This Row],[estHD]]),ABS(Table2[[#This Row],[HD]]-Table2[[#This Row],[estHD]]),"NA")</f>
        <v>1</v>
      </c>
      <c r="M289" s="4" t="b">
        <f>Table2[[#This Row],[HD]]=Table2[[#This Row],[estHD]]</f>
        <v>0</v>
      </c>
      <c r="N289" s="4" t="str">
        <f>IF(ISNUMBER([1]!Table2[[#This Row],[hatch_date]]), [1]!Table2[[#This Row],[hatch_date]]-28, "NA")</f>
        <v>NA</v>
      </c>
      <c r="O289" s="31">
        <v>11</v>
      </c>
      <c r="P289" s="23">
        <f>IF(ISNUMBER(Table2[[#This Row],[nest_age1]]),ABS(Table2[[#This Row],[nest_age1]]-Table2[[#This Row],[nest_age_feb]]),"NA")</f>
        <v>0</v>
      </c>
      <c r="Q289" s="24">
        <f>IF(ISNUMBER(Table2[[#This Row],[final_obs_int2]]),ABS(Table2[[#This Row],[final_obs_int2]]-Table2[[#This Row],[final_obs_int_feb]]), "NA")</f>
        <v>0</v>
      </c>
      <c r="R289" s="24"/>
      <c r="S289" s="57" t="s">
        <v>88</v>
      </c>
      <c r="T289" s="57" t="str">
        <f>Table2[[#This Row],[camera_old]]</f>
        <v>N</v>
      </c>
      <c r="U289" s="24"/>
      <c r="V289" s="16" t="s">
        <v>24</v>
      </c>
      <c r="W289" s="16">
        <v>28</v>
      </c>
      <c r="X289" s="145">
        <v>2</v>
      </c>
      <c r="Y289" s="147" t="s">
        <v>37</v>
      </c>
      <c r="Z289" s="146" t="s">
        <v>37</v>
      </c>
      <c r="AA289" s="4" t="str">
        <f>Table2[[#This Row],[field_fate]]</f>
        <v>H</v>
      </c>
      <c r="AB289" s="4" t="str">
        <f>Table2[[#This Row],[field_fate2]]</f>
        <v>H</v>
      </c>
      <c r="AC289" s="4" t="str">
        <f>Table2[[#This Row],[field_fate3]]</f>
        <v>H</v>
      </c>
      <c r="AD289" s="4" t="str">
        <f>Table2[[#This Row],[field_fate4]]</f>
        <v>H</v>
      </c>
      <c r="AE289" s="4" t="str">
        <f>Table2[[#This Row],[field_fate5]]</f>
        <v>H</v>
      </c>
      <c r="AF289" s="4" t="str">
        <f>Table2[[#This Row],[field_fate5]]</f>
        <v>H</v>
      </c>
      <c r="AG289" s="4" t="str">
        <f>Table2[[#This Row],[field_fate5]]</f>
        <v>H</v>
      </c>
      <c r="AH289" s="4" t="str">
        <f>Table2[[#This Row],[field_fate2]]</f>
        <v>H</v>
      </c>
      <c r="AI289" s="4" t="str">
        <f>Table2[[#This Row],[field_fate8]]</f>
        <v>H</v>
      </c>
      <c r="AJ289" s="4" t="str">
        <f>Table2[[#This Row],[field_fate10]]</f>
        <v>H</v>
      </c>
      <c r="AK289" s="4" t="b">
        <f>Table2[[#This Row],[field_fate_feb]]=Table2[[#This Row],[field_fate10]]</f>
        <v>1</v>
      </c>
      <c r="AL289" s="43" t="s">
        <v>24</v>
      </c>
      <c r="AM289" s="43" t="b">
        <f>Table2[[#This Row],[cam_fate2]]="NA"</f>
        <v>1</v>
      </c>
      <c r="AN289" s="19" t="str">
        <f>Table2[[#This Row],[cam_fate1]]</f>
        <v>NA</v>
      </c>
      <c r="AO289" s="2" t="s">
        <v>37</v>
      </c>
      <c r="AP289" s="5" t="str">
        <f>Table2[[#This Row],[final_fate1]]</f>
        <v>H</v>
      </c>
      <c r="AQ289" s="6">
        <v>28</v>
      </c>
      <c r="AR289" s="7">
        <v>29</v>
      </c>
      <c r="AS289" s="7">
        <f>Table2[[#This Row],[final_obs_date]]-Table2[[#This Row],[init_date]]</f>
        <v>28</v>
      </c>
      <c r="AT289" s="7">
        <f>(Table2[[#This Row],[final_obs_date2]]-Table2[[#This Row],[estHD]])+16</f>
        <v>17</v>
      </c>
      <c r="AU289" s="38">
        <v>2</v>
      </c>
      <c r="AV289" s="33">
        <v>2</v>
      </c>
      <c r="AW289" s="33">
        <f>Table2[[#This Row],[final_obs_date2]]-Table2[[#This Row],[pen_obs_date]]</f>
        <v>39</v>
      </c>
      <c r="AX289" s="67">
        <v>39</v>
      </c>
      <c r="AY289" s="6">
        <f>Table2[[#This Row],[final_obs_date]]</f>
        <v>39</v>
      </c>
      <c r="AZ289" s="6"/>
      <c r="BA289" s="91" t="s">
        <v>23</v>
      </c>
      <c r="BB289" s="6" t="b">
        <f>Table2[[#This Row],[final_obs_date]]&lt;(Table2[[#This Row],[estHD]]-2)</f>
        <v>0</v>
      </c>
      <c r="BC289" s="24">
        <f>IF(Table2[[#This Row],[field_fate]]="H",1,0)</f>
        <v>1</v>
      </c>
      <c r="BD289" s="16">
        <f>IF(Table2[[#This Row],[cam_fate2]]="H",1,0)</f>
        <v>0</v>
      </c>
      <c r="BE289" s="6" t="b">
        <f>NOT(Table2[[#This Row],[HF_C]]=Table2[[#This Row],[HF]])</f>
        <v>1</v>
      </c>
      <c r="BF289" s="6" t="b">
        <f>NOT(Table2[[#This Row],[cam_fate2]]=Table2[[#This Row],[field_fate3]])</f>
        <v>1</v>
      </c>
      <c r="BG289" s="6" t="b">
        <f>OR(Table2[[#This Row],[field_fate3]]="U",Table2[[#This Row],[field_fate3]]="U-H")</f>
        <v>0</v>
      </c>
      <c r="BH289" s="8">
        <v>20</v>
      </c>
      <c r="BI289" s="8">
        <v>39</v>
      </c>
      <c r="BJ289" s="14">
        <f>IF(ISTEXT(Table2[[#This Row],[j.cam]]),Table2[[#This Row],[j]],Table2[[#This Row],[j.cam]])</f>
        <v>39</v>
      </c>
      <c r="BK289" s="9">
        <v>39</v>
      </c>
      <c r="BL289" s="15">
        <f>IF(ISTEXT(Table2[[#This Row],[k.cam]]), Table2[[#This Row],[k]], Table2[[#This Row],[k.cam]])</f>
        <v>39</v>
      </c>
      <c r="BM289" s="4" t="s">
        <v>24</v>
      </c>
      <c r="BN289" s="8" t="s">
        <v>24</v>
      </c>
      <c r="BO289" s="4">
        <v>5</v>
      </c>
      <c r="BP289" s="4">
        <f>Table2[[#This Row],[final_obs_date]]-Table2[[#This Row],[i]]</f>
        <v>19</v>
      </c>
      <c r="BQ289" s="4" t="b">
        <f>Table2[[#This Row],[final_obs_date2]]&gt;Table2[[#This Row],[estHD]]+3</f>
        <v>0</v>
      </c>
      <c r="BR289" s="4" t="s">
        <v>27</v>
      </c>
      <c r="BS289" s="4" t="s">
        <v>173</v>
      </c>
      <c r="BT289" s="79" t="s">
        <v>1188</v>
      </c>
      <c r="BU289" s="26" t="s">
        <v>262</v>
      </c>
      <c r="BV289" s="79" t="s">
        <v>1566</v>
      </c>
      <c r="BW289" s="49"/>
      <c r="BX289" s="47"/>
      <c r="BY289" s="36" t="s">
        <v>661</v>
      </c>
    </row>
    <row r="290" spans="1:77" hidden="1" x14ac:dyDescent="0.35">
      <c r="A290" s="63">
        <v>20004</v>
      </c>
      <c r="B290" s="2" t="s">
        <v>157</v>
      </c>
      <c r="C290" s="45">
        <v>2020</v>
      </c>
      <c r="D290" s="3">
        <v>29.764569999999999</v>
      </c>
      <c r="E290" s="3">
        <v>-93.368219999999994</v>
      </c>
      <c r="F290" s="3">
        <v>5</v>
      </c>
      <c r="G290" s="3">
        <v>5</v>
      </c>
      <c r="H290" s="3" t="s">
        <v>26</v>
      </c>
      <c r="I290" s="43"/>
      <c r="J290" s="55">
        <v>41</v>
      </c>
      <c r="K290" s="4">
        <v>41</v>
      </c>
      <c r="L290" s="22">
        <f>IF(ISNUMBER(Table2[[#This Row],[estHD]]),ABS(Table2[[#This Row],[HD]]-Table2[[#This Row],[estHD]]),"NA")</f>
        <v>0</v>
      </c>
      <c r="M290" s="4" t="b">
        <f>Table2[[#This Row],[HD]]=Table2[[#This Row],[estHD]]</f>
        <v>1</v>
      </c>
      <c r="N290" s="4" t="str">
        <f>IF(ISNUMBER([1]!Table2[[#This Row],[hatch_date]]), [1]!Table2[[#This Row],[hatch_date]]-28, "NA")</f>
        <v>NA</v>
      </c>
      <c r="O290" s="31">
        <v>13</v>
      </c>
      <c r="P290" s="23">
        <f>IF(ISNUMBER(Table2[[#This Row],[nest_age1]]),ABS(Table2[[#This Row],[nest_age1]]-Table2[[#This Row],[nest_age_feb]]),"NA")</f>
        <v>1</v>
      </c>
      <c r="Q290" s="24">
        <f>IF(ISNUMBER(Table2[[#This Row],[final_obs_int2]]),ABS(Table2[[#This Row],[final_obs_int2]]-Table2[[#This Row],[final_obs_int_feb]]), "NA")</f>
        <v>0</v>
      </c>
      <c r="R290" s="24"/>
      <c r="S290" s="57" t="s">
        <v>88</v>
      </c>
      <c r="T290" s="57" t="str">
        <f>Table2[[#This Row],[camera_old]]</f>
        <v>N</v>
      </c>
      <c r="U290" s="24"/>
      <c r="V290" s="16" t="s">
        <v>24</v>
      </c>
      <c r="W290" s="16">
        <v>25</v>
      </c>
      <c r="X290" s="145">
        <v>2</v>
      </c>
      <c r="Y290" s="147" t="s">
        <v>31</v>
      </c>
      <c r="Z290" s="146" t="s">
        <v>31</v>
      </c>
      <c r="AA290" s="4" t="str">
        <f>Table2[[#This Row],[field_fate]]</f>
        <v>D</v>
      </c>
      <c r="AB290" s="4" t="str">
        <f>Table2[[#This Row],[field_fate2]]</f>
        <v>D</v>
      </c>
      <c r="AC290" s="4" t="str">
        <f>Table2[[#This Row],[field_fate3]]</f>
        <v>D</v>
      </c>
      <c r="AD290" s="4" t="str">
        <f>Table2[[#This Row],[field_fate4]]</f>
        <v>D</v>
      </c>
      <c r="AE290" s="4" t="str">
        <f>Table2[[#This Row],[field_fate5]]</f>
        <v>D</v>
      </c>
      <c r="AF290" s="4" t="str">
        <f>Table2[[#This Row],[field_fate5]]</f>
        <v>D</v>
      </c>
      <c r="AG290" s="4" t="str">
        <f>Table2[[#This Row],[field_fate5]]</f>
        <v>D</v>
      </c>
      <c r="AH290" s="4" t="str">
        <f>Table2[[#This Row],[field_fate2]]</f>
        <v>D</v>
      </c>
      <c r="AI290" s="4" t="str">
        <f>Table2[[#This Row],[field_fate8]]</f>
        <v>D</v>
      </c>
      <c r="AJ290" s="4" t="str">
        <f>Table2[[#This Row],[field_fate10]]</f>
        <v>D</v>
      </c>
      <c r="AK290" s="4" t="b">
        <f>Table2[[#This Row],[field_fate_feb]]=Table2[[#This Row],[field_fate10]]</f>
        <v>1</v>
      </c>
      <c r="AL290" s="43" t="s">
        <v>24</v>
      </c>
      <c r="AM290" s="43" t="b">
        <f>Table2[[#This Row],[cam_fate2]]="NA"</f>
        <v>1</v>
      </c>
      <c r="AN290" s="19" t="str">
        <f>Table2[[#This Row],[cam_fate1]]</f>
        <v>NA</v>
      </c>
      <c r="AO290" s="2" t="s">
        <v>31</v>
      </c>
      <c r="AP290" s="5" t="str">
        <f>Table2[[#This Row],[final_fate1]]</f>
        <v>D</v>
      </c>
      <c r="AQ290" s="6">
        <v>26</v>
      </c>
      <c r="AR290" s="7">
        <v>26</v>
      </c>
      <c r="AS290" s="7">
        <f>Table2[[#This Row],[final_obs_date]]-Table2[[#This Row],[init_date]]</f>
        <v>26</v>
      </c>
      <c r="AT290" s="7">
        <f>(Table2[[#This Row],[final_obs_date2]]-Table2[[#This Row],[estHD]])+16</f>
        <v>14</v>
      </c>
      <c r="AU290" s="38">
        <v>2</v>
      </c>
      <c r="AV290" s="33">
        <v>2</v>
      </c>
      <c r="AW290" s="33">
        <f>Table2[[#This Row],[final_obs_date2]]-Table2[[#This Row],[pen_obs_date]]</f>
        <v>39</v>
      </c>
      <c r="AX290" s="67">
        <v>39</v>
      </c>
      <c r="AY290" s="6">
        <f>Table2[[#This Row],[final_obs_date]]</f>
        <v>39</v>
      </c>
      <c r="AZ290" s="6"/>
      <c r="BA290" s="91" t="s">
        <v>23</v>
      </c>
      <c r="BB290" s="6" t="b">
        <f>Table2[[#This Row],[final_obs_date]]&lt;(Table2[[#This Row],[estHD]]-2)</f>
        <v>0</v>
      </c>
      <c r="BC290" s="24">
        <f>IF(Table2[[#This Row],[field_fate]]="H",1,0)</f>
        <v>0</v>
      </c>
      <c r="BD290" s="16">
        <f>IF(Table2[[#This Row],[cam_fate2]]="H",1,0)</f>
        <v>0</v>
      </c>
      <c r="BE290" s="6" t="b">
        <f>NOT(Table2[[#This Row],[HF_C]]=Table2[[#This Row],[HF]])</f>
        <v>0</v>
      </c>
      <c r="BF290" s="6" t="b">
        <f>NOT(Table2[[#This Row],[cam_fate2]]=Table2[[#This Row],[field_fate3]])</f>
        <v>1</v>
      </c>
      <c r="BG290" s="6" t="b">
        <f>OR(Table2[[#This Row],[field_fate3]]="U",Table2[[#This Row],[field_fate3]]="U-H")</f>
        <v>0</v>
      </c>
      <c r="BH290" s="8">
        <v>20</v>
      </c>
      <c r="BI290" s="8">
        <v>37</v>
      </c>
      <c r="BJ290" s="14">
        <f>IF(ISTEXT(Table2[[#This Row],[j.cam]]),Table2[[#This Row],[j]],Table2[[#This Row],[j.cam]])</f>
        <v>37</v>
      </c>
      <c r="BK290" s="9">
        <v>39</v>
      </c>
      <c r="BL290" s="15">
        <f>IF(ISTEXT(Table2[[#This Row],[k.cam]]), Table2[[#This Row],[k]], Table2[[#This Row],[k.cam]])</f>
        <v>39</v>
      </c>
      <c r="BM290" s="4" t="s">
        <v>24</v>
      </c>
      <c r="BN290" s="8" t="s">
        <v>24</v>
      </c>
      <c r="BO290" s="4">
        <v>4</v>
      </c>
      <c r="BP290" s="4">
        <f>Table2[[#This Row],[final_obs_date]]-Table2[[#This Row],[i]]</f>
        <v>19</v>
      </c>
      <c r="BQ290" s="4" t="b">
        <f>Table2[[#This Row],[final_obs_date2]]&gt;Table2[[#This Row],[estHD]]+3</f>
        <v>0</v>
      </c>
      <c r="BR290" s="4" t="s">
        <v>27</v>
      </c>
      <c r="BS290" s="4" t="s">
        <v>45</v>
      </c>
      <c r="BT290" s="79" t="s">
        <v>1189</v>
      </c>
      <c r="BU290" s="26" t="s">
        <v>106</v>
      </c>
      <c r="BV290" s="79" t="s">
        <v>1567</v>
      </c>
      <c r="BW290" s="49"/>
      <c r="BX290" s="47"/>
      <c r="BY290" s="36" t="s">
        <v>662</v>
      </c>
    </row>
    <row r="291" spans="1:77" hidden="1" x14ac:dyDescent="0.35">
      <c r="A291" s="63">
        <v>20005</v>
      </c>
      <c r="B291" s="2" t="s">
        <v>35</v>
      </c>
      <c r="C291" s="45">
        <v>2020</v>
      </c>
      <c r="D291" s="3">
        <v>29.767620000000001</v>
      </c>
      <c r="E291" s="3">
        <v>-93.164860000000004</v>
      </c>
      <c r="F291" s="3" t="s">
        <v>24</v>
      </c>
      <c r="G291" s="3" t="s">
        <v>24</v>
      </c>
      <c r="H291" s="3" t="s">
        <v>26</v>
      </c>
      <c r="I291" s="43"/>
      <c r="J291" s="55">
        <v>43</v>
      </c>
      <c r="K291" s="4">
        <v>43</v>
      </c>
      <c r="L291" s="22">
        <f>IF(ISNUMBER(Table2[[#This Row],[estHD]]),ABS(Table2[[#This Row],[HD]]-Table2[[#This Row],[estHD]]),"NA")</f>
        <v>0</v>
      </c>
      <c r="M291" s="4" t="b">
        <f>Table2[[#This Row],[HD]]=Table2[[#This Row],[estHD]]</f>
        <v>1</v>
      </c>
      <c r="N291" s="4" t="str">
        <f>IF(ISNUMBER([1]!Table2[[#This Row],[hatch_date]]),[1]!Table2[[#This Row],[hatch_date]]-19,"NA")</f>
        <v>NA</v>
      </c>
      <c r="O291" s="31">
        <v>24</v>
      </c>
      <c r="P291" s="23">
        <f>IF(ISNUMBER(Table2[[#This Row],[nest_age1]]),ABS(Table2[[#This Row],[nest_age1]]-Table2[[#This Row],[nest_age_feb]]),"NA")</f>
        <v>1</v>
      </c>
      <c r="Q291" s="24">
        <f>IF(ISNUMBER(Table2[[#This Row],[final_obs_int2]]),ABS(Table2[[#This Row],[final_obs_int2]]-Table2[[#This Row],[final_obs_int_feb]]), "NA")</f>
        <v>0</v>
      </c>
      <c r="R291" s="24"/>
      <c r="S291" s="57" t="s">
        <v>88</v>
      </c>
      <c r="T291" s="57" t="str">
        <f>Table2[[#This Row],[camera_old]]</f>
        <v>N</v>
      </c>
      <c r="U291" s="24"/>
      <c r="V291" s="16" t="s">
        <v>24</v>
      </c>
      <c r="W291" s="16">
        <v>6</v>
      </c>
      <c r="X291" s="145">
        <v>7</v>
      </c>
      <c r="Y291" s="147" t="s">
        <v>25</v>
      </c>
      <c r="Z291" s="146" t="s">
        <v>25</v>
      </c>
      <c r="AA291" s="4" t="str">
        <f>Table2[[#This Row],[field_fate]]</f>
        <v>S</v>
      </c>
      <c r="AB291" s="4" t="str">
        <f>Table2[[#This Row],[field_fate2]]</f>
        <v>S</v>
      </c>
      <c r="AC291" s="4" t="str">
        <f>Table2[[#This Row],[field_fate3]]</f>
        <v>S</v>
      </c>
      <c r="AD291" s="4" t="str">
        <f>Table2[[#This Row],[field_fate4]]</f>
        <v>S</v>
      </c>
      <c r="AE291" s="4" t="str">
        <f>Table2[[#This Row],[field_fate5]]</f>
        <v>S</v>
      </c>
      <c r="AF291" s="4" t="str">
        <f>Table2[[#This Row],[field_fate5]]</f>
        <v>S</v>
      </c>
      <c r="AG291" s="4" t="str">
        <f>Table2[[#This Row],[field_fate5]]</f>
        <v>S</v>
      </c>
      <c r="AH291" s="4" t="str">
        <f>Table2[[#This Row],[field_fate2]]</f>
        <v>S</v>
      </c>
      <c r="AI291" s="4" t="str">
        <f>Table2[[#This Row],[field_fate8]]</f>
        <v>S</v>
      </c>
      <c r="AJ291" s="4" t="str">
        <f>Table2[[#This Row],[field_fate10]]</f>
        <v>S</v>
      </c>
      <c r="AK291" s="4" t="b">
        <f>Table2[[#This Row],[field_fate_feb]]=Table2[[#This Row],[field_fate10]]</f>
        <v>1</v>
      </c>
      <c r="AL291" s="43" t="s">
        <v>24</v>
      </c>
      <c r="AM291" s="43" t="b">
        <f>Table2[[#This Row],[cam_fate2]]="NA"</f>
        <v>1</v>
      </c>
      <c r="AN291" s="19" t="str">
        <f>Table2[[#This Row],[cam_fate1]]</f>
        <v>NA</v>
      </c>
      <c r="AO291" s="2" t="s">
        <v>25</v>
      </c>
      <c r="AP291" s="5" t="str">
        <f>Table2[[#This Row],[final_fate1]]</f>
        <v>S</v>
      </c>
      <c r="AQ291" s="6">
        <v>7</v>
      </c>
      <c r="AR291" s="7">
        <v>7</v>
      </c>
      <c r="AS291" s="7">
        <f>Table2[[#This Row],[final_obs_date]]-Table2[[#This Row],[init_date]]</f>
        <v>7</v>
      </c>
      <c r="AT291" s="7">
        <f>(Table2[[#This Row],[final_obs_date2]]-Table2[[#This Row],[estHD]])+16</f>
        <v>4</v>
      </c>
      <c r="AU291" s="38">
        <v>7</v>
      </c>
      <c r="AV291" s="33">
        <v>7</v>
      </c>
      <c r="AW291" s="33">
        <f>Table2[[#This Row],[final_obs_date2]]-Table2[[#This Row],[pen_obs_date]]</f>
        <v>31</v>
      </c>
      <c r="AX291" s="67">
        <v>31</v>
      </c>
      <c r="AY291" s="6">
        <f>Table2[[#This Row],[final_obs_date]]</f>
        <v>31</v>
      </c>
      <c r="AZ291" s="6"/>
      <c r="BA291" s="91" t="s">
        <v>47</v>
      </c>
      <c r="BB291" s="6" t="b">
        <f>Table2[[#This Row],[final_obs_date]]&lt;(Table2[[#This Row],[estHD]]-2)</f>
        <v>1</v>
      </c>
      <c r="BC291" s="24">
        <f>IF(Table2[[#This Row],[field_fate]]="H",1,0)</f>
        <v>0</v>
      </c>
      <c r="BD291" s="16">
        <f>IF(Table2[[#This Row],[cam_fate2]]="H",1,0)</f>
        <v>0</v>
      </c>
      <c r="BE291" s="6" t="b">
        <f>NOT(Table2[[#This Row],[HF_C]]=Table2[[#This Row],[HF]])</f>
        <v>0</v>
      </c>
      <c r="BF291" s="6" t="b">
        <f>NOT(Table2[[#This Row],[cam_fate2]]=Table2[[#This Row],[field_fate3]])</f>
        <v>1</v>
      </c>
      <c r="BG291" s="6" t="b">
        <f>OR(Table2[[#This Row],[field_fate3]]="U",Table2[[#This Row],[field_fate3]]="U-H")</f>
        <v>0</v>
      </c>
      <c r="BH291" s="8">
        <v>24</v>
      </c>
      <c r="BI291" s="8">
        <v>24</v>
      </c>
      <c r="BJ291" s="14">
        <f>IF(ISTEXT(Table2[[#This Row],[j.cam]]),Table2[[#This Row],[j]],Table2[[#This Row],[j.cam]])</f>
        <v>24</v>
      </c>
      <c r="BK291" s="9">
        <v>31</v>
      </c>
      <c r="BL291" s="15">
        <f>IF(ISTEXT(Table2[[#This Row],[k.cam]]), Table2[[#This Row],[k]], Table2[[#This Row],[k.cam]])</f>
        <v>31</v>
      </c>
      <c r="BM291" s="4" t="s">
        <v>24</v>
      </c>
      <c r="BN291" s="8" t="s">
        <v>24</v>
      </c>
      <c r="BO291" s="4">
        <v>2</v>
      </c>
      <c r="BP291" s="4">
        <f>Table2[[#This Row],[final_obs_date]]-Table2[[#This Row],[i]]</f>
        <v>7</v>
      </c>
      <c r="BQ291" s="4" t="b">
        <f>Table2[[#This Row],[final_obs_date2]]&gt;Table2[[#This Row],[estHD]]+3</f>
        <v>0</v>
      </c>
      <c r="BR291" s="4" t="s">
        <v>58</v>
      </c>
      <c r="BS291" s="4" t="s">
        <v>28</v>
      </c>
      <c r="BT291" s="79" t="s">
        <v>1190</v>
      </c>
      <c r="BU291" s="26" t="s">
        <v>59</v>
      </c>
      <c r="BV291" s="79" t="s">
        <v>1475</v>
      </c>
      <c r="BW291" s="49"/>
      <c r="BX291" s="47"/>
      <c r="BY291" s="36" t="s">
        <v>24</v>
      </c>
    </row>
    <row r="292" spans="1:77" hidden="1" x14ac:dyDescent="0.35">
      <c r="A292" s="63">
        <v>20006</v>
      </c>
      <c r="B292" s="2" t="s">
        <v>35</v>
      </c>
      <c r="C292" s="45">
        <v>2020</v>
      </c>
      <c r="D292" s="3">
        <v>29.767669999999999</v>
      </c>
      <c r="E292" s="3">
        <v>-93.165149999999997</v>
      </c>
      <c r="F292" s="3" t="s">
        <v>24</v>
      </c>
      <c r="G292" s="3" t="s">
        <v>24</v>
      </c>
      <c r="H292" s="3" t="s">
        <v>26</v>
      </c>
      <c r="I292" s="43"/>
      <c r="J292" s="55">
        <v>44</v>
      </c>
      <c r="K292" s="4">
        <v>44</v>
      </c>
      <c r="L292" s="22">
        <f>IF(ISNUMBER(Table2[[#This Row],[estHD]]),ABS(Table2[[#This Row],[HD]]-Table2[[#This Row],[estHD]]),"NA")</f>
        <v>0</v>
      </c>
      <c r="M292" s="4" t="b">
        <f>Table2[[#This Row],[HD]]=Table2[[#This Row],[estHD]]</f>
        <v>1</v>
      </c>
      <c r="N292" s="4" t="str">
        <f>IF(ISNUMBER([1]!Table2[[#This Row],[hatch_date]]),[1]!Table2[[#This Row],[hatch_date]]-19,"NA")</f>
        <v>NA</v>
      </c>
      <c r="O292" s="31">
        <v>25</v>
      </c>
      <c r="P292" s="23">
        <f>IF(ISNUMBER(Table2[[#This Row],[nest_age1]]),ABS(Table2[[#This Row],[nest_age1]]-Table2[[#This Row],[nest_age_feb]]),"NA")</f>
        <v>1</v>
      </c>
      <c r="Q292" s="24">
        <f>IF(ISNUMBER(Table2[[#This Row],[final_obs_int2]]),ABS(Table2[[#This Row],[final_obs_int2]]-Table2[[#This Row],[final_obs_int_feb]]), "NA")</f>
        <v>0</v>
      </c>
      <c r="R292" s="24"/>
      <c r="S292" s="57" t="s">
        <v>88</v>
      </c>
      <c r="T292" s="57" t="str">
        <f>Table2[[#This Row],[camera_old]]</f>
        <v>N</v>
      </c>
      <c r="U292" s="24"/>
      <c r="V292" s="16" t="s">
        <v>24</v>
      </c>
      <c r="W292" s="16">
        <v>5</v>
      </c>
      <c r="X292" s="145">
        <v>7</v>
      </c>
      <c r="Y292" s="147" t="s">
        <v>25</v>
      </c>
      <c r="Z292" s="146" t="s">
        <v>25</v>
      </c>
      <c r="AA292" s="4" t="str">
        <f>Table2[[#This Row],[field_fate]]</f>
        <v>S</v>
      </c>
      <c r="AB292" s="4" t="str">
        <f>Table2[[#This Row],[field_fate2]]</f>
        <v>S</v>
      </c>
      <c r="AC292" s="4" t="str">
        <f>Table2[[#This Row],[field_fate3]]</f>
        <v>S</v>
      </c>
      <c r="AD292" s="4" t="str">
        <f>Table2[[#This Row],[field_fate4]]</f>
        <v>S</v>
      </c>
      <c r="AE292" s="4" t="str">
        <f>Table2[[#This Row],[field_fate5]]</f>
        <v>S</v>
      </c>
      <c r="AF292" s="4" t="str">
        <f>Table2[[#This Row],[field_fate5]]</f>
        <v>S</v>
      </c>
      <c r="AG292" s="4" t="str">
        <f>Table2[[#This Row],[field_fate5]]</f>
        <v>S</v>
      </c>
      <c r="AH292" s="4" t="str">
        <f>Table2[[#This Row],[field_fate2]]</f>
        <v>S</v>
      </c>
      <c r="AI292" s="4" t="str">
        <f>Table2[[#This Row],[field_fate8]]</f>
        <v>S</v>
      </c>
      <c r="AJ292" s="4" t="str">
        <f>Table2[[#This Row],[field_fate10]]</f>
        <v>S</v>
      </c>
      <c r="AK292" s="4" t="b">
        <f>Table2[[#This Row],[field_fate_feb]]=Table2[[#This Row],[field_fate10]]</f>
        <v>1</v>
      </c>
      <c r="AL292" s="43" t="s">
        <v>24</v>
      </c>
      <c r="AM292" s="43" t="b">
        <f>Table2[[#This Row],[cam_fate2]]="NA"</f>
        <v>1</v>
      </c>
      <c r="AN292" s="19" t="str">
        <f>Table2[[#This Row],[cam_fate1]]</f>
        <v>NA</v>
      </c>
      <c r="AO292" s="2" t="s">
        <v>25</v>
      </c>
      <c r="AP292" s="5" t="str">
        <f>Table2[[#This Row],[final_fate1]]</f>
        <v>S</v>
      </c>
      <c r="AQ292" s="6">
        <v>6</v>
      </c>
      <c r="AR292" s="7">
        <v>6</v>
      </c>
      <c r="AS292" s="7">
        <f>Table2[[#This Row],[final_obs_date]]-Table2[[#This Row],[init_date]]</f>
        <v>6</v>
      </c>
      <c r="AT292" s="7">
        <f>(Table2[[#This Row],[final_obs_date2]]-Table2[[#This Row],[estHD]])+16</f>
        <v>3</v>
      </c>
      <c r="AU292" s="38">
        <v>7</v>
      </c>
      <c r="AV292" s="33">
        <v>7</v>
      </c>
      <c r="AW292" s="33">
        <f>Table2[[#This Row],[final_obs_date2]]-Table2[[#This Row],[pen_obs_date]]</f>
        <v>31</v>
      </c>
      <c r="AX292" s="67">
        <v>31</v>
      </c>
      <c r="AY292" s="6">
        <f>Table2[[#This Row],[final_obs_date]]</f>
        <v>31</v>
      </c>
      <c r="AZ292" s="6"/>
      <c r="BA292" s="91" t="s">
        <v>47</v>
      </c>
      <c r="BB292" s="6" t="b">
        <f>Table2[[#This Row],[final_obs_date]]&lt;(Table2[[#This Row],[estHD]]-2)</f>
        <v>1</v>
      </c>
      <c r="BC292" s="24">
        <f>IF(Table2[[#This Row],[field_fate]]="H",1,0)</f>
        <v>0</v>
      </c>
      <c r="BD292" s="16">
        <f>IF(Table2[[#This Row],[cam_fate2]]="H",1,0)</f>
        <v>0</v>
      </c>
      <c r="BE292" s="6" t="b">
        <f>NOT(Table2[[#This Row],[HF_C]]=Table2[[#This Row],[HF]])</f>
        <v>0</v>
      </c>
      <c r="BF292" s="6" t="b">
        <f>NOT(Table2[[#This Row],[cam_fate2]]=Table2[[#This Row],[field_fate3]])</f>
        <v>1</v>
      </c>
      <c r="BG292" s="6" t="b">
        <f>OR(Table2[[#This Row],[field_fate3]]="U",Table2[[#This Row],[field_fate3]]="U-H")</f>
        <v>0</v>
      </c>
      <c r="BH292" s="8">
        <v>24</v>
      </c>
      <c r="BI292" s="8">
        <v>24</v>
      </c>
      <c r="BJ292" s="14">
        <f>IF(ISTEXT(Table2[[#This Row],[j.cam]]),Table2[[#This Row],[j]],Table2[[#This Row],[j.cam]])</f>
        <v>24</v>
      </c>
      <c r="BK292" s="9">
        <v>31</v>
      </c>
      <c r="BL292" s="15">
        <f>IF(ISTEXT(Table2[[#This Row],[k.cam]]), Table2[[#This Row],[k]], Table2[[#This Row],[k.cam]])</f>
        <v>31</v>
      </c>
      <c r="BM292" s="4" t="s">
        <v>24</v>
      </c>
      <c r="BN292" s="8" t="s">
        <v>24</v>
      </c>
      <c r="BO292" s="4">
        <v>2</v>
      </c>
      <c r="BP292" s="4">
        <f>Table2[[#This Row],[final_obs_date]]-Table2[[#This Row],[i]]</f>
        <v>7</v>
      </c>
      <c r="BQ292" s="4" t="b">
        <f>Table2[[#This Row],[final_obs_date2]]&gt;Table2[[#This Row],[estHD]]+3</f>
        <v>0</v>
      </c>
      <c r="BR292" s="4" t="s">
        <v>33</v>
      </c>
      <c r="BS292" s="4" t="s">
        <v>28</v>
      </c>
      <c r="BT292" s="79" t="s">
        <v>1190</v>
      </c>
      <c r="BU292" s="26" t="s">
        <v>34</v>
      </c>
      <c r="BV292" s="79" t="s">
        <v>1475</v>
      </c>
      <c r="BW292" s="49"/>
      <c r="BX292" s="47"/>
      <c r="BY292" s="36" t="s">
        <v>24</v>
      </c>
    </row>
    <row r="293" spans="1:77" hidden="1" x14ac:dyDescent="0.35">
      <c r="A293" s="63">
        <v>20007</v>
      </c>
      <c r="B293" s="2" t="s">
        <v>35</v>
      </c>
      <c r="C293" s="45">
        <v>2020</v>
      </c>
      <c r="D293" s="3">
        <v>29.767859999999999</v>
      </c>
      <c r="E293" s="3">
        <v>-93.166150000000002</v>
      </c>
      <c r="F293" s="3" t="s">
        <v>24</v>
      </c>
      <c r="G293" s="3" t="s">
        <v>24</v>
      </c>
      <c r="H293" s="3" t="s">
        <v>26</v>
      </c>
      <c r="I293" s="43"/>
      <c r="J293" s="55">
        <v>44</v>
      </c>
      <c r="K293" s="4">
        <v>44</v>
      </c>
      <c r="L293" s="22">
        <f>IF(ISNUMBER(Table2[[#This Row],[estHD]]),ABS(Table2[[#This Row],[HD]]-Table2[[#This Row],[estHD]]),"NA")</f>
        <v>0</v>
      </c>
      <c r="M293" s="4" t="b">
        <f>Table2[[#This Row],[HD]]=Table2[[#This Row],[estHD]]</f>
        <v>1</v>
      </c>
      <c r="N293" s="4" t="str">
        <f>IF(ISNUMBER([1]!Table2[[#This Row],[hatch_date]]),[1]!Table2[[#This Row],[hatch_date]]-19,"NA")</f>
        <v>NA</v>
      </c>
      <c r="O293" s="31">
        <v>25</v>
      </c>
      <c r="P293" s="23">
        <f>IF(ISNUMBER(Table2[[#This Row],[nest_age1]]),ABS(Table2[[#This Row],[nest_age1]]-Table2[[#This Row],[nest_age_feb]]),"NA")</f>
        <v>1</v>
      </c>
      <c r="Q293" s="24">
        <f>IF(ISNUMBER(Table2[[#This Row],[final_obs_int2]]),ABS(Table2[[#This Row],[final_obs_int2]]-Table2[[#This Row],[final_obs_int_feb]]), "NA")</f>
        <v>0</v>
      </c>
      <c r="R293" s="24"/>
      <c r="S293" s="57" t="s">
        <v>88</v>
      </c>
      <c r="T293" s="57" t="str">
        <f>Table2[[#This Row],[camera_old]]</f>
        <v>N</v>
      </c>
      <c r="U293" s="24"/>
      <c r="V293" s="16" t="s">
        <v>24</v>
      </c>
      <c r="W293" s="16">
        <v>5</v>
      </c>
      <c r="X293" s="145">
        <v>7</v>
      </c>
      <c r="Y293" s="147" t="s">
        <v>25</v>
      </c>
      <c r="Z293" s="146" t="s">
        <v>25</v>
      </c>
      <c r="AA293" s="4" t="str">
        <f>Table2[[#This Row],[field_fate]]</f>
        <v>S</v>
      </c>
      <c r="AB293" s="4" t="str">
        <f>Table2[[#This Row],[field_fate2]]</f>
        <v>S</v>
      </c>
      <c r="AC293" s="4" t="str">
        <f>Table2[[#This Row],[field_fate3]]</f>
        <v>S</v>
      </c>
      <c r="AD293" s="4" t="str">
        <f>Table2[[#This Row],[field_fate4]]</f>
        <v>S</v>
      </c>
      <c r="AE293" s="4" t="str">
        <f>Table2[[#This Row],[field_fate5]]</f>
        <v>S</v>
      </c>
      <c r="AF293" s="4" t="str">
        <f>Table2[[#This Row],[field_fate5]]</f>
        <v>S</v>
      </c>
      <c r="AG293" s="4" t="str">
        <f>Table2[[#This Row],[field_fate5]]</f>
        <v>S</v>
      </c>
      <c r="AH293" s="4" t="str">
        <f>Table2[[#This Row],[field_fate2]]</f>
        <v>S</v>
      </c>
      <c r="AI293" s="4" t="str">
        <f>Table2[[#This Row],[field_fate8]]</f>
        <v>S</v>
      </c>
      <c r="AJ293" s="4" t="str">
        <f>Table2[[#This Row],[field_fate10]]</f>
        <v>S</v>
      </c>
      <c r="AK293" s="4" t="b">
        <f>Table2[[#This Row],[field_fate_feb]]=Table2[[#This Row],[field_fate10]]</f>
        <v>1</v>
      </c>
      <c r="AL293" s="43" t="s">
        <v>24</v>
      </c>
      <c r="AM293" s="43" t="b">
        <f>Table2[[#This Row],[cam_fate2]]="NA"</f>
        <v>1</v>
      </c>
      <c r="AN293" s="19" t="str">
        <f>Table2[[#This Row],[cam_fate1]]</f>
        <v>NA</v>
      </c>
      <c r="AO293" s="2" t="s">
        <v>25</v>
      </c>
      <c r="AP293" s="5" t="str">
        <f>Table2[[#This Row],[final_fate1]]</f>
        <v>S</v>
      </c>
      <c r="AQ293" s="6">
        <v>6</v>
      </c>
      <c r="AR293" s="7">
        <v>6</v>
      </c>
      <c r="AS293" s="7">
        <f>Table2[[#This Row],[final_obs_date]]-Table2[[#This Row],[init_date]]</f>
        <v>6</v>
      </c>
      <c r="AT293" s="7">
        <f>(Table2[[#This Row],[final_obs_date2]]-Table2[[#This Row],[estHD]])+16</f>
        <v>3</v>
      </c>
      <c r="AU293" s="38">
        <v>7</v>
      </c>
      <c r="AV293" s="33">
        <v>7</v>
      </c>
      <c r="AW293" s="33">
        <f>Table2[[#This Row],[final_obs_date2]]-Table2[[#This Row],[pen_obs_date]]</f>
        <v>31</v>
      </c>
      <c r="AX293" s="67">
        <v>31</v>
      </c>
      <c r="AY293" s="6">
        <f>Table2[[#This Row],[final_obs_date]]</f>
        <v>31</v>
      </c>
      <c r="AZ293" s="6"/>
      <c r="BA293" s="91" t="s">
        <v>47</v>
      </c>
      <c r="BB293" s="6" t="b">
        <f>Table2[[#This Row],[final_obs_date]]&lt;(Table2[[#This Row],[estHD]]-2)</f>
        <v>1</v>
      </c>
      <c r="BC293" s="24">
        <f>IF(Table2[[#This Row],[field_fate]]="H",1,0)</f>
        <v>0</v>
      </c>
      <c r="BD293" s="16">
        <f>IF(Table2[[#This Row],[cam_fate2]]="H",1,0)</f>
        <v>0</v>
      </c>
      <c r="BE293" s="6" t="b">
        <f>NOT(Table2[[#This Row],[HF_C]]=Table2[[#This Row],[HF]])</f>
        <v>0</v>
      </c>
      <c r="BF293" s="6" t="b">
        <f>NOT(Table2[[#This Row],[cam_fate2]]=Table2[[#This Row],[field_fate3]])</f>
        <v>1</v>
      </c>
      <c r="BG293" s="6" t="b">
        <f>OR(Table2[[#This Row],[field_fate3]]="U",Table2[[#This Row],[field_fate3]]="U-H")</f>
        <v>0</v>
      </c>
      <c r="BH293" s="8">
        <v>24</v>
      </c>
      <c r="BI293" s="8">
        <v>24</v>
      </c>
      <c r="BJ293" s="14">
        <f>IF(ISTEXT(Table2[[#This Row],[j.cam]]),Table2[[#This Row],[j]],Table2[[#This Row],[j.cam]])</f>
        <v>24</v>
      </c>
      <c r="BK293" s="9">
        <v>31</v>
      </c>
      <c r="BL293" s="15">
        <f>IF(ISTEXT(Table2[[#This Row],[k.cam]]), Table2[[#This Row],[k]], Table2[[#This Row],[k.cam]])</f>
        <v>31</v>
      </c>
      <c r="BM293" s="4" t="s">
        <v>24</v>
      </c>
      <c r="BN293" s="8" t="s">
        <v>24</v>
      </c>
      <c r="BO293" s="4">
        <v>2</v>
      </c>
      <c r="BP293" s="4">
        <f>Table2[[#This Row],[final_obs_date]]-Table2[[#This Row],[i]]</f>
        <v>7</v>
      </c>
      <c r="BQ293" s="4" t="b">
        <f>Table2[[#This Row],[final_obs_date2]]&gt;Table2[[#This Row],[estHD]]+3</f>
        <v>0</v>
      </c>
      <c r="BR293" s="4" t="s">
        <v>33</v>
      </c>
      <c r="BS293" s="4" t="s">
        <v>28</v>
      </c>
      <c r="BT293" s="79" t="s">
        <v>1190</v>
      </c>
      <c r="BU293" s="26" t="s">
        <v>34</v>
      </c>
      <c r="BV293" s="79" t="s">
        <v>1475</v>
      </c>
      <c r="BW293" s="49"/>
      <c r="BX293" s="47"/>
      <c r="BY293" s="36" t="s">
        <v>24</v>
      </c>
    </row>
    <row r="294" spans="1:77" hidden="1" x14ac:dyDescent="0.35">
      <c r="A294" s="63">
        <v>20008</v>
      </c>
      <c r="B294" s="2" t="s">
        <v>35</v>
      </c>
      <c r="C294" s="45">
        <v>2020</v>
      </c>
      <c r="D294" s="3">
        <v>29.768370000000001</v>
      </c>
      <c r="E294" s="3">
        <v>-93.168400000000005</v>
      </c>
      <c r="F294" s="3" t="s">
        <v>24</v>
      </c>
      <c r="G294" s="3" t="s">
        <v>24</v>
      </c>
      <c r="H294" s="3" t="s">
        <v>26</v>
      </c>
      <c r="I294" s="43"/>
      <c r="J294" s="55">
        <v>43</v>
      </c>
      <c r="K294" s="4">
        <v>43</v>
      </c>
      <c r="L294" s="22">
        <f>IF(ISNUMBER(Table2[[#This Row],[estHD]]),ABS(Table2[[#This Row],[HD]]-Table2[[#This Row],[estHD]]),"NA")</f>
        <v>0</v>
      </c>
      <c r="M294" s="4" t="b">
        <f>Table2[[#This Row],[HD]]=Table2[[#This Row],[estHD]]</f>
        <v>1</v>
      </c>
      <c r="N294" s="4" t="str">
        <f>IF(ISNUMBER([1]!Table2[[#This Row],[hatch_date]]),[1]!Table2[[#This Row],[hatch_date]]-19,"NA")</f>
        <v>NA</v>
      </c>
      <c r="O294" s="31">
        <v>24</v>
      </c>
      <c r="P294" s="23">
        <f>IF(ISNUMBER(Table2[[#This Row],[nest_age1]]),ABS(Table2[[#This Row],[nest_age1]]-Table2[[#This Row],[nest_age_feb]]),"NA")</f>
        <v>1</v>
      </c>
      <c r="Q294" s="24">
        <f>IF(ISNUMBER(Table2[[#This Row],[final_obs_int2]]),ABS(Table2[[#This Row],[final_obs_int2]]-Table2[[#This Row],[final_obs_int_feb]]), "NA")</f>
        <v>0</v>
      </c>
      <c r="R294" s="24"/>
      <c r="S294" s="57" t="s">
        <v>88</v>
      </c>
      <c r="T294" s="57" t="str">
        <f>Table2[[#This Row],[camera_old]]</f>
        <v>N</v>
      </c>
      <c r="U294" s="24"/>
      <c r="V294" s="16" t="s">
        <v>24</v>
      </c>
      <c r="W294" s="16">
        <v>6</v>
      </c>
      <c r="X294" s="145">
        <v>7</v>
      </c>
      <c r="Y294" s="147" t="s">
        <v>65</v>
      </c>
      <c r="Z294" s="146" t="s">
        <v>65</v>
      </c>
      <c r="AA294" s="4" t="str">
        <f>Table2[[#This Row],[field_fate]]</f>
        <v>Ca</v>
      </c>
      <c r="AB294" s="4" t="str">
        <f>Table2[[#This Row],[field_fate2]]</f>
        <v>Ca</v>
      </c>
      <c r="AC294" s="4" t="str">
        <f>Table2[[#This Row],[field_fate3]]</f>
        <v>Ca</v>
      </c>
      <c r="AD294" s="4" t="str">
        <f>Table2[[#This Row],[field_fate4]]</f>
        <v>Ca</v>
      </c>
      <c r="AE294" s="4" t="str">
        <f>Table2[[#This Row],[field_fate5]]</f>
        <v>Ca</v>
      </c>
      <c r="AF294" s="4" t="str">
        <f>Table2[[#This Row],[field_fate5]]</f>
        <v>Ca</v>
      </c>
      <c r="AG294" s="4" t="str">
        <f>Table2[[#This Row],[field_fate5]]</f>
        <v>Ca</v>
      </c>
      <c r="AH294" s="4" t="str">
        <f>Table2[[#This Row],[field_fate2]]</f>
        <v>Ca</v>
      </c>
      <c r="AI294" s="4" t="str">
        <f>Table2[[#This Row],[field_fate8]]</f>
        <v>Ca</v>
      </c>
      <c r="AJ294" s="4" t="str">
        <f>Table2[[#This Row],[field_fate10]]</f>
        <v>Ca</v>
      </c>
      <c r="AK294" s="4" t="b">
        <f>Table2[[#This Row],[field_fate_feb]]=Table2[[#This Row],[field_fate10]]</f>
        <v>1</v>
      </c>
      <c r="AL294" s="43" t="s">
        <v>24</v>
      </c>
      <c r="AM294" s="43" t="b">
        <f>Table2[[#This Row],[cam_fate2]]="NA"</f>
        <v>1</v>
      </c>
      <c r="AN294" s="19" t="str">
        <f>Table2[[#This Row],[cam_fate1]]</f>
        <v>NA</v>
      </c>
      <c r="AO294" s="2" t="s">
        <v>65</v>
      </c>
      <c r="AP294" s="5" t="str">
        <f>Table2[[#This Row],[final_fate1]]</f>
        <v>Ca</v>
      </c>
      <c r="AQ294" s="6">
        <v>7</v>
      </c>
      <c r="AR294" s="7">
        <v>7</v>
      </c>
      <c r="AS294" s="7">
        <f>Table2[[#This Row],[final_obs_date]]-Table2[[#This Row],[init_date]]</f>
        <v>7</v>
      </c>
      <c r="AT294" s="7">
        <f>(Table2[[#This Row],[final_obs_date2]]-Table2[[#This Row],[estHD]])+16</f>
        <v>4</v>
      </c>
      <c r="AU294" s="38">
        <v>7</v>
      </c>
      <c r="AV294" s="33">
        <v>7</v>
      </c>
      <c r="AW294" s="33">
        <f>Table2[[#This Row],[final_obs_date2]]-Table2[[#This Row],[pen_obs_date]]</f>
        <v>31</v>
      </c>
      <c r="AX294" s="67">
        <v>31</v>
      </c>
      <c r="AY294" s="6">
        <f>Table2[[#This Row],[final_obs_date]]</f>
        <v>31</v>
      </c>
      <c r="AZ294" s="6"/>
      <c r="BA294" s="91" t="s">
        <v>47</v>
      </c>
      <c r="BB294" s="6" t="b">
        <f>Table2[[#This Row],[final_obs_date]]&lt;(Table2[[#This Row],[estHD]]-2)</f>
        <v>1</v>
      </c>
      <c r="BC294" s="24">
        <f>IF(Table2[[#This Row],[field_fate]]="H",1,0)</f>
        <v>0</v>
      </c>
      <c r="BD294" s="16">
        <f>IF(Table2[[#This Row],[cam_fate2]]="H",1,0)</f>
        <v>0</v>
      </c>
      <c r="BE294" s="6" t="b">
        <f>NOT(Table2[[#This Row],[HF_C]]=Table2[[#This Row],[HF]])</f>
        <v>0</v>
      </c>
      <c r="BF294" s="6" t="b">
        <f>NOT(Table2[[#This Row],[cam_fate2]]=Table2[[#This Row],[field_fate3]])</f>
        <v>1</v>
      </c>
      <c r="BG294" s="6" t="b">
        <f>OR(Table2[[#This Row],[field_fate3]]="U",Table2[[#This Row],[field_fate3]]="U-H")</f>
        <v>0</v>
      </c>
      <c r="BH294" s="8">
        <v>24</v>
      </c>
      <c r="BI294" s="8">
        <v>24</v>
      </c>
      <c r="BJ294" s="14">
        <f>IF(ISTEXT(Table2[[#This Row],[j.cam]]),Table2[[#This Row],[j]],Table2[[#This Row],[j.cam]])</f>
        <v>24</v>
      </c>
      <c r="BK294" s="9">
        <v>31</v>
      </c>
      <c r="BL294" s="15">
        <f>IF(ISTEXT(Table2[[#This Row],[k.cam]]), Table2[[#This Row],[k]], Table2[[#This Row],[k.cam]])</f>
        <v>31</v>
      </c>
      <c r="BM294" s="4" t="s">
        <v>24</v>
      </c>
      <c r="BN294" s="8" t="s">
        <v>24</v>
      </c>
      <c r="BO294" s="4">
        <v>2</v>
      </c>
      <c r="BP294" s="4">
        <f>Table2[[#This Row],[final_obs_date]]-Table2[[#This Row],[i]]</f>
        <v>7</v>
      </c>
      <c r="BQ294" s="4" t="b">
        <f>Table2[[#This Row],[final_obs_date2]]&gt;Table2[[#This Row],[estHD]]+3</f>
        <v>0</v>
      </c>
      <c r="BR294" s="4" t="s">
        <v>58</v>
      </c>
      <c r="BS294" s="4" t="s">
        <v>28</v>
      </c>
      <c r="BT294" s="79" t="s">
        <v>1190</v>
      </c>
      <c r="BU294" s="26" t="s">
        <v>59</v>
      </c>
      <c r="BV294" s="79" t="s">
        <v>1475</v>
      </c>
      <c r="BW294" s="49"/>
      <c r="BX294" s="47"/>
      <c r="BY294" s="36" t="s">
        <v>24</v>
      </c>
    </row>
    <row r="295" spans="1:77" hidden="1" x14ac:dyDescent="0.35">
      <c r="A295" s="63">
        <v>20009</v>
      </c>
      <c r="B295" s="2" t="s">
        <v>111</v>
      </c>
      <c r="C295" s="45">
        <v>2020</v>
      </c>
      <c r="D295" s="3">
        <v>29.772939999999998</v>
      </c>
      <c r="E295" s="3">
        <v>-93.295739999999995</v>
      </c>
      <c r="F295" s="3" t="s">
        <v>24</v>
      </c>
      <c r="G295" s="3" t="s">
        <v>24</v>
      </c>
      <c r="H295" s="3" t="s">
        <v>26</v>
      </c>
      <c r="I295" s="43"/>
      <c r="J295" s="55" t="s">
        <v>24</v>
      </c>
      <c r="K295" s="4" t="s">
        <v>24</v>
      </c>
      <c r="L295" s="22" t="str">
        <f>IF(ISNUMBER(Table2[[#This Row],[estHD]]),ABS(Table2[[#This Row],[HD]]-Table2[[#This Row],[estHD]]),"NA")</f>
        <v>NA</v>
      </c>
      <c r="M295" s="4" t="b">
        <f>Table2[[#This Row],[HD]]=Table2[[#This Row],[estHD]]</f>
        <v>1</v>
      </c>
      <c r="N295" s="4" t="str">
        <f>IF(ISNUMBER([1]!Table2[[#This Row],[hatch_date]]), [1]!Table2[[#This Row],[hatch_date]]-16, "NA")</f>
        <v>NA</v>
      </c>
      <c r="O295" s="31" t="s">
        <v>24</v>
      </c>
      <c r="P295" s="23" t="str">
        <f>IF(ISNUMBER(Table2[[#This Row],[nest_age1]]),ABS(Table2[[#This Row],[nest_age1]]-Table2[[#This Row],[nest_age_feb]]),"NA")</f>
        <v>NA</v>
      </c>
      <c r="Q295" s="24" t="str">
        <f>IF(ISNUMBER(Table2[[#This Row],[final_obs_int2]]),ABS(Table2[[#This Row],[final_obs_int2]]-Table2[[#This Row],[final_obs_int_feb]]), "NA")</f>
        <v>NA</v>
      </c>
      <c r="R295" s="24"/>
      <c r="S295" s="57" t="s">
        <v>88</v>
      </c>
      <c r="T295" s="57" t="str">
        <f>Table2[[#This Row],[camera_old]]</f>
        <v>N</v>
      </c>
      <c r="U295" s="24"/>
      <c r="V295" s="16" t="s">
        <v>24</v>
      </c>
      <c r="W295" s="16" t="s">
        <v>24</v>
      </c>
      <c r="X295" s="145">
        <v>0</v>
      </c>
      <c r="Y295" s="147" t="s">
        <v>90</v>
      </c>
      <c r="Z295" s="146" t="s">
        <v>90</v>
      </c>
      <c r="AA295" s="4" t="str">
        <f>Table2[[#This Row],[field_fate]]</f>
        <v>U</v>
      </c>
      <c r="AB295" s="4" t="str">
        <f>Table2[[#This Row],[field_fate2]]</f>
        <v>U</v>
      </c>
      <c r="AC295" s="4" t="str">
        <f>Table2[[#This Row],[field_fate3]]</f>
        <v>U</v>
      </c>
      <c r="AD295" s="4" t="str">
        <f>Table2[[#This Row],[field_fate4]]</f>
        <v>U</v>
      </c>
      <c r="AE295" s="4" t="str">
        <f>Table2[[#This Row],[field_fate5]]</f>
        <v>U</v>
      </c>
      <c r="AF295" s="4" t="str">
        <f>Table2[[#This Row],[field_fate5]]</f>
        <v>U</v>
      </c>
      <c r="AG295" s="4" t="str">
        <f>Table2[[#This Row],[field_fate5]]</f>
        <v>U</v>
      </c>
      <c r="AH295" s="4" t="str">
        <f>Table2[[#This Row],[field_fate2]]</f>
        <v>U</v>
      </c>
      <c r="AI295" s="4" t="str">
        <f>Table2[[#This Row],[field_fate8]]</f>
        <v>U</v>
      </c>
      <c r="AJ295" s="4" t="str">
        <f>Table2[[#This Row],[field_fate10]]</f>
        <v>U</v>
      </c>
      <c r="AK295" s="4" t="b">
        <f>Table2[[#This Row],[field_fate_feb]]=Table2[[#This Row],[field_fate10]]</f>
        <v>1</v>
      </c>
      <c r="AL295" s="43" t="s">
        <v>24</v>
      </c>
      <c r="AM295" s="43" t="b">
        <f>Table2[[#This Row],[cam_fate2]]="NA"</f>
        <v>1</v>
      </c>
      <c r="AN295" s="19" t="str">
        <f>Table2[[#This Row],[cam_fate1]]</f>
        <v>NA</v>
      </c>
      <c r="AO295" s="2" t="s">
        <v>90</v>
      </c>
      <c r="AP295" s="5" t="str">
        <f>Table2[[#This Row],[final_fate1]]</f>
        <v>U</v>
      </c>
      <c r="AQ295" s="6" t="s">
        <v>24</v>
      </c>
      <c r="AR295" s="7" t="s">
        <v>24</v>
      </c>
      <c r="AS295" s="7" t="e">
        <f>Table2[[#This Row],[final_obs_date]]-Table2[[#This Row],[init_date]]</f>
        <v>#VALUE!</v>
      </c>
      <c r="AT295" s="7" t="e">
        <f>(Table2[[#This Row],[final_obs_date2]]-Table2[[#This Row],[estHD]])+16</f>
        <v>#VALUE!</v>
      </c>
      <c r="AU295" s="39">
        <v>0</v>
      </c>
      <c r="AV295" s="33" t="s">
        <v>24</v>
      </c>
      <c r="AW295" s="33">
        <f>Table2[[#This Row],[final_obs_date2]]-Table2[[#This Row],[pen_obs_date]]</f>
        <v>37</v>
      </c>
      <c r="AX295" s="67">
        <v>37</v>
      </c>
      <c r="AY295" s="6">
        <f>Table2[[#This Row],[final_obs_date]]</f>
        <v>37</v>
      </c>
      <c r="AZ295" s="6"/>
      <c r="BA295" s="91" t="s">
        <v>60</v>
      </c>
      <c r="BB295" s="6" t="e">
        <f>Table2[[#This Row],[final_obs_date]]&lt;(Table2[[#This Row],[estHD]]-2)</f>
        <v>#VALUE!</v>
      </c>
      <c r="BC295" s="24">
        <f>IF(Table2[[#This Row],[field_fate]]="H",1,0)</f>
        <v>0</v>
      </c>
      <c r="BD295" s="16">
        <f>IF(Table2[[#This Row],[cam_fate2]]="H",1,0)</f>
        <v>0</v>
      </c>
      <c r="BE295" s="6" t="b">
        <f>NOT(Table2[[#This Row],[HF_C]]=Table2[[#This Row],[HF]])</f>
        <v>0</v>
      </c>
      <c r="BF295" s="6" t="b">
        <f>NOT(Table2[[#This Row],[cam_fate2]]=Table2[[#This Row],[field_fate3]])</f>
        <v>1</v>
      </c>
      <c r="BG295" s="6" t="b">
        <f>OR(Table2[[#This Row],[field_fate3]]="U",Table2[[#This Row],[field_fate3]]="U-H")</f>
        <v>1</v>
      </c>
      <c r="BH295" s="8">
        <v>37</v>
      </c>
      <c r="BI295" s="8">
        <v>37</v>
      </c>
      <c r="BJ295" s="14">
        <f>IF(ISTEXT(Table2[[#This Row],[j.cam]]),Table2[[#This Row],[j]],Table2[[#This Row],[j.cam]])</f>
        <v>37</v>
      </c>
      <c r="BK295" s="9">
        <v>37</v>
      </c>
      <c r="BL295" s="15">
        <f>IF(ISTEXT(Table2[[#This Row],[k.cam]]), Table2[[#This Row],[k]], Table2[[#This Row],[k.cam]])</f>
        <v>37</v>
      </c>
      <c r="BM295" s="4" t="s">
        <v>24</v>
      </c>
      <c r="BN295" s="8" t="s">
        <v>24</v>
      </c>
      <c r="BO295" s="4">
        <v>1</v>
      </c>
      <c r="BP295" s="4">
        <f>Table2[[#This Row],[final_obs_date]]-Table2[[#This Row],[i]]</f>
        <v>0</v>
      </c>
      <c r="BQ295" s="4" t="e">
        <f>Table2[[#This Row],[final_obs_date2]]&gt;Table2[[#This Row],[estHD]]+3</f>
        <v>#VALUE!</v>
      </c>
      <c r="BR295" s="11" t="s">
        <v>24</v>
      </c>
      <c r="BS295" s="4" t="s">
        <v>58</v>
      </c>
      <c r="BT295" s="79">
        <v>37</v>
      </c>
      <c r="BU295" s="26" t="s">
        <v>58</v>
      </c>
      <c r="BV295" s="79">
        <v>0</v>
      </c>
      <c r="BW295" s="49" t="s">
        <v>464</v>
      </c>
      <c r="BX295" s="47"/>
      <c r="BY295" s="36" t="s">
        <v>24</v>
      </c>
    </row>
    <row r="296" spans="1:77" ht="15" hidden="1" x14ac:dyDescent="0.35">
      <c r="A296" s="63">
        <v>20200</v>
      </c>
      <c r="B296" s="2" t="s">
        <v>122</v>
      </c>
      <c r="C296" s="45">
        <v>2020</v>
      </c>
      <c r="D296" s="3">
        <v>29.758870000000002</v>
      </c>
      <c r="E296" s="3">
        <v>-93.123220000000003</v>
      </c>
      <c r="F296" s="3" t="s">
        <v>24</v>
      </c>
      <c r="G296" s="3" t="s">
        <v>24</v>
      </c>
      <c r="H296" s="3" t="s">
        <v>462</v>
      </c>
      <c r="I296" s="43"/>
      <c r="J296" s="116">
        <v>43</v>
      </c>
      <c r="K296" s="4">
        <v>47</v>
      </c>
      <c r="L296" s="22">
        <f>IF(ISNUMBER(Table2[[#This Row],[estHD]]),ABS(Table2[[#This Row],[HD]]-Table2[[#This Row],[estHD]]),"NA")</f>
        <v>4</v>
      </c>
      <c r="M296" s="4" t="b">
        <f>Table2[[#This Row],[HD]]=Table2[[#This Row],[estHD]]</f>
        <v>0</v>
      </c>
      <c r="N296" s="4">
        <f>IF(ISNUMBER(Table2[[#This Row],[HD]]),Table2[[#This Row],[HD]]-16,"NA")</f>
        <v>31</v>
      </c>
      <c r="O296" s="31">
        <v>31</v>
      </c>
      <c r="P296" s="23">
        <f>IF(ISNUMBER(Table2[[#This Row],[nest_age1]]),ABS(Table2[[#This Row],[nest_age1]]-Table2[[#This Row],[nest_age_feb]]),"NA")</f>
        <v>3</v>
      </c>
      <c r="Q296" s="24">
        <f>IF(ISNUMBER(Table2[[#This Row],[final_obs_int2]]),ABS(Table2[[#This Row],[final_obs_int2]]-Table2[[#This Row],[final_obs_int_feb]]), "NA")</f>
        <v>0</v>
      </c>
      <c r="R296" s="24">
        <f>(Table2[[#This Row],[k_adj]]-Table2[[#This Row],[estHD]])/Table2[[#This Row],[estHD]]</f>
        <v>9.3023255813953487E-2</v>
      </c>
      <c r="S296" s="20" t="s">
        <v>75</v>
      </c>
      <c r="T296" s="20" t="str">
        <f>Table2[[#This Row],[camera_old]]</f>
        <v>Y</v>
      </c>
      <c r="U296" s="22" t="s">
        <v>88</v>
      </c>
      <c r="V296" s="16" t="s">
        <v>37</v>
      </c>
      <c r="W296" s="16">
        <v>19</v>
      </c>
      <c r="X296" s="145">
        <v>2</v>
      </c>
      <c r="Y296" s="147" t="s">
        <v>37</v>
      </c>
      <c r="Z296" s="146" t="s">
        <v>37</v>
      </c>
      <c r="AA296" s="4" t="str">
        <f>Table2[[#This Row],[field_fate]]</f>
        <v>H</v>
      </c>
      <c r="AB296" s="4" t="str">
        <f>Table2[[#This Row],[field_fate2]]</f>
        <v>H</v>
      </c>
      <c r="AC296" s="94" t="str">
        <f>Table2[[#This Row],[field_fate3]]</f>
        <v>H</v>
      </c>
      <c r="AD296" s="94" t="str">
        <f>Table2[[#This Row],[field_fate4]]</f>
        <v>H</v>
      </c>
      <c r="AE296" s="94" t="str">
        <f>Table2[[#This Row],[field_fate5]]</f>
        <v>H</v>
      </c>
      <c r="AF296" s="94" t="str">
        <f>Table2[[#This Row],[field_fate5]]</f>
        <v>H</v>
      </c>
      <c r="AG296" s="94" t="str">
        <f>Table2[[#This Row],[field_fate5]]</f>
        <v>H</v>
      </c>
      <c r="AH296" s="94" t="str">
        <f>Table2[[#This Row],[field_fate2]]</f>
        <v>H</v>
      </c>
      <c r="AI296" s="94" t="str">
        <f>Table2[[#This Row],[field_fate8]]</f>
        <v>H</v>
      </c>
      <c r="AJ296" s="94" t="str">
        <f>Table2[[#This Row],[field_fate10]]</f>
        <v>H</v>
      </c>
      <c r="AK296" s="94" t="b">
        <f>Table2[[#This Row],[field_fate_feb]]=Table2[[#This Row],[field_fate10]]</f>
        <v>1</v>
      </c>
      <c r="AL296" s="43" t="s">
        <v>37</v>
      </c>
      <c r="AM296" s="160" t="b">
        <f>Table2[[#This Row],[cam_fate2]]="NA"</f>
        <v>0</v>
      </c>
      <c r="AN296" s="19" t="str">
        <f>Table2[[#This Row],[cam_fate1]]</f>
        <v>H</v>
      </c>
      <c r="AO296" s="2" t="s">
        <v>37</v>
      </c>
      <c r="AP296" s="5" t="str">
        <f>Table2[[#This Row],[final_fate1]]</f>
        <v>H</v>
      </c>
      <c r="AQ296" s="6">
        <v>16</v>
      </c>
      <c r="AR296" s="72">
        <v>20</v>
      </c>
      <c r="AS296" s="155">
        <f>Table2[[#This Row],[final_obs_date]]-Table2[[#This Row],[init_date]]</f>
        <v>16</v>
      </c>
      <c r="AT296" s="155">
        <f>(Table2[[#This Row],[final_obs_date2]]-Table2[[#This Row],[estHD]])+16</f>
        <v>20</v>
      </c>
      <c r="AU296" s="38">
        <v>2</v>
      </c>
      <c r="AV296" s="33">
        <v>2</v>
      </c>
      <c r="AW296" s="33">
        <f>Table2[[#This Row],[final_obs_date2]]-Table2[[#This Row],[pen_obs_date]]</f>
        <v>2</v>
      </c>
      <c r="AX296" s="67">
        <v>47</v>
      </c>
      <c r="AY296" s="157">
        <f>Table2[[#This Row],[final_obs_date]]</f>
        <v>47</v>
      </c>
      <c r="AZ296" s="6">
        <v>45</v>
      </c>
      <c r="BA296" s="92" t="s">
        <v>60</v>
      </c>
      <c r="BB296" s="6" t="b">
        <f>Table2[[#This Row],[final_obs_date]]&lt;(Table2[[#This Row],[estHD]]-2)</f>
        <v>0</v>
      </c>
      <c r="BC296" s="32">
        <f>IF(Table2[[#This Row],[field_fate]]="H",1,0)</f>
        <v>1</v>
      </c>
      <c r="BD296" s="16">
        <f>IF(Table2[[#This Row],[cam_fate2]]="H",1,0)</f>
        <v>1</v>
      </c>
      <c r="BE296" s="6" t="b">
        <f>NOT(Table2[[#This Row],[HF_C]]=Table2[[#This Row],[HF]])</f>
        <v>0</v>
      </c>
      <c r="BF296" s="38" t="b">
        <f>NOT(Table2[[#This Row],[cam_fate2]]=Table2[[#This Row],[field_fate3]])</f>
        <v>0</v>
      </c>
      <c r="BG296" s="38" t="b">
        <f>OR(Table2[[#This Row],[field_fate3]]="U",Table2[[#This Row],[field_fate3]]="U-H")</f>
        <v>0</v>
      </c>
      <c r="BH296" s="8">
        <v>28</v>
      </c>
      <c r="BI296" s="8">
        <v>47</v>
      </c>
      <c r="BJ296" s="14">
        <f>IF(ISTEXT(Table2[[#This Row],[j.cam]]),Table2[[#This Row],[j]],Table2[[#This Row],[j.cam]])</f>
        <v>47</v>
      </c>
      <c r="BK296" s="8">
        <v>47</v>
      </c>
      <c r="BL296" s="14">
        <f>IF(ISTEXT(Table2[[#This Row],[k.cam]]), Table2[[#This Row],[k]], Table2[[#This Row],[k.cam]])</f>
        <v>47</v>
      </c>
      <c r="BM296" s="4" t="s">
        <v>24</v>
      </c>
      <c r="BN296" s="8" t="s">
        <v>24</v>
      </c>
      <c r="BO296" s="4">
        <v>9</v>
      </c>
      <c r="BP296" s="4">
        <f>Table2[[#This Row],[final_obs_date]]-Table2[[#This Row],[i]]</f>
        <v>19</v>
      </c>
      <c r="BQ296" s="4" t="b">
        <f>Table2[[#This Row],[final_obs_date2]]&gt;Table2[[#This Row],[estHD]]+3</f>
        <v>1</v>
      </c>
      <c r="BR296" s="3" t="s">
        <v>33</v>
      </c>
      <c r="BS296" s="3" t="s">
        <v>44</v>
      </c>
      <c r="BT296" s="125" t="s">
        <v>1191</v>
      </c>
      <c r="BU296" s="4" t="s">
        <v>263</v>
      </c>
      <c r="BV296" s="79" t="s">
        <v>1568</v>
      </c>
      <c r="BW296" s="69"/>
      <c r="BX296" s="36"/>
      <c r="BY296" s="36" t="s">
        <v>663</v>
      </c>
    </row>
    <row r="297" spans="1:77" hidden="1" x14ac:dyDescent="0.35">
      <c r="A297" s="63">
        <v>20201</v>
      </c>
      <c r="B297" s="2" t="s">
        <v>122</v>
      </c>
      <c r="C297" s="45">
        <v>2020</v>
      </c>
      <c r="D297" s="3">
        <v>29.75883</v>
      </c>
      <c r="E297" s="3">
        <v>-93.123019999999997</v>
      </c>
      <c r="F297" s="3" t="s">
        <v>24</v>
      </c>
      <c r="G297" s="3" t="s">
        <v>24</v>
      </c>
      <c r="H297" s="3" t="s">
        <v>462</v>
      </c>
      <c r="I297" s="43"/>
      <c r="J297" s="55">
        <v>47</v>
      </c>
      <c r="K297" s="4">
        <v>48</v>
      </c>
      <c r="L297" s="22">
        <f>IF(ISNUMBER(Table2[[#This Row],[estHD]]),ABS(Table2[[#This Row],[HD]]-Table2[[#This Row],[estHD]]),"NA")</f>
        <v>1</v>
      </c>
      <c r="M297" s="4" t="b">
        <f>Table2[[#This Row],[HD]]=Table2[[#This Row],[estHD]]</f>
        <v>0</v>
      </c>
      <c r="N297" s="4" t="str">
        <f>IF(ISNUMBER([1]!Table2[[#This Row],[hatch_date]]),[1]!Table2[[#This Row],[hatch_date]]-19,"NA")</f>
        <v>NA</v>
      </c>
      <c r="O297" s="31">
        <v>29</v>
      </c>
      <c r="P297" s="23">
        <f>IF(ISNUMBER(Table2[[#This Row],[nest_age1]]),ABS(Table2[[#This Row],[nest_age1]]-Table2[[#This Row],[nest_age_feb]]),"NA")</f>
        <v>2</v>
      </c>
      <c r="Q297" s="24">
        <f>IF(ISNUMBER(Table2[[#This Row],[final_obs_int2]]),ABS(Table2[[#This Row],[final_obs_int2]]-Table2[[#This Row],[final_obs_int_feb]]), "NA")</f>
        <v>1</v>
      </c>
      <c r="R297" s="24"/>
      <c r="S297" s="57" t="s">
        <v>88</v>
      </c>
      <c r="T297" s="57" t="str">
        <f>Table2[[#This Row],[camera_old]]</f>
        <v>N</v>
      </c>
      <c r="U297" s="24"/>
      <c r="V297" s="16" t="s">
        <v>24</v>
      </c>
      <c r="W297" s="16">
        <v>19</v>
      </c>
      <c r="X297" s="145">
        <v>1</v>
      </c>
      <c r="Y297" s="147" t="s">
        <v>37</v>
      </c>
      <c r="Z297" s="146" t="s">
        <v>37</v>
      </c>
      <c r="AA297" s="4" t="str">
        <f>Table2[[#This Row],[field_fate]]</f>
        <v>H</v>
      </c>
      <c r="AB297" s="4" t="str">
        <f>Table2[[#This Row],[field_fate2]]</f>
        <v>H</v>
      </c>
      <c r="AC297" s="4" t="str">
        <f>Table2[[#This Row],[field_fate3]]</f>
        <v>H</v>
      </c>
      <c r="AD297" s="4" t="str">
        <f>Table2[[#This Row],[field_fate4]]</f>
        <v>H</v>
      </c>
      <c r="AE297" s="4" t="str">
        <f>Table2[[#This Row],[field_fate5]]</f>
        <v>H</v>
      </c>
      <c r="AF297" s="4" t="str">
        <f>Table2[[#This Row],[field_fate5]]</f>
        <v>H</v>
      </c>
      <c r="AG297" s="4" t="str">
        <f>Table2[[#This Row],[field_fate5]]</f>
        <v>H</v>
      </c>
      <c r="AH297" s="4" t="str">
        <f>Table2[[#This Row],[field_fate2]]</f>
        <v>H</v>
      </c>
      <c r="AI297" s="4" t="str">
        <f>Table2[[#This Row],[field_fate8]]</f>
        <v>H</v>
      </c>
      <c r="AJ297" s="4" t="str">
        <f>Table2[[#This Row],[field_fate10]]</f>
        <v>H</v>
      </c>
      <c r="AK297" s="4" t="b">
        <f>Table2[[#This Row],[field_fate_feb]]=Table2[[#This Row],[field_fate10]]</f>
        <v>1</v>
      </c>
      <c r="AL297" s="43" t="s">
        <v>24</v>
      </c>
      <c r="AM297" s="43" t="b">
        <f>Table2[[#This Row],[cam_fate2]]="NA"</f>
        <v>1</v>
      </c>
      <c r="AN297" s="19" t="str">
        <f>Table2[[#This Row],[cam_fate1]]</f>
        <v>NA</v>
      </c>
      <c r="AO297" s="2" t="s">
        <v>37</v>
      </c>
      <c r="AP297" s="5" t="str">
        <f>Table2[[#This Row],[final_fate1]]</f>
        <v>H</v>
      </c>
      <c r="AQ297" s="6">
        <v>21</v>
      </c>
      <c r="AR297" s="7">
        <v>22</v>
      </c>
      <c r="AS297" s="7">
        <f>Table2[[#This Row],[final_obs_date]]-Table2[[#This Row],[init_date]]</f>
        <v>21</v>
      </c>
      <c r="AT297" s="7">
        <f>(Table2[[#This Row],[final_obs_date2]]-Table2[[#This Row],[estHD]])+16</f>
        <v>19</v>
      </c>
      <c r="AU297" s="38">
        <v>2</v>
      </c>
      <c r="AV297" s="33">
        <v>2</v>
      </c>
      <c r="AW297" s="33">
        <f>Table2[[#This Row],[final_obs_date2]]-Table2[[#This Row],[pen_obs_date]]</f>
        <v>50</v>
      </c>
      <c r="AX297" s="67">
        <v>50</v>
      </c>
      <c r="AY297" s="6">
        <f>Table2[[#This Row],[final_obs_date]]</f>
        <v>50</v>
      </c>
      <c r="AZ297" s="6"/>
      <c r="BA297" s="91" t="s">
        <v>47</v>
      </c>
      <c r="BB297" s="6" t="b">
        <f>Table2[[#This Row],[final_obs_date]]&lt;(Table2[[#This Row],[estHD]]-2)</f>
        <v>0</v>
      </c>
      <c r="BC297" s="24">
        <f>IF(Table2[[#This Row],[field_fate]]="H",1,0)</f>
        <v>1</v>
      </c>
      <c r="BD297" s="16">
        <f>IF(Table2[[#This Row],[cam_fate2]]="H",1,0)</f>
        <v>0</v>
      </c>
      <c r="BE297" s="6" t="b">
        <f>NOT(Table2[[#This Row],[HF_C]]=Table2[[#This Row],[HF]])</f>
        <v>1</v>
      </c>
      <c r="BF297" s="6" t="b">
        <f>NOT(Table2[[#This Row],[cam_fate2]]=Table2[[#This Row],[field_fate3]])</f>
        <v>1</v>
      </c>
      <c r="BG297" s="6" t="b">
        <f>OR(Table2[[#This Row],[field_fate3]]="U",Table2[[#This Row],[field_fate3]]="U-H")</f>
        <v>0</v>
      </c>
      <c r="BH297" s="8">
        <v>28</v>
      </c>
      <c r="BI297" s="8">
        <v>48</v>
      </c>
      <c r="BJ297" s="14">
        <f>IF(ISTEXT(Table2[[#This Row],[j.cam]]),Table2[[#This Row],[j]],Table2[[#This Row],[j.cam]])</f>
        <v>48</v>
      </c>
      <c r="BK297" s="9">
        <v>48</v>
      </c>
      <c r="BL297" s="15">
        <f>IF(ISTEXT(Table2[[#This Row],[k.cam]]), Table2[[#This Row],[k]], Table2[[#This Row],[k.cam]])</f>
        <v>48</v>
      </c>
      <c r="BM297" s="4" t="s">
        <v>24</v>
      </c>
      <c r="BN297" s="8" t="s">
        <v>24</v>
      </c>
      <c r="BO297" s="4">
        <v>10</v>
      </c>
      <c r="BP297" s="4">
        <f>Table2[[#This Row],[final_obs_date]]-Table2[[#This Row],[i]]</f>
        <v>22</v>
      </c>
      <c r="BQ297" s="4" t="b">
        <f>Table2[[#This Row],[final_obs_date2]]&gt;Table2[[#This Row],[estHD]]+3</f>
        <v>0</v>
      </c>
      <c r="BR297" s="4" t="s">
        <v>33</v>
      </c>
      <c r="BS297" s="4" t="s">
        <v>45</v>
      </c>
      <c r="BT297" s="79" t="s">
        <v>1192</v>
      </c>
      <c r="BU297" s="26" t="s">
        <v>264</v>
      </c>
      <c r="BV297" s="79" t="s">
        <v>1569</v>
      </c>
      <c r="BW297" s="49"/>
      <c r="BX297" s="47"/>
      <c r="BY297" s="36" t="s">
        <v>664</v>
      </c>
    </row>
    <row r="298" spans="1:77" hidden="1" x14ac:dyDescent="0.35">
      <c r="A298" s="63">
        <v>20202</v>
      </c>
      <c r="B298" s="2" t="s">
        <v>122</v>
      </c>
      <c r="C298" s="45">
        <v>2020</v>
      </c>
      <c r="D298" s="3">
        <v>29.758839999999999</v>
      </c>
      <c r="E298" s="3">
        <v>-93.122929999999997</v>
      </c>
      <c r="F298" s="3" t="s">
        <v>24</v>
      </c>
      <c r="G298" s="3" t="s">
        <v>24</v>
      </c>
      <c r="H298" s="3" t="s">
        <v>462</v>
      </c>
      <c r="I298" s="43"/>
      <c r="J298" s="55">
        <v>45</v>
      </c>
      <c r="K298" s="4">
        <v>47</v>
      </c>
      <c r="L298" s="22">
        <f>IF(ISNUMBER(Table2[[#This Row],[estHD]]),ABS(Table2[[#This Row],[HD]]-Table2[[#This Row],[estHD]]),"NA")</f>
        <v>2</v>
      </c>
      <c r="M298" s="4" t="b">
        <f>Table2[[#This Row],[HD]]=Table2[[#This Row],[estHD]]</f>
        <v>0</v>
      </c>
      <c r="N298" s="4" t="str">
        <f>IF(ISNUMBER([1]!Table2[[#This Row],[hatch_date]]),[1]!Table2[[#This Row],[hatch_date]]-19,"NA")</f>
        <v>NA</v>
      </c>
      <c r="O298" s="31">
        <v>28</v>
      </c>
      <c r="P298" s="23">
        <f>IF(ISNUMBER(Table2[[#This Row],[nest_age1]]),ABS(Table2[[#This Row],[nest_age1]]-Table2[[#This Row],[nest_age_feb]]),"NA")</f>
        <v>1</v>
      </c>
      <c r="Q298" s="24">
        <f>IF(ISNUMBER(Table2[[#This Row],[final_obs_int2]]),ABS(Table2[[#This Row],[final_obs_int2]]-Table2[[#This Row],[final_obs_int_feb]]), "NA")</f>
        <v>0</v>
      </c>
      <c r="R298" s="24"/>
      <c r="S298" s="57" t="s">
        <v>88</v>
      </c>
      <c r="T298" s="57" t="str">
        <f>Table2[[#This Row],[camera_old]]</f>
        <v>N</v>
      </c>
      <c r="U298" s="24"/>
      <c r="V298" s="16" t="s">
        <v>24</v>
      </c>
      <c r="W298" s="16">
        <v>20</v>
      </c>
      <c r="X298" s="145">
        <v>2</v>
      </c>
      <c r="Y298" s="147" t="s">
        <v>37</v>
      </c>
      <c r="Z298" s="146" t="s">
        <v>37</v>
      </c>
      <c r="AA298" s="4" t="str">
        <f>Table2[[#This Row],[field_fate]]</f>
        <v>H</v>
      </c>
      <c r="AB298" s="4" t="str">
        <f>Table2[[#This Row],[field_fate2]]</f>
        <v>H</v>
      </c>
      <c r="AC298" s="4" t="str">
        <f>Table2[[#This Row],[field_fate3]]</f>
        <v>H</v>
      </c>
      <c r="AD298" s="4" t="str">
        <f>Table2[[#This Row],[field_fate4]]</f>
        <v>H</v>
      </c>
      <c r="AE298" s="4" t="str">
        <f>Table2[[#This Row],[field_fate5]]</f>
        <v>H</v>
      </c>
      <c r="AF298" s="4" t="str">
        <f>Table2[[#This Row],[field_fate5]]</f>
        <v>H</v>
      </c>
      <c r="AG298" s="4" t="str">
        <f>Table2[[#This Row],[field_fate5]]</f>
        <v>H</v>
      </c>
      <c r="AH298" s="4" t="str">
        <f>Table2[[#This Row],[field_fate2]]</f>
        <v>H</v>
      </c>
      <c r="AI298" s="4" t="str">
        <f>Table2[[#This Row],[field_fate8]]</f>
        <v>H</v>
      </c>
      <c r="AJ298" s="4" t="str">
        <f>Table2[[#This Row],[field_fate10]]</f>
        <v>H</v>
      </c>
      <c r="AK298" s="4" t="b">
        <f>Table2[[#This Row],[field_fate_feb]]=Table2[[#This Row],[field_fate10]]</f>
        <v>1</v>
      </c>
      <c r="AL298" s="43" t="s">
        <v>24</v>
      </c>
      <c r="AM298" s="43" t="b">
        <f>Table2[[#This Row],[cam_fate2]]="NA"</f>
        <v>1</v>
      </c>
      <c r="AN298" s="19" t="str">
        <f>Table2[[#This Row],[cam_fate1]]</f>
        <v>NA</v>
      </c>
      <c r="AO298" s="2" t="s">
        <v>37</v>
      </c>
      <c r="AP298" s="5" t="str">
        <f>Table2[[#This Row],[final_fate1]]</f>
        <v>H</v>
      </c>
      <c r="AQ298" s="6">
        <v>19</v>
      </c>
      <c r="AR298" s="7">
        <v>21</v>
      </c>
      <c r="AS298" s="7">
        <f>Table2[[#This Row],[final_obs_date]]-Table2[[#This Row],[init_date]]</f>
        <v>19</v>
      </c>
      <c r="AT298" s="7">
        <f>(Table2[[#This Row],[final_obs_date2]]-Table2[[#This Row],[estHD]])+16</f>
        <v>18</v>
      </c>
      <c r="AU298" s="38">
        <v>2</v>
      </c>
      <c r="AV298" s="33">
        <v>2</v>
      </c>
      <c r="AW298" s="33">
        <f>Table2[[#This Row],[final_obs_date2]]-Table2[[#This Row],[pen_obs_date]]</f>
        <v>47</v>
      </c>
      <c r="AX298" s="67">
        <v>47</v>
      </c>
      <c r="AY298" s="6">
        <f>Table2[[#This Row],[final_obs_date]]</f>
        <v>47</v>
      </c>
      <c r="AZ298" s="6"/>
      <c r="BA298" s="91" t="s">
        <v>47</v>
      </c>
      <c r="BB298" s="6" t="b">
        <f>Table2[[#This Row],[final_obs_date]]&lt;(Table2[[#This Row],[estHD]]-2)</f>
        <v>0</v>
      </c>
      <c r="BC298" s="24">
        <f>IF(Table2[[#This Row],[field_fate]]="H",1,0)</f>
        <v>1</v>
      </c>
      <c r="BD298" s="16">
        <f>IF(Table2[[#This Row],[cam_fate2]]="H",1,0)</f>
        <v>0</v>
      </c>
      <c r="BE298" s="6" t="b">
        <f>NOT(Table2[[#This Row],[HF_C]]=Table2[[#This Row],[HF]])</f>
        <v>1</v>
      </c>
      <c r="BF298" s="6" t="b">
        <f>NOT(Table2[[#This Row],[cam_fate2]]=Table2[[#This Row],[field_fate3]])</f>
        <v>1</v>
      </c>
      <c r="BG298" s="6" t="b">
        <f>OR(Table2[[#This Row],[field_fate3]]="U",Table2[[#This Row],[field_fate3]]="U-H")</f>
        <v>0</v>
      </c>
      <c r="BH298" s="8">
        <v>28</v>
      </c>
      <c r="BI298" s="8">
        <v>47</v>
      </c>
      <c r="BJ298" s="14">
        <f>IF(ISTEXT(Table2[[#This Row],[j.cam]]),Table2[[#This Row],[j]],Table2[[#This Row],[j.cam]])</f>
        <v>47</v>
      </c>
      <c r="BK298" s="9">
        <v>47</v>
      </c>
      <c r="BL298" s="15">
        <f>IF(ISTEXT(Table2[[#This Row],[k.cam]]), Table2[[#This Row],[k]], Table2[[#This Row],[k.cam]])</f>
        <v>47</v>
      </c>
      <c r="BM298" s="4" t="s">
        <v>24</v>
      </c>
      <c r="BN298" s="8" t="s">
        <v>24</v>
      </c>
      <c r="BO298" s="4">
        <v>9</v>
      </c>
      <c r="BP298" s="4">
        <f>Table2[[#This Row],[final_obs_date]]-Table2[[#This Row],[i]]</f>
        <v>19</v>
      </c>
      <c r="BQ298" s="4" t="b">
        <f>Table2[[#This Row],[final_obs_date2]]&gt;Table2[[#This Row],[estHD]]+3</f>
        <v>0</v>
      </c>
      <c r="BR298" s="4" t="s">
        <v>33</v>
      </c>
      <c r="BS298" s="4" t="s">
        <v>44</v>
      </c>
      <c r="BT298" s="79" t="s">
        <v>1191</v>
      </c>
      <c r="BU298" s="26" t="s">
        <v>265</v>
      </c>
      <c r="BV298" s="79" t="s">
        <v>1568</v>
      </c>
      <c r="BW298" s="49"/>
      <c r="BX298" s="47"/>
      <c r="BY298" s="36" t="s">
        <v>665</v>
      </c>
    </row>
    <row r="299" spans="1:77" hidden="1" x14ac:dyDescent="0.35">
      <c r="A299" s="63">
        <v>20203</v>
      </c>
      <c r="B299" s="2" t="s">
        <v>122</v>
      </c>
      <c r="C299" s="45">
        <v>2020</v>
      </c>
      <c r="D299" s="3">
        <v>29.758769999999998</v>
      </c>
      <c r="E299" s="3">
        <v>-93.122799999999998</v>
      </c>
      <c r="F299" s="3" t="s">
        <v>24</v>
      </c>
      <c r="G299" s="3" t="s">
        <v>24</v>
      </c>
      <c r="H299" s="3" t="s">
        <v>462</v>
      </c>
      <c r="I299" s="43"/>
      <c r="J299" s="55">
        <v>43</v>
      </c>
      <c r="K299" s="4">
        <v>45</v>
      </c>
      <c r="L299" s="22">
        <f>IF(ISNUMBER(Table2[[#This Row],[estHD]]),ABS(Table2[[#This Row],[HD]]-Table2[[#This Row],[estHD]]),"NA")</f>
        <v>2</v>
      </c>
      <c r="M299" s="4" t="b">
        <f>Table2[[#This Row],[HD]]=Table2[[#This Row],[estHD]]</f>
        <v>0</v>
      </c>
      <c r="N299" s="4" t="str">
        <f>IF(ISNUMBER([1]!Table2[[#This Row],[hatch_date]]),[1]!Table2[[#This Row],[hatch_date]]-19,"NA")</f>
        <v>NA</v>
      </c>
      <c r="O299" s="31">
        <v>26</v>
      </c>
      <c r="P299" s="23">
        <f>IF(ISNUMBER(Table2[[#This Row],[nest_age1]]),ABS(Table2[[#This Row],[nest_age1]]-Table2[[#This Row],[nest_age_feb]]),"NA")</f>
        <v>1</v>
      </c>
      <c r="Q299" s="24">
        <f>IF(ISNUMBER(Table2[[#This Row],[final_obs_int2]]),ABS(Table2[[#This Row],[final_obs_int2]]-Table2[[#This Row],[final_obs_int_feb]]), "NA")</f>
        <v>0</v>
      </c>
      <c r="R299" s="24"/>
      <c r="S299" s="57" t="s">
        <v>88</v>
      </c>
      <c r="T299" s="57" t="str">
        <f>Table2[[#This Row],[camera_old]]</f>
        <v>N</v>
      </c>
      <c r="U299" s="24"/>
      <c r="V299" s="16" t="s">
        <v>24</v>
      </c>
      <c r="W299" s="16">
        <v>20</v>
      </c>
      <c r="X299" s="145">
        <v>2</v>
      </c>
      <c r="Y299" s="147" t="s">
        <v>37</v>
      </c>
      <c r="Z299" s="146" t="s">
        <v>37</v>
      </c>
      <c r="AA299" s="4" t="str">
        <f>Table2[[#This Row],[field_fate]]</f>
        <v>H</v>
      </c>
      <c r="AB299" s="4" t="str">
        <f>Table2[[#This Row],[field_fate2]]</f>
        <v>H</v>
      </c>
      <c r="AC299" s="4" t="str">
        <f>Table2[[#This Row],[field_fate3]]</f>
        <v>H</v>
      </c>
      <c r="AD299" s="4" t="str">
        <f>Table2[[#This Row],[field_fate4]]</f>
        <v>H</v>
      </c>
      <c r="AE299" s="4" t="str">
        <f>Table2[[#This Row],[field_fate5]]</f>
        <v>H</v>
      </c>
      <c r="AF299" s="4" t="str">
        <f>Table2[[#This Row],[field_fate5]]</f>
        <v>H</v>
      </c>
      <c r="AG299" s="4" t="str">
        <f>Table2[[#This Row],[field_fate5]]</f>
        <v>H</v>
      </c>
      <c r="AH299" s="4" t="str">
        <f>Table2[[#This Row],[field_fate2]]</f>
        <v>H</v>
      </c>
      <c r="AI299" s="4" t="str">
        <f>Table2[[#This Row],[field_fate8]]</f>
        <v>H</v>
      </c>
      <c r="AJ299" s="4" t="str">
        <f>Table2[[#This Row],[field_fate10]]</f>
        <v>H</v>
      </c>
      <c r="AK299" s="4" t="b">
        <f>Table2[[#This Row],[field_fate_feb]]=Table2[[#This Row],[field_fate10]]</f>
        <v>1</v>
      </c>
      <c r="AL299" s="43" t="s">
        <v>24</v>
      </c>
      <c r="AM299" s="43" t="b">
        <f>Table2[[#This Row],[cam_fate2]]="NA"</f>
        <v>1</v>
      </c>
      <c r="AN299" s="19" t="str">
        <f>Table2[[#This Row],[cam_fate1]]</f>
        <v>NA</v>
      </c>
      <c r="AO299" s="2" t="s">
        <v>37</v>
      </c>
      <c r="AP299" s="5" t="str">
        <f>Table2[[#This Row],[final_fate1]]</f>
        <v>H</v>
      </c>
      <c r="AQ299" s="6">
        <v>19</v>
      </c>
      <c r="AR299" s="7">
        <v>21</v>
      </c>
      <c r="AS299" s="7">
        <f>Table2[[#This Row],[final_obs_date]]-Table2[[#This Row],[init_date]]</f>
        <v>19</v>
      </c>
      <c r="AT299" s="7">
        <f>(Table2[[#This Row],[final_obs_date2]]-Table2[[#This Row],[estHD]])+16</f>
        <v>18</v>
      </c>
      <c r="AU299" s="38">
        <v>2</v>
      </c>
      <c r="AV299" s="33">
        <v>2</v>
      </c>
      <c r="AW299" s="33">
        <f>Table2[[#This Row],[final_obs_date2]]-Table2[[#This Row],[pen_obs_date]]</f>
        <v>45</v>
      </c>
      <c r="AX299" s="67">
        <v>45</v>
      </c>
      <c r="AY299" s="6">
        <f>Table2[[#This Row],[final_obs_date]]</f>
        <v>45</v>
      </c>
      <c r="AZ299" s="6"/>
      <c r="BA299" s="91" t="s">
        <v>47</v>
      </c>
      <c r="BB299" s="6" t="b">
        <f>Table2[[#This Row],[final_obs_date]]&lt;(Table2[[#This Row],[estHD]]-2)</f>
        <v>0</v>
      </c>
      <c r="BC299" s="24">
        <f>IF(Table2[[#This Row],[field_fate]]="H",1,0)</f>
        <v>1</v>
      </c>
      <c r="BD299" s="16">
        <f>IF(Table2[[#This Row],[cam_fate2]]="H",1,0)</f>
        <v>0</v>
      </c>
      <c r="BE299" s="6" t="b">
        <f>NOT(Table2[[#This Row],[HF_C]]=Table2[[#This Row],[HF]])</f>
        <v>1</v>
      </c>
      <c r="BF299" s="6" t="b">
        <f>NOT(Table2[[#This Row],[cam_fate2]]=Table2[[#This Row],[field_fate3]])</f>
        <v>1</v>
      </c>
      <c r="BG299" s="6" t="b">
        <f>OR(Table2[[#This Row],[field_fate3]]="U",Table2[[#This Row],[field_fate3]]="U-H")</f>
        <v>0</v>
      </c>
      <c r="BH299" s="8">
        <v>28</v>
      </c>
      <c r="BI299" s="8">
        <v>45</v>
      </c>
      <c r="BJ299" s="14">
        <f>IF(ISTEXT(Table2[[#This Row],[j.cam]]),Table2[[#This Row],[j]],Table2[[#This Row],[j.cam]])</f>
        <v>45</v>
      </c>
      <c r="BK299" s="9">
        <v>45</v>
      </c>
      <c r="BL299" s="15">
        <f>IF(ISTEXT(Table2[[#This Row],[k.cam]]), Table2[[#This Row],[k]], Table2[[#This Row],[k.cam]])</f>
        <v>45</v>
      </c>
      <c r="BM299" s="4" t="s">
        <v>24</v>
      </c>
      <c r="BN299" s="8" t="s">
        <v>24</v>
      </c>
      <c r="BO299" s="4">
        <v>8</v>
      </c>
      <c r="BP299" s="4">
        <f>Table2[[#This Row],[final_obs_date]]-Table2[[#This Row],[i]]</f>
        <v>17</v>
      </c>
      <c r="BQ299" s="4" t="b">
        <f>Table2[[#This Row],[final_obs_date2]]&gt;Table2[[#This Row],[estHD]]+3</f>
        <v>0</v>
      </c>
      <c r="BR299" s="4" t="s">
        <v>33</v>
      </c>
      <c r="BS299" s="4" t="s">
        <v>44</v>
      </c>
      <c r="BT299" s="79" t="s">
        <v>1193</v>
      </c>
      <c r="BU299" s="26" t="s">
        <v>266</v>
      </c>
      <c r="BV299" s="79" t="s">
        <v>1570</v>
      </c>
      <c r="BW299" s="49"/>
      <c r="BX299" s="47"/>
      <c r="BY299" s="36" t="s">
        <v>666</v>
      </c>
    </row>
    <row r="300" spans="1:77" ht="15" hidden="1" x14ac:dyDescent="0.35">
      <c r="A300" s="63">
        <v>20204</v>
      </c>
      <c r="B300" s="2" t="s">
        <v>122</v>
      </c>
      <c r="C300" s="45">
        <v>2020</v>
      </c>
      <c r="D300" s="3">
        <v>29.758620000000001</v>
      </c>
      <c r="E300" s="3">
        <v>-93.122150000000005</v>
      </c>
      <c r="F300" s="3" t="s">
        <v>24</v>
      </c>
      <c r="G300" s="3" t="s">
        <v>24</v>
      </c>
      <c r="H300" s="3" t="s">
        <v>462</v>
      </c>
      <c r="I300" s="43"/>
      <c r="J300" s="116">
        <v>44</v>
      </c>
      <c r="K300" s="4">
        <v>47</v>
      </c>
      <c r="L300" s="22">
        <f>IF(ISNUMBER(Table2[[#This Row],[estHD]]),ABS(Table2[[#This Row],[HD]]-Table2[[#This Row],[estHD]]),"NA")</f>
        <v>3</v>
      </c>
      <c r="M300" s="4" t="b">
        <f>Table2[[#This Row],[HD]]=Table2[[#This Row],[estHD]]</f>
        <v>0</v>
      </c>
      <c r="N300" s="4">
        <f>IF(ISNUMBER(Table2[[#This Row],[HD]]),Table2[[#This Row],[HD]]-19,"NA")</f>
        <v>28</v>
      </c>
      <c r="O300" s="31">
        <v>28</v>
      </c>
      <c r="P300" s="23">
        <f>IF(ISNUMBER(Table2[[#This Row],[nest_age1]]),ABS(Table2[[#This Row],[nest_age1]]-Table2[[#This Row],[nest_age_feb]]),"NA")</f>
        <v>2</v>
      </c>
      <c r="Q300" s="24">
        <f>IF(ISNUMBER(Table2[[#This Row],[final_obs_int2]]),ABS(Table2[[#This Row],[final_obs_int2]]-Table2[[#This Row],[final_obs_int_feb]]), "NA")</f>
        <v>0</v>
      </c>
      <c r="R300" s="24">
        <f>(Table2[[#This Row],[k_adj]]-Table2[[#This Row],[estHD]])/Table2[[#This Row],[estHD]]</f>
        <v>6.8181818181818177E-2</v>
      </c>
      <c r="S300" s="20" t="s">
        <v>75</v>
      </c>
      <c r="T300" s="20" t="str">
        <f>Table2[[#This Row],[camera_old]]</f>
        <v>Y</v>
      </c>
      <c r="U300" s="22" t="s">
        <v>88</v>
      </c>
      <c r="V300" s="16" t="s">
        <v>37</v>
      </c>
      <c r="W300" s="16">
        <v>21</v>
      </c>
      <c r="X300" s="145">
        <v>2</v>
      </c>
      <c r="Y300" s="147" t="s">
        <v>37</v>
      </c>
      <c r="Z300" s="146" t="s">
        <v>37</v>
      </c>
      <c r="AA300" s="4" t="str">
        <f>Table2[[#This Row],[field_fate]]</f>
        <v>H</v>
      </c>
      <c r="AB300" s="4" t="str">
        <f>Table2[[#This Row],[field_fate2]]</f>
        <v>H</v>
      </c>
      <c r="AC300" s="94" t="str">
        <f>Table2[[#This Row],[field_fate3]]</f>
        <v>H</v>
      </c>
      <c r="AD300" s="94" t="str">
        <f>Table2[[#This Row],[field_fate4]]</f>
        <v>H</v>
      </c>
      <c r="AE300" s="94" t="str">
        <f>Table2[[#This Row],[field_fate5]]</f>
        <v>H</v>
      </c>
      <c r="AF300" s="94" t="str">
        <f>Table2[[#This Row],[field_fate5]]</f>
        <v>H</v>
      </c>
      <c r="AG300" s="94" t="str">
        <f>Table2[[#This Row],[field_fate5]]</f>
        <v>H</v>
      </c>
      <c r="AH300" s="94" t="str">
        <f>Table2[[#This Row],[field_fate2]]</f>
        <v>H</v>
      </c>
      <c r="AI300" s="94" t="str">
        <f>Table2[[#This Row],[field_fate8]]</f>
        <v>H</v>
      </c>
      <c r="AJ300" s="94" t="str">
        <f>Table2[[#This Row],[field_fate10]]</f>
        <v>H</v>
      </c>
      <c r="AK300" s="94" t="b">
        <f>Table2[[#This Row],[field_fate_feb]]=Table2[[#This Row],[field_fate10]]</f>
        <v>1</v>
      </c>
      <c r="AL300" s="43" t="s">
        <v>37</v>
      </c>
      <c r="AM300" s="160" t="b">
        <f>Table2[[#This Row],[cam_fate2]]="NA"</f>
        <v>0</v>
      </c>
      <c r="AN300" s="19" t="str">
        <f>Table2[[#This Row],[cam_fate1]]</f>
        <v>H</v>
      </c>
      <c r="AO300" s="2" t="s">
        <v>37</v>
      </c>
      <c r="AP300" s="5" t="str">
        <f>Table2[[#This Row],[final_fate1]]</f>
        <v>H</v>
      </c>
      <c r="AQ300" s="6">
        <v>19</v>
      </c>
      <c r="AR300" s="72">
        <v>22</v>
      </c>
      <c r="AS300" s="155">
        <f>Table2[[#This Row],[final_obs_date]]-Table2[[#This Row],[init_date]]</f>
        <v>19</v>
      </c>
      <c r="AT300" s="155">
        <f>(Table2[[#This Row],[final_obs_date2]]-Table2[[#This Row],[estHD]])+19</f>
        <v>22</v>
      </c>
      <c r="AU300" s="38">
        <v>2</v>
      </c>
      <c r="AV300" s="33">
        <v>2</v>
      </c>
      <c r="AW300" s="33">
        <f>Table2[[#This Row],[final_obs_date2]]-Table2[[#This Row],[pen_obs_date]]</f>
        <v>2</v>
      </c>
      <c r="AX300" s="67">
        <v>47</v>
      </c>
      <c r="AY300" s="157">
        <f>Table2[[#This Row],[final_obs_date]]</f>
        <v>47</v>
      </c>
      <c r="AZ300" s="6">
        <v>45</v>
      </c>
      <c r="BA300" s="92" t="s">
        <v>47</v>
      </c>
      <c r="BB300" s="6" t="b">
        <f>Table2[[#This Row],[final_obs_date]]&lt;(Table2[[#This Row],[estHD]]-2)</f>
        <v>0</v>
      </c>
      <c r="BC300" s="32">
        <f>IF(Table2[[#This Row],[field_fate]]="H",1,0)</f>
        <v>1</v>
      </c>
      <c r="BD300" s="16">
        <f>IF(Table2[[#This Row],[cam_fate2]]="H",1,0)</f>
        <v>1</v>
      </c>
      <c r="BE300" s="6" t="b">
        <f>NOT(Table2[[#This Row],[HF_C]]=Table2[[#This Row],[HF]])</f>
        <v>0</v>
      </c>
      <c r="BF300" s="38" t="b">
        <f>NOT(Table2[[#This Row],[cam_fate2]]=Table2[[#This Row],[field_fate3]])</f>
        <v>0</v>
      </c>
      <c r="BG300" s="38" t="b">
        <f>OR(Table2[[#This Row],[field_fate3]]="U",Table2[[#This Row],[field_fate3]]="U-H")</f>
        <v>0</v>
      </c>
      <c r="BH300" s="8">
        <v>28</v>
      </c>
      <c r="BI300" s="8">
        <v>47</v>
      </c>
      <c r="BJ300" s="14">
        <f>IF(ISTEXT(Table2[[#This Row],[j.cam]]),Table2[[#This Row],[j]],Table2[[#This Row],[j.cam]])</f>
        <v>47</v>
      </c>
      <c r="BK300" s="8">
        <v>47</v>
      </c>
      <c r="BL300" s="14">
        <f>IF(ISTEXT(Table2[[#This Row],[k.cam]]), Table2[[#This Row],[k]], Table2[[#This Row],[k.cam]])</f>
        <v>47</v>
      </c>
      <c r="BM300" s="4" t="s">
        <v>24</v>
      </c>
      <c r="BN300" s="8" t="s">
        <v>24</v>
      </c>
      <c r="BO300" s="4">
        <v>9</v>
      </c>
      <c r="BP300" s="4">
        <f>Table2[[#This Row],[final_obs_date]]-Table2[[#This Row],[i]]</f>
        <v>19</v>
      </c>
      <c r="BQ300" s="4" t="b">
        <f>Table2[[#This Row],[final_obs_date2]]&gt;Table2[[#This Row],[estHD]]+3</f>
        <v>0</v>
      </c>
      <c r="BR300" s="3" t="s">
        <v>33</v>
      </c>
      <c r="BS300" s="3" t="s">
        <v>267</v>
      </c>
      <c r="BT300" s="125" t="s">
        <v>1191</v>
      </c>
      <c r="BU300" s="4" t="s">
        <v>268</v>
      </c>
      <c r="BV300" s="79" t="s">
        <v>1568</v>
      </c>
      <c r="BW300" s="69"/>
      <c r="BX300" s="36"/>
      <c r="BY300" s="36" t="s">
        <v>667</v>
      </c>
    </row>
    <row r="301" spans="1:77" hidden="1" x14ac:dyDescent="0.35">
      <c r="A301" s="63">
        <v>20205</v>
      </c>
      <c r="B301" s="2" t="s">
        <v>122</v>
      </c>
      <c r="C301" s="45">
        <v>2020</v>
      </c>
      <c r="D301" s="3">
        <v>29.75834</v>
      </c>
      <c r="E301" s="3">
        <v>-93.121219999999994</v>
      </c>
      <c r="F301" s="3" t="s">
        <v>24</v>
      </c>
      <c r="G301" s="3" t="s">
        <v>24</v>
      </c>
      <c r="H301" s="3" t="s">
        <v>462</v>
      </c>
      <c r="I301" s="43"/>
      <c r="J301" s="55">
        <v>45</v>
      </c>
      <c r="K301" s="4">
        <v>47</v>
      </c>
      <c r="L301" s="22">
        <f>IF(ISNUMBER(Table2[[#This Row],[estHD]]),ABS(Table2[[#This Row],[HD]]-Table2[[#This Row],[estHD]]),"NA")</f>
        <v>2</v>
      </c>
      <c r="M301" s="4" t="b">
        <f>Table2[[#This Row],[HD]]=Table2[[#This Row],[estHD]]</f>
        <v>0</v>
      </c>
      <c r="N301" s="4" t="str">
        <f>IF(ISNUMBER([1]!Table2[[#This Row],[hatch_date]]),[1]!Table2[[#This Row],[hatch_date]]-19,"NA")</f>
        <v>NA</v>
      </c>
      <c r="O301" s="31">
        <v>28</v>
      </c>
      <c r="P301" s="23">
        <f>IF(ISNUMBER(Table2[[#This Row],[nest_age1]]),ABS(Table2[[#This Row],[nest_age1]]-Table2[[#This Row],[nest_age_feb]]),"NA")</f>
        <v>1</v>
      </c>
      <c r="Q301" s="24">
        <f>IF(ISNUMBER(Table2[[#This Row],[final_obs_int2]]),ABS(Table2[[#This Row],[final_obs_int2]]-Table2[[#This Row],[final_obs_int_feb]]), "NA")</f>
        <v>0</v>
      </c>
      <c r="R301" s="24"/>
      <c r="S301" s="57" t="s">
        <v>88</v>
      </c>
      <c r="T301" s="57" t="str">
        <f>Table2[[#This Row],[camera_old]]</f>
        <v>N</v>
      </c>
      <c r="U301" s="24"/>
      <c r="V301" s="16" t="s">
        <v>24</v>
      </c>
      <c r="W301" s="16">
        <v>20</v>
      </c>
      <c r="X301" s="145">
        <v>2</v>
      </c>
      <c r="Y301" s="147" t="s">
        <v>37</v>
      </c>
      <c r="Z301" s="146" t="s">
        <v>37</v>
      </c>
      <c r="AA301" s="4" t="str">
        <f>Table2[[#This Row],[field_fate]]</f>
        <v>H</v>
      </c>
      <c r="AB301" s="4" t="str">
        <f>Table2[[#This Row],[field_fate2]]</f>
        <v>H</v>
      </c>
      <c r="AC301" s="4" t="str">
        <f>Table2[[#This Row],[field_fate3]]</f>
        <v>H</v>
      </c>
      <c r="AD301" s="4" t="str">
        <f>Table2[[#This Row],[field_fate4]]</f>
        <v>H</v>
      </c>
      <c r="AE301" s="4" t="str">
        <f>Table2[[#This Row],[field_fate5]]</f>
        <v>H</v>
      </c>
      <c r="AF301" s="4" t="str">
        <f>Table2[[#This Row],[field_fate5]]</f>
        <v>H</v>
      </c>
      <c r="AG301" s="4" t="str">
        <f>Table2[[#This Row],[field_fate5]]</f>
        <v>H</v>
      </c>
      <c r="AH301" s="4" t="str">
        <f>Table2[[#This Row],[field_fate2]]</f>
        <v>H</v>
      </c>
      <c r="AI301" s="4" t="str">
        <f>Table2[[#This Row],[field_fate8]]</f>
        <v>H</v>
      </c>
      <c r="AJ301" s="4" t="str">
        <f>Table2[[#This Row],[field_fate10]]</f>
        <v>H</v>
      </c>
      <c r="AK301" s="4" t="b">
        <f>Table2[[#This Row],[field_fate_feb]]=Table2[[#This Row],[field_fate10]]</f>
        <v>1</v>
      </c>
      <c r="AL301" s="43" t="s">
        <v>24</v>
      </c>
      <c r="AM301" s="43" t="b">
        <f>Table2[[#This Row],[cam_fate2]]="NA"</f>
        <v>1</v>
      </c>
      <c r="AN301" s="19" t="str">
        <f>Table2[[#This Row],[cam_fate1]]</f>
        <v>NA</v>
      </c>
      <c r="AO301" s="2" t="s">
        <v>37</v>
      </c>
      <c r="AP301" s="5" t="str">
        <f>Table2[[#This Row],[final_fate1]]</f>
        <v>H</v>
      </c>
      <c r="AQ301" s="6">
        <v>19</v>
      </c>
      <c r="AR301" s="7">
        <v>21</v>
      </c>
      <c r="AS301" s="7">
        <f>Table2[[#This Row],[final_obs_date]]-Table2[[#This Row],[init_date]]</f>
        <v>19</v>
      </c>
      <c r="AT301" s="7">
        <f>(Table2[[#This Row],[final_obs_date2]]-Table2[[#This Row],[estHD]])+16</f>
        <v>18</v>
      </c>
      <c r="AU301" s="38">
        <v>2</v>
      </c>
      <c r="AV301" s="33">
        <v>2</v>
      </c>
      <c r="AW301" s="33">
        <f>Table2[[#This Row],[final_obs_date2]]-Table2[[#This Row],[pen_obs_date]]</f>
        <v>47</v>
      </c>
      <c r="AX301" s="67">
        <v>47</v>
      </c>
      <c r="AY301" s="6">
        <f>Table2[[#This Row],[final_obs_date]]</f>
        <v>47</v>
      </c>
      <c r="AZ301" s="6"/>
      <c r="BA301" s="91" t="s">
        <v>47</v>
      </c>
      <c r="BB301" s="6" t="b">
        <f>Table2[[#This Row],[final_obs_date]]&lt;(Table2[[#This Row],[estHD]]-2)</f>
        <v>0</v>
      </c>
      <c r="BC301" s="24">
        <f>IF(Table2[[#This Row],[field_fate]]="H",1,0)</f>
        <v>1</v>
      </c>
      <c r="BD301" s="16">
        <f>IF(Table2[[#This Row],[cam_fate2]]="H",1,0)</f>
        <v>0</v>
      </c>
      <c r="BE301" s="6" t="b">
        <f>NOT(Table2[[#This Row],[HF_C]]=Table2[[#This Row],[HF]])</f>
        <v>1</v>
      </c>
      <c r="BF301" s="6" t="b">
        <f>NOT(Table2[[#This Row],[cam_fate2]]=Table2[[#This Row],[field_fate3]])</f>
        <v>1</v>
      </c>
      <c r="BG301" s="6" t="b">
        <f>OR(Table2[[#This Row],[field_fate3]]="U",Table2[[#This Row],[field_fate3]]="U-H")</f>
        <v>0</v>
      </c>
      <c r="BH301" s="8">
        <v>28</v>
      </c>
      <c r="BI301" s="8">
        <v>47</v>
      </c>
      <c r="BJ301" s="14">
        <f>IF(ISTEXT(Table2[[#This Row],[j.cam]]),Table2[[#This Row],[j]],Table2[[#This Row],[j.cam]])</f>
        <v>47</v>
      </c>
      <c r="BK301" s="9">
        <v>47</v>
      </c>
      <c r="BL301" s="15">
        <f>IF(ISTEXT(Table2[[#This Row],[k.cam]]), Table2[[#This Row],[k]], Table2[[#This Row],[k.cam]])</f>
        <v>47</v>
      </c>
      <c r="BM301" s="4" t="s">
        <v>24</v>
      </c>
      <c r="BN301" s="8" t="s">
        <v>24</v>
      </c>
      <c r="BO301" s="4">
        <v>9</v>
      </c>
      <c r="BP301" s="4">
        <f>Table2[[#This Row],[final_obs_date]]-Table2[[#This Row],[i]]</f>
        <v>19</v>
      </c>
      <c r="BQ301" s="4" t="b">
        <f>Table2[[#This Row],[final_obs_date2]]&gt;Table2[[#This Row],[estHD]]+3</f>
        <v>0</v>
      </c>
      <c r="BR301" s="4" t="s">
        <v>27</v>
      </c>
      <c r="BS301" s="4" t="s">
        <v>38</v>
      </c>
      <c r="BT301" s="79" t="s">
        <v>1191</v>
      </c>
      <c r="BU301" s="26" t="s">
        <v>269</v>
      </c>
      <c r="BV301" s="79" t="s">
        <v>1568</v>
      </c>
      <c r="BW301" s="49"/>
      <c r="BX301" s="47"/>
      <c r="BY301" s="36" t="s">
        <v>668</v>
      </c>
    </row>
    <row r="302" spans="1:77" hidden="1" x14ac:dyDescent="0.35">
      <c r="A302" s="63">
        <v>20206</v>
      </c>
      <c r="B302" s="2" t="s">
        <v>122</v>
      </c>
      <c r="C302" s="45">
        <v>2020</v>
      </c>
      <c r="D302" s="3">
        <v>29.758400000000002</v>
      </c>
      <c r="E302" s="3">
        <v>-93.120869999999996</v>
      </c>
      <c r="F302" s="3" t="s">
        <v>24</v>
      </c>
      <c r="G302" s="3" t="s">
        <v>24</v>
      </c>
      <c r="H302" s="3" t="s">
        <v>462</v>
      </c>
      <c r="I302" s="43"/>
      <c r="J302" s="55">
        <v>46</v>
      </c>
      <c r="K302" s="4">
        <v>44</v>
      </c>
      <c r="L302" s="22">
        <f>IF(ISNUMBER(Table2[[#This Row],[estHD]]),ABS(Table2[[#This Row],[HD]]-Table2[[#This Row],[estHD]]),"NA")</f>
        <v>2</v>
      </c>
      <c r="M302" s="4" t="b">
        <f>Table2[[#This Row],[HD]]=Table2[[#This Row],[estHD]]</f>
        <v>0</v>
      </c>
      <c r="N302" s="4" t="str">
        <f>IF(ISNUMBER([1]!Table2[[#This Row],[hatch_date]]),[1]!Table2[[#This Row],[hatch_date]]-19,"NA")</f>
        <v>NA</v>
      </c>
      <c r="O302" s="31">
        <v>25</v>
      </c>
      <c r="P302" s="23">
        <f>IF(ISNUMBER(Table2[[#This Row],[nest_age1]]),ABS(Table2[[#This Row],[nest_age1]]-Table2[[#This Row],[nest_age_feb]]),"NA")</f>
        <v>3</v>
      </c>
      <c r="Q302" s="24">
        <f>IF(ISNUMBER(Table2[[#This Row],[final_obs_int2]]),ABS(Table2[[#This Row],[final_obs_int2]]-Table2[[#This Row],[final_obs_int_feb]]), "NA")</f>
        <v>0</v>
      </c>
      <c r="R302" s="24"/>
      <c r="S302" s="57" t="s">
        <v>88</v>
      </c>
      <c r="T302" s="57" t="str">
        <f>Table2[[#This Row],[camera_old]]</f>
        <v>N</v>
      </c>
      <c r="U302" s="24"/>
      <c r="V302" s="16" t="s">
        <v>24</v>
      </c>
      <c r="W302" s="16">
        <v>17</v>
      </c>
      <c r="X302" s="145">
        <v>2</v>
      </c>
      <c r="Y302" s="147" t="s">
        <v>37</v>
      </c>
      <c r="Z302" s="146" t="s">
        <v>37</v>
      </c>
      <c r="AA302" s="4" t="str">
        <f>Table2[[#This Row],[field_fate]]</f>
        <v>H</v>
      </c>
      <c r="AB302" s="4" t="str">
        <f>Table2[[#This Row],[field_fate2]]</f>
        <v>H</v>
      </c>
      <c r="AC302" s="4" t="str">
        <f>Table2[[#This Row],[field_fate3]]</f>
        <v>H</v>
      </c>
      <c r="AD302" s="4" t="str">
        <f>Table2[[#This Row],[field_fate4]]</f>
        <v>H</v>
      </c>
      <c r="AE302" s="4" t="str">
        <f>Table2[[#This Row],[field_fate5]]</f>
        <v>H</v>
      </c>
      <c r="AF302" s="4" t="str">
        <f>Table2[[#This Row],[field_fate5]]</f>
        <v>H</v>
      </c>
      <c r="AG302" s="4" t="str">
        <f>Table2[[#This Row],[field_fate5]]</f>
        <v>H</v>
      </c>
      <c r="AH302" s="4" t="str">
        <f>Table2[[#This Row],[field_fate2]]</f>
        <v>H</v>
      </c>
      <c r="AI302" s="4" t="str">
        <f>Table2[[#This Row],[field_fate8]]</f>
        <v>H</v>
      </c>
      <c r="AJ302" s="4" t="str">
        <f>Table2[[#This Row],[field_fate10]]</f>
        <v>H</v>
      </c>
      <c r="AK302" s="4" t="b">
        <f>Table2[[#This Row],[field_fate_feb]]=Table2[[#This Row],[field_fate10]]</f>
        <v>1</v>
      </c>
      <c r="AL302" s="43" t="s">
        <v>24</v>
      </c>
      <c r="AM302" s="43" t="b">
        <f>Table2[[#This Row],[cam_fate2]]="NA"</f>
        <v>1</v>
      </c>
      <c r="AN302" s="19" t="str">
        <f>Table2[[#This Row],[cam_fate1]]</f>
        <v>NA</v>
      </c>
      <c r="AO302" s="2" t="s">
        <v>37</v>
      </c>
      <c r="AP302" s="5" t="str">
        <f>Table2[[#This Row],[final_fate1]]</f>
        <v>H</v>
      </c>
      <c r="AQ302" s="6">
        <v>20</v>
      </c>
      <c r="AR302" s="7">
        <v>18</v>
      </c>
      <c r="AS302" s="7">
        <f>Table2[[#This Row],[final_obs_date]]-Table2[[#This Row],[init_date]]</f>
        <v>20</v>
      </c>
      <c r="AT302" s="7">
        <f>(Table2[[#This Row],[final_obs_date2]]-Table2[[#This Row],[estHD]])+16</f>
        <v>15</v>
      </c>
      <c r="AU302" s="38">
        <v>2</v>
      </c>
      <c r="AV302" s="33">
        <v>2</v>
      </c>
      <c r="AW302" s="33">
        <f>Table2[[#This Row],[final_obs_date2]]-Table2[[#This Row],[pen_obs_date]]</f>
        <v>45</v>
      </c>
      <c r="AX302" s="67">
        <v>45</v>
      </c>
      <c r="AY302" s="6">
        <f>Table2[[#This Row],[final_obs_date]]</f>
        <v>45</v>
      </c>
      <c r="AZ302" s="6"/>
      <c r="BA302" s="91" t="s">
        <v>47</v>
      </c>
      <c r="BB302" s="6" t="b">
        <f>Table2[[#This Row],[final_obs_date]]&lt;(Table2[[#This Row],[estHD]]-2)</f>
        <v>0</v>
      </c>
      <c r="BC302" s="24">
        <f>IF(Table2[[#This Row],[field_fate]]="H",1,0)</f>
        <v>1</v>
      </c>
      <c r="BD302" s="16">
        <f>IF(Table2[[#This Row],[cam_fate2]]="H",1,0)</f>
        <v>0</v>
      </c>
      <c r="BE302" s="6" t="b">
        <f>NOT(Table2[[#This Row],[HF_C]]=Table2[[#This Row],[HF]])</f>
        <v>1</v>
      </c>
      <c r="BF302" s="6" t="b">
        <f>NOT(Table2[[#This Row],[cam_fate2]]=Table2[[#This Row],[field_fate3]])</f>
        <v>1</v>
      </c>
      <c r="BG302" s="6" t="b">
        <f>OR(Table2[[#This Row],[field_fate3]]="U",Table2[[#This Row],[field_fate3]]="U-H")</f>
        <v>0</v>
      </c>
      <c r="BH302" s="8">
        <v>28</v>
      </c>
      <c r="BI302" s="8">
        <v>44</v>
      </c>
      <c r="BJ302" s="14">
        <f>IF(ISTEXT(Table2[[#This Row],[j.cam]]),Table2[[#This Row],[j]],Table2[[#This Row],[j.cam]])</f>
        <v>44</v>
      </c>
      <c r="BK302" s="9">
        <v>44</v>
      </c>
      <c r="BL302" s="15">
        <f>IF(ISTEXT(Table2[[#This Row],[k.cam]]), Table2[[#This Row],[k]], Table2[[#This Row],[k.cam]])</f>
        <v>44</v>
      </c>
      <c r="BM302" s="4" t="s">
        <v>24</v>
      </c>
      <c r="BN302" s="8" t="s">
        <v>24</v>
      </c>
      <c r="BO302" s="4">
        <v>8</v>
      </c>
      <c r="BP302" s="4">
        <f>Table2[[#This Row],[final_obs_date]]-Table2[[#This Row],[i]]</f>
        <v>17</v>
      </c>
      <c r="BQ302" s="4" t="b">
        <f>Table2[[#This Row],[final_obs_date2]]&gt;Table2[[#This Row],[estHD]]+3</f>
        <v>0</v>
      </c>
      <c r="BR302" s="4" t="s">
        <v>58</v>
      </c>
      <c r="BS302" s="4" t="s">
        <v>49</v>
      </c>
      <c r="BT302" s="79" t="s">
        <v>1193</v>
      </c>
      <c r="BU302" s="26" t="s">
        <v>270</v>
      </c>
      <c r="BV302" s="79" t="s">
        <v>1570</v>
      </c>
      <c r="BW302" s="49"/>
      <c r="BX302" s="47"/>
      <c r="BY302" s="36" t="s">
        <v>669</v>
      </c>
    </row>
    <row r="303" spans="1:77" ht="18.5" hidden="1" x14ac:dyDescent="0.35">
      <c r="A303" s="63">
        <v>20207</v>
      </c>
      <c r="B303" s="2" t="s">
        <v>122</v>
      </c>
      <c r="C303" s="45">
        <v>2020</v>
      </c>
      <c r="D303" s="3">
        <v>29.758400000000002</v>
      </c>
      <c r="E303" s="3">
        <v>-93.120779999999996</v>
      </c>
      <c r="F303" s="3" t="s">
        <v>24</v>
      </c>
      <c r="G303" s="3" t="s">
        <v>24</v>
      </c>
      <c r="H303" s="3" t="s">
        <v>26</v>
      </c>
      <c r="I303" s="43"/>
      <c r="J303" s="55">
        <v>47</v>
      </c>
      <c r="K303" s="4">
        <v>47</v>
      </c>
      <c r="L303" s="22">
        <f>IF(ISNUMBER(Table2[[#This Row],[estHD]]),ABS(Table2[[#This Row],[HD]]-Table2[[#This Row],[estHD]]),"NA")</f>
        <v>0</v>
      </c>
      <c r="M303" s="4" t="b">
        <f>Table2[[#This Row],[HD]]=Table2[[#This Row],[estHD]]</f>
        <v>1</v>
      </c>
      <c r="N303" s="4" t="str">
        <f>IF(ISNUMBER([1]!Table2[[#This Row],[hatch_date]]),[1]!Table2[[#This Row],[hatch_date]]-19,"NA")</f>
        <v>NA</v>
      </c>
      <c r="O303" s="31">
        <v>28</v>
      </c>
      <c r="P303" s="23">
        <f>IF(ISNUMBER(Table2[[#This Row],[nest_age1]]),ABS(Table2[[#This Row],[nest_age1]]-Table2[[#This Row],[nest_age_feb]]),"NA")</f>
        <v>1</v>
      </c>
      <c r="Q303" s="24">
        <f>IF(ISNUMBER(Table2[[#This Row],[final_obs_int2]]),ABS(Table2[[#This Row],[final_obs_int2]]-Table2[[#This Row],[final_obs_int_feb]]), "NA")</f>
        <v>0</v>
      </c>
      <c r="R303" s="24"/>
      <c r="S303" s="57" t="s">
        <v>88</v>
      </c>
      <c r="T303" s="57" t="str">
        <f>Table2[[#This Row],[camera_old]]</f>
        <v>N</v>
      </c>
      <c r="U303" s="24"/>
      <c r="V303" s="16" t="s">
        <v>24</v>
      </c>
      <c r="W303" s="16">
        <v>4</v>
      </c>
      <c r="X303" s="145">
        <v>2</v>
      </c>
      <c r="Y303" s="147" t="s">
        <v>48</v>
      </c>
      <c r="Z303" s="146" t="s">
        <v>48</v>
      </c>
      <c r="AA303" s="4" t="str">
        <f>Table2[[#This Row],[field_fate]]</f>
        <v>F</v>
      </c>
      <c r="AB303" s="4" t="str">
        <f>Table2[[#This Row],[field_fate2]]</f>
        <v>F</v>
      </c>
      <c r="AC303" s="4" t="str">
        <f>Table2[[#This Row],[field_fate3]]</f>
        <v>F</v>
      </c>
      <c r="AD303" s="4" t="str">
        <f>Table2[[#This Row],[field_fate4]]</f>
        <v>F</v>
      </c>
      <c r="AE303" s="4" t="str">
        <f>Table2[[#This Row],[field_fate5]]</f>
        <v>F</v>
      </c>
      <c r="AF303" s="4" t="str">
        <f>Table2[[#This Row],[field_fate5]]</f>
        <v>F</v>
      </c>
      <c r="AG303" s="4" t="str">
        <f>Table2[[#This Row],[field_fate5]]</f>
        <v>F</v>
      </c>
      <c r="AH303" s="4" t="str">
        <f>Table2[[#This Row],[field_fate2]]</f>
        <v>F</v>
      </c>
      <c r="AI303" s="4" t="str">
        <f>Table2[[#This Row],[field_fate8]]</f>
        <v>F</v>
      </c>
      <c r="AJ303" s="4" t="str">
        <f>Table2[[#This Row],[field_fate10]]</f>
        <v>F</v>
      </c>
      <c r="AK303" s="4" t="b">
        <f>Table2[[#This Row],[field_fate_feb]]=Table2[[#This Row],[field_fate10]]</f>
        <v>1</v>
      </c>
      <c r="AL303" s="43" t="s">
        <v>24</v>
      </c>
      <c r="AM303" s="43" t="b">
        <f>Table2[[#This Row],[cam_fate2]]="NA"</f>
        <v>1</v>
      </c>
      <c r="AN303" s="19" t="str">
        <f>Table2[[#This Row],[cam_fate1]]</f>
        <v>NA</v>
      </c>
      <c r="AO303" s="2" t="s">
        <v>48</v>
      </c>
      <c r="AP303" s="5" t="str">
        <f>Table2[[#This Row],[final_fate1]]</f>
        <v>F</v>
      </c>
      <c r="AQ303" s="6">
        <v>5</v>
      </c>
      <c r="AR303" s="7">
        <v>5</v>
      </c>
      <c r="AS303" s="7">
        <f>Table2[[#This Row],[final_obs_date]]-Table2[[#This Row],[init_date]]</f>
        <v>5</v>
      </c>
      <c r="AT303" s="7">
        <f>(Table2[[#This Row],[final_obs_date2]]-Table2[[#This Row],[estHD]])+16</f>
        <v>2</v>
      </c>
      <c r="AU303" s="38">
        <v>2</v>
      </c>
      <c r="AV303" s="33">
        <v>2</v>
      </c>
      <c r="AW303" s="33">
        <f>Table2[[#This Row],[final_obs_date2]]-Table2[[#This Row],[pen_obs_date]]</f>
        <v>33</v>
      </c>
      <c r="AX303" s="67">
        <v>33</v>
      </c>
      <c r="AY303" s="6">
        <f>Table2[[#This Row],[final_obs_date]]</f>
        <v>33</v>
      </c>
      <c r="AZ303" s="6"/>
      <c r="BA303" s="91" t="s">
        <v>47</v>
      </c>
      <c r="BB303" s="6" t="b">
        <f>Table2[[#This Row],[final_obs_date]]&lt;(Table2[[#This Row],[estHD]]-2)</f>
        <v>1</v>
      </c>
      <c r="BC303" s="24">
        <f>IF(Table2[[#This Row],[field_fate]]="H",1,0)</f>
        <v>0</v>
      </c>
      <c r="BD303" s="16">
        <f>IF(Table2[[#This Row],[cam_fate2]]="H",1,0)</f>
        <v>0</v>
      </c>
      <c r="BE303" s="6" t="b">
        <f>NOT(Table2[[#This Row],[HF_C]]=Table2[[#This Row],[HF]])</f>
        <v>0</v>
      </c>
      <c r="BF303" s="6" t="b">
        <f>NOT(Table2[[#This Row],[cam_fate2]]=Table2[[#This Row],[field_fate3]])</f>
        <v>1</v>
      </c>
      <c r="BG303" s="6" t="b">
        <f>OR(Table2[[#This Row],[field_fate3]]="U",Table2[[#This Row],[field_fate3]]="U-H")</f>
        <v>0</v>
      </c>
      <c r="BH303" s="8">
        <v>28</v>
      </c>
      <c r="BI303" s="8">
        <v>31</v>
      </c>
      <c r="BJ303" s="14">
        <f>IF(ISTEXT(Table2[[#This Row],[j.cam]]),Table2[[#This Row],[j]],Table2[[#This Row],[j.cam]])</f>
        <v>31</v>
      </c>
      <c r="BK303" s="9">
        <v>33</v>
      </c>
      <c r="BL303" s="15">
        <f>IF(ISTEXT(Table2[[#This Row],[k.cam]]), Table2[[#This Row],[k]], Table2[[#This Row],[k.cam]])</f>
        <v>33</v>
      </c>
      <c r="BM303" s="4" t="s">
        <v>24</v>
      </c>
      <c r="BN303" s="8" t="s">
        <v>24</v>
      </c>
      <c r="BO303" s="4">
        <v>3</v>
      </c>
      <c r="BP303" s="4">
        <f>Table2[[#This Row],[final_obs_date]]-Table2[[#This Row],[i]]</f>
        <v>5</v>
      </c>
      <c r="BQ303" s="4" t="b">
        <f>Table2[[#This Row],[final_obs_date2]]&gt;Table2[[#This Row],[estHD]]+3</f>
        <v>0</v>
      </c>
      <c r="BR303" s="4" t="s">
        <v>66</v>
      </c>
      <c r="BS303" s="4" t="s">
        <v>45</v>
      </c>
      <c r="BT303" s="79" t="s">
        <v>1194</v>
      </c>
      <c r="BU303" s="26" t="s">
        <v>271</v>
      </c>
      <c r="BV303" s="79" t="s">
        <v>1521</v>
      </c>
      <c r="BW303" s="49"/>
      <c r="BX303" s="47"/>
      <c r="BY303" s="36" t="s">
        <v>670</v>
      </c>
    </row>
    <row r="304" spans="1:77" ht="18.5" hidden="1" x14ac:dyDescent="0.35">
      <c r="A304" s="63">
        <v>20208</v>
      </c>
      <c r="B304" s="2" t="s">
        <v>111</v>
      </c>
      <c r="C304" s="45">
        <v>2020</v>
      </c>
      <c r="D304" s="3">
        <v>29.772110000000001</v>
      </c>
      <c r="E304" s="3">
        <v>-93.299000000000007</v>
      </c>
      <c r="F304" s="3" t="s">
        <v>24</v>
      </c>
      <c r="G304" s="3" t="s">
        <v>24</v>
      </c>
      <c r="H304" s="3" t="s">
        <v>26</v>
      </c>
      <c r="I304" s="43"/>
      <c r="J304" s="55">
        <v>45</v>
      </c>
      <c r="K304" s="4">
        <v>45</v>
      </c>
      <c r="L304" s="22">
        <f>IF(ISNUMBER(Table2[[#This Row],[estHD]]),ABS(Table2[[#This Row],[HD]]-Table2[[#This Row],[estHD]]),"NA")</f>
        <v>0</v>
      </c>
      <c r="M304" s="4" t="b">
        <f>Table2[[#This Row],[HD]]=Table2[[#This Row],[estHD]]</f>
        <v>1</v>
      </c>
      <c r="N304" s="4" t="str">
        <f>IF(ISNUMBER([1]!Table2[[#This Row],[hatch_date]]), [1]!Table2[[#This Row],[hatch_date]]-16, "NA")</f>
        <v>NA</v>
      </c>
      <c r="O304" s="31">
        <v>29</v>
      </c>
      <c r="P304" s="23">
        <f>IF(ISNUMBER(Table2[[#This Row],[nest_age1]]),ABS(Table2[[#This Row],[nest_age1]]-Table2[[#This Row],[nest_age_feb]]),"NA")</f>
        <v>1</v>
      </c>
      <c r="Q304" s="24">
        <f>IF(ISNUMBER(Table2[[#This Row],[final_obs_int2]]),ABS(Table2[[#This Row],[final_obs_int2]]-Table2[[#This Row],[final_obs_int_feb]]), "NA")</f>
        <v>0</v>
      </c>
      <c r="R304" s="24"/>
      <c r="S304" s="57" t="s">
        <v>88</v>
      </c>
      <c r="T304" s="57" t="str">
        <f>Table2[[#This Row],[camera_old]]</f>
        <v>N</v>
      </c>
      <c r="U304" s="24"/>
      <c r="V304" s="16" t="s">
        <v>24</v>
      </c>
      <c r="W304" s="16">
        <v>5</v>
      </c>
      <c r="X304" s="145">
        <v>6</v>
      </c>
      <c r="Y304" s="147" t="s">
        <v>48</v>
      </c>
      <c r="Z304" s="146" t="s">
        <v>48</v>
      </c>
      <c r="AA304" s="4" t="str">
        <f>Table2[[#This Row],[field_fate]]</f>
        <v>F</v>
      </c>
      <c r="AB304" s="4" t="str">
        <f>Table2[[#This Row],[field_fate2]]</f>
        <v>F</v>
      </c>
      <c r="AC304" s="4" t="str">
        <f>Table2[[#This Row],[field_fate3]]</f>
        <v>F</v>
      </c>
      <c r="AD304" s="4" t="str">
        <f>Table2[[#This Row],[field_fate4]]</f>
        <v>F</v>
      </c>
      <c r="AE304" s="4" t="str">
        <f>Table2[[#This Row],[field_fate5]]</f>
        <v>F</v>
      </c>
      <c r="AF304" s="4" t="str">
        <f>Table2[[#This Row],[field_fate5]]</f>
        <v>F</v>
      </c>
      <c r="AG304" s="4" t="str">
        <f>Table2[[#This Row],[field_fate5]]</f>
        <v>F</v>
      </c>
      <c r="AH304" s="4" t="str">
        <f>Table2[[#This Row],[field_fate2]]</f>
        <v>F</v>
      </c>
      <c r="AI304" s="4" t="str">
        <f>Table2[[#This Row],[field_fate8]]</f>
        <v>F</v>
      </c>
      <c r="AJ304" s="4" t="str">
        <f>Table2[[#This Row],[field_fate10]]</f>
        <v>F</v>
      </c>
      <c r="AK304" s="4" t="b">
        <f>Table2[[#This Row],[field_fate_feb]]=Table2[[#This Row],[field_fate10]]</f>
        <v>1</v>
      </c>
      <c r="AL304" s="43" t="s">
        <v>24</v>
      </c>
      <c r="AM304" s="43" t="b">
        <f>Table2[[#This Row],[cam_fate2]]="NA"</f>
        <v>1</v>
      </c>
      <c r="AN304" s="19" t="str">
        <f>Table2[[#This Row],[cam_fate1]]</f>
        <v>NA</v>
      </c>
      <c r="AO304" s="2" t="s">
        <v>48</v>
      </c>
      <c r="AP304" s="5" t="str">
        <f>Table2[[#This Row],[final_fate1]]</f>
        <v>F</v>
      </c>
      <c r="AQ304" s="6">
        <v>6</v>
      </c>
      <c r="AR304" s="7">
        <v>6</v>
      </c>
      <c r="AS304" s="7">
        <f>Table2[[#This Row],[final_obs_date]]-Table2[[#This Row],[init_date]]</f>
        <v>6</v>
      </c>
      <c r="AT304" s="7">
        <f>(Table2[[#This Row],[final_obs_date2]]-Table2[[#This Row],[estHD]])+16</f>
        <v>6</v>
      </c>
      <c r="AU304" s="38">
        <v>6</v>
      </c>
      <c r="AV304" s="33">
        <v>6</v>
      </c>
      <c r="AW304" s="33">
        <f>Table2[[#This Row],[final_obs_date2]]-Table2[[#This Row],[pen_obs_date]]</f>
        <v>35</v>
      </c>
      <c r="AX304" s="67">
        <v>35</v>
      </c>
      <c r="AY304" s="6">
        <f>Table2[[#This Row],[final_obs_date]]</f>
        <v>35</v>
      </c>
      <c r="AZ304" s="6"/>
      <c r="BA304" s="91" t="s">
        <v>60</v>
      </c>
      <c r="BB304" s="6" t="b">
        <f>Table2[[#This Row],[final_obs_date]]&lt;(Table2[[#This Row],[estHD]]-2)</f>
        <v>1</v>
      </c>
      <c r="BC304" s="24">
        <f>IF(Table2[[#This Row],[field_fate]]="H",1,0)</f>
        <v>0</v>
      </c>
      <c r="BD304" s="16">
        <f>IF(Table2[[#This Row],[cam_fate2]]="H",1,0)</f>
        <v>0</v>
      </c>
      <c r="BE304" s="6" t="b">
        <f>NOT(Table2[[#This Row],[HF_C]]=Table2[[#This Row],[HF]])</f>
        <v>0</v>
      </c>
      <c r="BF304" s="6" t="b">
        <f>NOT(Table2[[#This Row],[cam_fate2]]=Table2[[#This Row],[field_fate3]])</f>
        <v>1</v>
      </c>
      <c r="BG304" s="6" t="b">
        <f>OR(Table2[[#This Row],[field_fate3]]="U",Table2[[#This Row],[field_fate3]]="U-H")</f>
        <v>0</v>
      </c>
      <c r="BH304" s="8">
        <v>29</v>
      </c>
      <c r="BI304" s="8">
        <v>29</v>
      </c>
      <c r="BJ304" s="14">
        <f>IF(ISTEXT(Table2[[#This Row],[j.cam]]),Table2[[#This Row],[j]],Table2[[#This Row],[j.cam]])</f>
        <v>29</v>
      </c>
      <c r="BK304" s="9">
        <v>35</v>
      </c>
      <c r="BL304" s="15">
        <f>IF(ISTEXT(Table2[[#This Row],[k.cam]]), Table2[[#This Row],[k]], Table2[[#This Row],[k.cam]])</f>
        <v>35</v>
      </c>
      <c r="BM304" s="4" t="s">
        <v>24</v>
      </c>
      <c r="BN304" s="8" t="s">
        <v>24</v>
      </c>
      <c r="BO304" s="4">
        <v>2</v>
      </c>
      <c r="BP304" s="4">
        <f>Table2[[#This Row],[final_obs_date]]-Table2[[#This Row],[i]]</f>
        <v>6</v>
      </c>
      <c r="BQ304" s="4" t="b">
        <f>Table2[[#This Row],[final_obs_date2]]&gt;Table2[[#This Row],[estHD]]+3</f>
        <v>0</v>
      </c>
      <c r="BR304" s="4" t="s">
        <v>58</v>
      </c>
      <c r="BS304" s="4" t="s">
        <v>45</v>
      </c>
      <c r="BT304" s="79" t="s">
        <v>1112</v>
      </c>
      <c r="BU304" s="26" t="s">
        <v>117</v>
      </c>
      <c r="BV304" s="79" t="s">
        <v>1437</v>
      </c>
      <c r="BW304" s="49"/>
      <c r="BX304" s="47"/>
      <c r="BY304" s="36" t="s">
        <v>671</v>
      </c>
    </row>
    <row r="305" spans="1:77" hidden="1" x14ac:dyDescent="0.35">
      <c r="A305" s="63">
        <v>20209</v>
      </c>
      <c r="B305" s="2" t="s">
        <v>35</v>
      </c>
      <c r="C305" s="45">
        <v>2020</v>
      </c>
      <c r="D305" s="3">
        <v>29.76727</v>
      </c>
      <c r="E305" s="3">
        <v>-93.162570000000002</v>
      </c>
      <c r="F305" s="3" t="s">
        <v>24</v>
      </c>
      <c r="G305" s="3" t="s">
        <v>24</v>
      </c>
      <c r="H305" s="3" t="s">
        <v>26</v>
      </c>
      <c r="I305" s="43"/>
      <c r="J305" s="55">
        <v>46</v>
      </c>
      <c r="K305" s="4">
        <v>46</v>
      </c>
      <c r="L305" s="22">
        <f>IF(ISNUMBER(Table2[[#This Row],[estHD]]),ABS(Table2[[#This Row],[HD]]-Table2[[#This Row],[estHD]]),"NA")</f>
        <v>0</v>
      </c>
      <c r="M305" s="4" t="b">
        <f>Table2[[#This Row],[HD]]=Table2[[#This Row],[estHD]]</f>
        <v>1</v>
      </c>
      <c r="N305" s="4" t="str">
        <f>IF(ISNUMBER([1]!Table2[[#This Row],[hatch_date]]),[1]!Table2[[#This Row],[hatch_date]]-19,"NA")</f>
        <v>NA</v>
      </c>
      <c r="O305" s="31">
        <v>27</v>
      </c>
      <c r="P305" s="23">
        <f>IF(ISNUMBER(Table2[[#This Row],[nest_age1]]),ABS(Table2[[#This Row],[nest_age1]]-Table2[[#This Row],[nest_age_feb]]),"NA")</f>
        <v>1</v>
      </c>
      <c r="Q305" s="24">
        <f>IF(ISNUMBER(Table2[[#This Row],[final_obs_int2]]),ABS(Table2[[#This Row],[final_obs_int2]]-Table2[[#This Row],[final_obs_int_feb]]), "NA")</f>
        <v>0</v>
      </c>
      <c r="R305" s="24"/>
      <c r="S305" s="57" t="s">
        <v>88</v>
      </c>
      <c r="T305" s="57" t="str">
        <f>Table2[[#This Row],[camera_old]]</f>
        <v>N</v>
      </c>
      <c r="U305" s="24"/>
      <c r="V305" s="16" t="s">
        <v>24</v>
      </c>
      <c r="W305" s="16">
        <v>7</v>
      </c>
      <c r="X305" s="145">
        <v>2</v>
      </c>
      <c r="Y305" s="147" t="s">
        <v>149</v>
      </c>
      <c r="Z305" s="146" t="s">
        <v>149</v>
      </c>
      <c r="AA305" s="4" t="str">
        <f>Table2[[#This Row],[field_fate]]</f>
        <v>W</v>
      </c>
      <c r="AB305" s="4" t="str">
        <f>Table2[[#This Row],[field_fate2]]</f>
        <v>W</v>
      </c>
      <c r="AC305" s="4" t="str">
        <f>Table2[[#This Row],[field_fate3]]</f>
        <v>W</v>
      </c>
      <c r="AD305" s="4" t="str">
        <f>Table2[[#This Row],[field_fate4]]</f>
        <v>W</v>
      </c>
      <c r="AE305" s="4" t="str">
        <f>Table2[[#This Row],[field_fate5]]</f>
        <v>W</v>
      </c>
      <c r="AF305" s="4" t="str">
        <f>Table2[[#This Row],[field_fate5]]</f>
        <v>W</v>
      </c>
      <c r="AG305" s="4" t="str">
        <f>Table2[[#This Row],[field_fate5]]</f>
        <v>W</v>
      </c>
      <c r="AH305" s="4" t="str">
        <f>Table2[[#This Row],[field_fate2]]</f>
        <v>W</v>
      </c>
      <c r="AI305" s="4" t="str">
        <f>Table2[[#This Row],[field_fate8]]</f>
        <v>W</v>
      </c>
      <c r="AJ305" s="4" t="str">
        <f>Table2[[#This Row],[field_fate10]]</f>
        <v>W</v>
      </c>
      <c r="AK305" s="4" t="b">
        <f>Table2[[#This Row],[field_fate_feb]]=Table2[[#This Row],[field_fate10]]</f>
        <v>1</v>
      </c>
      <c r="AL305" s="43" t="s">
        <v>24</v>
      </c>
      <c r="AM305" s="43" t="b">
        <f>Table2[[#This Row],[cam_fate2]]="NA"</f>
        <v>1</v>
      </c>
      <c r="AN305" s="19" t="str">
        <f>Table2[[#This Row],[cam_fate1]]</f>
        <v>NA</v>
      </c>
      <c r="AO305" s="2" t="s">
        <v>149</v>
      </c>
      <c r="AP305" s="5" t="str">
        <f>Table2[[#This Row],[final_fate1]]</f>
        <v>W</v>
      </c>
      <c r="AQ305" s="6">
        <v>8</v>
      </c>
      <c r="AR305" s="7">
        <v>8</v>
      </c>
      <c r="AS305" s="7">
        <f>Table2[[#This Row],[final_obs_date]]-Table2[[#This Row],[init_date]]</f>
        <v>8</v>
      </c>
      <c r="AT305" s="7">
        <f>(Table2[[#This Row],[final_obs_date2]]-Table2[[#This Row],[estHD]])+16</f>
        <v>5</v>
      </c>
      <c r="AU305" s="38">
        <v>2</v>
      </c>
      <c r="AV305" s="33">
        <v>2</v>
      </c>
      <c r="AW305" s="33">
        <f>Table2[[#This Row],[final_obs_date2]]-Table2[[#This Row],[pen_obs_date]]</f>
        <v>35</v>
      </c>
      <c r="AX305" s="67">
        <v>35</v>
      </c>
      <c r="AY305" s="6">
        <f>Table2[[#This Row],[final_obs_date]]</f>
        <v>35</v>
      </c>
      <c r="AZ305" s="6"/>
      <c r="BA305" s="91" t="s">
        <v>47</v>
      </c>
      <c r="BB305" s="6" t="b">
        <f>Table2[[#This Row],[final_obs_date]]&lt;(Table2[[#This Row],[estHD]]-2)</f>
        <v>1</v>
      </c>
      <c r="BC305" s="24">
        <f>IF(Table2[[#This Row],[field_fate]]="H",1,0)</f>
        <v>0</v>
      </c>
      <c r="BD305" s="16">
        <f>IF(Table2[[#This Row],[cam_fate2]]="H",1,0)</f>
        <v>0</v>
      </c>
      <c r="BE305" s="6" t="b">
        <f>NOT(Table2[[#This Row],[HF_C]]=Table2[[#This Row],[HF]])</f>
        <v>0</v>
      </c>
      <c r="BF305" s="6" t="b">
        <f>NOT(Table2[[#This Row],[cam_fate2]]=Table2[[#This Row],[field_fate3]])</f>
        <v>1</v>
      </c>
      <c r="BG305" s="6" t="b">
        <f>OR(Table2[[#This Row],[field_fate3]]="U",Table2[[#This Row],[field_fate3]]="U-H")</f>
        <v>0</v>
      </c>
      <c r="BH305" s="8">
        <v>31</v>
      </c>
      <c r="BI305" s="8">
        <v>33</v>
      </c>
      <c r="BJ305" s="14">
        <f>IF(ISTEXT(Table2[[#This Row],[j.cam]]),Table2[[#This Row],[j]],Table2[[#This Row],[j.cam]])</f>
        <v>33</v>
      </c>
      <c r="BK305" s="9">
        <v>35</v>
      </c>
      <c r="BL305" s="15">
        <f>IF(ISTEXT(Table2[[#This Row],[k.cam]]), Table2[[#This Row],[k]], Table2[[#This Row],[k.cam]])</f>
        <v>35</v>
      </c>
      <c r="BM305" s="4" t="s">
        <v>24</v>
      </c>
      <c r="BN305" s="8" t="s">
        <v>24</v>
      </c>
      <c r="BO305" s="4">
        <v>3</v>
      </c>
      <c r="BP305" s="4">
        <f>Table2[[#This Row],[final_obs_date]]-Table2[[#This Row],[i]]</f>
        <v>4</v>
      </c>
      <c r="BQ305" s="4" t="b">
        <f>Table2[[#This Row],[final_obs_date2]]&gt;Table2[[#This Row],[estHD]]+3</f>
        <v>0</v>
      </c>
      <c r="BR305" s="4" t="s">
        <v>33</v>
      </c>
      <c r="BS305" s="4" t="s">
        <v>45</v>
      </c>
      <c r="BT305" s="79" t="s">
        <v>1195</v>
      </c>
      <c r="BU305" s="26" t="s">
        <v>132</v>
      </c>
      <c r="BV305" s="79" t="s">
        <v>1571</v>
      </c>
      <c r="BW305" s="49"/>
      <c r="BX305" s="47"/>
      <c r="BY305" s="36" t="s">
        <v>672</v>
      </c>
    </row>
    <row r="306" spans="1:77" hidden="1" x14ac:dyDescent="0.35">
      <c r="A306" s="63">
        <v>20210</v>
      </c>
      <c r="B306" s="2" t="s">
        <v>35</v>
      </c>
      <c r="C306" s="45">
        <v>2020</v>
      </c>
      <c r="D306" s="3">
        <v>29.76727</v>
      </c>
      <c r="E306" s="3">
        <v>-93.162599999999998</v>
      </c>
      <c r="F306" s="3" t="s">
        <v>24</v>
      </c>
      <c r="G306" s="3" t="s">
        <v>24</v>
      </c>
      <c r="H306" s="3" t="s">
        <v>26</v>
      </c>
      <c r="I306" s="43"/>
      <c r="J306" s="55">
        <v>49</v>
      </c>
      <c r="K306" s="4">
        <v>49</v>
      </c>
      <c r="L306" s="22">
        <f>IF(ISNUMBER(Table2[[#This Row],[estHD]]),ABS(Table2[[#This Row],[HD]]-Table2[[#This Row],[estHD]]),"NA")</f>
        <v>0</v>
      </c>
      <c r="M306" s="4" t="b">
        <f>Table2[[#This Row],[HD]]=Table2[[#This Row],[estHD]]</f>
        <v>1</v>
      </c>
      <c r="N306" s="4" t="str">
        <f>IF(ISNUMBER([1]!Table2[[#This Row],[hatch_date]]),[1]!Table2[[#This Row],[hatch_date]]-19,"NA")</f>
        <v>NA</v>
      </c>
      <c r="O306" s="31">
        <v>30</v>
      </c>
      <c r="P306" s="23">
        <f>IF(ISNUMBER(Table2[[#This Row],[nest_age1]]),ABS(Table2[[#This Row],[nest_age1]]-Table2[[#This Row],[nest_age_feb]]),"NA")</f>
        <v>1</v>
      </c>
      <c r="Q306" s="24">
        <f>IF(ISNUMBER(Table2[[#This Row],[final_obs_int2]]),ABS(Table2[[#This Row],[final_obs_int2]]-Table2[[#This Row],[final_obs_int_feb]]), "NA")</f>
        <v>0</v>
      </c>
      <c r="R306" s="24"/>
      <c r="S306" s="57" t="s">
        <v>88</v>
      </c>
      <c r="T306" s="57" t="str">
        <f>Table2[[#This Row],[camera_old]]</f>
        <v>N</v>
      </c>
      <c r="U306" s="24"/>
      <c r="V306" s="16" t="s">
        <v>24</v>
      </c>
      <c r="W306" s="16">
        <v>4</v>
      </c>
      <c r="X306" s="145">
        <v>2</v>
      </c>
      <c r="Y306" s="147" t="s">
        <v>149</v>
      </c>
      <c r="Z306" s="146" t="s">
        <v>149</v>
      </c>
      <c r="AA306" s="4" t="str">
        <f>Table2[[#This Row],[field_fate]]</f>
        <v>W</v>
      </c>
      <c r="AB306" s="4" t="str">
        <f>Table2[[#This Row],[field_fate2]]</f>
        <v>W</v>
      </c>
      <c r="AC306" s="4" t="str">
        <f>Table2[[#This Row],[field_fate3]]</f>
        <v>W</v>
      </c>
      <c r="AD306" s="4" t="str">
        <f>Table2[[#This Row],[field_fate4]]</f>
        <v>W</v>
      </c>
      <c r="AE306" s="4" t="str">
        <f>Table2[[#This Row],[field_fate5]]</f>
        <v>W</v>
      </c>
      <c r="AF306" s="4" t="str">
        <f>Table2[[#This Row],[field_fate5]]</f>
        <v>W</v>
      </c>
      <c r="AG306" s="4" t="str">
        <f>Table2[[#This Row],[field_fate5]]</f>
        <v>W</v>
      </c>
      <c r="AH306" s="4" t="str">
        <f>Table2[[#This Row],[field_fate2]]</f>
        <v>W</v>
      </c>
      <c r="AI306" s="4" t="str">
        <f>Table2[[#This Row],[field_fate8]]</f>
        <v>W</v>
      </c>
      <c r="AJ306" s="4" t="str">
        <f>Table2[[#This Row],[field_fate10]]</f>
        <v>W</v>
      </c>
      <c r="AK306" s="4" t="b">
        <f>Table2[[#This Row],[field_fate_feb]]=Table2[[#This Row],[field_fate10]]</f>
        <v>1</v>
      </c>
      <c r="AL306" s="43" t="s">
        <v>24</v>
      </c>
      <c r="AM306" s="43" t="b">
        <f>Table2[[#This Row],[cam_fate2]]="NA"</f>
        <v>1</v>
      </c>
      <c r="AN306" s="19" t="str">
        <f>Table2[[#This Row],[cam_fate1]]</f>
        <v>NA</v>
      </c>
      <c r="AO306" s="2" t="s">
        <v>149</v>
      </c>
      <c r="AP306" s="5" t="str">
        <f>Table2[[#This Row],[final_fate1]]</f>
        <v>W</v>
      </c>
      <c r="AQ306" s="6">
        <v>5</v>
      </c>
      <c r="AR306" s="7">
        <v>5</v>
      </c>
      <c r="AS306" s="7">
        <f>Table2[[#This Row],[final_obs_date]]-Table2[[#This Row],[init_date]]</f>
        <v>5</v>
      </c>
      <c r="AT306" s="7">
        <f>(Table2[[#This Row],[final_obs_date2]]-Table2[[#This Row],[estHD]])+16</f>
        <v>2</v>
      </c>
      <c r="AU306" s="38">
        <v>2</v>
      </c>
      <c r="AV306" s="33">
        <v>2</v>
      </c>
      <c r="AW306" s="33">
        <f>Table2[[#This Row],[final_obs_date2]]-Table2[[#This Row],[pen_obs_date]]</f>
        <v>35</v>
      </c>
      <c r="AX306" s="67">
        <v>35</v>
      </c>
      <c r="AY306" s="6">
        <f>Table2[[#This Row],[final_obs_date]]</f>
        <v>35</v>
      </c>
      <c r="AZ306" s="6"/>
      <c r="BA306" s="91" t="s">
        <v>47</v>
      </c>
      <c r="BB306" s="6" t="b">
        <f>Table2[[#This Row],[final_obs_date]]&lt;(Table2[[#This Row],[estHD]]-2)</f>
        <v>1</v>
      </c>
      <c r="BC306" s="24">
        <f>IF(Table2[[#This Row],[field_fate]]="H",1,0)</f>
        <v>0</v>
      </c>
      <c r="BD306" s="16">
        <f>IF(Table2[[#This Row],[cam_fate2]]="H",1,0)</f>
        <v>0</v>
      </c>
      <c r="BE306" s="6" t="b">
        <f>NOT(Table2[[#This Row],[HF_C]]=Table2[[#This Row],[HF]])</f>
        <v>0</v>
      </c>
      <c r="BF306" s="6" t="b">
        <f>NOT(Table2[[#This Row],[cam_fate2]]=Table2[[#This Row],[field_fate3]])</f>
        <v>1</v>
      </c>
      <c r="BG306" s="6" t="b">
        <f>OR(Table2[[#This Row],[field_fate3]]="U",Table2[[#This Row],[field_fate3]]="U-H")</f>
        <v>0</v>
      </c>
      <c r="BH306" s="8">
        <v>31</v>
      </c>
      <c r="BI306" s="8">
        <v>33</v>
      </c>
      <c r="BJ306" s="14">
        <f>IF(ISTEXT(Table2[[#This Row],[j.cam]]),Table2[[#This Row],[j]],Table2[[#This Row],[j.cam]])</f>
        <v>33</v>
      </c>
      <c r="BK306" s="9">
        <v>35</v>
      </c>
      <c r="BL306" s="15">
        <f>IF(ISTEXT(Table2[[#This Row],[k.cam]]), Table2[[#This Row],[k]], Table2[[#This Row],[k.cam]])</f>
        <v>35</v>
      </c>
      <c r="BM306" s="4" t="s">
        <v>24</v>
      </c>
      <c r="BN306" s="8" t="s">
        <v>24</v>
      </c>
      <c r="BO306" s="4">
        <v>3</v>
      </c>
      <c r="BP306" s="4">
        <f>Table2[[#This Row],[final_obs_date]]-Table2[[#This Row],[i]]</f>
        <v>4</v>
      </c>
      <c r="BQ306" s="4" t="b">
        <f>Table2[[#This Row],[final_obs_date2]]&gt;Table2[[#This Row],[estHD]]+3</f>
        <v>0</v>
      </c>
      <c r="BR306" s="4" t="s">
        <v>33</v>
      </c>
      <c r="BS306" s="4" t="s">
        <v>45</v>
      </c>
      <c r="BT306" s="79" t="s">
        <v>1195</v>
      </c>
      <c r="BU306" s="26" t="s">
        <v>272</v>
      </c>
      <c r="BV306" s="79" t="s">
        <v>1571</v>
      </c>
      <c r="BW306" s="49"/>
      <c r="BX306" s="47"/>
      <c r="BY306" s="36" t="s">
        <v>673</v>
      </c>
    </row>
    <row r="307" spans="1:77" hidden="1" x14ac:dyDescent="0.35">
      <c r="A307" s="63">
        <v>20211</v>
      </c>
      <c r="B307" s="2" t="s">
        <v>35</v>
      </c>
      <c r="C307" s="45">
        <v>2020</v>
      </c>
      <c r="D307" s="3">
        <v>29.76726</v>
      </c>
      <c r="E307" s="3">
        <v>-93.162639999999996</v>
      </c>
      <c r="F307" s="3" t="s">
        <v>24</v>
      </c>
      <c r="G307" s="3" t="s">
        <v>24</v>
      </c>
      <c r="H307" s="3" t="s">
        <v>26</v>
      </c>
      <c r="I307" s="43"/>
      <c r="J307" s="55">
        <v>48</v>
      </c>
      <c r="K307" s="4">
        <v>48</v>
      </c>
      <c r="L307" s="22">
        <f>IF(ISNUMBER(Table2[[#This Row],[estHD]]),ABS(Table2[[#This Row],[HD]]-Table2[[#This Row],[estHD]]),"NA")</f>
        <v>0</v>
      </c>
      <c r="M307" s="4" t="b">
        <f>Table2[[#This Row],[HD]]=Table2[[#This Row],[estHD]]</f>
        <v>1</v>
      </c>
      <c r="N307" s="4" t="str">
        <f>IF(ISNUMBER([1]!Table2[[#This Row],[hatch_date]]),[1]!Table2[[#This Row],[hatch_date]]-19,"NA")</f>
        <v>NA</v>
      </c>
      <c r="O307" s="31">
        <v>29</v>
      </c>
      <c r="P307" s="23">
        <f>IF(ISNUMBER(Table2[[#This Row],[nest_age1]]),ABS(Table2[[#This Row],[nest_age1]]-Table2[[#This Row],[nest_age_feb]]),"NA")</f>
        <v>1</v>
      </c>
      <c r="Q307" s="24">
        <f>IF(ISNUMBER(Table2[[#This Row],[final_obs_int2]]),ABS(Table2[[#This Row],[final_obs_int2]]-Table2[[#This Row],[final_obs_int_feb]]), "NA")</f>
        <v>0</v>
      </c>
      <c r="R307" s="24"/>
      <c r="S307" s="57" t="s">
        <v>88</v>
      </c>
      <c r="T307" s="57" t="str">
        <f>Table2[[#This Row],[camera_old]]</f>
        <v>N</v>
      </c>
      <c r="U307" s="24"/>
      <c r="V307" s="16" t="s">
        <v>24</v>
      </c>
      <c r="W307" s="16">
        <v>8</v>
      </c>
      <c r="X307" s="145">
        <v>3</v>
      </c>
      <c r="Y307" s="147" t="s">
        <v>65</v>
      </c>
      <c r="Z307" s="146" t="s">
        <v>65</v>
      </c>
      <c r="AA307" s="4" t="str">
        <f>Table2[[#This Row],[field_fate]]</f>
        <v>Ca</v>
      </c>
      <c r="AB307" s="4" t="str">
        <f>Table2[[#This Row],[field_fate2]]</f>
        <v>Ca</v>
      </c>
      <c r="AC307" s="4" t="str">
        <f>Table2[[#This Row],[field_fate3]]</f>
        <v>Ca</v>
      </c>
      <c r="AD307" s="4" t="str">
        <f>Table2[[#This Row],[field_fate4]]</f>
        <v>Ca</v>
      </c>
      <c r="AE307" s="4" t="str">
        <f>Table2[[#This Row],[field_fate5]]</f>
        <v>Ca</v>
      </c>
      <c r="AF307" s="4" t="str">
        <f>Table2[[#This Row],[field_fate5]]</f>
        <v>Ca</v>
      </c>
      <c r="AG307" s="4" t="str">
        <f>Table2[[#This Row],[field_fate5]]</f>
        <v>Ca</v>
      </c>
      <c r="AH307" s="4" t="str">
        <f>Table2[[#This Row],[field_fate2]]</f>
        <v>Ca</v>
      </c>
      <c r="AI307" s="4" t="str">
        <f>Table2[[#This Row],[field_fate8]]</f>
        <v>Ca</v>
      </c>
      <c r="AJ307" s="4" t="str">
        <f>Table2[[#This Row],[field_fate10]]</f>
        <v>Ca</v>
      </c>
      <c r="AK307" s="4" t="b">
        <f>Table2[[#This Row],[field_fate_feb]]=Table2[[#This Row],[field_fate10]]</f>
        <v>1</v>
      </c>
      <c r="AL307" s="43" t="s">
        <v>24</v>
      </c>
      <c r="AM307" s="43" t="b">
        <f>Table2[[#This Row],[cam_fate2]]="NA"</f>
        <v>1</v>
      </c>
      <c r="AN307" s="19" t="str">
        <f>Table2[[#This Row],[cam_fate1]]</f>
        <v>NA</v>
      </c>
      <c r="AO307" s="2" t="s">
        <v>65</v>
      </c>
      <c r="AP307" s="5" t="str">
        <f>Table2[[#This Row],[final_fate1]]</f>
        <v>Ca</v>
      </c>
      <c r="AQ307" s="6">
        <v>9</v>
      </c>
      <c r="AR307" s="7">
        <v>9</v>
      </c>
      <c r="AS307" s="7">
        <f>Table2[[#This Row],[final_obs_date]]-Table2[[#This Row],[init_date]]</f>
        <v>9</v>
      </c>
      <c r="AT307" s="7">
        <f>(Table2[[#This Row],[final_obs_date2]]-Table2[[#This Row],[estHD]])+16</f>
        <v>6</v>
      </c>
      <c r="AU307" s="38">
        <v>3</v>
      </c>
      <c r="AV307" s="33">
        <v>3</v>
      </c>
      <c r="AW307" s="33">
        <f>Table2[[#This Row],[final_obs_date2]]-Table2[[#This Row],[pen_obs_date]]</f>
        <v>38</v>
      </c>
      <c r="AX307" s="67">
        <v>38</v>
      </c>
      <c r="AY307" s="6">
        <f>Table2[[#This Row],[final_obs_date]]</f>
        <v>38</v>
      </c>
      <c r="AZ307" s="6"/>
      <c r="BA307" s="91" t="s">
        <v>47</v>
      </c>
      <c r="BB307" s="6" t="b">
        <f>Table2[[#This Row],[final_obs_date]]&lt;(Table2[[#This Row],[estHD]]-2)</f>
        <v>1</v>
      </c>
      <c r="BC307" s="24">
        <f>IF(Table2[[#This Row],[field_fate]]="H",1,0)</f>
        <v>0</v>
      </c>
      <c r="BD307" s="16">
        <f>IF(Table2[[#This Row],[cam_fate2]]="H",1,0)</f>
        <v>0</v>
      </c>
      <c r="BE307" s="6" t="b">
        <f>NOT(Table2[[#This Row],[HF_C]]=Table2[[#This Row],[HF]])</f>
        <v>0</v>
      </c>
      <c r="BF307" s="6" t="b">
        <f>NOT(Table2[[#This Row],[cam_fate2]]=Table2[[#This Row],[field_fate3]])</f>
        <v>1</v>
      </c>
      <c r="BG307" s="6" t="b">
        <f>OR(Table2[[#This Row],[field_fate3]]="U",Table2[[#This Row],[field_fate3]]="U-H")</f>
        <v>0</v>
      </c>
      <c r="BH307" s="8">
        <v>31</v>
      </c>
      <c r="BI307" s="8">
        <v>35</v>
      </c>
      <c r="BJ307" s="14">
        <f>IF(ISTEXT(Table2[[#This Row],[j.cam]]),Table2[[#This Row],[j]],Table2[[#This Row],[j.cam]])</f>
        <v>35</v>
      </c>
      <c r="BK307" s="9">
        <v>38</v>
      </c>
      <c r="BL307" s="15">
        <f>IF(ISTEXT(Table2[[#This Row],[k.cam]]), Table2[[#This Row],[k]], Table2[[#This Row],[k.cam]])</f>
        <v>38</v>
      </c>
      <c r="BM307" s="4" t="s">
        <v>24</v>
      </c>
      <c r="BN307" s="8" t="s">
        <v>24</v>
      </c>
      <c r="BO307" s="4">
        <v>3</v>
      </c>
      <c r="BP307" s="4">
        <f>Table2[[#This Row],[final_obs_date]]-Table2[[#This Row],[i]]</f>
        <v>7</v>
      </c>
      <c r="BQ307" s="4" t="b">
        <f>Table2[[#This Row],[final_obs_date2]]&gt;Table2[[#This Row],[estHD]]+3</f>
        <v>0</v>
      </c>
      <c r="BR307" s="4" t="s">
        <v>27</v>
      </c>
      <c r="BS307" s="4" t="s">
        <v>45</v>
      </c>
      <c r="BT307" s="79" t="s">
        <v>1196</v>
      </c>
      <c r="BU307" s="26" t="s">
        <v>170</v>
      </c>
      <c r="BV307" s="79" t="s">
        <v>1450</v>
      </c>
      <c r="BW307" s="49"/>
      <c r="BX307" s="47"/>
      <c r="BY307" s="36" t="s">
        <v>674</v>
      </c>
    </row>
    <row r="308" spans="1:77" hidden="1" x14ac:dyDescent="0.35">
      <c r="A308" s="63">
        <v>20212</v>
      </c>
      <c r="B308" s="2" t="s">
        <v>35</v>
      </c>
      <c r="C308" s="45">
        <v>2020</v>
      </c>
      <c r="D308" s="3">
        <v>29.767399999999999</v>
      </c>
      <c r="E308" s="3">
        <v>-93.163210000000007</v>
      </c>
      <c r="F308" s="3" t="s">
        <v>24</v>
      </c>
      <c r="G308" s="3" t="s">
        <v>24</v>
      </c>
      <c r="H308" s="3" t="s">
        <v>26</v>
      </c>
      <c r="I308" s="43"/>
      <c r="J308" s="55">
        <v>49</v>
      </c>
      <c r="K308" s="4">
        <v>49</v>
      </c>
      <c r="L308" s="22">
        <f>IF(ISNUMBER(Table2[[#This Row],[estHD]]),ABS(Table2[[#This Row],[HD]]-Table2[[#This Row],[estHD]]),"NA")</f>
        <v>0</v>
      </c>
      <c r="M308" s="4" t="b">
        <f>Table2[[#This Row],[HD]]=Table2[[#This Row],[estHD]]</f>
        <v>1</v>
      </c>
      <c r="N308" s="4" t="str">
        <f>IF(ISNUMBER([1]!Table2[[#This Row],[hatch_date]]),[1]!Table2[[#This Row],[hatch_date]]-19,"NA")</f>
        <v>NA</v>
      </c>
      <c r="O308" s="31">
        <v>30</v>
      </c>
      <c r="P308" s="23">
        <f>IF(ISNUMBER(Table2[[#This Row],[nest_age1]]),ABS(Table2[[#This Row],[nest_age1]]-Table2[[#This Row],[nest_age_feb]]),"NA")</f>
        <v>1</v>
      </c>
      <c r="Q308" s="24">
        <f>IF(ISNUMBER(Table2[[#This Row],[final_obs_int2]]),ABS(Table2[[#This Row],[final_obs_int2]]-Table2[[#This Row],[final_obs_int_feb]]), "NA")</f>
        <v>0</v>
      </c>
      <c r="R308" s="24"/>
      <c r="S308" s="57" t="s">
        <v>88</v>
      </c>
      <c r="T308" s="57" t="str">
        <f>Table2[[#This Row],[camera_old]]</f>
        <v>N</v>
      </c>
      <c r="U308" s="24"/>
      <c r="V308" s="16" t="s">
        <v>24</v>
      </c>
      <c r="W308" s="16">
        <v>7</v>
      </c>
      <c r="X308" s="145">
        <v>3</v>
      </c>
      <c r="Y308" s="147" t="s">
        <v>65</v>
      </c>
      <c r="Z308" s="146" t="s">
        <v>65</v>
      </c>
      <c r="AA308" s="4" t="str">
        <f>Table2[[#This Row],[field_fate]]</f>
        <v>Ca</v>
      </c>
      <c r="AB308" s="4" t="str">
        <f>Table2[[#This Row],[field_fate2]]</f>
        <v>Ca</v>
      </c>
      <c r="AC308" s="4" t="str">
        <f>Table2[[#This Row],[field_fate3]]</f>
        <v>Ca</v>
      </c>
      <c r="AD308" s="4" t="str">
        <f>Table2[[#This Row],[field_fate4]]</f>
        <v>Ca</v>
      </c>
      <c r="AE308" s="4" t="str">
        <f>Table2[[#This Row],[field_fate5]]</f>
        <v>Ca</v>
      </c>
      <c r="AF308" s="4" t="str">
        <f>Table2[[#This Row],[field_fate5]]</f>
        <v>Ca</v>
      </c>
      <c r="AG308" s="4" t="str">
        <f>Table2[[#This Row],[field_fate5]]</f>
        <v>Ca</v>
      </c>
      <c r="AH308" s="4" t="str">
        <f>Table2[[#This Row],[field_fate2]]</f>
        <v>Ca</v>
      </c>
      <c r="AI308" s="4" t="str">
        <f>Table2[[#This Row],[field_fate8]]</f>
        <v>Ca</v>
      </c>
      <c r="AJ308" s="4" t="str">
        <f>Table2[[#This Row],[field_fate10]]</f>
        <v>Ca</v>
      </c>
      <c r="AK308" s="4" t="b">
        <f>Table2[[#This Row],[field_fate_feb]]=Table2[[#This Row],[field_fate10]]</f>
        <v>1</v>
      </c>
      <c r="AL308" s="43" t="s">
        <v>24</v>
      </c>
      <c r="AM308" s="43" t="b">
        <f>Table2[[#This Row],[cam_fate2]]="NA"</f>
        <v>1</v>
      </c>
      <c r="AN308" s="19" t="str">
        <f>Table2[[#This Row],[cam_fate1]]</f>
        <v>NA</v>
      </c>
      <c r="AO308" s="2" t="s">
        <v>65</v>
      </c>
      <c r="AP308" s="5" t="str">
        <f>Table2[[#This Row],[final_fate1]]</f>
        <v>Ca</v>
      </c>
      <c r="AQ308" s="6">
        <v>8</v>
      </c>
      <c r="AR308" s="7">
        <v>8</v>
      </c>
      <c r="AS308" s="7">
        <f>Table2[[#This Row],[final_obs_date]]-Table2[[#This Row],[init_date]]</f>
        <v>8</v>
      </c>
      <c r="AT308" s="7">
        <f>(Table2[[#This Row],[final_obs_date2]]-Table2[[#This Row],[estHD]])+16</f>
        <v>5</v>
      </c>
      <c r="AU308" s="38">
        <v>3</v>
      </c>
      <c r="AV308" s="33">
        <v>3</v>
      </c>
      <c r="AW308" s="33">
        <f>Table2[[#This Row],[final_obs_date2]]-Table2[[#This Row],[pen_obs_date]]</f>
        <v>38</v>
      </c>
      <c r="AX308" s="67">
        <v>38</v>
      </c>
      <c r="AY308" s="6">
        <f>Table2[[#This Row],[final_obs_date]]</f>
        <v>38</v>
      </c>
      <c r="AZ308" s="6"/>
      <c r="BA308" s="91" t="s">
        <v>47</v>
      </c>
      <c r="BB308" s="6" t="b">
        <f>Table2[[#This Row],[final_obs_date]]&lt;(Table2[[#This Row],[estHD]]-2)</f>
        <v>1</v>
      </c>
      <c r="BC308" s="24">
        <f>IF(Table2[[#This Row],[field_fate]]="H",1,0)</f>
        <v>0</v>
      </c>
      <c r="BD308" s="16">
        <f>IF(Table2[[#This Row],[cam_fate2]]="H",1,0)</f>
        <v>0</v>
      </c>
      <c r="BE308" s="6" t="b">
        <f>NOT(Table2[[#This Row],[HF_C]]=Table2[[#This Row],[HF]])</f>
        <v>0</v>
      </c>
      <c r="BF308" s="6" t="b">
        <f>NOT(Table2[[#This Row],[cam_fate2]]=Table2[[#This Row],[field_fate3]])</f>
        <v>1</v>
      </c>
      <c r="BG308" s="6" t="b">
        <f>OR(Table2[[#This Row],[field_fate3]]="U",Table2[[#This Row],[field_fate3]]="U-H")</f>
        <v>0</v>
      </c>
      <c r="BH308" s="8">
        <v>31</v>
      </c>
      <c r="BI308" s="8">
        <v>35</v>
      </c>
      <c r="BJ308" s="14">
        <f>IF(ISTEXT(Table2[[#This Row],[j.cam]]),Table2[[#This Row],[j]],Table2[[#This Row],[j.cam]])</f>
        <v>35</v>
      </c>
      <c r="BK308" s="9">
        <v>38</v>
      </c>
      <c r="BL308" s="15">
        <f>IF(ISTEXT(Table2[[#This Row],[k.cam]]), Table2[[#This Row],[k]], Table2[[#This Row],[k.cam]])</f>
        <v>38</v>
      </c>
      <c r="BM308" s="4" t="s">
        <v>24</v>
      </c>
      <c r="BN308" s="8" t="s">
        <v>24</v>
      </c>
      <c r="BO308" s="4">
        <v>3</v>
      </c>
      <c r="BP308" s="4">
        <f>Table2[[#This Row],[final_obs_date]]-Table2[[#This Row],[i]]</f>
        <v>7</v>
      </c>
      <c r="BQ308" s="4" t="b">
        <f>Table2[[#This Row],[final_obs_date2]]&gt;Table2[[#This Row],[estHD]]+3</f>
        <v>0</v>
      </c>
      <c r="BR308" s="4" t="s">
        <v>33</v>
      </c>
      <c r="BS308" s="4" t="s">
        <v>45</v>
      </c>
      <c r="BT308" s="79" t="s">
        <v>1196</v>
      </c>
      <c r="BU308" s="26" t="s">
        <v>272</v>
      </c>
      <c r="BV308" s="79" t="s">
        <v>1450</v>
      </c>
      <c r="BW308" s="49"/>
      <c r="BX308" s="47"/>
      <c r="BY308" s="36" t="s">
        <v>675</v>
      </c>
    </row>
    <row r="309" spans="1:77" hidden="1" x14ac:dyDescent="0.35">
      <c r="A309" s="63">
        <v>20213</v>
      </c>
      <c r="B309" s="2" t="s">
        <v>35</v>
      </c>
      <c r="C309" s="45">
        <v>2020</v>
      </c>
      <c r="D309" s="3">
        <v>29.767600000000002</v>
      </c>
      <c r="E309" s="3">
        <v>-93.164500000000004</v>
      </c>
      <c r="F309" s="3" t="s">
        <v>24</v>
      </c>
      <c r="G309" s="3" t="s">
        <v>24</v>
      </c>
      <c r="H309" s="3" t="s">
        <v>26</v>
      </c>
      <c r="I309" s="43"/>
      <c r="J309" s="55">
        <v>47</v>
      </c>
      <c r="K309" s="4">
        <v>47</v>
      </c>
      <c r="L309" s="22">
        <f>IF(ISNUMBER(Table2[[#This Row],[estHD]]),ABS(Table2[[#This Row],[HD]]-Table2[[#This Row],[estHD]]),"NA")</f>
        <v>0</v>
      </c>
      <c r="M309" s="4" t="b">
        <f>Table2[[#This Row],[HD]]=Table2[[#This Row],[estHD]]</f>
        <v>1</v>
      </c>
      <c r="N309" s="4" t="str">
        <f>IF(ISNUMBER([1]!Table2[[#This Row],[hatch_date]]),[1]!Table2[[#This Row],[hatch_date]]-19,"NA")</f>
        <v>NA</v>
      </c>
      <c r="O309" s="31">
        <v>28</v>
      </c>
      <c r="P309" s="23">
        <f>IF(ISNUMBER(Table2[[#This Row],[nest_age1]]),ABS(Table2[[#This Row],[nest_age1]]-Table2[[#This Row],[nest_age_feb]]),"NA")</f>
        <v>1</v>
      </c>
      <c r="Q309" s="24">
        <f>IF(ISNUMBER(Table2[[#This Row],[final_obs_int2]]),ABS(Table2[[#This Row],[final_obs_int2]]-Table2[[#This Row],[final_obs_int_feb]]), "NA")</f>
        <v>0</v>
      </c>
      <c r="R309" s="24"/>
      <c r="S309" s="57" t="s">
        <v>88</v>
      </c>
      <c r="T309" s="57" t="str">
        <f>Table2[[#This Row],[camera_old]]</f>
        <v>N</v>
      </c>
      <c r="U309" s="24"/>
      <c r="V309" s="16" t="s">
        <v>24</v>
      </c>
      <c r="W309" s="16">
        <v>9</v>
      </c>
      <c r="X309" s="145">
        <v>3</v>
      </c>
      <c r="Y309" s="147" t="s">
        <v>31</v>
      </c>
      <c r="Z309" s="146" t="s">
        <v>31</v>
      </c>
      <c r="AA309" s="4" t="str">
        <f>Table2[[#This Row],[field_fate]]</f>
        <v>D</v>
      </c>
      <c r="AB309" s="4" t="str">
        <f>Table2[[#This Row],[field_fate2]]</f>
        <v>D</v>
      </c>
      <c r="AC309" s="4" t="str">
        <f>Table2[[#This Row],[field_fate3]]</f>
        <v>D</v>
      </c>
      <c r="AD309" s="4" t="str">
        <f>Table2[[#This Row],[field_fate4]]</f>
        <v>D</v>
      </c>
      <c r="AE309" s="4" t="str">
        <f>Table2[[#This Row],[field_fate5]]</f>
        <v>D</v>
      </c>
      <c r="AF309" s="4" t="str">
        <f>Table2[[#This Row],[field_fate5]]</f>
        <v>D</v>
      </c>
      <c r="AG309" s="4" t="str">
        <f>Table2[[#This Row],[field_fate5]]</f>
        <v>D</v>
      </c>
      <c r="AH309" s="4" t="str">
        <f>Table2[[#This Row],[field_fate2]]</f>
        <v>D</v>
      </c>
      <c r="AI309" s="4" t="str">
        <f>Table2[[#This Row],[field_fate8]]</f>
        <v>D</v>
      </c>
      <c r="AJ309" s="4" t="str">
        <f>Table2[[#This Row],[field_fate10]]</f>
        <v>D</v>
      </c>
      <c r="AK309" s="4" t="b">
        <f>Table2[[#This Row],[field_fate_feb]]=Table2[[#This Row],[field_fate10]]</f>
        <v>1</v>
      </c>
      <c r="AL309" s="43" t="s">
        <v>24</v>
      </c>
      <c r="AM309" s="43" t="b">
        <f>Table2[[#This Row],[cam_fate2]]="NA"</f>
        <v>1</v>
      </c>
      <c r="AN309" s="19" t="str">
        <f>Table2[[#This Row],[cam_fate1]]</f>
        <v>NA</v>
      </c>
      <c r="AO309" s="2" t="s">
        <v>31</v>
      </c>
      <c r="AP309" s="5" t="str">
        <f>Table2[[#This Row],[final_fate1]]</f>
        <v>D</v>
      </c>
      <c r="AQ309" s="6">
        <v>10</v>
      </c>
      <c r="AR309" s="7">
        <v>10</v>
      </c>
      <c r="AS309" s="7">
        <f>Table2[[#This Row],[final_obs_date]]-Table2[[#This Row],[init_date]]</f>
        <v>10</v>
      </c>
      <c r="AT309" s="7">
        <f>(Table2[[#This Row],[final_obs_date2]]-Table2[[#This Row],[estHD]])+16</f>
        <v>7</v>
      </c>
      <c r="AU309" s="38">
        <v>3</v>
      </c>
      <c r="AV309" s="33">
        <v>3</v>
      </c>
      <c r="AW309" s="33">
        <f>Table2[[#This Row],[final_obs_date2]]-Table2[[#This Row],[pen_obs_date]]</f>
        <v>38</v>
      </c>
      <c r="AX309" s="67">
        <v>38</v>
      </c>
      <c r="AY309" s="6">
        <f>Table2[[#This Row],[final_obs_date]]</f>
        <v>38</v>
      </c>
      <c r="AZ309" s="6"/>
      <c r="BA309" s="91" t="s">
        <v>47</v>
      </c>
      <c r="BB309" s="6" t="b">
        <f>Table2[[#This Row],[final_obs_date]]&lt;(Table2[[#This Row],[estHD]]-2)</f>
        <v>1</v>
      </c>
      <c r="BC309" s="24">
        <f>IF(Table2[[#This Row],[field_fate]]="H",1,0)</f>
        <v>0</v>
      </c>
      <c r="BD309" s="16">
        <f>IF(Table2[[#This Row],[cam_fate2]]="H",1,0)</f>
        <v>0</v>
      </c>
      <c r="BE309" s="6" t="b">
        <f>NOT(Table2[[#This Row],[HF_C]]=Table2[[#This Row],[HF]])</f>
        <v>0</v>
      </c>
      <c r="BF309" s="6" t="b">
        <f>NOT(Table2[[#This Row],[cam_fate2]]=Table2[[#This Row],[field_fate3]])</f>
        <v>1</v>
      </c>
      <c r="BG309" s="6" t="b">
        <f>OR(Table2[[#This Row],[field_fate3]]="U",Table2[[#This Row],[field_fate3]]="U-H")</f>
        <v>0</v>
      </c>
      <c r="BH309" s="8">
        <v>31</v>
      </c>
      <c r="BI309" s="8">
        <v>35</v>
      </c>
      <c r="BJ309" s="14">
        <f>IF(ISTEXT(Table2[[#This Row],[j.cam]]),Table2[[#This Row],[j]],Table2[[#This Row],[j.cam]])</f>
        <v>35</v>
      </c>
      <c r="BK309" s="9">
        <v>38</v>
      </c>
      <c r="BL309" s="15">
        <f>IF(ISTEXT(Table2[[#This Row],[k.cam]]), Table2[[#This Row],[k]], Table2[[#This Row],[k.cam]])</f>
        <v>38</v>
      </c>
      <c r="BM309" s="4" t="s">
        <v>24</v>
      </c>
      <c r="BN309" s="8" t="s">
        <v>24</v>
      </c>
      <c r="BO309" s="4">
        <v>3</v>
      </c>
      <c r="BP309" s="4">
        <f>Table2[[#This Row],[final_obs_date]]-Table2[[#This Row],[i]]</f>
        <v>7</v>
      </c>
      <c r="BQ309" s="4" t="b">
        <f>Table2[[#This Row],[final_obs_date2]]&gt;Table2[[#This Row],[estHD]]+3</f>
        <v>0</v>
      </c>
      <c r="BR309" s="4" t="s">
        <v>27</v>
      </c>
      <c r="BS309" s="4" t="s">
        <v>45</v>
      </c>
      <c r="BT309" s="79" t="s">
        <v>1196</v>
      </c>
      <c r="BU309" s="26" t="s">
        <v>170</v>
      </c>
      <c r="BV309" s="79" t="s">
        <v>1450</v>
      </c>
      <c r="BW309" s="49"/>
      <c r="BX309" s="47"/>
      <c r="BY309" s="36" t="s">
        <v>676</v>
      </c>
    </row>
    <row r="310" spans="1:77" hidden="1" x14ac:dyDescent="0.35">
      <c r="A310" s="63">
        <v>20214</v>
      </c>
      <c r="B310" s="2" t="s">
        <v>35</v>
      </c>
      <c r="C310" s="45">
        <v>2020</v>
      </c>
      <c r="D310" s="3">
        <v>29.767859999999999</v>
      </c>
      <c r="E310" s="3">
        <v>-93.165890000000005</v>
      </c>
      <c r="F310" s="3" t="s">
        <v>24</v>
      </c>
      <c r="G310" s="3" t="s">
        <v>24</v>
      </c>
      <c r="H310" s="3" t="s">
        <v>26</v>
      </c>
      <c r="I310" s="43"/>
      <c r="J310" s="55">
        <v>43</v>
      </c>
      <c r="K310" s="4">
        <v>43</v>
      </c>
      <c r="L310" s="22">
        <f>IF(ISNUMBER(Table2[[#This Row],[estHD]]),ABS(Table2[[#This Row],[HD]]-Table2[[#This Row],[estHD]]),"NA")</f>
        <v>0</v>
      </c>
      <c r="M310" s="4" t="b">
        <f>Table2[[#This Row],[HD]]=Table2[[#This Row],[estHD]]</f>
        <v>1</v>
      </c>
      <c r="N310" s="4" t="str">
        <f>IF(ISNUMBER([1]!Table2[[#This Row],[hatch_date]]),[1]!Table2[[#This Row],[hatch_date]]-19,"NA")</f>
        <v>NA</v>
      </c>
      <c r="O310" s="31">
        <v>24</v>
      </c>
      <c r="P310" s="23">
        <f>IF(ISNUMBER(Table2[[#This Row],[nest_age1]]),ABS(Table2[[#This Row],[nest_age1]]-Table2[[#This Row],[nest_age_feb]]),"NA")</f>
        <v>1</v>
      </c>
      <c r="Q310" s="24">
        <f>IF(ISNUMBER(Table2[[#This Row],[final_obs_int2]]),ABS(Table2[[#This Row],[final_obs_int2]]-Table2[[#This Row],[final_obs_int_feb]]), "NA")</f>
        <v>0</v>
      </c>
      <c r="R310" s="24"/>
      <c r="S310" s="57" t="s">
        <v>88</v>
      </c>
      <c r="T310" s="57" t="str">
        <f>Table2[[#This Row],[camera_old]]</f>
        <v>N</v>
      </c>
      <c r="U310" s="24"/>
      <c r="V310" s="16" t="s">
        <v>24</v>
      </c>
      <c r="W310" s="16">
        <v>10</v>
      </c>
      <c r="X310" s="145">
        <v>4</v>
      </c>
      <c r="Y310" s="147" t="s">
        <v>149</v>
      </c>
      <c r="Z310" s="146" t="s">
        <v>149</v>
      </c>
      <c r="AA310" s="4" t="str">
        <f>Table2[[#This Row],[field_fate]]</f>
        <v>W</v>
      </c>
      <c r="AB310" s="4" t="str">
        <f>Table2[[#This Row],[field_fate2]]</f>
        <v>W</v>
      </c>
      <c r="AC310" s="4" t="str">
        <f>Table2[[#This Row],[field_fate3]]</f>
        <v>W</v>
      </c>
      <c r="AD310" s="4" t="str">
        <f>Table2[[#This Row],[field_fate4]]</f>
        <v>W</v>
      </c>
      <c r="AE310" s="4" t="str">
        <f>Table2[[#This Row],[field_fate5]]</f>
        <v>W</v>
      </c>
      <c r="AF310" s="4" t="str">
        <f>Table2[[#This Row],[field_fate5]]</f>
        <v>W</v>
      </c>
      <c r="AG310" s="4" t="str">
        <f>Table2[[#This Row],[field_fate5]]</f>
        <v>W</v>
      </c>
      <c r="AH310" s="4" t="str">
        <f>Table2[[#This Row],[field_fate2]]</f>
        <v>W</v>
      </c>
      <c r="AI310" s="4" t="str">
        <f>Table2[[#This Row],[field_fate8]]</f>
        <v>W</v>
      </c>
      <c r="AJ310" s="4" t="str">
        <f>Table2[[#This Row],[field_fate10]]</f>
        <v>W</v>
      </c>
      <c r="AK310" s="4" t="b">
        <f>Table2[[#This Row],[field_fate_feb]]=Table2[[#This Row],[field_fate10]]</f>
        <v>1</v>
      </c>
      <c r="AL310" s="43" t="s">
        <v>24</v>
      </c>
      <c r="AM310" s="43" t="b">
        <f>Table2[[#This Row],[cam_fate2]]="NA"</f>
        <v>1</v>
      </c>
      <c r="AN310" s="19" t="str">
        <f>Table2[[#This Row],[cam_fate1]]</f>
        <v>NA</v>
      </c>
      <c r="AO310" s="2" t="s">
        <v>149</v>
      </c>
      <c r="AP310" s="5" t="str">
        <f>Table2[[#This Row],[final_fate1]]</f>
        <v>W</v>
      </c>
      <c r="AQ310" s="6">
        <v>11</v>
      </c>
      <c r="AR310" s="7">
        <v>11</v>
      </c>
      <c r="AS310" s="7">
        <f>Table2[[#This Row],[final_obs_date]]-Table2[[#This Row],[init_date]]</f>
        <v>11</v>
      </c>
      <c r="AT310" s="7">
        <f>(Table2[[#This Row],[final_obs_date2]]-Table2[[#This Row],[estHD]])+16</f>
        <v>8</v>
      </c>
      <c r="AU310" s="38">
        <v>4</v>
      </c>
      <c r="AV310" s="33">
        <v>4</v>
      </c>
      <c r="AW310" s="33">
        <f>Table2[[#This Row],[final_obs_date2]]-Table2[[#This Row],[pen_obs_date]]</f>
        <v>35</v>
      </c>
      <c r="AX310" s="67">
        <v>35</v>
      </c>
      <c r="AY310" s="6">
        <f>Table2[[#This Row],[final_obs_date]]</f>
        <v>35</v>
      </c>
      <c r="AZ310" s="6"/>
      <c r="BA310" s="91" t="s">
        <v>47</v>
      </c>
      <c r="BB310" s="6" t="b">
        <f>Table2[[#This Row],[final_obs_date]]&lt;(Table2[[#This Row],[estHD]]-2)</f>
        <v>1</v>
      </c>
      <c r="BC310" s="24">
        <f>IF(Table2[[#This Row],[field_fate]]="H",1,0)</f>
        <v>0</v>
      </c>
      <c r="BD310" s="16">
        <f>IF(Table2[[#This Row],[cam_fate2]]="H",1,0)</f>
        <v>0</v>
      </c>
      <c r="BE310" s="6" t="b">
        <f>NOT(Table2[[#This Row],[HF_C]]=Table2[[#This Row],[HF]])</f>
        <v>0</v>
      </c>
      <c r="BF310" s="6" t="b">
        <f>NOT(Table2[[#This Row],[cam_fate2]]=Table2[[#This Row],[field_fate3]])</f>
        <v>1</v>
      </c>
      <c r="BG310" s="6" t="b">
        <f>OR(Table2[[#This Row],[field_fate3]]="U",Table2[[#This Row],[field_fate3]]="U-H")</f>
        <v>0</v>
      </c>
      <c r="BH310" s="8">
        <v>31</v>
      </c>
      <c r="BI310" s="8">
        <v>31</v>
      </c>
      <c r="BJ310" s="14">
        <f>IF(ISTEXT(Table2[[#This Row],[j.cam]]),Table2[[#This Row],[j]],Table2[[#This Row],[j.cam]])</f>
        <v>31</v>
      </c>
      <c r="BK310" s="9">
        <v>35</v>
      </c>
      <c r="BL310" s="15">
        <f>IF(ISTEXT(Table2[[#This Row],[k.cam]]), Table2[[#This Row],[k]], Table2[[#This Row],[k.cam]])</f>
        <v>35</v>
      </c>
      <c r="BM310" s="4" t="s">
        <v>24</v>
      </c>
      <c r="BN310" s="8" t="s">
        <v>24</v>
      </c>
      <c r="BO310" s="4">
        <v>2</v>
      </c>
      <c r="BP310" s="4">
        <f>Table2[[#This Row],[final_obs_date]]-Table2[[#This Row],[i]]</f>
        <v>4</v>
      </c>
      <c r="BQ310" s="4" t="b">
        <f>Table2[[#This Row],[final_obs_date2]]&gt;Table2[[#This Row],[estHD]]+3</f>
        <v>0</v>
      </c>
      <c r="BR310" s="4" t="s">
        <v>33</v>
      </c>
      <c r="BS310" s="4" t="s">
        <v>45</v>
      </c>
      <c r="BT310" s="79" t="s">
        <v>1197</v>
      </c>
      <c r="BU310" s="26" t="s">
        <v>87</v>
      </c>
      <c r="BV310" s="79" t="s">
        <v>1429</v>
      </c>
      <c r="BW310" s="49"/>
      <c r="BX310" s="47"/>
      <c r="BY310" s="36" t="s">
        <v>677</v>
      </c>
    </row>
    <row r="311" spans="1:77" hidden="1" x14ac:dyDescent="0.35">
      <c r="A311" s="63">
        <v>20215</v>
      </c>
      <c r="B311" s="2" t="s">
        <v>35</v>
      </c>
      <c r="C311" s="45">
        <v>2020</v>
      </c>
      <c r="D311" s="3">
        <v>29.76802</v>
      </c>
      <c r="E311" s="3">
        <v>-93.166690000000003</v>
      </c>
      <c r="F311" s="3" t="s">
        <v>24</v>
      </c>
      <c r="G311" s="3" t="s">
        <v>24</v>
      </c>
      <c r="H311" s="3" t="s">
        <v>26</v>
      </c>
      <c r="I311" s="43"/>
      <c r="J311" s="55">
        <v>45</v>
      </c>
      <c r="K311" s="4">
        <v>45</v>
      </c>
      <c r="L311" s="22">
        <f>IF(ISNUMBER(Table2[[#This Row],[estHD]]),ABS(Table2[[#This Row],[HD]]-Table2[[#This Row],[estHD]]),"NA")</f>
        <v>0</v>
      </c>
      <c r="M311" s="4" t="b">
        <f>Table2[[#This Row],[HD]]=Table2[[#This Row],[estHD]]</f>
        <v>1</v>
      </c>
      <c r="N311" s="4" t="str">
        <f>IF(ISNUMBER([1]!Table2[[#This Row],[hatch_date]]),[1]!Table2[[#This Row],[hatch_date]]-19,"NA")</f>
        <v>NA</v>
      </c>
      <c r="O311" s="31">
        <v>26</v>
      </c>
      <c r="P311" s="23">
        <f>IF(ISNUMBER(Table2[[#This Row],[nest_age1]]),ABS(Table2[[#This Row],[nest_age1]]-Table2[[#This Row],[nest_age_feb]]),"NA")</f>
        <v>1</v>
      </c>
      <c r="Q311" s="24">
        <f>IF(ISNUMBER(Table2[[#This Row],[final_obs_int2]]),ABS(Table2[[#This Row],[final_obs_int2]]-Table2[[#This Row],[final_obs_int_feb]]), "NA")</f>
        <v>0</v>
      </c>
      <c r="R311" s="24"/>
      <c r="S311" s="57" t="s">
        <v>88</v>
      </c>
      <c r="T311" s="57" t="str">
        <f>Table2[[#This Row],[camera_old]]</f>
        <v>N</v>
      </c>
      <c r="U311" s="24"/>
      <c r="V311" s="16" t="s">
        <v>24</v>
      </c>
      <c r="W311" s="16">
        <v>6</v>
      </c>
      <c r="X311" s="145">
        <v>2</v>
      </c>
      <c r="Y311" s="147" t="s">
        <v>65</v>
      </c>
      <c r="Z311" s="146" t="s">
        <v>65</v>
      </c>
      <c r="AA311" s="4" t="str">
        <f>Table2[[#This Row],[field_fate]]</f>
        <v>Ca</v>
      </c>
      <c r="AB311" s="4" t="str">
        <f>Table2[[#This Row],[field_fate2]]</f>
        <v>Ca</v>
      </c>
      <c r="AC311" s="4" t="str">
        <f>Table2[[#This Row],[field_fate3]]</f>
        <v>Ca</v>
      </c>
      <c r="AD311" s="4" t="str">
        <f>Table2[[#This Row],[field_fate4]]</f>
        <v>Ca</v>
      </c>
      <c r="AE311" s="4" t="str">
        <f>Table2[[#This Row],[field_fate5]]</f>
        <v>Ca</v>
      </c>
      <c r="AF311" s="4" t="str">
        <f>Table2[[#This Row],[field_fate5]]</f>
        <v>Ca</v>
      </c>
      <c r="AG311" s="4" t="str">
        <f>Table2[[#This Row],[field_fate5]]</f>
        <v>Ca</v>
      </c>
      <c r="AH311" s="4" t="str">
        <f>Table2[[#This Row],[field_fate2]]</f>
        <v>Ca</v>
      </c>
      <c r="AI311" s="4" t="str">
        <f>Table2[[#This Row],[field_fate8]]</f>
        <v>Ca</v>
      </c>
      <c r="AJ311" s="4" t="str">
        <f>Table2[[#This Row],[field_fate10]]</f>
        <v>Ca</v>
      </c>
      <c r="AK311" s="4" t="b">
        <f>Table2[[#This Row],[field_fate_feb]]=Table2[[#This Row],[field_fate10]]</f>
        <v>1</v>
      </c>
      <c r="AL311" s="43" t="s">
        <v>24</v>
      </c>
      <c r="AM311" s="43" t="b">
        <f>Table2[[#This Row],[cam_fate2]]="NA"</f>
        <v>1</v>
      </c>
      <c r="AN311" s="19" t="str">
        <f>Table2[[#This Row],[cam_fate1]]</f>
        <v>NA</v>
      </c>
      <c r="AO311" s="2" t="s">
        <v>65</v>
      </c>
      <c r="AP311" s="5" t="str">
        <f>Table2[[#This Row],[final_fate1]]</f>
        <v>Ca</v>
      </c>
      <c r="AQ311" s="6">
        <v>7</v>
      </c>
      <c r="AR311" s="7">
        <v>7</v>
      </c>
      <c r="AS311" s="7">
        <f>Table2[[#This Row],[final_obs_date]]-Table2[[#This Row],[init_date]]</f>
        <v>7</v>
      </c>
      <c r="AT311" s="7">
        <f>(Table2[[#This Row],[final_obs_date2]]-Table2[[#This Row],[estHD]])+16</f>
        <v>4</v>
      </c>
      <c r="AU311" s="38">
        <v>2</v>
      </c>
      <c r="AV311" s="33">
        <v>2</v>
      </c>
      <c r="AW311" s="33">
        <f>Table2[[#This Row],[final_obs_date2]]-Table2[[#This Row],[pen_obs_date]]</f>
        <v>33</v>
      </c>
      <c r="AX311" s="67">
        <v>33</v>
      </c>
      <c r="AY311" s="6">
        <f>Table2[[#This Row],[final_obs_date]]</f>
        <v>33</v>
      </c>
      <c r="AZ311" s="6"/>
      <c r="BA311" s="91" t="s">
        <v>47</v>
      </c>
      <c r="BB311" s="6" t="b">
        <f>Table2[[#This Row],[final_obs_date]]&lt;(Table2[[#This Row],[estHD]]-2)</f>
        <v>1</v>
      </c>
      <c r="BC311" s="24">
        <f>IF(Table2[[#This Row],[field_fate]]="H",1,0)</f>
        <v>0</v>
      </c>
      <c r="BD311" s="16">
        <f>IF(Table2[[#This Row],[cam_fate2]]="H",1,0)</f>
        <v>0</v>
      </c>
      <c r="BE311" s="6" t="b">
        <f>NOT(Table2[[#This Row],[HF_C]]=Table2[[#This Row],[HF]])</f>
        <v>0</v>
      </c>
      <c r="BF311" s="6" t="b">
        <f>NOT(Table2[[#This Row],[cam_fate2]]=Table2[[#This Row],[field_fate3]])</f>
        <v>1</v>
      </c>
      <c r="BG311" s="6" t="b">
        <f>OR(Table2[[#This Row],[field_fate3]]="U",Table2[[#This Row],[field_fate3]]="U-H")</f>
        <v>0</v>
      </c>
      <c r="BH311" s="8">
        <v>31</v>
      </c>
      <c r="BI311" s="8">
        <v>31</v>
      </c>
      <c r="BJ311" s="14">
        <f>IF(ISTEXT(Table2[[#This Row],[j.cam]]),Table2[[#This Row],[j]],Table2[[#This Row],[j.cam]])</f>
        <v>31</v>
      </c>
      <c r="BK311" s="9">
        <v>33</v>
      </c>
      <c r="BL311" s="15">
        <f>IF(ISTEXT(Table2[[#This Row],[k.cam]]), Table2[[#This Row],[k]], Table2[[#This Row],[k.cam]])</f>
        <v>33</v>
      </c>
      <c r="BM311" s="4" t="s">
        <v>24</v>
      </c>
      <c r="BN311" s="8" t="s">
        <v>24</v>
      </c>
      <c r="BO311" s="4">
        <v>2</v>
      </c>
      <c r="BP311" s="4">
        <f>Table2[[#This Row],[final_obs_date]]-Table2[[#This Row],[i]]</f>
        <v>2</v>
      </c>
      <c r="BQ311" s="4" t="b">
        <f>Table2[[#This Row],[final_obs_date2]]&gt;Table2[[#This Row],[estHD]]+3</f>
        <v>0</v>
      </c>
      <c r="BR311" s="4" t="s">
        <v>27</v>
      </c>
      <c r="BS311" s="4" t="s">
        <v>28</v>
      </c>
      <c r="BT311" s="79" t="s">
        <v>1198</v>
      </c>
      <c r="BU311" s="26" t="s">
        <v>29</v>
      </c>
      <c r="BV311" s="79" t="s">
        <v>1456</v>
      </c>
      <c r="BW311" s="49"/>
      <c r="BX311" s="47"/>
      <c r="BY311" s="36" t="s">
        <v>678</v>
      </c>
    </row>
    <row r="312" spans="1:77" hidden="1" x14ac:dyDescent="0.35">
      <c r="A312" s="63">
        <v>20216</v>
      </c>
      <c r="B312" s="2" t="s">
        <v>35</v>
      </c>
      <c r="C312" s="45">
        <v>2020</v>
      </c>
      <c r="D312" s="3">
        <v>29.76821</v>
      </c>
      <c r="E312" s="3">
        <v>-93.167609999999996</v>
      </c>
      <c r="F312" s="3" t="s">
        <v>24</v>
      </c>
      <c r="G312" s="3" t="s">
        <v>24</v>
      </c>
      <c r="H312" s="3" t="s">
        <v>26</v>
      </c>
      <c r="I312" s="43"/>
      <c r="J312" s="55">
        <v>46</v>
      </c>
      <c r="K312" s="4">
        <v>46</v>
      </c>
      <c r="L312" s="22">
        <f>IF(ISNUMBER(Table2[[#This Row],[estHD]]),ABS(Table2[[#This Row],[HD]]-Table2[[#This Row],[estHD]]),"NA")</f>
        <v>0</v>
      </c>
      <c r="M312" s="4" t="b">
        <f>Table2[[#This Row],[HD]]=Table2[[#This Row],[estHD]]</f>
        <v>1</v>
      </c>
      <c r="N312" s="4" t="str">
        <f>IF(ISNUMBER([1]!Table2[[#This Row],[hatch_date]]),[1]!Table2[[#This Row],[hatch_date]]-19,"NA")</f>
        <v>NA</v>
      </c>
      <c r="O312" s="31">
        <v>27</v>
      </c>
      <c r="P312" s="23">
        <f>IF(ISNUMBER(Table2[[#This Row],[nest_age1]]),ABS(Table2[[#This Row],[nest_age1]]-Table2[[#This Row],[nest_age_feb]]),"NA")</f>
        <v>1</v>
      </c>
      <c r="Q312" s="24">
        <f>IF(ISNUMBER(Table2[[#This Row],[final_obs_int2]]),ABS(Table2[[#This Row],[final_obs_int2]]-Table2[[#This Row],[final_obs_int_feb]]), "NA")</f>
        <v>0</v>
      </c>
      <c r="R312" s="24"/>
      <c r="S312" s="57" t="s">
        <v>88</v>
      </c>
      <c r="T312" s="57" t="str">
        <f>Table2[[#This Row],[camera_old]]</f>
        <v>N</v>
      </c>
      <c r="U312" s="24"/>
      <c r="V312" s="16" t="s">
        <v>24</v>
      </c>
      <c r="W312" s="16">
        <v>10</v>
      </c>
      <c r="X312" s="145">
        <v>3</v>
      </c>
      <c r="Y312" s="147" t="s">
        <v>149</v>
      </c>
      <c r="Z312" s="146" t="s">
        <v>149</v>
      </c>
      <c r="AA312" s="4" t="str">
        <f>Table2[[#This Row],[field_fate]]</f>
        <v>W</v>
      </c>
      <c r="AB312" s="4" t="str">
        <f>Table2[[#This Row],[field_fate2]]</f>
        <v>W</v>
      </c>
      <c r="AC312" s="4" t="str">
        <f>Table2[[#This Row],[field_fate3]]</f>
        <v>W</v>
      </c>
      <c r="AD312" s="4" t="str">
        <f>Table2[[#This Row],[field_fate4]]</f>
        <v>W</v>
      </c>
      <c r="AE312" s="4" t="str">
        <f>Table2[[#This Row],[field_fate5]]</f>
        <v>W</v>
      </c>
      <c r="AF312" s="4" t="str">
        <f>Table2[[#This Row],[field_fate5]]</f>
        <v>W</v>
      </c>
      <c r="AG312" s="4" t="str">
        <f>Table2[[#This Row],[field_fate5]]</f>
        <v>W</v>
      </c>
      <c r="AH312" s="4" t="str">
        <f>Table2[[#This Row],[field_fate2]]</f>
        <v>W</v>
      </c>
      <c r="AI312" s="4" t="str">
        <f>Table2[[#This Row],[field_fate8]]</f>
        <v>W</v>
      </c>
      <c r="AJ312" s="4" t="str">
        <f>Table2[[#This Row],[field_fate10]]</f>
        <v>W</v>
      </c>
      <c r="AK312" s="4" t="b">
        <f>Table2[[#This Row],[field_fate_feb]]=Table2[[#This Row],[field_fate10]]</f>
        <v>1</v>
      </c>
      <c r="AL312" s="43" t="s">
        <v>24</v>
      </c>
      <c r="AM312" s="43" t="b">
        <f>Table2[[#This Row],[cam_fate2]]="NA"</f>
        <v>1</v>
      </c>
      <c r="AN312" s="19" t="str">
        <f>Table2[[#This Row],[cam_fate1]]</f>
        <v>NA</v>
      </c>
      <c r="AO312" s="2" t="s">
        <v>149</v>
      </c>
      <c r="AP312" s="5" t="str">
        <f>Table2[[#This Row],[final_fate1]]</f>
        <v>W</v>
      </c>
      <c r="AQ312" s="6">
        <v>11</v>
      </c>
      <c r="AR312" s="7">
        <v>11</v>
      </c>
      <c r="AS312" s="7">
        <f>Table2[[#This Row],[final_obs_date]]-Table2[[#This Row],[init_date]]</f>
        <v>11</v>
      </c>
      <c r="AT312" s="7">
        <f>(Table2[[#This Row],[final_obs_date2]]-Table2[[#This Row],[estHD]])+16</f>
        <v>8</v>
      </c>
      <c r="AU312" s="38">
        <v>3</v>
      </c>
      <c r="AV312" s="33">
        <v>3</v>
      </c>
      <c r="AW312" s="33">
        <f>Table2[[#This Row],[final_obs_date2]]-Table2[[#This Row],[pen_obs_date]]</f>
        <v>38</v>
      </c>
      <c r="AX312" s="67">
        <v>38</v>
      </c>
      <c r="AY312" s="6">
        <f>Table2[[#This Row],[final_obs_date]]</f>
        <v>38</v>
      </c>
      <c r="AZ312" s="6"/>
      <c r="BA312" s="91" t="s">
        <v>47</v>
      </c>
      <c r="BB312" s="6" t="b">
        <f>Table2[[#This Row],[final_obs_date]]&lt;(Table2[[#This Row],[estHD]]-2)</f>
        <v>1</v>
      </c>
      <c r="BC312" s="24">
        <f>IF(Table2[[#This Row],[field_fate]]="H",1,0)</f>
        <v>0</v>
      </c>
      <c r="BD312" s="16">
        <f>IF(Table2[[#This Row],[cam_fate2]]="H",1,0)</f>
        <v>0</v>
      </c>
      <c r="BE312" s="6" t="b">
        <f>NOT(Table2[[#This Row],[HF_C]]=Table2[[#This Row],[HF]])</f>
        <v>0</v>
      </c>
      <c r="BF312" s="6" t="b">
        <f>NOT(Table2[[#This Row],[cam_fate2]]=Table2[[#This Row],[field_fate3]])</f>
        <v>1</v>
      </c>
      <c r="BG312" s="6" t="b">
        <f>OR(Table2[[#This Row],[field_fate3]]="U",Table2[[#This Row],[field_fate3]]="U-H")</f>
        <v>0</v>
      </c>
      <c r="BH312" s="8">
        <v>31</v>
      </c>
      <c r="BI312" s="8">
        <v>35</v>
      </c>
      <c r="BJ312" s="14">
        <f>IF(ISTEXT(Table2[[#This Row],[j.cam]]),Table2[[#This Row],[j]],Table2[[#This Row],[j.cam]])</f>
        <v>35</v>
      </c>
      <c r="BK312" s="9">
        <v>38</v>
      </c>
      <c r="BL312" s="15">
        <f>IF(ISTEXT(Table2[[#This Row],[k.cam]]), Table2[[#This Row],[k]], Table2[[#This Row],[k.cam]])</f>
        <v>38</v>
      </c>
      <c r="BM312" s="4" t="s">
        <v>24</v>
      </c>
      <c r="BN312" s="8" t="s">
        <v>24</v>
      </c>
      <c r="BO312" s="4">
        <v>3</v>
      </c>
      <c r="BP312" s="4">
        <f>Table2[[#This Row],[final_obs_date]]-Table2[[#This Row],[i]]</f>
        <v>7</v>
      </c>
      <c r="BQ312" s="4" t="b">
        <f>Table2[[#This Row],[final_obs_date2]]&gt;Table2[[#This Row],[estHD]]+3</f>
        <v>0</v>
      </c>
      <c r="BR312" s="4" t="s">
        <v>33</v>
      </c>
      <c r="BS312" s="4" t="s">
        <v>45</v>
      </c>
      <c r="BT312" s="79" t="s">
        <v>1196</v>
      </c>
      <c r="BU312" s="26" t="s">
        <v>132</v>
      </c>
      <c r="BV312" s="79" t="s">
        <v>1450</v>
      </c>
      <c r="BW312" s="49"/>
      <c r="BX312" s="47"/>
      <c r="BY312" s="36" t="s">
        <v>679</v>
      </c>
    </row>
    <row r="313" spans="1:77" hidden="1" x14ac:dyDescent="0.35">
      <c r="A313" s="63">
        <v>20217</v>
      </c>
      <c r="B313" s="2" t="s">
        <v>35</v>
      </c>
      <c r="C313" s="45">
        <v>2020</v>
      </c>
      <c r="D313" s="3">
        <v>29.768329999999999</v>
      </c>
      <c r="E313" s="3">
        <v>-93.168080000000003</v>
      </c>
      <c r="F313" s="3" t="s">
        <v>24</v>
      </c>
      <c r="G313" s="3" t="s">
        <v>24</v>
      </c>
      <c r="H313" s="3" t="s">
        <v>26</v>
      </c>
      <c r="I313" s="43"/>
      <c r="J313" s="55">
        <v>49</v>
      </c>
      <c r="K313" s="4">
        <v>49</v>
      </c>
      <c r="L313" s="22">
        <f>IF(ISNUMBER(Table2[[#This Row],[estHD]]),ABS(Table2[[#This Row],[HD]]-Table2[[#This Row],[estHD]]),"NA")</f>
        <v>0</v>
      </c>
      <c r="M313" s="4" t="b">
        <f>Table2[[#This Row],[HD]]=Table2[[#This Row],[estHD]]</f>
        <v>1</v>
      </c>
      <c r="N313" s="4" t="str">
        <f>IF(ISNUMBER([1]!Table2[[#This Row],[hatch_date]]),[1]!Table2[[#This Row],[hatch_date]]-19,"NA")</f>
        <v>NA</v>
      </c>
      <c r="O313" s="31">
        <v>30</v>
      </c>
      <c r="P313" s="23">
        <f>IF(ISNUMBER(Table2[[#This Row],[nest_age1]]),ABS(Table2[[#This Row],[nest_age1]]-Table2[[#This Row],[nest_age_feb]]),"NA")</f>
        <v>1</v>
      </c>
      <c r="Q313" s="24">
        <f>IF(ISNUMBER(Table2[[#This Row],[final_obs_int2]]),ABS(Table2[[#This Row],[final_obs_int2]]-Table2[[#This Row],[final_obs_int_feb]]), "NA")</f>
        <v>0</v>
      </c>
      <c r="R313" s="24"/>
      <c r="S313" s="57" t="s">
        <v>88</v>
      </c>
      <c r="T313" s="57" t="str">
        <f>Table2[[#This Row],[camera_old]]</f>
        <v>N</v>
      </c>
      <c r="U313" s="24"/>
      <c r="V313" s="16" t="s">
        <v>24</v>
      </c>
      <c r="W313" s="16">
        <v>7</v>
      </c>
      <c r="X313" s="145">
        <v>3</v>
      </c>
      <c r="Y313" s="148" t="s">
        <v>31</v>
      </c>
      <c r="Z313" s="146" t="s">
        <v>31</v>
      </c>
      <c r="AA313" s="4" t="str">
        <f>Table2[[#This Row],[field_fate]]</f>
        <v>D</v>
      </c>
      <c r="AB313" s="4" t="str">
        <f>Table2[[#This Row],[field_fate2]]</f>
        <v>D</v>
      </c>
      <c r="AC313" s="4" t="str">
        <f>Table2[[#This Row],[field_fate3]]</f>
        <v>D</v>
      </c>
      <c r="AD313" s="4" t="str">
        <f>Table2[[#This Row],[field_fate4]]</f>
        <v>D</v>
      </c>
      <c r="AE313" s="4" t="str">
        <f>Table2[[#This Row],[field_fate5]]</f>
        <v>D</v>
      </c>
      <c r="AF313" s="4" t="str">
        <f>Table2[[#This Row],[field_fate5]]</f>
        <v>D</v>
      </c>
      <c r="AG313" s="4" t="str">
        <f>Table2[[#This Row],[field_fate5]]</f>
        <v>D</v>
      </c>
      <c r="AH313" s="4" t="str">
        <f>Table2[[#This Row],[field_fate2]]</f>
        <v>D</v>
      </c>
      <c r="AI313" s="4" t="str">
        <f>Table2[[#This Row],[field_fate8]]</f>
        <v>D</v>
      </c>
      <c r="AJ313" s="4" t="str">
        <f>Table2[[#This Row],[field_fate10]]</f>
        <v>D</v>
      </c>
      <c r="AK313" s="4" t="b">
        <f>Table2[[#This Row],[field_fate_feb]]=Table2[[#This Row],[field_fate10]]</f>
        <v>1</v>
      </c>
      <c r="AL313" s="43" t="s">
        <v>24</v>
      </c>
      <c r="AM313" s="43" t="b">
        <f>Table2[[#This Row],[cam_fate2]]="NA"</f>
        <v>1</v>
      </c>
      <c r="AN313" s="19" t="str">
        <f>Table2[[#This Row],[cam_fate1]]</f>
        <v>NA</v>
      </c>
      <c r="AO313" s="2" t="s">
        <v>31</v>
      </c>
      <c r="AP313" s="5" t="str">
        <f>Table2[[#This Row],[final_fate1]]</f>
        <v>D</v>
      </c>
      <c r="AQ313" s="6">
        <v>8</v>
      </c>
      <c r="AR313" s="7">
        <v>8</v>
      </c>
      <c r="AS313" s="7">
        <f>Table2[[#This Row],[final_obs_date]]-Table2[[#This Row],[init_date]]</f>
        <v>8</v>
      </c>
      <c r="AT313" s="7">
        <f>(Table2[[#This Row],[final_obs_date2]]-Table2[[#This Row],[estHD]])+16</f>
        <v>5</v>
      </c>
      <c r="AU313" s="38">
        <v>3</v>
      </c>
      <c r="AV313" s="33">
        <v>3</v>
      </c>
      <c r="AW313" s="33">
        <f>Table2[[#This Row],[final_obs_date2]]-Table2[[#This Row],[pen_obs_date]]</f>
        <v>38</v>
      </c>
      <c r="AX313" s="67">
        <v>38</v>
      </c>
      <c r="AY313" s="6">
        <f>Table2[[#This Row],[final_obs_date]]</f>
        <v>38</v>
      </c>
      <c r="AZ313" s="6"/>
      <c r="BA313" s="91" t="s">
        <v>47</v>
      </c>
      <c r="BB313" s="6" t="b">
        <f>Table2[[#This Row],[final_obs_date]]&lt;(Table2[[#This Row],[estHD]]-2)</f>
        <v>1</v>
      </c>
      <c r="BC313" s="24">
        <f>IF(Table2[[#This Row],[field_fate]]="H",1,0)</f>
        <v>0</v>
      </c>
      <c r="BD313" s="16">
        <f>IF(Table2[[#This Row],[cam_fate2]]="H",1,0)</f>
        <v>0</v>
      </c>
      <c r="BE313" s="6" t="b">
        <f>NOT(Table2[[#This Row],[HF_C]]=Table2[[#This Row],[HF]])</f>
        <v>0</v>
      </c>
      <c r="BF313" s="6" t="b">
        <f>NOT(Table2[[#This Row],[cam_fate2]]=Table2[[#This Row],[field_fate3]])</f>
        <v>1</v>
      </c>
      <c r="BG313" s="6" t="b">
        <f>OR(Table2[[#This Row],[field_fate3]]="U",Table2[[#This Row],[field_fate3]]="U-H")</f>
        <v>0</v>
      </c>
      <c r="BH313" s="8">
        <v>31</v>
      </c>
      <c r="BI313" s="8">
        <v>35</v>
      </c>
      <c r="BJ313" s="14">
        <f>IF(ISTEXT(Table2[[#This Row],[j.cam]]),Table2[[#This Row],[j]],Table2[[#This Row],[j.cam]])</f>
        <v>35</v>
      </c>
      <c r="BK313" s="9">
        <v>38</v>
      </c>
      <c r="BL313" s="15">
        <f>IF(ISTEXT(Table2[[#This Row],[k.cam]]), Table2[[#This Row],[k]], Table2[[#This Row],[k.cam]])</f>
        <v>38</v>
      </c>
      <c r="BM313" s="4" t="s">
        <v>24</v>
      </c>
      <c r="BN313" s="8" t="s">
        <v>24</v>
      </c>
      <c r="BO313" s="4">
        <v>3</v>
      </c>
      <c r="BP313" s="4">
        <f>Table2[[#This Row],[final_obs_date]]-Table2[[#This Row],[i]]</f>
        <v>7</v>
      </c>
      <c r="BQ313" s="4" t="b">
        <f>Table2[[#This Row],[final_obs_date2]]&gt;Table2[[#This Row],[estHD]]+3</f>
        <v>0</v>
      </c>
      <c r="BR313" s="4" t="s">
        <v>66</v>
      </c>
      <c r="BS313" s="4" t="s">
        <v>45</v>
      </c>
      <c r="BT313" s="79" t="s">
        <v>1196</v>
      </c>
      <c r="BU313" s="26" t="s">
        <v>273</v>
      </c>
      <c r="BV313" s="79" t="s">
        <v>1450</v>
      </c>
      <c r="BW313" s="49"/>
      <c r="BX313" s="47"/>
      <c r="BY313" s="36" t="s">
        <v>680</v>
      </c>
    </row>
    <row r="314" spans="1:77" ht="15" hidden="1" x14ac:dyDescent="0.35">
      <c r="A314" s="63">
        <v>20218</v>
      </c>
      <c r="B314" s="2" t="s">
        <v>35</v>
      </c>
      <c r="C314" s="45">
        <v>2020</v>
      </c>
      <c r="D314" s="3">
        <v>29.768470000000001</v>
      </c>
      <c r="E314" s="3">
        <v>-93.168549999999996</v>
      </c>
      <c r="F314" s="3" t="s">
        <v>24</v>
      </c>
      <c r="G314" s="3" t="s">
        <v>24</v>
      </c>
      <c r="H314" s="3" t="s">
        <v>26</v>
      </c>
      <c r="I314" s="43"/>
      <c r="J314" s="116">
        <v>43</v>
      </c>
      <c r="K314" s="4">
        <v>43</v>
      </c>
      <c r="L314" s="22">
        <f>IF(ISNUMBER(Table2[[#This Row],[estHD]]),ABS(Table2[[#This Row],[HD]]-Table2[[#This Row],[estHD]]),"NA")</f>
        <v>0</v>
      </c>
      <c r="M314" s="4" t="b">
        <f>Table2[[#This Row],[HD]]=Table2[[#This Row],[estHD]]</f>
        <v>1</v>
      </c>
      <c r="N314" s="4" t="str">
        <f>IF(ISNUMBER([1]!Table2[[#This Row],[hatch_date]]),[1]!Table2[[#This Row],[hatch_date]]-19,"NA")</f>
        <v>NA</v>
      </c>
      <c r="O314" s="31">
        <v>24</v>
      </c>
      <c r="P314" s="23">
        <f>IF(ISNUMBER(Table2[[#This Row],[nest_age1]]),ABS(Table2[[#This Row],[nest_age1]]-Table2[[#This Row],[nest_age_feb]]),"NA")</f>
        <v>1</v>
      </c>
      <c r="Q314" s="24">
        <f>IF(ISNUMBER(Table2[[#This Row],[final_obs_int2]]),ABS(Table2[[#This Row],[final_obs_int2]]-Table2[[#This Row],[final_obs_int_feb]]), "NA")</f>
        <v>1</v>
      </c>
      <c r="R314" s="24"/>
      <c r="S314" s="20" t="s">
        <v>75</v>
      </c>
      <c r="T314" s="20" t="str">
        <f>Table2[[#This Row],[camera_old]]</f>
        <v>Y</v>
      </c>
      <c r="U314" s="22" t="s">
        <v>88</v>
      </c>
      <c r="V314" s="16" t="s">
        <v>37</v>
      </c>
      <c r="W314" s="16">
        <v>22</v>
      </c>
      <c r="X314" s="145">
        <v>2</v>
      </c>
      <c r="Y314" s="153" t="s">
        <v>104</v>
      </c>
      <c r="Z314" s="146" t="s">
        <v>104</v>
      </c>
      <c r="AA314" s="5" t="s">
        <v>37</v>
      </c>
      <c r="AB314" s="5" t="str">
        <f>Table2[[#This Row],[field_fate]]</f>
        <v>U-H</v>
      </c>
      <c r="AC314" s="94" t="str">
        <f>Table2[[#This Row],[field_fate3]]</f>
        <v>U-H</v>
      </c>
      <c r="AD314" s="94" t="s">
        <v>37</v>
      </c>
      <c r="AE314" s="94" t="str">
        <f>Table2[[#This Row],[field_fate5]]</f>
        <v>H</v>
      </c>
      <c r="AF314" s="94" t="str">
        <f>Table2[[#This Row],[field_fate5]]</f>
        <v>H</v>
      </c>
      <c r="AG314" s="94" t="str">
        <f>Table2[[#This Row],[field_fate5]]</f>
        <v>H</v>
      </c>
      <c r="AH314" s="94" t="str">
        <f>Table2[[#This Row],[field_fate2]]</f>
        <v>H</v>
      </c>
      <c r="AI314" s="94" t="str">
        <f>Table2[[#This Row],[field_fate8]]</f>
        <v>H</v>
      </c>
      <c r="AJ314" s="94" t="str">
        <f>Table2[[#This Row],[field_fate10]]</f>
        <v>H</v>
      </c>
      <c r="AK314" s="94" t="b">
        <f>Table2[[#This Row],[field_fate_feb]]=Table2[[#This Row],[field_fate10]]</f>
        <v>0</v>
      </c>
      <c r="AL314" s="43" t="s">
        <v>24</v>
      </c>
      <c r="AM314" s="43" t="b">
        <f>Table2[[#This Row],[cam_fate2]]="NA"</f>
        <v>1</v>
      </c>
      <c r="AN314" s="19" t="str">
        <f>Table2[[#This Row],[cam_fate1]]</f>
        <v>NA</v>
      </c>
      <c r="AO314" s="2" t="s">
        <v>24</v>
      </c>
      <c r="AP314" s="5" t="str">
        <f>Table2[[#This Row],[final_fate1]]</f>
        <v>NA</v>
      </c>
      <c r="AQ314" s="6">
        <v>23</v>
      </c>
      <c r="AR314" s="72">
        <v>23</v>
      </c>
      <c r="AS314" s="72">
        <f>Table2[[#This Row],[final_obs_date]]-Table2[[#This Row],[init_date]]</f>
        <v>23</v>
      </c>
      <c r="AT314" s="72">
        <f>(Table2[[#This Row],[final_obs_date2]]-Table2[[#This Row],[estHD]])+16</f>
        <v>20</v>
      </c>
      <c r="AU314" s="38">
        <v>1</v>
      </c>
      <c r="AV314" s="33">
        <v>1</v>
      </c>
      <c r="AW314" s="33">
        <f>Table2[[#This Row],[final_obs_date2]]-Table2[[#This Row],[pen_obs_date]]</f>
        <v>47</v>
      </c>
      <c r="AX314" s="67">
        <v>47</v>
      </c>
      <c r="AY314" s="156">
        <f>Table2[[#This Row],[final_obs_date]]</f>
        <v>47</v>
      </c>
      <c r="AZ314" s="6"/>
      <c r="BA314" s="92" t="s">
        <v>47</v>
      </c>
      <c r="BB314" s="6" t="b">
        <f>Table2[[#This Row],[final_obs_date]]&lt;(Table2[[#This Row],[estHD]]-2)</f>
        <v>0</v>
      </c>
      <c r="BC314" s="32">
        <f>IF(Table2[[#This Row],[field_fate2]]="H",1,0)</f>
        <v>1</v>
      </c>
      <c r="BD314" s="16" t="s">
        <v>24</v>
      </c>
      <c r="BE314" s="6" t="b">
        <f>NOT(Table2[[#This Row],[HF_C]]=Table2[[#This Row],[HF]])</f>
        <v>1</v>
      </c>
      <c r="BF314" s="38" t="b">
        <f>NOT(Table2[[#This Row],[cam_fate2]]=Table2[[#This Row],[field_fate3]])</f>
        <v>1</v>
      </c>
      <c r="BG314" s="38" t="b">
        <f>OR(Table2[[#This Row],[field_fate3]]="U",Table2[[#This Row],[field_fate3]]="U-H")</f>
        <v>1</v>
      </c>
      <c r="BH314" s="8">
        <v>31</v>
      </c>
      <c r="BI314" s="80">
        <v>47</v>
      </c>
      <c r="BJ314" s="14">
        <f>IF(ISTEXT(Table2[[#This Row],[j.cam]]),Table2[[#This Row],[j]],Table2[[#This Row],[j.cam]])</f>
        <v>46</v>
      </c>
      <c r="BK314" s="8">
        <v>47</v>
      </c>
      <c r="BL314" s="14">
        <f>IF(ISTEXT(Table2[[#This Row],[k.cam]]), Table2[[#This Row],[k]], Table2[[#This Row],[k.cam]])</f>
        <v>46</v>
      </c>
      <c r="BM314" s="4">
        <v>46</v>
      </c>
      <c r="BN314" s="8">
        <v>46</v>
      </c>
      <c r="BO314" s="4">
        <v>7</v>
      </c>
      <c r="BP314" s="4">
        <f>Table2[[#This Row],[final_obs_date]]-Table2[[#This Row],[i]]</f>
        <v>16</v>
      </c>
      <c r="BQ314" s="4" t="b">
        <f>Table2[[#This Row],[final_obs_date2]]&gt;Table2[[#This Row],[estHD]]+3</f>
        <v>1</v>
      </c>
      <c r="BR314" s="3" t="s">
        <v>66</v>
      </c>
      <c r="BS314" s="28" t="s">
        <v>58</v>
      </c>
      <c r="BT314" s="125" t="s">
        <v>1199</v>
      </c>
      <c r="BU314" s="4" t="s">
        <v>274</v>
      </c>
      <c r="BV314" s="79" t="s">
        <v>1572</v>
      </c>
      <c r="BW314" s="69"/>
      <c r="BX314" s="73" t="s">
        <v>935</v>
      </c>
      <c r="BY314" s="36" t="s">
        <v>681</v>
      </c>
    </row>
    <row r="315" spans="1:77" hidden="1" x14ac:dyDescent="0.35">
      <c r="A315" s="63">
        <v>20219</v>
      </c>
      <c r="B315" s="2" t="s">
        <v>35</v>
      </c>
      <c r="C315" s="45">
        <v>2020</v>
      </c>
      <c r="D315" s="3">
        <v>29.768560000000001</v>
      </c>
      <c r="E315" s="3">
        <v>-93.169460000000001</v>
      </c>
      <c r="F315" s="3" t="s">
        <v>24</v>
      </c>
      <c r="G315" s="3" t="s">
        <v>24</v>
      </c>
      <c r="H315" s="3" t="s">
        <v>26</v>
      </c>
      <c r="I315" s="43"/>
      <c r="J315" s="55">
        <v>45</v>
      </c>
      <c r="K315" s="4">
        <v>45</v>
      </c>
      <c r="L315" s="22">
        <f>IF(ISNUMBER(Table2[[#This Row],[estHD]]),ABS(Table2[[#This Row],[HD]]-Table2[[#This Row],[estHD]]),"NA")</f>
        <v>0</v>
      </c>
      <c r="M315" s="4" t="b">
        <f>Table2[[#This Row],[HD]]=Table2[[#This Row],[estHD]]</f>
        <v>1</v>
      </c>
      <c r="N315" s="4" t="str">
        <f>IF(ISNUMBER([1]!Table2[[#This Row],[hatch_date]]),[1]!Table2[[#This Row],[hatch_date]]-19,"NA")</f>
        <v>NA</v>
      </c>
      <c r="O315" s="31">
        <v>26</v>
      </c>
      <c r="P315" s="23">
        <f>IF(ISNUMBER(Table2[[#This Row],[nest_age1]]),ABS(Table2[[#This Row],[nest_age1]]-Table2[[#This Row],[nest_age_feb]]),"NA")</f>
        <v>1</v>
      </c>
      <c r="Q315" s="24">
        <f>IF(ISNUMBER(Table2[[#This Row],[final_obs_int2]]),ABS(Table2[[#This Row],[final_obs_int2]]-Table2[[#This Row],[final_obs_int_feb]]), "NA")</f>
        <v>0</v>
      </c>
      <c r="R315" s="24"/>
      <c r="S315" s="57" t="s">
        <v>88</v>
      </c>
      <c r="T315" s="57" t="str">
        <f>Table2[[#This Row],[camera_old]]</f>
        <v>N</v>
      </c>
      <c r="U315" s="24"/>
      <c r="V315" s="16" t="s">
        <v>24</v>
      </c>
      <c r="W315" s="16">
        <v>16</v>
      </c>
      <c r="X315" s="145">
        <v>3</v>
      </c>
      <c r="Y315" s="149" t="s">
        <v>48</v>
      </c>
      <c r="Z315" s="146" t="s">
        <v>48</v>
      </c>
      <c r="AA315" s="4" t="str">
        <f>Table2[[#This Row],[field_fate]]</f>
        <v>F</v>
      </c>
      <c r="AB315" s="4" t="str">
        <f>Table2[[#This Row],[field_fate2]]</f>
        <v>F</v>
      </c>
      <c r="AC315" s="4" t="str">
        <f>Table2[[#This Row],[field_fate3]]</f>
        <v>F</v>
      </c>
      <c r="AD315" s="4" t="str">
        <f>Table2[[#This Row],[field_fate4]]</f>
        <v>F</v>
      </c>
      <c r="AE315" s="4" t="str">
        <f>Table2[[#This Row],[field_fate5]]</f>
        <v>F</v>
      </c>
      <c r="AF315" s="4" t="str">
        <f>Table2[[#This Row],[field_fate5]]</f>
        <v>F</v>
      </c>
      <c r="AG315" s="4" t="str">
        <f>Table2[[#This Row],[field_fate5]]</f>
        <v>F</v>
      </c>
      <c r="AH315" s="4" t="str">
        <f>Table2[[#This Row],[field_fate2]]</f>
        <v>F</v>
      </c>
      <c r="AI315" s="4" t="str">
        <f>Table2[[#This Row],[field_fate8]]</f>
        <v>F</v>
      </c>
      <c r="AJ315" s="4" t="str">
        <f>Table2[[#This Row],[field_fate10]]</f>
        <v>F</v>
      </c>
      <c r="AK315" s="4" t="b">
        <f>Table2[[#This Row],[field_fate_feb]]=Table2[[#This Row],[field_fate10]]</f>
        <v>1</v>
      </c>
      <c r="AL315" s="43" t="s">
        <v>24</v>
      </c>
      <c r="AM315" s="43" t="b">
        <f>Table2[[#This Row],[cam_fate2]]="NA"</f>
        <v>1</v>
      </c>
      <c r="AN315" s="19" t="str">
        <f>Table2[[#This Row],[cam_fate1]]</f>
        <v>NA</v>
      </c>
      <c r="AO315" s="2" t="s">
        <v>48</v>
      </c>
      <c r="AP315" s="5" t="str">
        <f>Table2[[#This Row],[final_fate1]]</f>
        <v>F</v>
      </c>
      <c r="AQ315" s="6">
        <v>17</v>
      </c>
      <c r="AR315" s="7">
        <v>17</v>
      </c>
      <c r="AS315" s="7">
        <f>Table2[[#This Row],[final_obs_date]]-Table2[[#This Row],[init_date]]</f>
        <v>17</v>
      </c>
      <c r="AT315" s="7">
        <f>(Table2[[#This Row],[final_obs_date2]]-Table2[[#This Row],[estHD]])+16</f>
        <v>14</v>
      </c>
      <c r="AU315" s="38">
        <v>3</v>
      </c>
      <c r="AV315" s="33">
        <v>3</v>
      </c>
      <c r="AW315" s="33">
        <f>Table2[[#This Row],[final_obs_date2]]-Table2[[#This Row],[pen_obs_date]]</f>
        <v>43</v>
      </c>
      <c r="AX315" s="67">
        <v>43</v>
      </c>
      <c r="AY315" s="6">
        <f>Table2[[#This Row],[final_obs_date]]</f>
        <v>43</v>
      </c>
      <c r="AZ315" s="6"/>
      <c r="BA315" s="91" t="s">
        <v>47</v>
      </c>
      <c r="BB315" s="6" t="b">
        <f>Table2[[#This Row],[final_obs_date]]&lt;(Table2[[#This Row],[estHD]]-2)</f>
        <v>0</v>
      </c>
      <c r="BC315" s="24">
        <f>IF(Table2[[#This Row],[field_fate]]="H",1,0)</f>
        <v>0</v>
      </c>
      <c r="BD315" s="16">
        <f>IF(Table2[[#This Row],[cam_fate2]]="H",1,0)</f>
        <v>0</v>
      </c>
      <c r="BE315" s="6" t="b">
        <f>NOT(Table2[[#This Row],[HF_C]]=Table2[[#This Row],[HF]])</f>
        <v>0</v>
      </c>
      <c r="BF315" s="6" t="b">
        <f>NOT(Table2[[#This Row],[cam_fate2]]=Table2[[#This Row],[field_fate3]])</f>
        <v>1</v>
      </c>
      <c r="BG315" s="6" t="b">
        <f>OR(Table2[[#This Row],[field_fate3]]="U",Table2[[#This Row],[field_fate3]]="U-H")</f>
        <v>0</v>
      </c>
      <c r="BH315" s="8">
        <v>31</v>
      </c>
      <c r="BI315" s="8">
        <v>40</v>
      </c>
      <c r="BJ315" s="14">
        <f>IF(ISTEXT(Table2[[#This Row],[j.cam]]),Table2[[#This Row],[j]],Table2[[#This Row],[j.cam]])</f>
        <v>40</v>
      </c>
      <c r="BK315" s="9">
        <v>43</v>
      </c>
      <c r="BL315" s="15">
        <f>IF(ISTEXT(Table2[[#This Row],[k.cam]]), Table2[[#This Row],[k]], Table2[[#This Row],[k.cam]])</f>
        <v>43</v>
      </c>
      <c r="BM315" s="4" t="s">
        <v>24</v>
      </c>
      <c r="BN315" s="8" t="s">
        <v>24</v>
      </c>
      <c r="BO315" s="4">
        <v>6</v>
      </c>
      <c r="BP315" s="4">
        <f>Table2[[#This Row],[final_obs_date]]-Table2[[#This Row],[i]]</f>
        <v>12</v>
      </c>
      <c r="BQ315" s="4" t="b">
        <f>Table2[[#This Row],[final_obs_date2]]&gt;Table2[[#This Row],[estHD]]+3</f>
        <v>0</v>
      </c>
      <c r="BR315" s="4" t="s">
        <v>66</v>
      </c>
      <c r="BS315" s="4" t="s">
        <v>45</v>
      </c>
      <c r="BT315" s="79" t="s">
        <v>1200</v>
      </c>
      <c r="BU315" s="26" t="s">
        <v>275</v>
      </c>
      <c r="BV315" s="79" t="s">
        <v>1573</v>
      </c>
      <c r="BW315" s="49"/>
      <c r="BX315" s="47"/>
      <c r="BY315" s="36" t="s">
        <v>682</v>
      </c>
    </row>
    <row r="316" spans="1:77" hidden="1" x14ac:dyDescent="0.35">
      <c r="A316" s="63">
        <v>20220</v>
      </c>
      <c r="B316" s="2" t="s">
        <v>35</v>
      </c>
      <c r="C316" s="45">
        <v>2020</v>
      </c>
      <c r="D316" s="3">
        <v>29.770050000000001</v>
      </c>
      <c r="E316" s="3">
        <v>-93.177250000000001</v>
      </c>
      <c r="F316" s="3" t="s">
        <v>24</v>
      </c>
      <c r="G316" s="3" t="s">
        <v>24</v>
      </c>
      <c r="H316" s="3" t="s">
        <v>26</v>
      </c>
      <c r="I316" s="43"/>
      <c r="J316" s="55">
        <v>48</v>
      </c>
      <c r="K316" s="4">
        <v>48</v>
      </c>
      <c r="L316" s="22">
        <f>IF(ISNUMBER(Table2[[#This Row],[estHD]]),ABS(Table2[[#This Row],[HD]]-Table2[[#This Row],[estHD]]),"NA")</f>
        <v>0</v>
      </c>
      <c r="M316" s="4" t="b">
        <f>Table2[[#This Row],[HD]]=Table2[[#This Row],[estHD]]</f>
        <v>1</v>
      </c>
      <c r="N316" s="4" t="str">
        <f>IF(ISNUMBER([1]!Table2[[#This Row],[hatch_date]]),[1]!Table2[[#This Row],[hatch_date]]-19,"NA")</f>
        <v>NA</v>
      </c>
      <c r="O316" s="31">
        <v>29</v>
      </c>
      <c r="P316" s="23">
        <f>IF(ISNUMBER(Table2[[#This Row],[nest_age1]]),ABS(Table2[[#This Row],[nest_age1]]-Table2[[#This Row],[nest_age_feb]]),"NA")</f>
        <v>1</v>
      </c>
      <c r="Q316" s="24">
        <f>IF(ISNUMBER(Table2[[#This Row],[final_obs_int2]]),ABS(Table2[[#This Row],[final_obs_int2]]-Table2[[#This Row],[final_obs_int_feb]]), "NA")</f>
        <v>0</v>
      </c>
      <c r="R316" s="24"/>
      <c r="S316" s="57" t="s">
        <v>88</v>
      </c>
      <c r="T316" s="57" t="str">
        <f>Table2[[#This Row],[camera_old]]</f>
        <v>N</v>
      </c>
      <c r="U316" s="24"/>
      <c r="V316" s="16" t="s">
        <v>24</v>
      </c>
      <c r="W316" s="16">
        <v>17</v>
      </c>
      <c r="X316" s="145">
        <v>2</v>
      </c>
      <c r="Y316" s="147" t="s">
        <v>48</v>
      </c>
      <c r="Z316" s="146" t="s">
        <v>48</v>
      </c>
      <c r="AA316" s="4" t="str">
        <f>Table2[[#This Row],[field_fate]]</f>
        <v>F</v>
      </c>
      <c r="AB316" s="4" t="str">
        <f>Table2[[#This Row],[field_fate2]]</f>
        <v>F</v>
      </c>
      <c r="AC316" s="4" t="str">
        <f>Table2[[#This Row],[field_fate3]]</f>
        <v>F</v>
      </c>
      <c r="AD316" s="4" t="str">
        <f>Table2[[#This Row],[field_fate4]]</f>
        <v>F</v>
      </c>
      <c r="AE316" s="4" t="str">
        <f>Table2[[#This Row],[field_fate5]]</f>
        <v>F</v>
      </c>
      <c r="AF316" s="4" t="str">
        <f>Table2[[#This Row],[field_fate5]]</f>
        <v>F</v>
      </c>
      <c r="AG316" s="4" t="str">
        <f>Table2[[#This Row],[field_fate5]]</f>
        <v>F</v>
      </c>
      <c r="AH316" s="4" t="str">
        <f>Table2[[#This Row],[field_fate2]]</f>
        <v>F</v>
      </c>
      <c r="AI316" s="4" t="str">
        <f>Table2[[#This Row],[field_fate8]]</f>
        <v>F</v>
      </c>
      <c r="AJ316" s="4" t="str">
        <f>Table2[[#This Row],[field_fate10]]</f>
        <v>F</v>
      </c>
      <c r="AK316" s="4" t="b">
        <f>Table2[[#This Row],[field_fate_feb]]=Table2[[#This Row],[field_fate10]]</f>
        <v>1</v>
      </c>
      <c r="AL316" s="43" t="s">
        <v>24</v>
      </c>
      <c r="AM316" s="43" t="b">
        <f>Table2[[#This Row],[cam_fate2]]="NA"</f>
        <v>1</v>
      </c>
      <c r="AN316" s="19" t="str">
        <f>Table2[[#This Row],[cam_fate1]]</f>
        <v>NA</v>
      </c>
      <c r="AO316" s="2" t="s">
        <v>48</v>
      </c>
      <c r="AP316" s="5" t="str">
        <f>Table2[[#This Row],[final_fate1]]</f>
        <v>F</v>
      </c>
      <c r="AQ316" s="6">
        <v>18</v>
      </c>
      <c r="AR316" s="7">
        <v>18</v>
      </c>
      <c r="AS316" s="7">
        <f>Table2[[#This Row],[final_obs_date]]-Table2[[#This Row],[init_date]]</f>
        <v>18</v>
      </c>
      <c r="AT316" s="7">
        <f>(Table2[[#This Row],[final_obs_date2]]-Table2[[#This Row],[estHD]])+16</f>
        <v>15</v>
      </c>
      <c r="AU316" s="38">
        <v>2</v>
      </c>
      <c r="AV316" s="33">
        <v>2</v>
      </c>
      <c r="AW316" s="33">
        <f>Table2[[#This Row],[final_obs_date2]]-Table2[[#This Row],[pen_obs_date]]</f>
        <v>47</v>
      </c>
      <c r="AX316" s="67">
        <v>47</v>
      </c>
      <c r="AY316" s="6">
        <f>Table2[[#This Row],[final_obs_date]]</f>
        <v>47</v>
      </c>
      <c r="AZ316" s="6"/>
      <c r="BA316" s="91" t="s">
        <v>47</v>
      </c>
      <c r="BB316" s="6" t="b">
        <f>Table2[[#This Row],[final_obs_date]]&lt;(Table2[[#This Row],[estHD]]-2)</f>
        <v>0</v>
      </c>
      <c r="BC316" s="24">
        <f>IF(Table2[[#This Row],[field_fate]]="H",1,0)</f>
        <v>0</v>
      </c>
      <c r="BD316" s="16">
        <f>IF(Table2[[#This Row],[cam_fate2]]="H",1,0)</f>
        <v>0</v>
      </c>
      <c r="BE316" s="6" t="b">
        <f>NOT(Table2[[#This Row],[HF_C]]=Table2[[#This Row],[HF]])</f>
        <v>0</v>
      </c>
      <c r="BF316" s="6" t="b">
        <f>NOT(Table2[[#This Row],[cam_fate2]]=Table2[[#This Row],[field_fate3]])</f>
        <v>1</v>
      </c>
      <c r="BG316" s="6" t="b">
        <f>OR(Table2[[#This Row],[field_fate3]]="U",Table2[[#This Row],[field_fate3]]="U-H")</f>
        <v>0</v>
      </c>
      <c r="BH316" s="8">
        <v>31</v>
      </c>
      <c r="BI316" s="8">
        <v>45</v>
      </c>
      <c r="BJ316" s="14">
        <f>IF(ISTEXT(Table2[[#This Row],[j.cam]]),Table2[[#This Row],[j]],Table2[[#This Row],[j.cam]])</f>
        <v>45</v>
      </c>
      <c r="BK316" s="9">
        <v>47</v>
      </c>
      <c r="BL316" s="15">
        <f>IF(ISTEXT(Table2[[#This Row],[k.cam]]), Table2[[#This Row],[k]], Table2[[#This Row],[k.cam]])</f>
        <v>47</v>
      </c>
      <c r="BM316" s="4" t="s">
        <v>24</v>
      </c>
      <c r="BN316" s="8" t="s">
        <v>24</v>
      </c>
      <c r="BO316" s="4">
        <v>7</v>
      </c>
      <c r="BP316" s="4">
        <f>Table2[[#This Row],[final_obs_date]]-Table2[[#This Row],[i]]</f>
        <v>16</v>
      </c>
      <c r="BQ316" s="4" t="b">
        <f>Table2[[#This Row],[final_obs_date2]]&gt;Table2[[#This Row],[estHD]]+3</f>
        <v>0</v>
      </c>
      <c r="BR316" s="4" t="s">
        <v>66</v>
      </c>
      <c r="BS316" s="4" t="s">
        <v>45</v>
      </c>
      <c r="BT316" s="79" t="s">
        <v>1199</v>
      </c>
      <c r="BU316" s="26" t="s">
        <v>276</v>
      </c>
      <c r="BV316" s="79" t="s">
        <v>1574</v>
      </c>
      <c r="BW316" s="49"/>
      <c r="BX316" s="47"/>
      <c r="BY316" s="36" t="s">
        <v>683</v>
      </c>
    </row>
    <row r="317" spans="1:77" ht="15" hidden="1" x14ac:dyDescent="0.35">
      <c r="A317" s="63">
        <v>20221</v>
      </c>
      <c r="B317" s="2" t="s">
        <v>35</v>
      </c>
      <c r="C317" s="45">
        <v>2020</v>
      </c>
      <c r="D317" s="3">
        <v>29.77026</v>
      </c>
      <c r="E317" s="3">
        <v>-93.178430000000006</v>
      </c>
      <c r="F317" s="3" t="s">
        <v>24</v>
      </c>
      <c r="G317" s="3" t="s">
        <v>24</v>
      </c>
      <c r="H317" s="3" t="s">
        <v>26</v>
      </c>
      <c r="I317" s="43"/>
      <c r="J317" s="116">
        <v>46</v>
      </c>
      <c r="K317" s="4">
        <v>46</v>
      </c>
      <c r="L317" s="22">
        <f>IF(ISNUMBER(Table2[[#This Row],[estHD]]),ABS(Table2[[#This Row],[HD]]-Table2[[#This Row],[estHD]]),"NA")</f>
        <v>0</v>
      </c>
      <c r="M317" s="4" t="b">
        <f>Table2[[#This Row],[HD]]=Table2[[#This Row],[estHD]]</f>
        <v>1</v>
      </c>
      <c r="N317" s="4" t="str">
        <f>IF(ISNUMBER([1]!Table2[[#This Row],[hatch_date]]),[1]!Table2[[#This Row],[hatch_date]]-19,"NA")</f>
        <v>NA</v>
      </c>
      <c r="O317" s="31">
        <v>27</v>
      </c>
      <c r="P317" s="23">
        <f>IF(ISNUMBER(Table2[[#This Row],[nest_age1]]),ABS(Table2[[#This Row],[nest_age1]]-Table2[[#This Row],[nest_age_feb]]),"NA")</f>
        <v>1</v>
      </c>
      <c r="Q317" s="24">
        <f>IF(ISNUMBER(Table2[[#This Row],[final_obs_int2]]),ABS(Table2[[#This Row],[final_obs_int2]]-Table2[[#This Row],[final_obs_int_feb]]), "NA")</f>
        <v>3</v>
      </c>
      <c r="R317" s="24"/>
      <c r="S317" s="20" t="s">
        <v>75</v>
      </c>
      <c r="T317" s="20" t="str">
        <f>Table2[[#This Row],[camera_old]]</f>
        <v>Y</v>
      </c>
      <c r="U317" s="22" t="s">
        <v>88</v>
      </c>
      <c r="V317" s="16" t="s">
        <v>24</v>
      </c>
      <c r="W317" s="16">
        <v>19</v>
      </c>
      <c r="X317" s="145">
        <v>2</v>
      </c>
      <c r="Y317" s="147" t="s">
        <v>90</v>
      </c>
      <c r="Z317" s="146" t="s">
        <v>90</v>
      </c>
      <c r="AA317" s="4" t="str">
        <f>Table2[[#This Row],[field_fate]]</f>
        <v>U</v>
      </c>
      <c r="AB317" s="65" t="str">
        <f>Table2[[#This Row],[field_fate2]]</f>
        <v>U</v>
      </c>
      <c r="AC317" s="93" t="str">
        <f>Table2[[#This Row],[field_fate3]]</f>
        <v>U</v>
      </c>
      <c r="AD317" s="93" t="str">
        <f>Table2[[#This Row],[field_fate4]]</f>
        <v>U</v>
      </c>
      <c r="AE317" s="93" t="str">
        <f>Table2[[#This Row],[field_fate5]]</f>
        <v>U</v>
      </c>
      <c r="AF317" s="93" t="str">
        <f>Table2[[#This Row],[field_fate5]]</f>
        <v>U</v>
      </c>
      <c r="AG317" s="93" t="str">
        <f>Table2[[#This Row],[field_fate5]]</f>
        <v>U</v>
      </c>
      <c r="AH317" s="93" t="str">
        <f>Table2[[#This Row],[field_fate2]]</f>
        <v>U</v>
      </c>
      <c r="AI317" s="93" t="str">
        <f>Table2[[#This Row],[field_fate8]]</f>
        <v>U</v>
      </c>
      <c r="AJ317" s="93" t="str">
        <f>Table2[[#This Row],[field_fate10]]</f>
        <v>U</v>
      </c>
      <c r="AK317" s="93" t="b">
        <f>Table2[[#This Row],[field_fate_feb]]=Table2[[#This Row],[field_fate10]]</f>
        <v>1</v>
      </c>
      <c r="AL317" s="43" t="s">
        <v>24</v>
      </c>
      <c r="AM317" s="43" t="b">
        <f>Table2[[#This Row],[cam_fate2]]="NA"</f>
        <v>1</v>
      </c>
      <c r="AN317" s="19" t="str">
        <f>Table2[[#This Row],[cam_fate1]]</f>
        <v>NA</v>
      </c>
      <c r="AO317" s="2" t="s">
        <v>24</v>
      </c>
      <c r="AP317" s="5" t="str">
        <f>Table2[[#This Row],[final_fate1]]</f>
        <v>NA</v>
      </c>
      <c r="AQ317" s="6">
        <v>20</v>
      </c>
      <c r="AR317" s="72">
        <v>20</v>
      </c>
      <c r="AS317" s="72">
        <f>Table2[[#This Row],[final_obs_date]]-Table2[[#This Row],[init_date]]</f>
        <v>25</v>
      </c>
      <c r="AT317" s="72">
        <f>(Table2[[#This Row],[final_obs_date2]]-Table2[[#This Row],[estHD]])+16</f>
        <v>22</v>
      </c>
      <c r="AU317" s="38">
        <v>2</v>
      </c>
      <c r="AV317" s="33">
        <v>5</v>
      </c>
      <c r="AW317" s="33">
        <f>Table2[[#This Row],[final_obs_date2]]-Table2[[#This Row],[pen_obs_date]]</f>
        <v>52</v>
      </c>
      <c r="AX317" s="68">
        <v>52</v>
      </c>
      <c r="AY317" s="156">
        <f>Table2[[#This Row],[final_obs_date]]</f>
        <v>52</v>
      </c>
      <c r="AZ317" s="6"/>
      <c r="BA317" s="92" t="s">
        <v>47</v>
      </c>
      <c r="BB317" s="6" t="b">
        <f>Table2[[#This Row],[final_obs_date]]&lt;(Table2[[#This Row],[estHD]]-2)</f>
        <v>0</v>
      </c>
      <c r="BC317" s="32">
        <v>7</v>
      </c>
      <c r="BD317" s="16" t="s">
        <v>24</v>
      </c>
      <c r="BE317" s="6" t="b">
        <f>NOT(Table2[[#This Row],[HF_C]]=Table2[[#This Row],[HF]])</f>
        <v>1</v>
      </c>
      <c r="BF317" s="38" t="b">
        <f>NOT(Table2[[#This Row],[cam_fate2]]=Table2[[#This Row],[field_fate3]])</f>
        <v>1</v>
      </c>
      <c r="BG317" s="38" t="b">
        <f>OR(Table2[[#This Row],[field_fate3]]="U",Table2[[#This Row],[field_fate3]]="U-H")</f>
        <v>1</v>
      </c>
      <c r="BH317" s="8">
        <v>31</v>
      </c>
      <c r="BI317" s="8">
        <v>47</v>
      </c>
      <c r="BJ317" s="14">
        <f>IF(ISTEXT(Table2[[#This Row],[j.cam]]),Table2[[#This Row],[j]],Table2[[#This Row],[j.cam]])</f>
        <v>47</v>
      </c>
      <c r="BK317" s="8">
        <v>52</v>
      </c>
      <c r="BL317" s="14">
        <f>IF(ISTEXT(Table2[[#This Row],[k.cam]]), Table2[[#This Row],[k]], Table2[[#This Row],[k.cam]])</f>
        <v>52</v>
      </c>
      <c r="BM317" s="4" t="s">
        <v>24</v>
      </c>
      <c r="BN317" s="8" t="s">
        <v>24</v>
      </c>
      <c r="BO317" s="4">
        <v>7</v>
      </c>
      <c r="BP317" s="4">
        <f>Table2[[#This Row],[final_obs_date]]-Table2[[#This Row],[i]]</f>
        <v>21</v>
      </c>
      <c r="BQ317" s="4" t="b">
        <f>Table2[[#This Row],[final_obs_date2]]&gt;Table2[[#This Row],[estHD]]+3</f>
        <v>1</v>
      </c>
      <c r="BR317" s="3" t="s">
        <v>66</v>
      </c>
      <c r="BS317" s="28" t="s">
        <v>33</v>
      </c>
      <c r="BT317" s="125" t="s">
        <v>1199</v>
      </c>
      <c r="BU317" s="4" t="s">
        <v>277</v>
      </c>
      <c r="BV317" s="79" t="s">
        <v>1574</v>
      </c>
      <c r="BW317" s="69" t="s">
        <v>987</v>
      </c>
      <c r="BX317" s="73" t="s">
        <v>936</v>
      </c>
      <c r="BY317" s="47" t="s">
        <v>977</v>
      </c>
    </row>
    <row r="318" spans="1:77" hidden="1" x14ac:dyDescent="0.35">
      <c r="A318" s="63">
        <v>20222</v>
      </c>
      <c r="B318" s="2" t="s">
        <v>157</v>
      </c>
      <c r="C318" s="45">
        <v>2020</v>
      </c>
      <c r="D318" s="3">
        <v>29.765139999999999</v>
      </c>
      <c r="E318" s="3">
        <v>-93.373980000000003</v>
      </c>
      <c r="F318" s="3" t="s">
        <v>24</v>
      </c>
      <c r="G318" s="3" t="s">
        <v>24</v>
      </c>
      <c r="H318" s="3" t="s">
        <v>26</v>
      </c>
      <c r="I318" s="43"/>
      <c r="J318" s="55">
        <v>46</v>
      </c>
      <c r="K318" s="4">
        <v>46</v>
      </c>
      <c r="L318" s="22">
        <f>IF(ISNUMBER(Table2[[#This Row],[estHD]]),ABS(Table2[[#This Row],[HD]]-Table2[[#This Row],[estHD]]),"NA")</f>
        <v>0</v>
      </c>
      <c r="M318" s="4" t="b">
        <f>Table2[[#This Row],[HD]]=Table2[[#This Row],[estHD]]</f>
        <v>1</v>
      </c>
      <c r="N318" s="4" t="str">
        <f>IF(ISNUMBER([1]!Table2[[#This Row],[hatch_date]]),[1]!Table2[[#This Row],[hatch_date]]-19,"NA")</f>
        <v>NA</v>
      </c>
      <c r="O318" s="31">
        <v>27</v>
      </c>
      <c r="P318" s="23">
        <f>IF(ISNUMBER(Table2[[#This Row],[nest_age1]]),ABS(Table2[[#This Row],[nest_age1]]-Table2[[#This Row],[nest_age_feb]]),"NA")</f>
        <v>1</v>
      </c>
      <c r="Q318" s="24">
        <f>IF(ISNUMBER(Table2[[#This Row],[final_obs_int2]]),ABS(Table2[[#This Row],[final_obs_int2]]-Table2[[#This Row],[final_obs_int_feb]]), "NA")</f>
        <v>0</v>
      </c>
      <c r="R318" s="24"/>
      <c r="S318" s="57" t="s">
        <v>88</v>
      </c>
      <c r="T318" s="57" t="str">
        <f>Table2[[#This Row],[camera_old]]</f>
        <v>N</v>
      </c>
      <c r="U318" s="24"/>
      <c r="V318" s="16" t="s">
        <v>24</v>
      </c>
      <c r="W318" s="16">
        <v>9</v>
      </c>
      <c r="X318" s="145">
        <v>5</v>
      </c>
      <c r="Y318" s="147" t="s">
        <v>31</v>
      </c>
      <c r="Z318" s="146" t="s">
        <v>31</v>
      </c>
      <c r="AA318" s="4" t="str">
        <f>Table2[[#This Row],[field_fate]]</f>
        <v>D</v>
      </c>
      <c r="AB318" s="4" t="str">
        <f>Table2[[#This Row],[field_fate2]]</f>
        <v>D</v>
      </c>
      <c r="AC318" s="4" t="str">
        <f>Table2[[#This Row],[field_fate3]]</f>
        <v>D</v>
      </c>
      <c r="AD318" s="4" t="str">
        <f>Table2[[#This Row],[field_fate4]]</f>
        <v>D</v>
      </c>
      <c r="AE318" s="4" t="str">
        <f>Table2[[#This Row],[field_fate5]]</f>
        <v>D</v>
      </c>
      <c r="AF318" s="4" t="str">
        <f>Table2[[#This Row],[field_fate5]]</f>
        <v>D</v>
      </c>
      <c r="AG318" s="4" t="str">
        <f>Table2[[#This Row],[field_fate5]]</f>
        <v>D</v>
      </c>
      <c r="AH318" s="4" t="str">
        <f>Table2[[#This Row],[field_fate2]]</f>
        <v>D</v>
      </c>
      <c r="AI318" s="4" t="str">
        <f>Table2[[#This Row],[field_fate8]]</f>
        <v>D</v>
      </c>
      <c r="AJ318" s="4" t="str">
        <f>Table2[[#This Row],[field_fate10]]</f>
        <v>D</v>
      </c>
      <c r="AK318" s="4" t="b">
        <f>Table2[[#This Row],[field_fate_feb]]=Table2[[#This Row],[field_fate10]]</f>
        <v>1</v>
      </c>
      <c r="AL318" s="43" t="s">
        <v>24</v>
      </c>
      <c r="AM318" s="43" t="b">
        <f>Table2[[#This Row],[cam_fate2]]="NA"</f>
        <v>1</v>
      </c>
      <c r="AN318" s="19" t="str">
        <f>Table2[[#This Row],[cam_fate1]]</f>
        <v>NA</v>
      </c>
      <c r="AO318" s="2" t="s">
        <v>31</v>
      </c>
      <c r="AP318" s="5" t="str">
        <f>Table2[[#This Row],[final_fate1]]</f>
        <v>D</v>
      </c>
      <c r="AQ318" s="6">
        <v>10</v>
      </c>
      <c r="AR318" s="7">
        <v>10</v>
      </c>
      <c r="AS318" s="7">
        <f>Table2[[#This Row],[final_obs_date]]-Table2[[#This Row],[init_date]]</f>
        <v>10</v>
      </c>
      <c r="AT318" s="7">
        <f>(Table2[[#This Row],[final_obs_date2]]-Table2[[#This Row],[estHD]])+16</f>
        <v>7</v>
      </c>
      <c r="AU318" s="38">
        <v>5</v>
      </c>
      <c r="AV318" s="33">
        <v>5</v>
      </c>
      <c r="AW318" s="33">
        <f>Table2[[#This Row],[final_obs_date2]]-Table2[[#This Row],[pen_obs_date]]</f>
        <v>37</v>
      </c>
      <c r="AX318" s="67">
        <v>37</v>
      </c>
      <c r="AY318" s="6">
        <f>Table2[[#This Row],[final_obs_date]]</f>
        <v>37</v>
      </c>
      <c r="AZ318" s="6"/>
      <c r="BA318" s="91" t="s">
        <v>47</v>
      </c>
      <c r="BB318" s="6" t="b">
        <f>Table2[[#This Row],[final_obs_date]]&lt;(Table2[[#This Row],[estHD]]-2)</f>
        <v>1</v>
      </c>
      <c r="BC318" s="24">
        <f>IF(Table2[[#This Row],[field_fate]]="H",1,0)</f>
        <v>0</v>
      </c>
      <c r="BD318" s="16">
        <f>IF(Table2[[#This Row],[cam_fate2]]="H",1,0)</f>
        <v>0</v>
      </c>
      <c r="BE318" s="6" t="b">
        <f>NOT(Table2[[#This Row],[HF_C]]=Table2[[#This Row],[HF]])</f>
        <v>0</v>
      </c>
      <c r="BF318" s="6" t="b">
        <f>NOT(Table2[[#This Row],[cam_fate2]]=Table2[[#This Row],[field_fate3]])</f>
        <v>1</v>
      </c>
      <c r="BG318" s="6" t="b">
        <f>OR(Table2[[#This Row],[field_fate3]]="U",Table2[[#This Row],[field_fate3]]="U-H")</f>
        <v>0</v>
      </c>
      <c r="BH318" s="8">
        <v>32</v>
      </c>
      <c r="BI318" s="8">
        <v>32</v>
      </c>
      <c r="BJ318" s="14">
        <f>IF(ISTEXT(Table2[[#This Row],[j.cam]]),Table2[[#This Row],[j]],Table2[[#This Row],[j.cam]])</f>
        <v>32</v>
      </c>
      <c r="BK318" s="9">
        <v>37</v>
      </c>
      <c r="BL318" s="15">
        <f>IF(ISTEXT(Table2[[#This Row],[k.cam]]), Table2[[#This Row],[k]], Table2[[#This Row],[k.cam]])</f>
        <v>37</v>
      </c>
      <c r="BM318" s="4" t="s">
        <v>24</v>
      </c>
      <c r="BN318" s="8" t="s">
        <v>24</v>
      </c>
      <c r="BO318" s="4">
        <v>2</v>
      </c>
      <c r="BP318" s="4">
        <f>Table2[[#This Row],[final_obs_date]]-Table2[[#This Row],[i]]</f>
        <v>5</v>
      </c>
      <c r="BQ318" s="4" t="b">
        <f>Table2[[#This Row],[final_obs_date2]]&gt;Table2[[#This Row],[estHD]]+3</f>
        <v>0</v>
      </c>
      <c r="BR318" s="4" t="s">
        <v>27</v>
      </c>
      <c r="BS318" s="4" t="s">
        <v>45</v>
      </c>
      <c r="BT318" s="79" t="s">
        <v>1201</v>
      </c>
      <c r="BU318" s="26" t="s">
        <v>183</v>
      </c>
      <c r="BV318" s="79" t="s">
        <v>1464</v>
      </c>
      <c r="BW318" s="49"/>
      <c r="BX318" s="47"/>
      <c r="BY318" s="36" t="s">
        <v>684</v>
      </c>
    </row>
    <row r="319" spans="1:77" hidden="1" x14ac:dyDescent="0.35">
      <c r="A319" s="63">
        <v>20223</v>
      </c>
      <c r="B319" s="2" t="s">
        <v>157</v>
      </c>
      <c r="C319" s="45">
        <v>2020</v>
      </c>
      <c r="D319" s="3">
        <v>29.76512</v>
      </c>
      <c r="E319" s="3">
        <v>-93.375919999999994</v>
      </c>
      <c r="F319" s="3" t="s">
        <v>24</v>
      </c>
      <c r="G319" s="3" t="s">
        <v>24</v>
      </c>
      <c r="H319" s="3" t="s">
        <v>26</v>
      </c>
      <c r="I319" s="43"/>
      <c r="J319" s="55">
        <v>47</v>
      </c>
      <c r="K319" s="4">
        <v>47</v>
      </c>
      <c r="L319" s="22">
        <f>IF(ISNUMBER(Table2[[#This Row],[estHD]]),ABS(Table2[[#This Row],[HD]]-Table2[[#This Row],[estHD]]),"NA")</f>
        <v>0</v>
      </c>
      <c r="M319" s="4" t="b">
        <f>Table2[[#This Row],[HD]]=Table2[[#This Row],[estHD]]</f>
        <v>1</v>
      </c>
      <c r="N319" s="4" t="str">
        <f>IF(ISNUMBER([1]!Table2[[#This Row],[hatch_date]]),[1]!Table2[[#This Row],[hatch_date]]-19,"NA")</f>
        <v>NA</v>
      </c>
      <c r="O319" s="31">
        <v>28</v>
      </c>
      <c r="P319" s="23">
        <f>IF(ISNUMBER(Table2[[#This Row],[nest_age1]]),ABS(Table2[[#This Row],[nest_age1]]-Table2[[#This Row],[nest_age_feb]]),"NA")</f>
        <v>1</v>
      </c>
      <c r="Q319" s="24">
        <f>IF(ISNUMBER(Table2[[#This Row],[final_obs_int2]]),ABS(Table2[[#This Row],[final_obs_int2]]-Table2[[#This Row],[final_obs_int_feb]]), "NA")</f>
        <v>0</v>
      </c>
      <c r="R319" s="24"/>
      <c r="S319" s="57" t="s">
        <v>88</v>
      </c>
      <c r="T319" s="57" t="str">
        <f>Table2[[#This Row],[camera_old]]</f>
        <v>N</v>
      </c>
      <c r="U319" s="24"/>
      <c r="V319" s="16" t="s">
        <v>24</v>
      </c>
      <c r="W319" s="16">
        <v>8</v>
      </c>
      <c r="X319" s="145">
        <v>5</v>
      </c>
      <c r="Y319" s="147" t="s">
        <v>31</v>
      </c>
      <c r="Z319" s="146" t="s">
        <v>31</v>
      </c>
      <c r="AA319" s="4" t="str">
        <f>Table2[[#This Row],[field_fate]]</f>
        <v>D</v>
      </c>
      <c r="AB319" s="4" t="str">
        <f>Table2[[#This Row],[field_fate2]]</f>
        <v>D</v>
      </c>
      <c r="AC319" s="4" t="str">
        <f>Table2[[#This Row],[field_fate3]]</f>
        <v>D</v>
      </c>
      <c r="AD319" s="4" t="str">
        <f>Table2[[#This Row],[field_fate4]]</f>
        <v>D</v>
      </c>
      <c r="AE319" s="4" t="str">
        <f>Table2[[#This Row],[field_fate5]]</f>
        <v>D</v>
      </c>
      <c r="AF319" s="4" t="str">
        <f>Table2[[#This Row],[field_fate5]]</f>
        <v>D</v>
      </c>
      <c r="AG319" s="4" t="str">
        <f>Table2[[#This Row],[field_fate5]]</f>
        <v>D</v>
      </c>
      <c r="AH319" s="4" t="str">
        <f>Table2[[#This Row],[field_fate2]]</f>
        <v>D</v>
      </c>
      <c r="AI319" s="4" t="str">
        <f>Table2[[#This Row],[field_fate8]]</f>
        <v>D</v>
      </c>
      <c r="AJ319" s="4" t="str">
        <f>Table2[[#This Row],[field_fate10]]</f>
        <v>D</v>
      </c>
      <c r="AK319" s="4" t="b">
        <f>Table2[[#This Row],[field_fate_feb]]=Table2[[#This Row],[field_fate10]]</f>
        <v>1</v>
      </c>
      <c r="AL319" s="43" t="s">
        <v>24</v>
      </c>
      <c r="AM319" s="43" t="b">
        <f>Table2[[#This Row],[cam_fate2]]="NA"</f>
        <v>1</v>
      </c>
      <c r="AN319" s="19" t="str">
        <f>Table2[[#This Row],[cam_fate1]]</f>
        <v>NA</v>
      </c>
      <c r="AO319" s="2" t="s">
        <v>31</v>
      </c>
      <c r="AP319" s="5" t="str">
        <f>Table2[[#This Row],[final_fate1]]</f>
        <v>D</v>
      </c>
      <c r="AQ319" s="6">
        <v>9</v>
      </c>
      <c r="AR319" s="7">
        <v>9</v>
      </c>
      <c r="AS319" s="7">
        <f>Table2[[#This Row],[final_obs_date]]-Table2[[#This Row],[init_date]]</f>
        <v>9</v>
      </c>
      <c r="AT319" s="7">
        <f>(Table2[[#This Row],[final_obs_date2]]-Table2[[#This Row],[estHD]])+16</f>
        <v>6</v>
      </c>
      <c r="AU319" s="38">
        <v>5</v>
      </c>
      <c r="AV319" s="33">
        <v>5</v>
      </c>
      <c r="AW319" s="33">
        <f>Table2[[#This Row],[final_obs_date2]]-Table2[[#This Row],[pen_obs_date]]</f>
        <v>37</v>
      </c>
      <c r="AX319" s="67">
        <v>37</v>
      </c>
      <c r="AY319" s="6">
        <f>Table2[[#This Row],[final_obs_date]]</f>
        <v>37</v>
      </c>
      <c r="AZ319" s="6"/>
      <c r="BA319" s="91" t="s">
        <v>47</v>
      </c>
      <c r="BB319" s="6" t="b">
        <f>Table2[[#This Row],[final_obs_date]]&lt;(Table2[[#This Row],[estHD]]-2)</f>
        <v>1</v>
      </c>
      <c r="BC319" s="24">
        <f>IF(Table2[[#This Row],[field_fate]]="H",1,0)</f>
        <v>0</v>
      </c>
      <c r="BD319" s="16">
        <f>IF(Table2[[#This Row],[cam_fate2]]="H",1,0)</f>
        <v>0</v>
      </c>
      <c r="BE319" s="6" t="b">
        <f>NOT(Table2[[#This Row],[HF_C]]=Table2[[#This Row],[HF]])</f>
        <v>0</v>
      </c>
      <c r="BF319" s="6" t="b">
        <f>NOT(Table2[[#This Row],[cam_fate2]]=Table2[[#This Row],[field_fate3]])</f>
        <v>1</v>
      </c>
      <c r="BG319" s="6" t="b">
        <f>OR(Table2[[#This Row],[field_fate3]]="U",Table2[[#This Row],[field_fate3]]="U-H")</f>
        <v>0</v>
      </c>
      <c r="BH319" s="8">
        <v>32</v>
      </c>
      <c r="BI319" s="8">
        <v>32</v>
      </c>
      <c r="BJ319" s="14">
        <f>IF(ISTEXT(Table2[[#This Row],[j.cam]]),Table2[[#This Row],[j]],Table2[[#This Row],[j.cam]])</f>
        <v>32</v>
      </c>
      <c r="BK319" s="9">
        <v>37</v>
      </c>
      <c r="BL319" s="15">
        <f>IF(ISTEXT(Table2[[#This Row],[k.cam]]), Table2[[#This Row],[k]], Table2[[#This Row],[k.cam]])</f>
        <v>37</v>
      </c>
      <c r="BM319" s="4" t="s">
        <v>24</v>
      </c>
      <c r="BN319" s="8" t="s">
        <v>24</v>
      </c>
      <c r="BO319" s="4">
        <v>2</v>
      </c>
      <c r="BP319" s="4">
        <f>Table2[[#This Row],[final_obs_date]]-Table2[[#This Row],[i]]</f>
        <v>5</v>
      </c>
      <c r="BQ319" s="4" t="b">
        <f>Table2[[#This Row],[final_obs_date2]]&gt;Table2[[#This Row],[estHD]]+3</f>
        <v>0</v>
      </c>
      <c r="BR319" s="4" t="s">
        <v>33</v>
      </c>
      <c r="BS319" s="4" t="s">
        <v>45</v>
      </c>
      <c r="BT319" s="79" t="s">
        <v>1201</v>
      </c>
      <c r="BU319" s="26" t="s">
        <v>87</v>
      </c>
      <c r="BV319" s="79" t="s">
        <v>1464</v>
      </c>
      <c r="BW319" s="49"/>
      <c r="BX319" s="47"/>
      <c r="BY319" s="36" t="s">
        <v>685</v>
      </c>
    </row>
    <row r="320" spans="1:77" hidden="1" x14ac:dyDescent="0.35">
      <c r="A320" s="63">
        <v>20224</v>
      </c>
      <c r="B320" s="2" t="s">
        <v>157</v>
      </c>
      <c r="C320" s="45">
        <v>2020</v>
      </c>
      <c r="D320" s="3">
        <v>29.76512</v>
      </c>
      <c r="E320" s="3">
        <f>-9-93.37569</f>
        <v>-102.37569000000001</v>
      </c>
      <c r="F320" s="3" t="s">
        <v>24</v>
      </c>
      <c r="G320" s="3" t="s">
        <v>24</v>
      </c>
      <c r="H320" s="3" t="s">
        <v>26</v>
      </c>
      <c r="I320" s="43"/>
      <c r="J320" s="55">
        <v>50</v>
      </c>
      <c r="K320" s="4">
        <v>50</v>
      </c>
      <c r="L320" s="22">
        <f>IF(ISNUMBER(Table2[[#This Row],[estHD]]),ABS(Table2[[#This Row],[HD]]-Table2[[#This Row],[estHD]]),"NA")</f>
        <v>0</v>
      </c>
      <c r="M320" s="4" t="b">
        <f>Table2[[#This Row],[HD]]=Table2[[#This Row],[estHD]]</f>
        <v>1</v>
      </c>
      <c r="N320" s="4" t="str">
        <f>IF(ISNUMBER([1]!Table2[[#This Row],[hatch_date]]),[1]!Table2[[#This Row],[hatch_date]]-19,"NA")</f>
        <v>NA</v>
      </c>
      <c r="O320" s="31">
        <v>31</v>
      </c>
      <c r="P320" s="23">
        <f>IF(ISNUMBER(Table2[[#This Row],[nest_age1]]),ABS(Table2[[#This Row],[nest_age1]]-Table2[[#This Row],[nest_age_feb]]),"NA")</f>
        <v>1</v>
      </c>
      <c r="Q320" s="24">
        <f>IF(ISNUMBER(Table2[[#This Row],[final_obs_int2]]),ABS(Table2[[#This Row],[final_obs_int2]]-Table2[[#This Row],[final_obs_int_feb]]), "NA")</f>
        <v>0</v>
      </c>
      <c r="R320" s="24"/>
      <c r="S320" s="57" t="s">
        <v>88</v>
      </c>
      <c r="T320" s="57" t="str">
        <f>Table2[[#This Row],[camera_old]]</f>
        <v>N</v>
      </c>
      <c r="U320" s="24"/>
      <c r="V320" s="16" t="s">
        <v>24</v>
      </c>
      <c r="W320" s="16">
        <v>5</v>
      </c>
      <c r="X320" s="145">
        <v>5</v>
      </c>
      <c r="Y320" s="147" t="s">
        <v>31</v>
      </c>
      <c r="Z320" s="146" t="s">
        <v>31</v>
      </c>
      <c r="AA320" s="4" t="str">
        <f>Table2[[#This Row],[field_fate]]</f>
        <v>D</v>
      </c>
      <c r="AB320" s="4" t="str">
        <f>Table2[[#This Row],[field_fate2]]</f>
        <v>D</v>
      </c>
      <c r="AC320" s="4" t="str">
        <f>Table2[[#This Row],[field_fate3]]</f>
        <v>D</v>
      </c>
      <c r="AD320" s="4" t="str">
        <f>Table2[[#This Row],[field_fate4]]</f>
        <v>D</v>
      </c>
      <c r="AE320" s="4" t="str">
        <f>Table2[[#This Row],[field_fate5]]</f>
        <v>D</v>
      </c>
      <c r="AF320" s="4" t="str">
        <f>Table2[[#This Row],[field_fate5]]</f>
        <v>D</v>
      </c>
      <c r="AG320" s="4" t="str">
        <f>Table2[[#This Row],[field_fate5]]</f>
        <v>D</v>
      </c>
      <c r="AH320" s="4" t="str">
        <f>Table2[[#This Row],[field_fate2]]</f>
        <v>D</v>
      </c>
      <c r="AI320" s="4" t="str">
        <f>Table2[[#This Row],[field_fate8]]</f>
        <v>D</v>
      </c>
      <c r="AJ320" s="4" t="str">
        <f>Table2[[#This Row],[field_fate10]]</f>
        <v>D</v>
      </c>
      <c r="AK320" s="4" t="b">
        <f>Table2[[#This Row],[field_fate_feb]]=Table2[[#This Row],[field_fate10]]</f>
        <v>1</v>
      </c>
      <c r="AL320" s="43" t="s">
        <v>24</v>
      </c>
      <c r="AM320" s="43" t="b">
        <f>Table2[[#This Row],[cam_fate2]]="NA"</f>
        <v>1</v>
      </c>
      <c r="AN320" s="19" t="str">
        <f>Table2[[#This Row],[cam_fate1]]</f>
        <v>NA</v>
      </c>
      <c r="AO320" s="2" t="s">
        <v>31</v>
      </c>
      <c r="AP320" s="5" t="str">
        <f>Table2[[#This Row],[final_fate1]]</f>
        <v>D</v>
      </c>
      <c r="AQ320" s="6">
        <v>6</v>
      </c>
      <c r="AR320" s="7">
        <v>6</v>
      </c>
      <c r="AS320" s="7">
        <f>Table2[[#This Row],[final_obs_date]]-Table2[[#This Row],[init_date]]</f>
        <v>6</v>
      </c>
      <c r="AT320" s="7">
        <f>(Table2[[#This Row],[final_obs_date2]]-Table2[[#This Row],[estHD]])+16</f>
        <v>3</v>
      </c>
      <c r="AU320" s="38">
        <v>5</v>
      </c>
      <c r="AV320" s="33">
        <v>5</v>
      </c>
      <c r="AW320" s="33">
        <f>Table2[[#This Row],[final_obs_date2]]-Table2[[#This Row],[pen_obs_date]]</f>
        <v>37</v>
      </c>
      <c r="AX320" s="67">
        <v>37</v>
      </c>
      <c r="AY320" s="6">
        <f>Table2[[#This Row],[final_obs_date]]</f>
        <v>37</v>
      </c>
      <c r="AZ320" s="6"/>
      <c r="BA320" s="91" t="s">
        <v>47</v>
      </c>
      <c r="BB320" s="6" t="b">
        <f>Table2[[#This Row],[final_obs_date]]&lt;(Table2[[#This Row],[estHD]]-2)</f>
        <v>1</v>
      </c>
      <c r="BC320" s="24">
        <f>IF(Table2[[#This Row],[field_fate]]="H",1,0)</f>
        <v>0</v>
      </c>
      <c r="BD320" s="16">
        <f>IF(Table2[[#This Row],[cam_fate2]]="H",1,0)</f>
        <v>0</v>
      </c>
      <c r="BE320" s="6" t="b">
        <f>NOT(Table2[[#This Row],[HF_C]]=Table2[[#This Row],[HF]])</f>
        <v>0</v>
      </c>
      <c r="BF320" s="6" t="b">
        <f>NOT(Table2[[#This Row],[cam_fate2]]=Table2[[#This Row],[field_fate3]])</f>
        <v>1</v>
      </c>
      <c r="BG320" s="6" t="b">
        <f>OR(Table2[[#This Row],[field_fate3]]="U",Table2[[#This Row],[field_fate3]]="U-H")</f>
        <v>0</v>
      </c>
      <c r="BH320" s="8">
        <v>32</v>
      </c>
      <c r="BI320" s="8">
        <v>32</v>
      </c>
      <c r="BJ320" s="14">
        <f>IF(ISTEXT(Table2[[#This Row],[j.cam]]),Table2[[#This Row],[j]],Table2[[#This Row],[j.cam]])</f>
        <v>32</v>
      </c>
      <c r="BK320" s="9">
        <v>37</v>
      </c>
      <c r="BL320" s="15">
        <f>IF(ISTEXT(Table2[[#This Row],[k.cam]]), Table2[[#This Row],[k]], Table2[[#This Row],[k.cam]])</f>
        <v>37</v>
      </c>
      <c r="BM320" s="4" t="s">
        <v>24</v>
      </c>
      <c r="BN320" s="8" t="s">
        <v>24</v>
      </c>
      <c r="BO320" s="4">
        <v>2</v>
      </c>
      <c r="BP320" s="4">
        <f>Table2[[#This Row],[final_obs_date]]-Table2[[#This Row],[i]]</f>
        <v>5</v>
      </c>
      <c r="BQ320" s="4" t="b">
        <f>Table2[[#This Row],[final_obs_date2]]&gt;Table2[[#This Row],[estHD]]+3</f>
        <v>0</v>
      </c>
      <c r="BR320" s="4" t="s">
        <v>58</v>
      </c>
      <c r="BS320" s="4" t="s">
        <v>45</v>
      </c>
      <c r="BT320" s="79" t="s">
        <v>1201</v>
      </c>
      <c r="BU320" s="26" t="s">
        <v>117</v>
      </c>
      <c r="BV320" s="79" t="s">
        <v>1464</v>
      </c>
      <c r="BW320" s="49"/>
      <c r="BX320" s="47"/>
      <c r="BY320" s="36" t="s">
        <v>24</v>
      </c>
    </row>
    <row r="321" spans="1:77" hidden="1" x14ac:dyDescent="0.35">
      <c r="A321" s="63">
        <v>20225</v>
      </c>
      <c r="B321" s="2" t="s">
        <v>157</v>
      </c>
      <c r="C321" s="45">
        <v>2020</v>
      </c>
      <c r="D321" s="3">
        <v>29.765090000000001</v>
      </c>
      <c r="E321" s="3">
        <v>-93.375429999999994</v>
      </c>
      <c r="F321" s="3" t="s">
        <v>24</v>
      </c>
      <c r="G321" s="3" t="s">
        <v>24</v>
      </c>
      <c r="H321" s="3" t="s">
        <v>26</v>
      </c>
      <c r="I321" s="43"/>
      <c r="J321" s="55">
        <v>50</v>
      </c>
      <c r="K321" s="4">
        <v>50</v>
      </c>
      <c r="L321" s="22">
        <f>IF(ISNUMBER(Table2[[#This Row],[estHD]]),ABS(Table2[[#This Row],[HD]]-Table2[[#This Row],[estHD]]),"NA")</f>
        <v>0</v>
      </c>
      <c r="M321" s="4" t="b">
        <f>Table2[[#This Row],[HD]]=Table2[[#This Row],[estHD]]</f>
        <v>1</v>
      </c>
      <c r="N321" s="4" t="str">
        <f>IF(ISNUMBER([1]!Table2[[#This Row],[hatch_date]]),[1]!Table2[[#This Row],[hatch_date]]-19,"NA")</f>
        <v>NA</v>
      </c>
      <c r="O321" s="31">
        <v>31</v>
      </c>
      <c r="P321" s="23">
        <f>IF(ISNUMBER(Table2[[#This Row],[nest_age1]]),ABS(Table2[[#This Row],[nest_age1]]-Table2[[#This Row],[nest_age_feb]]),"NA")</f>
        <v>1</v>
      </c>
      <c r="Q321" s="24">
        <f>IF(ISNUMBER(Table2[[#This Row],[final_obs_int2]]),ABS(Table2[[#This Row],[final_obs_int2]]-Table2[[#This Row],[final_obs_int_feb]]), "NA")</f>
        <v>0</v>
      </c>
      <c r="R321" s="24"/>
      <c r="S321" s="57" t="s">
        <v>88</v>
      </c>
      <c r="T321" s="57" t="str">
        <f>Table2[[#This Row],[camera_old]]</f>
        <v>N</v>
      </c>
      <c r="U321" s="24"/>
      <c r="V321" s="16" t="s">
        <v>24</v>
      </c>
      <c r="W321" s="16">
        <v>5</v>
      </c>
      <c r="X321" s="145">
        <v>5</v>
      </c>
      <c r="Y321" s="147" t="s">
        <v>31</v>
      </c>
      <c r="Z321" s="146" t="s">
        <v>31</v>
      </c>
      <c r="AA321" s="4" t="str">
        <f>Table2[[#This Row],[field_fate]]</f>
        <v>D</v>
      </c>
      <c r="AB321" s="4" t="str">
        <f>Table2[[#This Row],[field_fate2]]</f>
        <v>D</v>
      </c>
      <c r="AC321" s="4" t="str">
        <f>Table2[[#This Row],[field_fate3]]</f>
        <v>D</v>
      </c>
      <c r="AD321" s="4" t="str">
        <f>Table2[[#This Row],[field_fate4]]</f>
        <v>D</v>
      </c>
      <c r="AE321" s="4" t="str">
        <f>Table2[[#This Row],[field_fate5]]</f>
        <v>D</v>
      </c>
      <c r="AF321" s="4" t="str">
        <f>Table2[[#This Row],[field_fate5]]</f>
        <v>D</v>
      </c>
      <c r="AG321" s="4" t="str">
        <f>Table2[[#This Row],[field_fate5]]</f>
        <v>D</v>
      </c>
      <c r="AH321" s="4" t="str">
        <f>Table2[[#This Row],[field_fate2]]</f>
        <v>D</v>
      </c>
      <c r="AI321" s="4" t="str">
        <f>Table2[[#This Row],[field_fate8]]</f>
        <v>D</v>
      </c>
      <c r="AJ321" s="4" t="str">
        <f>Table2[[#This Row],[field_fate10]]</f>
        <v>D</v>
      </c>
      <c r="AK321" s="4" t="b">
        <f>Table2[[#This Row],[field_fate_feb]]=Table2[[#This Row],[field_fate10]]</f>
        <v>1</v>
      </c>
      <c r="AL321" s="43" t="s">
        <v>24</v>
      </c>
      <c r="AM321" s="43" t="b">
        <f>Table2[[#This Row],[cam_fate2]]="NA"</f>
        <v>1</v>
      </c>
      <c r="AN321" s="19" t="str">
        <f>Table2[[#This Row],[cam_fate1]]</f>
        <v>NA</v>
      </c>
      <c r="AO321" s="2" t="s">
        <v>31</v>
      </c>
      <c r="AP321" s="5" t="str">
        <f>Table2[[#This Row],[final_fate1]]</f>
        <v>D</v>
      </c>
      <c r="AQ321" s="6">
        <v>6</v>
      </c>
      <c r="AR321" s="7">
        <v>6</v>
      </c>
      <c r="AS321" s="7">
        <f>Table2[[#This Row],[final_obs_date]]-Table2[[#This Row],[init_date]]</f>
        <v>6</v>
      </c>
      <c r="AT321" s="7">
        <f>(Table2[[#This Row],[final_obs_date2]]-Table2[[#This Row],[estHD]])+16</f>
        <v>3</v>
      </c>
      <c r="AU321" s="38">
        <v>5</v>
      </c>
      <c r="AV321" s="33">
        <v>5</v>
      </c>
      <c r="AW321" s="33">
        <f>Table2[[#This Row],[final_obs_date2]]-Table2[[#This Row],[pen_obs_date]]</f>
        <v>37</v>
      </c>
      <c r="AX321" s="67">
        <v>37</v>
      </c>
      <c r="AY321" s="6">
        <f>Table2[[#This Row],[final_obs_date]]</f>
        <v>37</v>
      </c>
      <c r="AZ321" s="6"/>
      <c r="BA321" s="91" t="s">
        <v>47</v>
      </c>
      <c r="BB321" s="6" t="b">
        <f>Table2[[#This Row],[final_obs_date]]&lt;(Table2[[#This Row],[estHD]]-2)</f>
        <v>1</v>
      </c>
      <c r="BC321" s="24">
        <f>IF(Table2[[#This Row],[field_fate]]="H",1,0)</f>
        <v>0</v>
      </c>
      <c r="BD321" s="16">
        <f>IF(Table2[[#This Row],[cam_fate2]]="H",1,0)</f>
        <v>0</v>
      </c>
      <c r="BE321" s="6" t="b">
        <f>NOT(Table2[[#This Row],[HF_C]]=Table2[[#This Row],[HF]])</f>
        <v>0</v>
      </c>
      <c r="BF321" s="6" t="b">
        <f>NOT(Table2[[#This Row],[cam_fate2]]=Table2[[#This Row],[field_fate3]])</f>
        <v>1</v>
      </c>
      <c r="BG321" s="6" t="b">
        <f>OR(Table2[[#This Row],[field_fate3]]="U",Table2[[#This Row],[field_fate3]]="U-H")</f>
        <v>0</v>
      </c>
      <c r="BH321" s="8">
        <v>32</v>
      </c>
      <c r="BI321" s="8">
        <v>32</v>
      </c>
      <c r="BJ321" s="14">
        <f>IF(ISTEXT(Table2[[#This Row],[j.cam]]),Table2[[#This Row],[j]],Table2[[#This Row],[j.cam]])</f>
        <v>32</v>
      </c>
      <c r="BK321" s="9">
        <v>37</v>
      </c>
      <c r="BL321" s="15">
        <f>IF(ISTEXT(Table2[[#This Row],[k.cam]]), Table2[[#This Row],[k]], Table2[[#This Row],[k.cam]])</f>
        <v>37</v>
      </c>
      <c r="BM321" s="4" t="s">
        <v>24</v>
      </c>
      <c r="BN321" s="8" t="s">
        <v>24</v>
      </c>
      <c r="BO321" s="4">
        <v>2</v>
      </c>
      <c r="BP321" s="4">
        <f>Table2[[#This Row],[final_obs_date]]-Table2[[#This Row],[i]]</f>
        <v>5</v>
      </c>
      <c r="BQ321" s="4" t="b">
        <f>Table2[[#This Row],[final_obs_date2]]&gt;Table2[[#This Row],[estHD]]+3</f>
        <v>0</v>
      </c>
      <c r="BR321" s="4" t="s">
        <v>58</v>
      </c>
      <c r="BS321" s="4" t="s">
        <v>45</v>
      </c>
      <c r="BT321" s="79" t="s">
        <v>1201</v>
      </c>
      <c r="BU321" s="26" t="s">
        <v>117</v>
      </c>
      <c r="BV321" s="79" t="s">
        <v>1464</v>
      </c>
      <c r="BW321" s="49"/>
      <c r="BX321" s="47"/>
      <c r="BY321" s="36" t="s">
        <v>686</v>
      </c>
    </row>
    <row r="322" spans="1:77" hidden="1" x14ac:dyDescent="0.35">
      <c r="A322" s="63">
        <v>20226</v>
      </c>
      <c r="B322" s="2" t="s">
        <v>157</v>
      </c>
      <c r="C322" s="45">
        <v>2020</v>
      </c>
      <c r="D322" s="3">
        <v>29.765129999999999</v>
      </c>
      <c r="E322" s="3">
        <v>-93.375299999999996</v>
      </c>
      <c r="F322" s="3" t="s">
        <v>24</v>
      </c>
      <c r="G322" s="3" t="s">
        <v>24</v>
      </c>
      <c r="H322" s="3" t="s">
        <v>26</v>
      </c>
      <c r="I322" s="43"/>
      <c r="J322" s="55">
        <v>49</v>
      </c>
      <c r="K322" s="4">
        <v>49</v>
      </c>
      <c r="L322" s="22">
        <f>IF(ISNUMBER(Table2[[#This Row],[estHD]]),ABS(Table2[[#This Row],[HD]]-Table2[[#This Row],[estHD]]),"NA")</f>
        <v>0</v>
      </c>
      <c r="M322" s="4" t="b">
        <f>Table2[[#This Row],[HD]]=Table2[[#This Row],[estHD]]</f>
        <v>1</v>
      </c>
      <c r="N322" s="4" t="str">
        <f>IF(ISNUMBER([1]!Table2[[#This Row],[hatch_date]]),[1]!Table2[[#This Row],[hatch_date]]-19,"NA")</f>
        <v>NA</v>
      </c>
      <c r="O322" s="31">
        <v>30</v>
      </c>
      <c r="P322" s="23">
        <f>IF(ISNUMBER(Table2[[#This Row],[nest_age1]]),ABS(Table2[[#This Row],[nest_age1]]-Table2[[#This Row],[nest_age_feb]]),"NA")</f>
        <v>1</v>
      </c>
      <c r="Q322" s="24">
        <f>IF(ISNUMBER(Table2[[#This Row],[final_obs_int2]]),ABS(Table2[[#This Row],[final_obs_int2]]-Table2[[#This Row],[final_obs_int_feb]]), "NA")</f>
        <v>0</v>
      </c>
      <c r="R322" s="24"/>
      <c r="S322" s="57" t="s">
        <v>88</v>
      </c>
      <c r="T322" s="57" t="str">
        <f>Table2[[#This Row],[camera_old]]</f>
        <v>N</v>
      </c>
      <c r="U322" s="24"/>
      <c r="V322" s="16" t="s">
        <v>24</v>
      </c>
      <c r="W322" s="16">
        <v>6</v>
      </c>
      <c r="X322" s="145">
        <v>5</v>
      </c>
      <c r="Y322" s="147" t="s">
        <v>31</v>
      </c>
      <c r="Z322" s="146" t="s">
        <v>31</v>
      </c>
      <c r="AA322" s="4" t="str">
        <f>Table2[[#This Row],[field_fate]]</f>
        <v>D</v>
      </c>
      <c r="AB322" s="4" t="str">
        <f>Table2[[#This Row],[field_fate2]]</f>
        <v>D</v>
      </c>
      <c r="AC322" s="4" t="str">
        <f>Table2[[#This Row],[field_fate3]]</f>
        <v>D</v>
      </c>
      <c r="AD322" s="4" t="str">
        <f>Table2[[#This Row],[field_fate4]]</f>
        <v>D</v>
      </c>
      <c r="AE322" s="4" t="str">
        <f>Table2[[#This Row],[field_fate5]]</f>
        <v>D</v>
      </c>
      <c r="AF322" s="4" t="str">
        <f>Table2[[#This Row],[field_fate5]]</f>
        <v>D</v>
      </c>
      <c r="AG322" s="4" t="str">
        <f>Table2[[#This Row],[field_fate5]]</f>
        <v>D</v>
      </c>
      <c r="AH322" s="4" t="str">
        <f>Table2[[#This Row],[field_fate2]]</f>
        <v>D</v>
      </c>
      <c r="AI322" s="4" t="str">
        <f>Table2[[#This Row],[field_fate8]]</f>
        <v>D</v>
      </c>
      <c r="AJ322" s="4" t="str">
        <f>Table2[[#This Row],[field_fate10]]</f>
        <v>D</v>
      </c>
      <c r="AK322" s="4" t="b">
        <f>Table2[[#This Row],[field_fate_feb]]=Table2[[#This Row],[field_fate10]]</f>
        <v>1</v>
      </c>
      <c r="AL322" s="43" t="s">
        <v>24</v>
      </c>
      <c r="AM322" s="43" t="b">
        <f>Table2[[#This Row],[cam_fate2]]="NA"</f>
        <v>1</v>
      </c>
      <c r="AN322" s="19" t="str">
        <f>Table2[[#This Row],[cam_fate1]]</f>
        <v>NA</v>
      </c>
      <c r="AO322" s="2" t="s">
        <v>31</v>
      </c>
      <c r="AP322" s="5" t="str">
        <f>Table2[[#This Row],[final_fate1]]</f>
        <v>D</v>
      </c>
      <c r="AQ322" s="6">
        <v>7</v>
      </c>
      <c r="AR322" s="7">
        <v>7</v>
      </c>
      <c r="AS322" s="7">
        <f>Table2[[#This Row],[final_obs_date]]-Table2[[#This Row],[init_date]]</f>
        <v>7</v>
      </c>
      <c r="AT322" s="7">
        <f>(Table2[[#This Row],[final_obs_date2]]-Table2[[#This Row],[estHD]])+16</f>
        <v>4</v>
      </c>
      <c r="AU322" s="38">
        <v>5</v>
      </c>
      <c r="AV322" s="33">
        <v>5</v>
      </c>
      <c r="AW322" s="33">
        <f>Table2[[#This Row],[final_obs_date2]]-Table2[[#This Row],[pen_obs_date]]</f>
        <v>37</v>
      </c>
      <c r="AX322" s="67">
        <v>37</v>
      </c>
      <c r="AY322" s="6">
        <f>Table2[[#This Row],[final_obs_date]]</f>
        <v>37</v>
      </c>
      <c r="AZ322" s="6"/>
      <c r="BA322" s="91" t="s">
        <v>47</v>
      </c>
      <c r="BB322" s="6" t="b">
        <f>Table2[[#This Row],[final_obs_date]]&lt;(Table2[[#This Row],[estHD]]-2)</f>
        <v>1</v>
      </c>
      <c r="BC322" s="24">
        <f>IF(Table2[[#This Row],[field_fate]]="H",1,0)</f>
        <v>0</v>
      </c>
      <c r="BD322" s="16">
        <f>IF(Table2[[#This Row],[cam_fate2]]="H",1,0)</f>
        <v>0</v>
      </c>
      <c r="BE322" s="6" t="b">
        <f>NOT(Table2[[#This Row],[HF_C]]=Table2[[#This Row],[HF]])</f>
        <v>0</v>
      </c>
      <c r="BF322" s="6" t="b">
        <f>NOT(Table2[[#This Row],[cam_fate2]]=Table2[[#This Row],[field_fate3]])</f>
        <v>1</v>
      </c>
      <c r="BG322" s="6" t="b">
        <f>OR(Table2[[#This Row],[field_fate3]]="U",Table2[[#This Row],[field_fate3]]="U-H")</f>
        <v>0</v>
      </c>
      <c r="BH322" s="8">
        <v>32</v>
      </c>
      <c r="BI322" s="8">
        <v>32</v>
      </c>
      <c r="BJ322" s="14">
        <f>IF(ISTEXT(Table2[[#This Row],[j.cam]]),Table2[[#This Row],[j]],Table2[[#This Row],[j.cam]])</f>
        <v>32</v>
      </c>
      <c r="BK322" s="9">
        <v>37</v>
      </c>
      <c r="BL322" s="15">
        <f>IF(ISTEXT(Table2[[#This Row],[k.cam]]), Table2[[#This Row],[k]], Table2[[#This Row],[k.cam]])</f>
        <v>37</v>
      </c>
      <c r="BM322" s="4" t="s">
        <v>24</v>
      </c>
      <c r="BN322" s="8" t="s">
        <v>24</v>
      </c>
      <c r="BO322" s="4">
        <v>2</v>
      </c>
      <c r="BP322" s="4">
        <f>Table2[[#This Row],[final_obs_date]]-Table2[[#This Row],[i]]</f>
        <v>5</v>
      </c>
      <c r="BQ322" s="4" t="b">
        <f>Table2[[#This Row],[final_obs_date2]]&gt;Table2[[#This Row],[estHD]]+3</f>
        <v>0</v>
      </c>
      <c r="BR322" s="4" t="s">
        <v>33</v>
      </c>
      <c r="BS322" s="4" t="s">
        <v>45</v>
      </c>
      <c r="BT322" s="79" t="s">
        <v>1201</v>
      </c>
      <c r="BU322" s="26" t="s">
        <v>87</v>
      </c>
      <c r="BV322" s="79" t="s">
        <v>1464</v>
      </c>
      <c r="BW322" s="49"/>
      <c r="BX322" s="47"/>
      <c r="BY322" s="36" t="s">
        <v>686</v>
      </c>
    </row>
    <row r="323" spans="1:77" hidden="1" x14ac:dyDescent="0.35">
      <c r="A323" s="63">
        <v>20227</v>
      </c>
      <c r="B323" s="2" t="s">
        <v>157</v>
      </c>
      <c r="C323" s="45">
        <v>2020</v>
      </c>
      <c r="D323" s="3">
        <v>29.764980000000001</v>
      </c>
      <c r="E323" s="3">
        <v>-93.374799999999993</v>
      </c>
      <c r="F323" s="3" t="s">
        <v>24</v>
      </c>
      <c r="G323" s="3" t="s">
        <v>24</v>
      </c>
      <c r="H323" s="3" t="s">
        <v>26</v>
      </c>
      <c r="I323" s="43"/>
      <c r="J323" s="55">
        <v>48</v>
      </c>
      <c r="K323" s="4">
        <v>48</v>
      </c>
      <c r="L323" s="22">
        <f>IF(ISNUMBER(Table2[[#This Row],[estHD]]),ABS(Table2[[#This Row],[HD]]-Table2[[#This Row],[estHD]]),"NA")</f>
        <v>0</v>
      </c>
      <c r="M323" s="4" t="b">
        <f>Table2[[#This Row],[HD]]=Table2[[#This Row],[estHD]]</f>
        <v>1</v>
      </c>
      <c r="N323" s="4" t="str">
        <f>IF(ISNUMBER([1]!Table2[[#This Row],[hatch_date]]),[1]!Table2[[#This Row],[hatch_date]]-19,"NA")</f>
        <v>NA</v>
      </c>
      <c r="O323" s="31">
        <v>29</v>
      </c>
      <c r="P323" s="23">
        <f>IF(ISNUMBER(Table2[[#This Row],[nest_age1]]),ABS(Table2[[#This Row],[nest_age1]]-Table2[[#This Row],[nest_age_feb]]),"NA")</f>
        <v>1</v>
      </c>
      <c r="Q323" s="24">
        <f>IF(ISNUMBER(Table2[[#This Row],[final_obs_int2]]),ABS(Table2[[#This Row],[final_obs_int2]]-Table2[[#This Row],[final_obs_int_feb]]), "NA")</f>
        <v>0</v>
      </c>
      <c r="R323" s="24"/>
      <c r="S323" s="57" t="s">
        <v>88</v>
      </c>
      <c r="T323" s="57" t="str">
        <f>Table2[[#This Row],[camera_old]]</f>
        <v>N</v>
      </c>
      <c r="U323" s="24"/>
      <c r="V323" s="16" t="s">
        <v>24</v>
      </c>
      <c r="W323" s="16">
        <v>7</v>
      </c>
      <c r="X323" s="145">
        <v>5</v>
      </c>
      <c r="Y323" s="147" t="s">
        <v>31</v>
      </c>
      <c r="Z323" s="146" t="s">
        <v>31</v>
      </c>
      <c r="AA323" s="4" t="str">
        <f>Table2[[#This Row],[field_fate]]</f>
        <v>D</v>
      </c>
      <c r="AB323" s="4" t="str">
        <f>Table2[[#This Row],[field_fate2]]</f>
        <v>D</v>
      </c>
      <c r="AC323" s="4" t="str">
        <f>Table2[[#This Row],[field_fate3]]</f>
        <v>D</v>
      </c>
      <c r="AD323" s="4" t="str">
        <f>Table2[[#This Row],[field_fate4]]</f>
        <v>D</v>
      </c>
      <c r="AE323" s="4" t="str">
        <f>Table2[[#This Row],[field_fate5]]</f>
        <v>D</v>
      </c>
      <c r="AF323" s="4" t="str">
        <f>Table2[[#This Row],[field_fate5]]</f>
        <v>D</v>
      </c>
      <c r="AG323" s="4" t="str">
        <f>Table2[[#This Row],[field_fate5]]</f>
        <v>D</v>
      </c>
      <c r="AH323" s="4" t="str">
        <f>Table2[[#This Row],[field_fate2]]</f>
        <v>D</v>
      </c>
      <c r="AI323" s="4" t="str">
        <f>Table2[[#This Row],[field_fate8]]</f>
        <v>D</v>
      </c>
      <c r="AJ323" s="4" t="str">
        <f>Table2[[#This Row],[field_fate10]]</f>
        <v>D</v>
      </c>
      <c r="AK323" s="4" t="b">
        <f>Table2[[#This Row],[field_fate_feb]]=Table2[[#This Row],[field_fate10]]</f>
        <v>1</v>
      </c>
      <c r="AL323" s="43" t="s">
        <v>24</v>
      </c>
      <c r="AM323" s="43" t="b">
        <f>Table2[[#This Row],[cam_fate2]]="NA"</f>
        <v>1</v>
      </c>
      <c r="AN323" s="19" t="str">
        <f>Table2[[#This Row],[cam_fate1]]</f>
        <v>NA</v>
      </c>
      <c r="AO323" s="2" t="s">
        <v>31</v>
      </c>
      <c r="AP323" s="5" t="str">
        <f>Table2[[#This Row],[final_fate1]]</f>
        <v>D</v>
      </c>
      <c r="AQ323" s="6">
        <v>8</v>
      </c>
      <c r="AR323" s="7">
        <v>8</v>
      </c>
      <c r="AS323" s="7">
        <f>Table2[[#This Row],[final_obs_date]]-Table2[[#This Row],[init_date]]</f>
        <v>8</v>
      </c>
      <c r="AT323" s="7">
        <f>(Table2[[#This Row],[final_obs_date2]]-Table2[[#This Row],[estHD]])+16</f>
        <v>5</v>
      </c>
      <c r="AU323" s="38">
        <v>5</v>
      </c>
      <c r="AV323" s="33">
        <v>5</v>
      </c>
      <c r="AW323" s="33">
        <f>Table2[[#This Row],[final_obs_date2]]-Table2[[#This Row],[pen_obs_date]]</f>
        <v>37</v>
      </c>
      <c r="AX323" s="67">
        <v>37</v>
      </c>
      <c r="AY323" s="6">
        <f>Table2[[#This Row],[final_obs_date]]</f>
        <v>37</v>
      </c>
      <c r="AZ323" s="6"/>
      <c r="BA323" s="91" t="s">
        <v>47</v>
      </c>
      <c r="BB323" s="6" t="b">
        <f>Table2[[#This Row],[final_obs_date]]&lt;(Table2[[#This Row],[estHD]]-2)</f>
        <v>1</v>
      </c>
      <c r="BC323" s="24">
        <f>IF(Table2[[#This Row],[field_fate]]="H",1,0)</f>
        <v>0</v>
      </c>
      <c r="BD323" s="16">
        <f>IF(Table2[[#This Row],[cam_fate2]]="H",1,0)</f>
        <v>0</v>
      </c>
      <c r="BE323" s="6" t="b">
        <f>NOT(Table2[[#This Row],[HF_C]]=Table2[[#This Row],[HF]])</f>
        <v>0</v>
      </c>
      <c r="BF323" s="6" t="b">
        <f>NOT(Table2[[#This Row],[cam_fate2]]=Table2[[#This Row],[field_fate3]])</f>
        <v>1</v>
      </c>
      <c r="BG323" s="6" t="b">
        <f>OR(Table2[[#This Row],[field_fate3]]="U",Table2[[#This Row],[field_fate3]]="U-H")</f>
        <v>0</v>
      </c>
      <c r="BH323" s="8">
        <v>32</v>
      </c>
      <c r="BI323" s="8">
        <v>32</v>
      </c>
      <c r="BJ323" s="14">
        <f>IF(ISTEXT(Table2[[#This Row],[j.cam]]),Table2[[#This Row],[j]],Table2[[#This Row],[j.cam]])</f>
        <v>32</v>
      </c>
      <c r="BK323" s="9">
        <v>37</v>
      </c>
      <c r="BL323" s="15">
        <f>IF(ISTEXT(Table2[[#This Row],[k.cam]]), Table2[[#This Row],[k]], Table2[[#This Row],[k.cam]])</f>
        <v>37</v>
      </c>
      <c r="BM323" s="4" t="s">
        <v>24</v>
      </c>
      <c r="BN323" s="8" t="s">
        <v>24</v>
      </c>
      <c r="BO323" s="4">
        <v>2</v>
      </c>
      <c r="BP323" s="4">
        <f>Table2[[#This Row],[final_obs_date]]-Table2[[#This Row],[i]]</f>
        <v>5</v>
      </c>
      <c r="BQ323" s="4" t="b">
        <f>Table2[[#This Row],[final_obs_date2]]&gt;Table2[[#This Row],[estHD]]+3</f>
        <v>0</v>
      </c>
      <c r="BR323" s="4" t="s">
        <v>33</v>
      </c>
      <c r="BS323" s="4" t="s">
        <v>45</v>
      </c>
      <c r="BT323" s="79" t="s">
        <v>1201</v>
      </c>
      <c r="BU323" s="26" t="s">
        <v>87</v>
      </c>
      <c r="BV323" s="79" t="s">
        <v>1464</v>
      </c>
      <c r="BW323" s="49"/>
      <c r="BX323" s="47"/>
      <c r="BY323" s="36" t="s">
        <v>24</v>
      </c>
    </row>
    <row r="324" spans="1:77" hidden="1" x14ac:dyDescent="0.35">
      <c r="A324" s="63">
        <v>20228</v>
      </c>
      <c r="B324" s="2" t="s">
        <v>157</v>
      </c>
      <c r="C324" s="45">
        <v>2020</v>
      </c>
      <c r="D324" s="3">
        <v>29.76511</v>
      </c>
      <c r="E324" s="3">
        <v>-93.374120000000005</v>
      </c>
      <c r="F324" s="3" t="s">
        <v>24</v>
      </c>
      <c r="G324" s="3" t="s">
        <v>24</v>
      </c>
      <c r="H324" s="3" t="s">
        <v>26</v>
      </c>
      <c r="I324" s="43"/>
      <c r="J324" s="55">
        <v>48</v>
      </c>
      <c r="K324" s="4">
        <v>48</v>
      </c>
      <c r="L324" s="22">
        <f>IF(ISNUMBER(Table2[[#This Row],[estHD]]),ABS(Table2[[#This Row],[HD]]-Table2[[#This Row],[estHD]]),"NA")</f>
        <v>0</v>
      </c>
      <c r="M324" s="4" t="b">
        <f>Table2[[#This Row],[HD]]=Table2[[#This Row],[estHD]]</f>
        <v>1</v>
      </c>
      <c r="N324" s="4" t="str">
        <f>IF(ISNUMBER([1]!Table2[[#This Row],[hatch_date]]),[1]!Table2[[#This Row],[hatch_date]]-19,"NA")</f>
        <v>NA</v>
      </c>
      <c r="O324" s="31">
        <v>29</v>
      </c>
      <c r="P324" s="23">
        <f>IF(ISNUMBER(Table2[[#This Row],[nest_age1]]),ABS(Table2[[#This Row],[nest_age1]]-Table2[[#This Row],[nest_age_feb]]),"NA")</f>
        <v>1</v>
      </c>
      <c r="Q324" s="24">
        <f>IF(ISNUMBER(Table2[[#This Row],[final_obs_int2]]),ABS(Table2[[#This Row],[final_obs_int2]]-Table2[[#This Row],[final_obs_int_feb]]), "NA")</f>
        <v>0</v>
      </c>
      <c r="R324" s="24"/>
      <c r="S324" s="57" t="s">
        <v>88</v>
      </c>
      <c r="T324" s="57" t="str">
        <f>Table2[[#This Row],[camera_old]]</f>
        <v>N</v>
      </c>
      <c r="U324" s="24"/>
      <c r="V324" s="16" t="s">
        <v>24</v>
      </c>
      <c r="W324" s="16">
        <v>7</v>
      </c>
      <c r="X324" s="145">
        <v>5</v>
      </c>
      <c r="Y324" s="147" t="s">
        <v>31</v>
      </c>
      <c r="Z324" s="146" t="s">
        <v>31</v>
      </c>
      <c r="AA324" s="4" t="str">
        <f>Table2[[#This Row],[field_fate]]</f>
        <v>D</v>
      </c>
      <c r="AB324" s="4" t="str">
        <f>Table2[[#This Row],[field_fate2]]</f>
        <v>D</v>
      </c>
      <c r="AC324" s="4" t="str">
        <f>Table2[[#This Row],[field_fate3]]</f>
        <v>D</v>
      </c>
      <c r="AD324" s="4" t="str">
        <f>Table2[[#This Row],[field_fate4]]</f>
        <v>D</v>
      </c>
      <c r="AE324" s="4" t="str">
        <f>Table2[[#This Row],[field_fate5]]</f>
        <v>D</v>
      </c>
      <c r="AF324" s="4" t="str">
        <f>Table2[[#This Row],[field_fate5]]</f>
        <v>D</v>
      </c>
      <c r="AG324" s="4" t="str">
        <f>Table2[[#This Row],[field_fate5]]</f>
        <v>D</v>
      </c>
      <c r="AH324" s="4" t="str">
        <f>Table2[[#This Row],[field_fate2]]</f>
        <v>D</v>
      </c>
      <c r="AI324" s="4" t="str">
        <f>Table2[[#This Row],[field_fate8]]</f>
        <v>D</v>
      </c>
      <c r="AJ324" s="4" t="str">
        <f>Table2[[#This Row],[field_fate10]]</f>
        <v>D</v>
      </c>
      <c r="AK324" s="4" t="b">
        <f>Table2[[#This Row],[field_fate_feb]]=Table2[[#This Row],[field_fate10]]</f>
        <v>1</v>
      </c>
      <c r="AL324" s="43" t="s">
        <v>24</v>
      </c>
      <c r="AM324" s="43" t="b">
        <f>Table2[[#This Row],[cam_fate2]]="NA"</f>
        <v>1</v>
      </c>
      <c r="AN324" s="19" t="str">
        <f>Table2[[#This Row],[cam_fate1]]</f>
        <v>NA</v>
      </c>
      <c r="AO324" s="2" t="s">
        <v>31</v>
      </c>
      <c r="AP324" s="5" t="str">
        <f>Table2[[#This Row],[final_fate1]]</f>
        <v>D</v>
      </c>
      <c r="AQ324" s="6">
        <v>8</v>
      </c>
      <c r="AR324" s="7">
        <v>8</v>
      </c>
      <c r="AS324" s="7">
        <f>Table2[[#This Row],[final_obs_date]]-Table2[[#This Row],[init_date]]</f>
        <v>8</v>
      </c>
      <c r="AT324" s="7">
        <f>(Table2[[#This Row],[final_obs_date2]]-Table2[[#This Row],[estHD]])+16</f>
        <v>5</v>
      </c>
      <c r="AU324" s="38">
        <v>5</v>
      </c>
      <c r="AV324" s="33">
        <v>5</v>
      </c>
      <c r="AW324" s="33">
        <f>Table2[[#This Row],[final_obs_date2]]-Table2[[#This Row],[pen_obs_date]]</f>
        <v>37</v>
      </c>
      <c r="AX324" s="67">
        <v>37</v>
      </c>
      <c r="AY324" s="6">
        <f>Table2[[#This Row],[final_obs_date]]</f>
        <v>37</v>
      </c>
      <c r="AZ324" s="6"/>
      <c r="BA324" s="91" t="s">
        <v>47</v>
      </c>
      <c r="BB324" s="6" t="b">
        <f>Table2[[#This Row],[final_obs_date]]&lt;(Table2[[#This Row],[estHD]]-2)</f>
        <v>1</v>
      </c>
      <c r="BC324" s="24">
        <f>IF(Table2[[#This Row],[field_fate]]="H",1,0)</f>
        <v>0</v>
      </c>
      <c r="BD324" s="16">
        <f>IF(Table2[[#This Row],[cam_fate2]]="H",1,0)</f>
        <v>0</v>
      </c>
      <c r="BE324" s="6" t="b">
        <f>NOT(Table2[[#This Row],[HF_C]]=Table2[[#This Row],[HF]])</f>
        <v>0</v>
      </c>
      <c r="BF324" s="6" t="b">
        <f>NOT(Table2[[#This Row],[cam_fate2]]=Table2[[#This Row],[field_fate3]])</f>
        <v>1</v>
      </c>
      <c r="BG324" s="6" t="b">
        <f>OR(Table2[[#This Row],[field_fate3]]="U",Table2[[#This Row],[field_fate3]]="U-H")</f>
        <v>0</v>
      </c>
      <c r="BH324" s="8">
        <v>32</v>
      </c>
      <c r="BI324" s="8">
        <v>32</v>
      </c>
      <c r="BJ324" s="14">
        <f>IF(ISTEXT(Table2[[#This Row],[j.cam]]),Table2[[#This Row],[j]],Table2[[#This Row],[j.cam]])</f>
        <v>32</v>
      </c>
      <c r="BK324" s="9">
        <v>37</v>
      </c>
      <c r="BL324" s="15">
        <f>IF(ISTEXT(Table2[[#This Row],[k.cam]]), Table2[[#This Row],[k]], Table2[[#This Row],[k.cam]])</f>
        <v>37</v>
      </c>
      <c r="BM324" s="4" t="s">
        <v>24</v>
      </c>
      <c r="BN324" s="8" t="s">
        <v>24</v>
      </c>
      <c r="BO324" s="4">
        <v>2</v>
      </c>
      <c r="BP324" s="4">
        <f>Table2[[#This Row],[final_obs_date]]-Table2[[#This Row],[i]]</f>
        <v>5</v>
      </c>
      <c r="BQ324" s="4" t="b">
        <f>Table2[[#This Row],[final_obs_date2]]&gt;Table2[[#This Row],[estHD]]+3</f>
        <v>0</v>
      </c>
      <c r="BR324" s="4" t="s">
        <v>33</v>
      </c>
      <c r="BS324" s="4" t="s">
        <v>45</v>
      </c>
      <c r="BT324" s="79" t="s">
        <v>1201</v>
      </c>
      <c r="BU324" s="26" t="s">
        <v>87</v>
      </c>
      <c r="BV324" s="79" t="s">
        <v>1464</v>
      </c>
      <c r="BW324" s="49"/>
      <c r="BX324" s="47"/>
      <c r="BY324" s="36" t="s">
        <v>24</v>
      </c>
    </row>
    <row r="325" spans="1:77" hidden="1" x14ac:dyDescent="0.35">
      <c r="A325" s="63">
        <v>20229</v>
      </c>
      <c r="B325" s="2" t="s">
        <v>157</v>
      </c>
      <c r="C325" s="45">
        <v>2020</v>
      </c>
      <c r="D325" s="3">
        <v>29.764900000000001</v>
      </c>
      <c r="E325" s="3">
        <v>-93.372010000000003</v>
      </c>
      <c r="F325" s="3" t="s">
        <v>24</v>
      </c>
      <c r="G325" s="3" t="s">
        <v>24</v>
      </c>
      <c r="H325" s="3" t="s">
        <v>26</v>
      </c>
      <c r="I325" s="43"/>
      <c r="J325" s="55">
        <v>46</v>
      </c>
      <c r="K325" s="4">
        <v>46</v>
      </c>
      <c r="L325" s="22">
        <f>IF(ISNUMBER(Table2[[#This Row],[estHD]]),ABS(Table2[[#This Row],[HD]]-Table2[[#This Row],[estHD]]),"NA")</f>
        <v>0</v>
      </c>
      <c r="M325" s="4" t="b">
        <f>Table2[[#This Row],[HD]]=Table2[[#This Row],[estHD]]</f>
        <v>1</v>
      </c>
      <c r="N325" s="4" t="str">
        <f>IF(ISNUMBER([1]!Table2[[#This Row],[hatch_date]]), [1]!Table2[[#This Row],[hatch_date]]-16, "NA")</f>
        <v>NA</v>
      </c>
      <c r="O325" s="31">
        <v>30</v>
      </c>
      <c r="P325" s="23">
        <f>IF(ISNUMBER(Table2[[#This Row],[nest_age1]]),ABS(Table2[[#This Row],[nest_age1]]-Table2[[#This Row],[nest_age_feb]]),"NA")</f>
        <v>1</v>
      </c>
      <c r="Q325" s="24">
        <f>IF(ISNUMBER(Table2[[#This Row],[final_obs_int2]]),ABS(Table2[[#This Row],[final_obs_int2]]-Table2[[#This Row],[final_obs_int_feb]]), "NA")</f>
        <v>0</v>
      </c>
      <c r="R325" s="24"/>
      <c r="S325" s="57" t="s">
        <v>88</v>
      </c>
      <c r="T325" s="57" t="str">
        <f>Table2[[#This Row],[camera_old]]</f>
        <v>N</v>
      </c>
      <c r="U325" s="24"/>
      <c r="V325" s="16" t="s">
        <v>24</v>
      </c>
      <c r="W325" s="16">
        <v>12</v>
      </c>
      <c r="X325" s="145">
        <v>4</v>
      </c>
      <c r="Y325" s="147" t="s">
        <v>31</v>
      </c>
      <c r="Z325" s="146" t="s">
        <v>31</v>
      </c>
      <c r="AA325" s="4" t="str">
        <f>Table2[[#This Row],[field_fate]]</f>
        <v>D</v>
      </c>
      <c r="AB325" s="4" t="str">
        <f>Table2[[#This Row],[field_fate2]]</f>
        <v>D</v>
      </c>
      <c r="AC325" s="4" t="str">
        <f>Table2[[#This Row],[field_fate3]]</f>
        <v>D</v>
      </c>
      <c r="AD325" s="4" t="str">
        <f>Table2[[#This Row],[field_fate4]]</f>
        <v>D</v>
      </c>
      <c r="AE325" s="4" t="str">
        <f>Table2[[#This Row],[field_fate5]]</f>
        <v>D</v>
      </c>
      <c r="AF325" s="4" t="str">
        <f>Table2[[#This Row],[field_fate5]]</f>
        <v>D</v>
      </c>
      <c r="AG325" s="4" t="str">
        <f>Table2[[#This Row],[field_fate5]]</f>
        <v>D</v>
      </c>
      <c r="AH325" s="4" t="str">
        <f>Table2[[#This Row],[field_fate2]]</f>
        <v>D</v>
      </c>
      <c r="AI325" s="4" t="str">
        <f>Table2[[#This Row],[field_fate8]]</f>
        <v>D</v>
      </c>
      <c r="AJ325" s="4" t="str">
        <f>Table2[[#This Row],[field_fate10]]</f>
        <v>D</v>
      </c>
      <c r="AK325" s="4" t="b">
        <f>Table2[[#This Row],[field_fate_feb]]=Table2[[#This Row],[field_fate10]]</f>
        <v>1</v>
      </c>
      <c r="AL325" s="43" t="s">
        <v>24</v>
      </c>
      <c r="AM325" s="43" t="b">
        <f>Table2[[#This Row],[cam_fate2]]="NA"</f>
        <v>1</v>
      </c>
      <c r="AN325" s="19" t="str">
        <f>Table2[[#This Row],[cam_fate1]]</f>
        <v>NA</v>
      </c>
      <c r="AO325" s="2" t="s">
        <v>31</v>
      </c>
      <c r="AP325" s="5" t="str">
        <f>Table2[[#This Row],[final_fate1]]</f>
        <v>D</v>
      </c>
      <c r="AQ325" s="6">
        <v>13</v>
      </c>
      <c r="AR325" s="7">
        <v>13</v>
      </c>
      <c r="AS325" s="7">
        <f>Table2[[#This Row],[final_obs_date]]-Table2[[#This Row],[init_date]]</f>
        <v>13</v>
      </c>
      <c r="AT325" s="7">
        <f>(Table2[[#This Row],[final_obs_date2]]-Table2[[#This Row],[estHD]])+16</f>
        <v>13</v>
      </c>
      <c r="AU325" s="38">
        <v>4</v>
      </c>
      <c r="AV325" s="33">
        <v>4</v>
      </c>
      <c r="AW325" s="33">
        <f>Table2[[#This Row],[final_obs_date2]]-Table2[[#This Row],[pen_obs_date]]</f>
        <v>43</v>
      </c>
      <c r="AX325" s="67">
        <v>43</v>
      </c>
      <c r="AY325" s="6">
        <f>Table2[[#This Row],[final_obs_date]]</f>
        <v>43</v>
      </c>
      <c r="AZ325" s="6"/>
      <c r="BA325" s="91" t="s">
        <v>60</v>
      </c>
      <c r="BB325" s="6" t="b">
        <f>Table2[[#This Row],[final_obs_date]]&lt;(Table2[[#This Row],[estHD]]-2)</f>
        <v>1</v>
      </c>
      <c r="BC325" s="24">
        <f>IF(Table2[[#This Row],[field_fate]]="H",1,0)</f>
        <v>0</v>
      </c>
      <c r="BD325" s="16">
        <f>IF(Table2[[#This Row],[cam_fate2]]="H",1,0)</f>
        <v>0</v>
      </c>
      <c r="BE325" s="6" t="b">
        <f>NOT(Table2[[#This Row],[HF_C]]=Table2[[#This Row],[HF]])</f>
        <v>0</v>
      </c>
      <c r="BF325" s="6" t="b">
        <f>NOT(Table2[[#This Row],[cam_fate2]]=Table2[[#This Row],[field_fate3]])</f>
        <v>1</v>
      </c>
      <c r="BG325" s="6" t="b">
        <f>OR(Table2[[#This Row],[field_fate3]]="U",Table2[[#This Row],[field_fate3]]="U-H")</f>
        <v>0</v>
      </c>
      <c r="BH325" s="8">
        <v>32</v>
      </c>
      <c r="BI325" s="8">
        <v>39</v>
      </c>
      <c r="BJ325" s="14">
        <f>IF(ISTEXT(Table2[[#This Row],[j.cam]]),Table2[[#This Row],[j]],Table2[[#This Row],[j.cam]])</f>
        <v>39</v>
      </c>
      <c r="BK325" s="9">
        <v>43</v>
      </c>
      <c r="BL325" s="15">
        <f>IF(ISTEXT(Table2[[#This Row],[k.cam]]), Table2[[#This Row],[k]], Table2[[#This Row],[k.cam]])</f>
        <v>43</v>
      </c>
      <c r="BM325" s="4" t="s">
        <v>24</v>
      </c>
      <c r="BN325" s="8" t="s">
        <v>24</v>
      </c>
      <c r="BO325" s="4">
        <v>4</v>
      </c>
      <c r="BP325" s="4">
        <f>Table2[[#This Row],[final_obs_date]]-Table2[[#This Row],[i]]</f>
        <v>11</v>
      </c>
      <c r="BQ325" s="4" t="b">
        <f>Table2[[#This Row],[final_obs_date2]]&gt;Table2[[#This Row],[estHD]]+3</f>
        <v>0</v>
      </c>
      <c r="BR325" s="4" t="s">
        <v>66</v>
      </c>
      <c r="BS325" s="4" t="s">
        <v>45</v>
      </c>
      <c r="BT325" s="79" t="s">
        <v>1202</v>
      </c>
      <c r="BU325" s="26" t="s">
        <v>278</v>
      </c>
      <c r="BV325" s="79" t="s">
        <v>1575</v>
      </c>
      <c r="BW325" s="49"/>
      <c r="BX325" s="47"/>
      <c r="BY325" s="36" t="s">
        <v>687</v>
      </c>
    </row>
    <row r="326" spans="1:77" ht="18.5" hidden="1" x14ac:dyDescent="0.35">
      <c r="A326" s="63">
        <v>20230</v>
      </c>
      <c r="B326" s="2" t="s">
        <v>122</v>
      </c>
      <c r="C326" s="45">
        <v>2020</v>
      </c>
      <c r="D326" s="3">
        <v>29.758500000000002</v>
      </c>
      <c r="E326" s="3">
        <v>-93.121480000000005</v>
      </c>
      <c r="F326" s="3" t="s">
        <v>24</v>
      </c>
      <c r="G326" s="3" t="s">
        <v>24</v>
      </c>
      <c r="H326" s="3" t="s">
        <v>26</v>
      </c>
      <c r="I326" s="43"/>
      <c r="J326" s="55">
        <v>35</v>
      </c>
      <c r="K326" s="4">
        <v>35</v>
      </c>
      <c r="L326" s="22">
        <f>IF(ISNUMBER(Table2[[#This Row],[estHD]]),ABS(Table2[[#This Row],[HD]]-Table2[[#This Row],[estHD]]),"NA")</f>
        <v>0</v>
      </c>
      <c r="M326" s="4" t="b">
        <f>Table2[[#This Row],[HD]]=Table2[[#This Row],[estHD]]</f>
        <v>1</v>
      </c>
      <c r="N326" s="4" t="str">
        <f>IF(ISNUMBER([1]!Table2[[#This Row],[hatch_date]]), [1]!Table2[[#This Row],[hatch_date]]-28, "NA")</f>
        <v>NA</v>
      </c>
      <c r="O326" s="31">
        <v>7</v>
      </c>
      <c r="P326" s="23">
        <f>IF(ISNUMBER(Table2[[#This Row],[nest_age1]]),ABS(Table2[[#This Row],[nest_age1]]-Table2[[#This Row],[nest_age_feb]]),"NA")</f>
        <v>1</v>
      </c>
      <c r="Q326" s="24">
        <f>IF(ISNUMBER(Table2[[#This Row],[final_obs_int2]]),ABS(Table2[[#This Row],[final_obs_int2]]-Table2[[#This Row],[final_obs_int_feb]]), "NA")</f>
        <v>0</v>
      </c>
      <c r="R326" s="24"/>
      <c r="S326" s="57" t="s">
        <v>88</v>
      </c>
      <c r="T326" s="57" t="str">
        <f>Table2[[#This Row],[camera_old]]</f>
        <v>N</v>
      </c>
      <c r="U326" s="24"/>
      <c r="V326" s="16" t="s">
        <v>24</v>
      </c>
      <c r="W326" s="16">
        <v>27</v>
      </c>
      <c r="X326" s="145">
        <v>2</v>
      </c>
      <c r="Y326" s="147" t="s">
        <v>37</v>
      </c>
      <c r="Z326" s="146" t="s">
        <v>37</v>
      </c>
      <c r="AA326" s="4" t="str">
        <f>Table2[[#This Row],[field_fate]]</f>
        <v>H</v>
      </c>
      <c r="AB326" s="4" t="str">
        <f>Table2[[#This Row],[field_fate2]]</f>
        <v>H</v>
      </c>
      <c r="AC326" s="4" t="str">
        <f>Table2[[#This Row],[field_fate3]]</f>
        <v>H</v>
      </c>
      <c r="AD326" s="4" t="str">
        <f>Table2[[#This Row],[field_fate4]]</f>
        <v>H</v>
      </c>
      <c r="AE326" s="4" t="str">
        <f>Table2[[#This Row],[field_fate5]]</f>
        <v>H</v>
      </c>
      <c r="AF326" s="4" t="str">
        <f>Table2[[#This Row],[field_fate5]]</f>
        <v>H</v>
      </c>
      <c r="AG326" s="4" t="str">
        <f>Table2[[#This Row],[field_fate5]]</f>
        <v>H</v>
      </c>
      <c r="AH326" s="4" t="str">
        <f>Table2[[#This Row],[field_fate2]]</f>
        <v>H</v>
      </c>
      <c r="AI326" s="4" t="str">
        <f>Table2[[#This Row],[field_fate8]]</f>
        <v>H</v>
      </c>
      <c r="AJ326" s="4" t="str">
        <f>Table2[[#This Row],[field_fate10]]</f>
        <v>H</v>
      </c>
      <c r="AK326" s="4" t="b">
        <f>Table2[[#This Row],[field_fate_feb]]=Table2[[#This Row],[field_fate10]]</f>
        <v>1</v>
      </c>
      <c r="AL326" s="43" t="s">
        <v>24</v>
      </c>
      <c r="AM326" s="43" t="b">
        <f>Table2[[#This Row],[cam_fate2]]="NA"</f>
        <v>1</v>
      </c>
      <c r="AN326" s="19" t="str">
        <f>Table2[[#This Row],[cam_fate1]]</f>
        <v>NA</v>
      </c>
      <c r="AO326" s="2" t="s">
        <v>37</v>
      </c>
      <c r="AP326" s="5" t="str">
        <f>Table2[[#This Row],[final_fate1]]</f>
        <v>H</v>
      </c>
      <c r="AQ326" s="6">
        <v>28</v>
      </c>
      <c r="AR326" s="7">
        <v>28</v>
      </c>
      <c r="AS326" s="7">
        <f>Table2[[#This Row],[final_obs_date]]-Table2[[#This Row],[init_date]]</f>
        <v>28</v>
      </c>
      <c r="AT326" s="7">
        <f>(Table2[[#This Row],[final_obs_date2]]-Table2[[#This Row],[estHD]])+16</f>
        <v>16</v>
      </c>
      <c r="AU326" s="38">
        <v>2</v>
      </c>
      <c r="AV326" s="33">
        <v>2</v>
      </c>
      <c r="AW326" s="33">
        <f>Table2[[#This Row],[final_obs_date2]]-Table2[[#This Row],[pen_obs_date]]</f>
        <v>35</v>
      </c>
      <c r="AX326" s="67">
        <v>35</v>
      </c>
      <c r="AY326" s="6">
        <f>Table2[[#This Row],[final_obs_date]]</f>
        <v>35</v>
      </c>
      <c r="AZ326" s="6"/>
      <c r="BA326" s="91" t="s">
        <v>23</v>
      </c>
      <c r="BB326" s="6" t="b">
        <f>Table2[[#This Row],[final_obs_date]]&lt;(Table2[[#This Row],[estHD]]-2)</f>
        <v>0</v>
      </c>
      <c r="BC326" s="24">
        <f>IF(Table2[[#This Row],[field_fate]]="H",1,0)</f>
        <v>1</v>
      </c>
      <c r="BD326" s="16">
        <f>IF(Table2[[#This Row],[cam_fate2]]="H",1,0)</f>
        <v>0</v>
      </c>
      <c r="BE326" s="6" t="b">
        <f>NOT(Table2[[#This Row],[HF_C]]=Table2[[#This Row],[HF]])</f>
        <v>1</v>
      </c>
      <c r="BF326" s="6" t="b">
        <f>NOT(Table2[[#This Row],[cam_fate2]]=Table2[[#This Row],[field_fate3]])</f>
        <v>1</v>
      </c>
      <c r="BG326" s="6" t="b">
        <f>OR(Table2[[#This Row],[field_fate3]]="U",Table2[[#This Row],[field_fate3]]="U-H")</f>
        <v>0</v>
      </c>
      <c r="BH326" s="8">
        <v>33</v>
      </c>
      <c r="BI326" s="8">
        <v>35</v>
      </c>
      <c r="BJ326" s="14">
        <f>IF(ISTEXT(Table2[[#This Row],[j.cam]]),Table2[[#This Row],[j]],Table2[[#This Row],[j.cam]])</f>
        <v>35</v>
      </c>
      <c r="BK326" s="9">
        <v>35</v>
      </c>
      <c r="BL326" s="15">
        <f>IF(ISTEXT(Table2[[#This Row],[k.cam]]), Table2[[#This Row],[k]], Table2[[#This Row],[k.cam]])</f>
        <v>35</v>
      </c>
      <c r="BM326" s="4" t="s">
        <v>24</v>
      </c>
      <c r="BN326" s="8" t="s">
        <v>24</v>
      </c>
      <c r="BO326" s="4">
        <v>2</v>
      </c>
      <c r="BP326" s="4">
        <f>Table2[[#This Row],[final_obs_date]]-Table2[[#This Row],[i]]</f>
        <v>2</v>
      </c>
      <c r="BQ326" s="4" t="b">
        <f>Table2[[#This Row],[final_obs_date2]]&gt;Table2[[#This Row],[estHD]]+3</f>
        <v>0</v>
      </c>
      <c r="BR326" s="4" t="s">
        <v>27</v>
      </c>
      <c r="BS326" s="4" t="s">
        <v>279</v>
      </c>
      <c r="BT326" s="79" t="s">
        <v>1203</v>
      </c>
      <c r="BU326" s="26" t="s">
        <v>280</v>
      </c>
      <c r="BV326" s="79" t="s">
        <v>1456</v>
      </c>
      <c r="BW326" s="49"/>
      <c r="BX326" s="47"/>
      <c r="BY326" s="36" t="s">
        <v>688</v>
      </c>
    </row>
    <row r="327" spans="1:77" hidden="1" x14ac:dyDescent="0.35">
      <c r="A327" s="63">
        <v>20231</v>
      </c>
      <c r="B327" s="2" t="s">
        <v>35</v>
      </c>
      <c r="C327" s="45">
        <v>2020</v>
      </c>
      <c r="D327" s="3">
        <v>29.76418</v>
      </c>
      <c r="E327" s="3">
        <v>-93.144869999999997</v>
      </c>
      <c r="F327" s="3" t="s">
        <v>24</v>
      </c>
      <c r="G327" s="3" t="s">
        <v>24</v>
      </c>
      <c r="H327" s="3" t="s">
        <v>26</v>
      </c>
      <c r="I327" s="43"/>
      <c r="J327" s="55">
        <v>42</v>
      </c>
      <c r="K327" s="4">
        <v>48</v>
      </c>
      <c r="L327" s="22">
        <f>IF(ISNUMBER(Table2[[#This Row],[estHD]]),ABS(Table2[[#This Row],[HD]]-Table2[[#This Row],[estHD]]),"NA")</f>
        <v>6</v>
      </c>
      <c r="M327" s="4" t="b">
        <f>Table2[[#This Row],[HD]]=Table2[[#This Row],[estHD]]</f>
        <v>0</v>
      </c>
      <c r="N327" s="4" t="str">
        <f>IF(ISNUMBER([1]!Table2[[#This Row],[hatch_date]]), [1]!Table2[[#This Row],[hatch_date]]-16, "NA")</f>
        <v>NA</v>
      </c>
      <c r="O327" s="31">
        <v>32</v>
      </c>
      <c r="P327" s="23">
        <f>IF(ISNUMBER(Table2[[#This Row],[nest_age1]]),ABS(Table2[[#This Row],[nest_age1]]-Table2[[#This Row],[nest_age_feb]]),"NA")</f>
        <v>5</v>
      </c>
      <c r="Q327" s="24">
        <f>IF(ISNUMBER(Table2[[#This Row],[final_obs_int2]]),ABS(Table2[[#This Row],[final_obs_int2]]-Table2[[#This Row],[final_obs_int_feb]]), "NA")</f>
        <v>0</v>
      </c>
      <c r="R327" s="24"/>
      <c r="S327" s="57" t="s">
        <v>88</v>
      </c>
      <c r="T327" s="57" t="str">
        <f>Table2[[#This Row],[camera_old]]</f>
        <v>N</v>
      </c>
      <c r="U327" s="24"/>
      <c r="V327" s="16" t="s">
        <v>24</v>
      </c>
      <c r="W327" s="16">
        <v>21</v>
      </c>
      <c r="X327" s="145">
        <v>1</v>
      </c>
      <c r="Y327" s="147" t="s">
        <v>37</v>
      </c>
      <c r="Z327" s="146" t="s">
        <v>37</v>
      </c>
      <c r="AA327" s="4" t="str">
        <f>Table2[[#This Row],[field_fate]]</f>
        <v>H</v>
      </c>
      <c r="AB327" s="4" t="str">
        <f>Table2[[#This Row],[field_fate2]]</f>
        <v>H</v>
      </c>
      <c r="AC327" s="4" t="str">
        <f>Table2[[#This Row],[field_fate3]]</f>
        <v>H</v>
      </c>
      <c r="AD327" s="4" t="str">
        <f>Table2[[#This Row],[field_fate4]]</f>
        <v>H</v>
      </c>
      <c r="AE327" s="4" t="str">
        <f>Table2[[#This Row],[field_fate5]]</f>
        <v>H</v>
      </c>
      <c r="AF327" s="4" t="str">
        <f>Table2[[#This Row],[field_fate5]]</f>
        <v>H</v>
      </c>
      <c r="AG327" s="4" t="str">
        <f>Table2[[#This Row],[field_fate5]]</f>
        <v>H</v>
      </c>
      <c r="AH327" s="4" t="str">
        <f>Table2[[#This Row],[field_fate2]]</f>
        <v>H</v>
      </c>
      <c r="AI327" s="4" t="str">
        <f>Table2[[#This Row],[field_fate8]]</f>
        <v>H</v>
      </c>
      <c r="AJ327" s="4" t="str">
        <f>Table2[[#This Row],[field_fate10]]</f>
        <v>H</v>
      </c>
      <c r="AK327" s="4" t="b">
        <f>Table2[[#This Row],[field_fate_feb]]=Table2[[#This Row],[field_fate10]]</f>
        <v>1</v>
      </c>
      <c r="AL327" s="43" t="s">
        <v>24</v>
      </c>
      <c r="AM327" s="43" t="b">
        <f>Table2[[#This Row],[cam_fate2]]="NA"</f>
        <v>1</v>
      </c>
      <c r="AN327" s="19" t="str">
        <f>Table2[[#This Row],[cam_fate1]]</f>
        <v>NA</v>
      </c>
      <c r="AO327" s="2" t="s">
        <v>37</v>
      </c>
      <c r="AP327" s="5" t="str">
        <f>Table2[[#This Row],[final_fate1]]</f>
        <v>H</v>
      </c>
      <c r="AQ327" s="6">
        <v>16</v>
      </c>
      <c r="AR327" s="7">
        <v>22</v>
      </c>
      <c r="AS327" s="7">
        <f>Table2[[#This Row],[final_obs_date]]-Table2[[#This Row],[init_date]]</f>
        <v>16</v>
      </c>
      <c r="AT327" s="7">
        <f>(Table2[[#This Row],[final_obs_date2]]-Table2[[#This Row],[estHD]])+16</f>
        <v>22</v>
      </c>
      <c r="AU327" s="38">
        <v>1</v>
      </c>
      <c r="AV327" s="33">
        <v>1</v>
      </c>
      <c r="AW327" s="33">
        <f>Table2[[#This Row],[final_obs_date2]]-Table2[[#This Row],[pen_obs_date]]</f>
        <v>48</v>
      </c>
      <c r="AX327" s="67">
        <v>48</v>
      </c>
      <c r="AY327" s="6">
        <f>Table2[[#This Row],[final_obs_date]]</f>
        <v>48</v>
      </c>
      <c r="AZ327" s="6"/>
      <c r="BA327" s="91" t="s">
        <v>60</v>
      </c>
      <c r="BB327" s="6" t="b">
        <f>Table2[[#This Row],[final_obs_date]]&lt;(Table2[[#This Row],[estHD]]-2)</f>
        <v>0</v>
      </c>
      <c r="BC327" s="24">
        <f>IF(Table2[[#This Row],[field_fate]]="H",1,0)</f>
        <v>1</v>
      </c>
      <c r="BD327" s="16">
        <f>IF(Table2[[#This Row],[cam_fate2]]="H",1,0)</f>
        <v>0</v>
      </c>
      <c r="BE327" s="6" t="b">
        <f>NOT(Table2[[#This Row],[HF_C]]=Table2[[#This Row],[HF]])</f>
        <v>1</v>
      </c>
      <c r="BF327" s="6" t="b">
        <f>NOT(Table2[[#This Row],[cam_fate2]]=Table2[[#This Row],[field_fate3]])</f>
        <v>1</v>
      </c>
      <c r="BG327" s="6" t="b">
        <f>OR(Table2[[#This Row],[field_fate3]]="U",Table2[[#This Row],[field_fate3]]="U-H")</f>
        <v>0</v>
      </c>
      <c r="BH327" s="8">
        <v>33</v>
      </c>
      <c r="BI327" s="80">
        <v>48</v>
      </c>
      <c r="BJ327" s="14">
        <f>IF(ISTEXT(Table2[[#This Row],[j.cam]]),Table2[[#This Row],[j]],Table2[[#This Row],[j.cam]])</f>
        <v>48</v>
      </c>
      <c r="BK327" s="9">
        <v>48</v>
      </c>
      <c r="BL327" s="15">
        <f>IF(ISTEXT(Table2[[#This Row],[k.cam]]), Table2[[#This Row],[k]], Table2[[#This Row],[k.cam]])</f>
        <v>48</v>
      </c>
      <c r="BM327" s="4">
        <v>48</v>
      </c>
      <c r="BN327" s="8" t="s">
        <v>24</v>
      </c>
      <c r="BO327" s="4">
        <v>8</v>
      </c>
      <c r="BP327" s="4">
        <f>Table2[[#This Row],[final_obs_date]]-Table2[[#This Row],[i]]</f>
        <v>15</v>
      </c>
      <c r="BQ327" s="4" t="b">
        <f>Table2[[#This Row],[final_obs_date2]]&gt;Table2[[#This Row],[estHD]]+3</f>
        <v>1</v>
      </c>
      <c r="BR327" s="4" t="s">
        <v>33</v>
      </c>
      <c r="BS327" s="4" t="s">
        <v>58</v>
      </c>
      <c r="BT327" s="79" t="s">
        <v>1204</v>
      </c>
      <c r="BU327" s="26" t="s">
        <v>281</v>
      </c>
      <c r="BV327" s="79" t="s">
        <v>1576</v>
      </c>
      <c r="BW327" s="49"/>
      <c r="BX327" s="47"/>
      <c r="BY327" s="36" t="s">
        <v>689</v>
      </c>
    </row>
    <row r="328" spans="1:77" hidden="1" x14ac:dyDescent="0.35">
      <c r="A328" s="63">
        <v>20232</v>
      </c>
      <c r="B328" s="2" t="s">
        <v>35</v>
      </c>
      <c r="C328" s="45">
        <v>2020</v>
      </c>
      <c r="D328" s="3">
        <v>29.767430000000001</v>
      </c>
      <c r="E328" s="3">
        <v>-93.163240000000002</v>
      </c>
      <c r="F328" s="3" t="s">
        <v>24</v>
      </c>
      <c r="G328" s="3" t="s">
        <v>24</v>
      </c>
      <c r="H328" s="3" t="s">
        <v>26</v>
      </c>
      <c r="I328" s="43"/>
      <c r="J328" s="55">
        <v>42</v>
      </c>
      <c r="K328" s="4">
        <v>42</v>
      </c>
      <c r="L328" s="22">
        <f>IF(ISNUMBER(Table2[[#This Row],[estHD]]),ABS(Table2[[#This Row],[HD]]-Table2[[#This Row],[estHD]]),"NA")</f>
        <v>0</v>
      </c>
      <c r="M328" s="4" t="b">
        <f>Table2[[#This Row],[HD]]=Table2[[#This Row],[estHD]]</f>
        <v>1</v>
      </c>
      <c r="N328" s="4" t="str">
        <f>IF(ISNUMBER([1]!Table2[[#This Row],[hatch_date]]), [1]!Table2[[#This Row],[hatch_date]]-28, "NA")</f>
        <v>NA</v>
      </c>
      <c r="O328" s="31">
        <v>14</v>
      </c>
      <c r="P328" s="23">
        <f>IF(ISNUMBER(Table2[[#This Row],[nest_age1]]),ABS(Table2[[#This Row],[nest_age1]]-Table2[[#This Row],[nest_age_feb]]),"NA")</f>
        <v>1</v>
      </c>
      <c r="Q328" s="24">
        <f>IF(ISNUMBER(Table2[[#This Row],[final_obs_int2]]),ABS(Table2[[#This Row],[final_obs_int2]]-Table2[[#This Row],[final_obs_int_feb]]), "NA")</f>
        <v>0</v>
      </c>
      <c r="R328" s="24"/>
      <c r="S328" s="57" t="s">
        <v>88</v>
      </c>
      <c r="T328" s="57" t="str">
        <f>Table2[[#This Row],[camera_old]]</f>
        <v>N</v>
      </c>
      <c r="U328" s="24"/>
      <c r="V328" s="16" t="s">
        <v>24</v>
      </c>
      <c r="W328" s="16">
        <v>25</v>
      </c>
      <c r="X328" s="145">
        <v>2</v>
      </c>
      <c r="Y328" s="147" t="s">
        <v>65</v>
      </c>
      <c r="Z328" s="146" t="s">
        <v>65</v>
      </c>
      <c r="AA328" s="4" t="str">
        <f>Table2[[#This Row],[field_fate]]</f>
        <v>Ca</v>
      </c>
      <c r="AB328" s="4" t="str">
        <f>Table2[[#This Row],[field_fate2]]</f>
        <v>Ca</v>
      </c>
      <c r="AC328" s="4" t="str">
        <f>Table2[[#This Row],[field_fate3]]</f>
        <v>Ca</v>
      </c>
      <c r="AD328" s="4" t="str">
        <f>Table2[[#This Row],[field_fate4]]</f>
        <v>Ca</v>
      </c>
      <c r="AE328" s="4" t="str">
        <f>Table2[[#This Row],[field_fate5]]</f>
        <v>Ca</v>
      </c>
      <c r="AF328" s="4" t="str">
        <f>Table2[[#This Row],[field_fate5]]</f>
        <v>Ca</v>
      </c>
      <c r="AG328" s="4" t="str">
        <f>Table2[[#This Row],[field_fate5]]</f>
        <v>Ca</v>
      </c>
      <c r="AH328" s="4" t="str">
        <f>Table2[[#This Row],[field_fate2]]</f>
        <v>Ca</v>
      </c>
      <c r="AI328" s="4" t="str">
        <f>Table2[[#This Row],[field_fate8]]</f>
        <v>Ca</v>
      </c>
      <c r="AJ328" s="4" t="str">
        <f>Table2[[#This Row],[field_fate10]]</f>
        <v>Ca</v>
      </c>
      <c r="AK328" s="4" t="b">
        <f>Table2[[#This Row],[field_fate_feb]]=Table2[[#This Row],[field_fate10]]</f>
        <v>1</v>
      </c>
      <c r="AL328" s="43" t="s">
        <v>24</v>
      </c>
      <c r="AM328" s="43" t="b">
        <f>Table2[[#This Row],[cam_fate2]]="NA"</f>
        <v>1</v>
      </c>
      <c r="AN328" s="19" t="str">
        <f>Table2[[#This Row],[cam_fate1]]</f>
        <v>NA</v>
      </c>
      <c r="AO328" s="2" t="s">
        <v>65</v>
      </c>
      <c r="AP328" s="5" t="str">
        <f>Table2[[#This Row],[final_fate1]]</f>
        <v>Ca</v>
      </c>
      <c r="AQ328" s="6">
        <v>26</v>
      </c>
      <c r="AR328" s="7">
        <v>26</v>
      </c>
      <c r="AS328" s="7">
        <f>Table2[[#This Row],[final_obs_date]]-Table2[[#This Row],[init_date]]</f>
        <v>26</v>
      </c>
      <c r="AT328" s="7">
        <f>(Table2[[#This Row],[final_obs_date2]]-Table2[[#This Row],[estHD]])+16</f>
        <v>14</v>
      </c>
      <c r="AU328" s="38">
        <v>2</v>
      </c>
      <c r="AV328" s="33">
        <v>2</v>
      </c>
      <c r="AW328" s="33">
        <f>Table2[[#This Row],[final_obs_date2]]-Table2[[#This Row],[pen_obs_date]]</f>
        <v>40</v>
      </c>
      <c r="AX328" s="67">
        <v>40</v>
      </c>
      <c r="AY328" s="6">
        <f>Table2[[#This Row],[final_obs_date]]</f>
        <v>40</v>
      </c>
      <c r="AZ328" s="6"/>
      <c r="BA328" s="91" t="s">
        <v>23</v>
      </c>
      <c r="BB328" s="6" t="b">
        <f>Table2[[#This Row],[final_obs_date]]&lt;(Table2[[#This Row],[estHD]]-2)</f>
        <v>0</v>
      </c>
      <c r="BC328" s="24">
        <f>IF(Table2[[#This Row],[field_fate]]="H",1,0)</f>
        <v>0</v>
      </c>
      <c r="BD328" s="16">
        <f>IF(Table2[[#This Row],[cam_fate2]]="H",1,0)</f>
        <v>0</v>
      </c>
      <c r="BE328" s="6" t="b">
        <f>NOT(Table2[[#This Row],[HF_C]]=Table2[[#This Row],[HF]])</f>
        <v>0</v>
      </c>
      <c r="BF328" s="6" t="b">
        <f>NOT(Table2[[#This Row],[cam_fate2]]=Table2[[#This Row],[field_fate3]])</f>
        <v>1</v>
      </c>
      <c r="BG328" s="6" t="b">
        <f>OR(Table2[[#This Row],[field_fate3]]="U",Table2[[#This Row],[field_fate3]]="U-H")</f>
        <v>0</v>
      </c>
      <c r="BH328" s="8">
        <v>35</v>
      </c>
      <c r="BI328" s="8">
        <v>38</v>
      </c>
      <c r="BJ328" s="14">
        <f>IF(ISTEXT(Table2[[#This Row],[j.cam]]),Table2[[#This Row],[j]],Table2[[#This Row],[j.cam]])</f>
        <v>38</v>
      </c>
      <c r="BK328" s="9">
        <v>40</v>
      </c>
      <c r="BL328" s="15">
        <f>IF(ISTEXT(Table2[[#This Row],[k.cam]]), Table2[[#This Row],[k]], Table2[[#This Row],[k.cam]])</f>
        <v>40</v>
      </c>
      <c r="BM328" s="4" t="s">
        <v>24</v>
      </c>
      <c r="BN328" s="8" t="s">
        <v>24</v>
      </c>
      <c r="BO328" s="4">
        <v>3</v>
      </c>
      <c r="BP328" s="4">
        <f>Table2[[#This Row],[final_obs_date]]-Table2[[#This Row],[i]]</f>
        <v>5</v>
      </c>
      <c r="BQ328" s="4" t="b">
        <f>Table2[[#This Row],[final_obs_date2]]&gt;Table2[[#This Row],[estHD]]+3</f>
        <v>0</v>
      </c>
      <c r="BR328" s="4" t="s">
        <v>58</v>
      </c>
      <c r="BS328" s="4" t="s">
        <v>45</v>
      </c>
      <c r="BT328" s="79" t="s">
        <v>1205</v>
      </c>
      <c r="BU328" s="26" t="s">
        <v>133</v>
      </c>
      <c r="BV328" s="79" t="s">
        <v>1521</v>
      </c>
      <c r="BW328" s="49"/>
      <c r="BX328" s="47"/>
      <c r="BY328" s="36" t="s">
        <v>690</v>
      </c>
    </row>
    <row r="329" spans="1:77" hidden="1" x14ac:dyDescent="0.35">
      <c r="A329" s="63">
        <v>20233</v>
      </c>
      <c r="B329" s="2" t="s">
        <v>35</v>
      </c>
      <c r="C329" s="45">
        <v>2020</v>
      </c>
      <c r="D329" s="3">
        <v>29.765429999999999</v>
      </c>
      <c r="E329" s="3">
        <v>-93.153919999999999</v>
      </c>
      <c r="F329" s="3" t="s">
        <v>24</v>
      </c>
      <c r="G329" s="3" t="s">
        <v>24</v>
      </c>
      <c r="H329" s="3" t="s">
        <v>26</v>
      </c>
      <c r="I329" s="43"/>
      <c r="J329" s="55">
        <v>53</v>
      </c>
      <c r="K329" s="4">
        <v>53</v>
      </c>
      <c r="L329" s="22">
        <f>IF(ISNUMBER(Table2[[#This Row],[estHD]]),ABS(Table2[[#This Row],[HD]]-Table2[[#This Row],[estHD]]),"NA")</f>
        <v>0</v>
      </c>
      <c r="M329" s="4" t="b">
        <f>Table2[[#This Row],[HD]]=Table2[[#This Row],[estHD]]</f>
        <v>1</v>
      </c>
      <c r="N329" s="4" t="str">
        <f>IF(ISNUMBER([1]!Table2[[#This Row],[hatch_date]]),[1]!Table2[[#This Row],[hatch_date]]-19,"NA")</f>
        <v>NA</v>
      </c>
      <c r="O329" s="31">
        <v>34</v>
      </c>
      <c r="P329" s="23">
        <f>IF(ISNUMBER(Table2[[#This Row],[nest_age1]]),ABS(Table2[[#This Row],[nest_age1]]-Table2[[#This Row],[nest_age_feb]]),"NA")</f>
        <v>1</v>
      </c>
      <c r="Q329" s="24">
        <f>IF(ISNUMBER(Table2[[#This Row],[final_obs_int2]]),ABS(Table2[[#This Row],[final_obs_int2]]-Table2[[#This Row],[final_obs_int_feb]]), "NA")</f>
        <v>0</v>
      </c>
      <c r="R329" s="24"/>
      <c r="S329" s="57" t="s">
        <v>88</v>
      </c>
      <c r="T329" s="57" t="str">
        <f>Table2[[#This Row],[camera_old]]</f>
        <v>N</v>
      </c>
      <c r="U329" s="24"/>
      <c r="V329" s="16" t="s">
        <v>24</v>
      </c>
      <c r="W329" s="16">
        <v>10</v>
      </c>
      <c r="X329" s="145">
        <v>2</v>
      </c>
      <c r="Y329" s="147" t="s">
        <v>48</v>
      </c>
      <c r="Z329" s="146" t="s">
        <v>48</v>
      </c>
      <c r="AA329" s="4" t="str">
        <f>Table2[[#This Row],[field_fate]]</f>
        <v>F</v>
      </c>
      <c r="AB329" s="4" t="str">
        <f>Table2[[#This Row],[field_fate2]]</f>
        <v>F</v>
      </c>
      <c r="AC329" s="4" t="str">
        <f>Table2[[#This Row],[field_fate3]]</f>
        <v>F</v>
      </c>
      <c r="AD329" s="4" t="str">
        <f>Table2[[#This Row],[field_fate4]]</f>
        <v>F</v>
      </c>
      <c r="AE329" s="4" t="str">
        <f>Table2[[#This Row],[field_fate5]]</f>
        <v>F</v>
      </c>
      <c r="AF329" s="4" t="str">
        <f>Table2[[#This Row],[field_fate5]]</f>
        <v>F</v>
      </c>
      <c r="AG329" s="4" t="str">
        <f>Table2[[#This Row],[field_fate5]]</f>
        <v>F</v>
      </c>
      <c r="AH329" s="4" t="str">
        <f>Table2[[#This Row],[field_fate2]]</f>
        <v>F</v>
      </c>
      <c r="AI329" s="4" t="str">
        <f>Table2[[#This Row],[field_fate8]]</f>
        <v>F</v>
      </c>
      <c r="AJ329" s="4" t="str">
        <f>Table2[[#This Row],[field_fate10]]</f>
        <v>F</v>
      </c>
      <c r="AK329" s="4" t="b">
        <f>Table2[[#This Row],[field_fate_feb]]=Table2[[#This Row],[field_fate10]]</f>
        <v>1</v>
      </c>
      <c r="AL329" s="43" t="s">
        <v>24</v>
      </c>
      <c r="AM329" s="43" t="b">
        <f>Table2[[#This Row],[cam_fate2]]="NA"</f>
        <v>1</v>
      </c>
      <c r="AN329" s="19" t="str">
        <f>Table2[[#This Row],[cam_fate1]]</f>
        <v>NA</v>
      </c>
      <c r="AO329" s="2" t="s">
        <v>48</v>
      </c>
      <c r="AP329" s="5" t="str">
        <f>Table2[[#This Row],[final_fate1]]</f>
        <v>F</v>
      </c>
      <c r="AQ329" s="6">
        <v>11</v>
      </c>
      <c r="AR329" s="7">
        <v>11</v>
      </c>
      <c r="AS329" s="7">
        <f>Table2[[#This Row],[final_obs_date]]-Table2[[#This Row],[init_date]]</f>
        <v>11</v>
      </c>
      <c r="AT329" s="7">
        <f>(Table2[[#This Row],[final_obs_date2]]-Table2[[#This Row],[estHD]])+16</f>
        <v>8</v>
      </c>
      <c r="AU329" s="38">
        <v>2</v>
      </c>
      <c r="AV329" s="33">
        <v>2</v>
      </c>
      <c r="AW329" s="33">
        <f>Table2[[#This Row],[final_obs_date2]]-Table2[[#This Row],[pen_obs_date]]</f>
        <v>45</v>
      </c>
      <c r="AX329" s="67">
        <v>45</v>
      </c>
      <c r="AY329" s="6">
        <f>Table2[[#This Row],[final_obs_date]]</f>
        <v>45</v>
      </c>
      <c r="AZ329" s="6"/>
      <c r="BA329" s="91" t="s">
        <v>47</v>
      </c>
      <c r="BB329" s="6" t="b">
        <f>Table2[[#This Row],[final_obs_date]]&lt;(Table2[[#This Row],[estHD]]-2)</f>
        <v>1</v>
      </c>
      <c r="BC329" s="24">
        <f>IF(Table2[[#This Row],[field_fate]]="H",1,0)</f>
        <v>0</v>
      </c>
      <c r="BD329" s="16">
        <f>IF(Table2[[#This Row],[cam_fate2]]="H",1,0)</f>
        <v>0</v>
      </c>
      <c r="BE329" s="6" t="b">
        <f>NOT(Table2[[#This Row],[HF_C]]=Table2[[#This Row],[HF]])</f>
        <v>0</v>
      </c>
      <c r="BF329" s="6" t="b">
        <f>NOT(Table2[[#This Row],[cam_fate2]]=Table2[[#This Row],[field_fate3]])</f>
        <v>1</v>
      </c>
      <c r="BG329" s="6" t="b">
        <f>OR(Table2[[#This Row],[field_fate3]]="U",Table2[[#This Row],[field_fate3]]="U-H")</f>
        <v>0</v>
      </c>
      <c r="BH329" s="8">
        <v>38</v>
      </c>
      <c r="BI329" s="8">
        <v>43</v>
      </c>
      <c r="BJ329" s="14">
        <f>IF(ISTEXT(Table2[[#This Row],[j.cam]]),Table2[[#This Row],[j]],Table2[[#This Row],[j.cam]])</f>
        <v>43</v>
      </c>
      <c r="BK329" s="9">
        <v>45</v>
      </c>
      <c r="BL329" s="15">
        <f>IF(ISTEXT(Table2[[#This Row],[k.cam]]), Table2[[#This Row],[k]], Table2[[#This Row],[k.cam]])</f>
        <v>45</v>
      </c>
      <c r="BM329" s="4" t="s">
        <v>24</v>
      </c>
      <c r="BN329" s="8" t="s">
        <v>24</v>
      </c>
      <c r="BO329" s="4">
        <v>4</v>
      </c>
      <c r="BP329" s="4">
        <f>Table2[[#This Row],[final_obs_date]]-Table2[[#This Row],[i]]</f>
        <v>7</v>
      </c>
      <c r="BQ329" s="4" t="b">
        <f>Table2[[#This Row],[final_obs_date2]]&gt;Table2[[#This Row],[estHD]]+3</f>
        <v>0</v>
      </c>
      <c r="BR329" s="4" t="s">
        <v>33</v>
      </c>
      <c r="BS329" s="4" t="s">
        <v>28</v>
      </c>
      <c r="BT329" s="79" t="s">
        <v>1206</v>
      </c>
      <c r="BU329" s="26" t="s">
        <v>251</v>
      </c>
      <c r="BV329" s="79" t="s">
        <v>1546</v>
      </c>
      <c r="BW329" s="49"/>
      <c r="BX329" s="47"/>
      <c r="BY329" s="36" t="s">
        <v>24</v>
      </c>
    </row>
    <row r="330" spans="1:77" hidden="1" x14ac:dyDescent="0.35">
      <c r="A330" s="63">
        <v>20234</v>
      </c>
      <c r="B330" s="2" t="s">
        <v>35</v>
      </c>
      <c r="C330" s="45">
        <v>2020</v>
      </c>
      <c r="D330" s="3">
        <v>29.765429999999999</v>
      </c>
      <c r="E330" s="3">
        <v>-93.153980000000004</v>
      </c>
      <c r="F330" s="3" t="s">
        <v>24</v>
      </c>
      <c r="G330" s="3" t="s">
        <v>24</v>
      </c>
      <c r="H330" s="3" t="s">
        <v>26</v>
      </c>
      <c r="I330" s="43"/>
      <c r="J330" s="55">
        <v>53</v>
      </c>
      <c r="K330" s="4">
        <v>53</v>
      </c>
      <c r="L330" s="22">
        <f>IF(ISNUMBER(Table2[[#This Row],[estHD]]),ABS(Table2[[#This Row],[HD]]-Table2[[#This Row],[estHD]]),"NA")</f>
        <v>0</v>
      </c>
      <c r="M330" s="4" t="b">
        <f>Table2[[#This Row],[HD]]=Table2[[#This Row],[estHD]]</f>
        <v>1</v>
      </c>
      <c r="N330" s="4" t="str">
        <f>IF(ISNUMBER([1]!Table2[[#This Row],[hatch_date]]),[1]!Table2[[#This Row],[hatch_date]]-19,"NA")</f>
        <v>NA</v>
      </c>
      <c r="O330" s="31">
        <v>34</v>
      </c>
      <c r="P330" s="23">
        <f>IF(ISNUMBER(Table2[[#This Row],[nest_age1]]),ABS(Table2[[#This Row],[nest_age1]]-Table2[[#This Row],[nest_age_feb]]),"NA")</f>
        <v>1</v>
      </c>
      <c r="Q330" s="24">
        <f>IF(ISNUMBER(Table2[[#This Row],[final_obs_int2]]),ABS(Table2[[#This Row],[final_obs_int2]]-Table2[[#This Row],[final_obs_int_feb]]), "NA")</f>
        <v>0</v>
      </c>
      <c r="R330" s="24"/>
      <c r="S330" s="57" t="s">
        <v>88</v>
      </c>
      <c r="T330" s="57" t="str">
        <f>Table2[[#This Row],[camera_old]]</f>
        <v>N</v>
      </c>
      <c r="U330" s="24"/>
      <c r="V330" s="16" t="s">
        <v>24</v>
      </c>
      <c r="W330" s="16">
        <v>12</v>
      </c>
      <c r="X330" s="145">
        <v>2</v>
      </c>
      <c r="Y330" s="147" t="s">
        <v>149</v>
      </c>
      <c r="Z330" s="146" t="s">
        <v>149</v>
      </c>
      <c r="AA330" s="4" t="str">
        <f>Table2[[#This Row],[field_fate]]</f>
        <v>W</v>
      </c>
      <c r="AB330" s="4" t="str">
        <f>Table2[[#This Row],[field_fate2]]</f>
        <v>W</v>
      </c>
      <c r="AC330" s="4" t="str">
        <f>Table2[[#This Row],[field_fate3]]</f>
        <v>W</v>
      </c>
      <c r="AD330" s="4" t="str">
        <f>Table2[[#This Row],[field_fate4]]</f>
        <v>W</v>
      </c>
      <c r="AE330" s="4" t="str">
        <f>Table2[[#This Row],[field_fate5]]</f>
        <v>W</v>
      </c>
      <c r="AF330" s="4" t="str">
        <f>Table2[[#This Row],[field_fate5]]</f>
        <v>W</v>
      </c>
      <c r="AG330" s="4" t="str">
        <f>Table2[[#This Row],[field_fate5]]</f>
        <v>W</v>
      </c>
      <c r="AH330" s="4" t="str">
        <f>Table2[[#This Row],[field_fate2]]</f>
        <v>W</v>
      </c>
      <c r="AI330" s="4" t="str">
        <f>Table2[[#This Row],[field_fate8]]</f>
        <v>W</v>
      </c>
      <c r="AJ330" s="4" t="str">
        <f>Table2[[#This Row],[field_fate10]]</f>
        <v>W</v>
      </c>
      <c r="AK330" s="4" t="b">
        <f>Table2[[#This Row],[field_fate_feb]]=Table2[[#This Row],[field_fate10]]</f>
        <v>1</v>
      </c>
      <c r="AL330" s="43" t="s">
        <v>24</v>
      </c>
      <c r="AM330" s="43" t="b">
        <f>Table2[[#This Row],[cam_fate2]]="NA"</f>
        <v>1</v>
      </c>
      <c r="AN330" s="19" t="str">
        <f>Table2[[#This Row],[cam_fate1]]</f>
        <v>NA</v>
      </c>
      <c r="AO330" s="2" t="s">
        <v>149</v>
      </c>
      <c r="AP330" s="5" t="str">
        <f>Table2[[#This Row],[final_fate1]]</f>
        <v>W</v>
      </c>
      <c r="AQ330" s="6">
        <v>13</v>
      </c>
      <c r="AR330" s="7">
        <v>13</v>
      </c>
      <c r="AS330" s="7">
        <f>Table2[[#This Row],[final_obs_date]]-Table2[[#This Row],[init_date]]</f>
        <v>13</v>
      </c>
      <c r="AT330" s="7">
        <f>(Table2[[#This Row],[final_obs_date2]]-Table2[[#This Row],[estHD]])+16</f>
        <v>10</v>
      </c>
      <c r="AU330" s="38">
        <v>2</v>
      </c>
      <c r="AV330" s="33">
        <v>2</v>
      </c>
      <c r="AW330" s="33">
        <f>Table2[[#This Row],[final_obs_date2]]-Table2[[#This Row],[pen_obs_date]]</f>
        <v>47</v>
      </c>
      <c r="AX330" s="67">
        <v>47</v>
      </c>
      <c r="AY330" s="6">
        <f>Table2[[#This Row],[final_obs_date]]</f>
        <v>47</v>
      </c>
      <c r="AZ330" s="6"/>
      <c r="BA330" s="91" t="s">
        <v>47</v>
      </c>
      <c r="BB330" s="6" t="b">
        <f>Table2[[#This Row],[final_obs_date]]&lt;(Table2[[#This Row],[estHD]]-2)</f>
        <v>1</v>
      </c>
      <c r="BC330" s="24">
        <f>IF(Table2[[#This Row],[field_fate]]="H",1,0)</f>
        <v>0</v>
      </c>
      <c r="BD330" s="16">
        <f>IF(Table2[[#This Row],[cam_fate2]]="H",1,0)</f>
        <v>0</v>
      </c>
      <c r="BE330" s="6" t="b">
        <f>NOT(Table2[[#This Row],[HF_C]]=Table2[[#This Row],[HF]])</f>
        <v>0</v>
      </c>
      <c r="BF330" s="6" t="b">
        <f>NOT(Table2[[#This Row],[cam_fate2]]=Table2[[#This Row],[field_fate3]])</f>
        <v>1</v>
      </c>
      <c r="BG330" s="6" t="b">
        <f>OR(Table2[[#This Row],[field_fate3]]="U",Table2[[#This Row],[field_fate3]]="U-H")</f>
        <v>0</v>
      </c>
      <c r="BH330" s="8">
        <v>38</v>
      </c>
      <c r="BI330" s="8">
        <v>45</v>
      </c>
      <c r="BJ330" s="14">
        <f>IF(ISTEXT(Table2[[#This Row],[j.cam]]),Table2[[#This Row],[j]],Table2[[#This Row],[j.cam]])</f>
        <v>45</v>
      </c>
      <c r="BK330" s="9">
        <v>47</v>
      </c>
      <c r="BL330" s="15">
        <f>IF(ISTEXT(Table2[[#This Row],[k.cam]]), Table2[[#This Row],[k]], Table2[[#This Row],[k.cam]])</f>
        <v>47</v>
      </c>
      <c r="BM330" s="4" t="s">
        <v>24</v>
      </c>
      <c r="BN330" s="8" t="s">
        <v>24</v>
      </c>
      <c r="BO330" s="4">
        <v>5</v>
      </c>
      <c r="BP330" s="4">
        <f>Table2[[#This Row],[final_obs_date]]-Table2[[#This Row],[i]]</f>
        <v>9</v>
      </c>
      <c r="BQ330" s="4" t="b">
        <f>Table2[[#This Row],[final_obs_date2]]&gt;Table2[[#This Row],[estHD]]+3</f>
        <v>0</v>
      </c>
      <c r="BR330" s="4" t="s">
        <v>33</v>
      </c>
      <c r="BS330" s="4" t="s">
        <v>45</v>
      </c>
      <c r="BT330" s="79" t="s">
        <v>1207</v>
      </c>
      <c r="BU330" s="26" t="s">
        <v>105</v>
      </c>
      <c r="BV330" s="79" t="s">
        <v>1577</v>
      </c>
      <c r="BW330" s="49"/>
      <c r="BX330" s="47"/>
      <c r="BY330" s="36" t="s">
        <v>24</v>
      </c>
    </row>
    <row r="331" spans="1:77" hidden="1" x14ac:dyDescent="0.35">
      <c r="A331" s="63">
        <v>20235</v>
      </c>
      <c r="B331" s="2" t="s">
        <v>35</v>
      </c>
      <c r="C331" s="45">
        <v>2020</v>
      </c>
      <c r="D331" s="3">
        <v>29.765429999999999</v>
      </c>
      <c r="E331" s="3">
        <v>-93.154020000000003</v>
      </c>
      <c r="F331" s="3" t="s">
        <v>24</v>
      </c>
      <c r="G331" s="3" t="s">
        <v>24</v>
      </c>
      <c r="H331" s="3" t="s">
        <v>26</v>
      </c>
      <c r="I331" s="43"/>
      <c r="J331" s="55">
        <v>53</v>
      </c>
      <c r="K331" s="4">
        <v>53</v>
      </c>
      <c r="L331" s="22">
        <f>IF(ISNUMBER(Table2[[#This Row],[estHD]]),ABS(Table2[[#This Row],[HD]]-Table2[[#This Row],[estHD]]),"NA")</f>
        <v>0</v>
      </c>
      <c r="M331" s="4" t="b">
        <f>Table2[[#This Row],[HD]]=Table2[[#This Row],[estHD]]</f>
        <v>1</v>
      </c>
      <c r="N331" s="4" t="str">
        <f>IF(ISNUMBER([1]!Table2[[#This Row],[hatch_date]]),[1]!Table2[[#This Row],[hatch_date]]-19,"NA")</f>
        <v>NA</v>
      </c>
      <c r="O331" s="31">
        <v>34</v>
      </c>
      <c r="P331" s="23">
        <f>IF(ISNUMBER(Table2[[#This Row],[nest_age1]]),ABS(Table2[[#This Row],[nest_age1]]-Table2[[#This Row],[nest_age_feb]]),"NA")</f>
        <v>1</v>
      </c>
      <c r="Q331" s="24">
        <f>IF(ISNUMBER(Table2[[#This Row],[final_obs_int2]]),ABS(Table2[[#This Row],[final_obs_int2]]-Table2[[#This Row],[final_obs_int_feb]]), "NA")</f>
        <v>0</v>
      </c>
      <c r="R331" s="24"/>
      <c r="S331" s="57" t="s">
        <v>88</v>
      </c>
      <c r="T331" s="57" t="str">
        <f>Table2[[#This Row],[camera_old]]</f>
        <v>N</v>
      </c>
      <c r="U331" s="24"/>
      <c r="V331" s="16" t="s">
        <v>24</v>
      </c>
      <c r="W331" s="16">
        <v>12</v>
      </c>
      <c r="X331" s="145">
        <v>2</v>
      </c>
      <c r="Y331" s="147" t="s">
        <v>149</v>
      </c>
      <c r="Z331" s="146" t="s">
        <v>149</v>
      </c>
      <c r="AA331" s="4" t="str">
        <f>Table2[[#This Row],[field_fate]]</f>
        <v>W</v>
      </c>
      <c r="AB331" s="4" t="str">
        <f>Table2[[#This Row],[field_fate2]]</f>
        <v>W</v>
      </c>
      <c r="AC331" s="4" t="str">
        <f>Table2[[#This Row],[field_fate3]]</f>
        <v>W</v>
      </c>
      <c r="AD331" s="4" t="str">
        <f>Table2[[#This Row],[field_fate4]]</f>
        <v>W</v>
      </c>
      <c r="AE331" s="4" t="str">
        <f>Table2[[#This Row],[field_fate5]]</f>
        <v>W</v>
      </c>
      <c r="AF331" s="4" t="str">
        <f>Table2[[#This Row],[field_fate5]]</f>
        <v>W</v>
      </c>
      <c r="AG331" s="4" t="str">
        <f>Table2[[#This Row],[field_fate5]]</f>
        <v>W</v>
      </c>
      <c r="AH331" s="4" t="str">
        <f>Table2[[#This Row],[field_fate2]]</f>
        <v>W</v>
      </c>
      <c r="AI331" s="4" t="str">
        <f>Table2[[#This Row],[field_fate8]]</f>
        <v>W</v>
      </c>
      <c r="AJ331" s="4" t="str">
        <f>Table2[[#This Row],[field_fate10]]</f>
        <v>W</v>
      </c>
      <c r="AK331" s="4" t="b">
        <f>Table2[[#This Row],[field_fate_feb]]=Table2[[#This Row],[field_fate10]]</f>
        <v>1</v>
      </c>
      <c r="AL331" s="43" t="s">
        <v>24</v>
      </c>
      <c r="AM331" s="43" t="b">
        <f>Table2[[#This Row],[cam_fate2]]="NA"</f>
        <v>1</v>
      </c>
      <c r="AN331" s="19" t="str">
        <f>Table2[[#This Row],[cam_fate1]]</f>
        <v>NA</v>
      </c>
      <c r="AO331" s="2" t="s">
        <v>149</v>
      </c>
      <c r="AP331" s="5" t="str">
        <f>Table2[[#This Row],[final_fate1]]</f>
        <v>W</v>
      </c>
      <c r="AQ331" s="6">
        <v>13</v>
      </c>
      <c r="AR331" s="7">
        <v>13</v>
      </c>
      <c r="AS331" s="7">
        <f>Table2[[#This Row],[final_obs_date]]-Table2[[#This Row],[init_date]]</f>
        <v>13</v>
      </c>
      <c r="AT331" s="7">
        <f>(Table2[[#This Row],[final_obs_date2]]-Table2[[#This Row],[estHD]])+16</f>
        <v>10</v>
      </c>
      <c r="AU331" s="38">
        <v>2</v>
      </c>
      <c r="AV331" s="33">
        <v>2</v>
      </c>
      <c r="AW331" s="33">
        <f>Table2[[#This Row],[final_obs_date2]]-Table2[[#This Row],[pen_obs_date]]</f>
        <v>47</v>
      </c>
      <c r="AX331" s="67">
        <v>47</v>
      </c>
      <c r="AY331" s="6">
        <f>Table2[[#This Row],[final_obs_date]]</f>
        <v>47</v>
      </c>
      <c r="AZ331" s="6"/>
      <c r="BA331" s="91" t="s">
        <v>47</v>
      </c>
      <c r="BB331" s="6" t="b">
        <f>Table2[[#This Row],[final_obs_date]]&lt;(Table2[[#This Row],[estHD]]-2)</f>
        <v>1</v>
      </c>
      <c r="BC331" s="24">
        <f>IF(Table2[[#This Row],[field_fate]]="H",1,0)</f>
        <v>0</v>
      </c>
      <c r="BD331" s="16">
        <f>IF(Table2[[#This Row],[cam_fate2]]="H",1,0)</f>
        <v>0</v>
      </c>
      <c r="BE331" s="6" t="b">
        <f>NOT(Table2[[#This Row],[HF_C]]=Table2[[#This Row],[HF]])</f>
        <v>0</v>
      </c>
      <c r="BF331" s="6" t="b">
        <f>NOT(Table2[[#This Row],[cam_fate2]]=Table2[[#This Row],[field_fate3]])</f>
        <v>1</v>
      </c>
      <c r="BG331" s="6" t="b">
        <f>OR(Table2[[#This Row],[field_fate3]]="U",Table2[[#This Row],[field_fate3]]="U-H")</f>
        <v>0</v>
      </c>
      <c r="BH331" s="8">
        <v>38</v>
      </c>
      <c r="BI331" s="8">
        <v>45</v>
      </c>
      <c r="BJ331" s="14">
        <f>IF(ISTEXT(Table2[[#This Row],[j.cam]]),Table2[[#This Row],[j]],Table2[[#This Row],[j.cam]])</f>
        <v>45</v>
      </c>
      <c r="BK331" s="9">
        <v>47</v>
      </c>
      <c r="BL331" s="15">
        <f>IF(ISTEXT(Table2[[#This Row],[k.cam]]), Table2[[#This Row],[k]], Table2[[#This Row],[k.cam]])</f>
        <v>47</v>
      </c>
      <c r="BM331" s="4" t="s">
        <v>24</v>
      </c>
      <c r="BN331" s="8" t="s">
        <v>24</v>
      </c>
      <c r="BO331" s="4">
        <v>5</v>
      </c>
      <c r="BP331" s="4">
        <f>Table2[[#This Row],[final_obs_date]]-Table2[[#This Row],[i]]</f>
        <v>9</v>
      </c>
      <c r="BQ331" s="4" t="b">
        <f>Table2[[#This Row],[final_obs_date2]]&gt;Table2[[#This Row],[estHD]]+3</f>
        <v>0</v>
      </c>
      <c r="BR331" s="4" t="s">
        <v>33</v>
      </c>
      <c r="BS331" s="4" t="s">
        <v>45</v>
      </c>
      <c r="BT331" s="79" t="s">
        <v>1207</v>
      </c>
      <c r="BU331" s="26" t="s">
        <v>105</v>
      </c>
      <c r="BV331" s="79" t="s">
        <v>1577</v>
      </c>
      <c r="BW331" s="49"/>
      <c r="BX331" s="47"/>
      <c r="BY331" s="36" t="s">
        <v>24</v>
      </c>
    </row>
    <row r="332" spans="1:77" hidden="1" x14ac:dyDescent="0.35">
      <c r="A332" s="63">
        <v>20236</v>
      </c>
      <c r="B332" s="2" t="s">
        <v>35</v>
      </c>
      <c r="C332" s="45">
        <v>2020</v>
      </c>
      <c r="D332" s="3">
        <v>29.768719999999998</v>
      </c>
      <c r="E332" s="3">
        <v>-93.169839999999994</v>
      </c>
      <c r="F332" s="3" t="s">
        <v>24</v>
      </c>
      <c r="G332" s="3" t="s">
        <v>24</v>
      </c>
      <c r="H332" s="3" t="s">
        <v>26</v>
      </c>
      <c r="I332" s="43"/>
      <c r="J332" s="55">
        <v>53</v>
      </c>
      <c r="K332" s="4">
        <v>53</v>
      </c>
      <c r="L332" s="22">
        <f>IF(ISNUMBER(Table2[[#This Row],[estHD]]),ABS(Table2[[#This Row],[HD]]-Table2[[#This Row],[estHD]]),"NA")</f>
        <v>0</v>
      </c>
      <c r="M332" s="4" t="b">
        <f>Table2[[#This Row],[HD]]=Table2[[#This Row],[estHD]]</f>
        <v>1</v>
      </c>
      <c r="N332" s="4" t="str">
        <f>IF(ISNUMBER([1]!Table2[[#This Row],[hatch_date]]),[1]!Table2[[#This Row],[hatch_date]]-19,"NA")</f>
        <v>NA</v>
      </c>
      <c r="O332" s="31">
        <v>34</v>
      </c>
      <c r="P332" s="23">
        <f>IF(ISNUMBER(Table2[[#This Row],[nest_age1]]),ABS(Table2[[#This Row],[nest_age1]]-Table2[[#This Row],[nest_age_feb]]),"NA")</f>
        <v>1</v>
      </c>
      <c r="Q332" s="25">
        <f>IF(ISNUMBER(Table2[[#This Row],[final_obs_int2]]),ABS(Table2[[#This Row],[final_obs_int2]]-Table2[[#This Row],[final_obs_int_feb]]), "NA")</f>
        <v>2</v>
      </c>
      <c r="R332" s="25"/>
      <c r="S332" s="57" t="s">
        <v>88</v>
      </c>
      <c r="T332" s="57" t="str">
        <f>Table2[[#This Row],[camera_old]]</f>
        <v>N</v>
      </c>
      <c r="U332" s="24"/>
      <c r="V332" s="16" t="s">
        <v>24</v>
      </c>
      <c r="W332" s="16">
        <v>12</v>
      </c>
      <c r="X332" s="145">
        <v>2</v>
      </c>
      <c r="Y332" s="147" t="s">
        <v>90</v>
      </c>
      <c r="Z332" s="146" t="s">
        <v>90</v>
      </c>
      <c r="AA332" s="4" t="str">
        <f>Table2[[#This Row],[field_fate]]</f>
        <v>U</v>
      </c>
      <c r="AB332" s="4" t="str">
        <f>Table2[[#This Row],[field_fate2]]</f>
        <v>U</v>
      </c>
      <c r="AC332" s="4" t="str">
        <f>Table2[[#This Row],[field_fate3]]</f>
        <v>U</v>
      </c>
      <c r="AD332" s="4" t="str">
        <f>Table2[[#This Row],[field_fate4]]</f>
        <v>U</v>
      </c>
      <c r="AE332" s="4" t="str">
        <f>Table2[[#This Row],[field_fate5]]</f>
        <v>U</v>
      </c>
      <c r="AF332" s="4" t="str">
        <f>Table2[[#This Row],[field_fate5]]</f>
        <v>U</v>
      </c>
      <c r="AG332" s="4" t="str">
        <f>Table2[[#This Row],[field_fate5]]</f>
        <v>U</v>
      </c>
      <c r="AH332" s="4" t="str">
        <f>Table2[[#This Row],[field_fate2]]</f>
        <v>U</v>
      </c>
      <c r="AI332" s="4" t="str">
        <f>Table2[[#This Row],[field_fate8]]</f>
        <v>U</v>
      </c>
      <c r="AJ332" s="4" t="str">
        <f>Table2[[#This Row],[field_fate10]]</f>
        <v>U</v>
      </c>
      <c r="AK332" s="4" t="b">
        <f>Table2[[#This Row],[field_fate_feb]]=Table2[[#This Row],[field_fate10]]</f>
        <v>1</v>
      </c>
      <c r="AL332" s="43" t="s">
        <v>24</v>
      </c>
      <c r="AM332" s="43" t="b">
        <f>Table2[[#This Row],[cam_fate2]]="NA"</f>
        <v>1</v>
      </c>
      <c r="AN332" s="19" t="str">
        <f>Table2[[#This Row],[cam_fate1]]</f>
        <v>NA</v>
      </c>
      <c r="AO332" s="2" t="s">
        <v>90</v>
      </c>
      <c r="AP332" s="5" t="str">
        <f>Table2[[#This Row],[final_fate1]]</f>
        <v>U</v>
      </c>
      <c r="AQ332" s="6">
        <v>13</v>
      </c>
      <c r="AR332" s="7">
        <v>13</v>
      </c>
      <c r="AS332" s="7">
        <f>Table2[[#This Row],[final_obs_date]]-Table2[[#This Row],[init_date]]</f>
        <v>13</v>
      </c>
      <c r="AT332" s="7">
        <f>(Table2[[#This Row],[final_obs_date2]]-Table2[[#This Row],[estHD]])+16</f>
        <v>10</v>
      </c>
      <c r="AU332" s="40">
        <v>4</v>
      </c>
      <c r="AV332" s="33">
        <v>4</v>
      </c>
      <c r="AW332" s="33">
        <f>Table2[[#This Row],[final_obs_date2]]-Table2[[#This Row],[pen_obs_date]]</f>
        <v>47</v>
      </c>
      <c r="AX332" s="67">
        <v>47</v>
      </c>
      <c r="AY332" s="6">
        <f>Table2[[#This Row],[final_obs_date]]</f>
        <v>47</v>
      </c>
      <c r="AZ332" s="6"/>
      <c r="BA332" s="91" t="s">
        <v>47</v>
      </c>
      <c r="BB332" s="6" t="b">
        <f>Table2[[#This Row],[final_obs_date]]&lt;(Table2[[#This Row],[estHD]]-2)</f>
        <v>1</v>
      </c>
      <c r="BC332" s="24">
        <f>IF(Table2[[#This Row],[field_fate]]="H",1,0)</f>
        <v>0</v>
      </c>
      <c r="BD332" s="16">
        <f>IF(Table2[[#This Row],[cam_fate2]]="H",1,0)</f>
        <v>0</v>
      </c>
      <c r="BE332" s="6" t="b">
        <f>NOT(Table2[[#This Row],[HF_C]]=Table2[[#This Row],[HF]])</f>
        <v>0</v>
      </c>
      <c r="BF332" s="6" t="b">
        <f>NOT(Table2[[#This Row],[cam_fate2]]=Table2[[#This Row],[field_fate3]])</f>
        <v>1</v>
      </c>
      <c r="BG332" s="6" t="b">
        <f>OR(Table2[[#This Row],[field_fate3]]="U",Table2[[#This Row],[field_fate3]]="U-H")</f>
        <v>1</v>
      </c>
      <c r="BH332" s="8">
        <v>38</v>
      </c>
      <c r="BI332" s="8">
        <v>47</v>
      </c>
      <c r="BJ332" s="14">
        <f>IF(ISTEXT(Table2[[#This Row],[j.cam]]),Table2[[#This Row],[j]],Table2[[#This Row],[j.cam]])</f>
        <v>47</v>
      </c>
      <c r="BK332" s="9">
        <v>47</v>
      </c>
      <c r="BL332" s="15">
        <f>IF(ISTEXT(Table2[[#This Row],[k.cam]]), Table2[[#This Row],[k]], Table2[[#This Row],[k.cam]])</f>
        <v>47</v>
      </c>
      <c r="BM332" s="4" t="s">
        <v>24</v>
      </c>
      <c r="BN332" s="8" t="s">
        <v>24</v>
      </c>
      <c r="BO332" s="4">
        <v>5</v>
      </c>
      <c r="BP332" s="4">
        <f>Table2[[#This Row],[final_obs_date]]-Table2[[#This Row],[i]]</f>
        <v>9</v>
      </c>
      <c r="BQ332" s="4" t="b">
        <f>Table2[[#This Row],[final_obs_date2]]&gt;Table2[[#This Row],[estHD]]+3</f>
        <v>0</v>
      </c>
      <c r="BR332" s="11" t="s">
        <v>62</v>
      </c>
      <c r="BS332" s="4" t="s">
        <v>33</v>
      </c>
      <c r="BT332" s="79" t="s">
        <v>1207</v>
      </c>
      <c r="BU332" s="26" t="s">
        <v>282</v>
      </c>
      <c r="BV332" s="79" t="s">
        <v>1577</v>
      </c>
      <c r="BW332" s="49"/>
      <c r="BX332" s="47"/>
      <c r="BY332" s="36" t="s">
        <v>691</v>
      </c>
    </row>
    <row r="333" spans="1:77" hidden="1" x14ac:dyDescent="0.35">
      <c r="A333" s="63">
        <v>20237</v>
      </c>
      <c r="B333" s="2" t="s">
        <v>35</v>
      </c>
      <c r="C333" s="45">
        <v>2020</v>
      </c>
      <c r="D333" s="3">
        <v>29.77026</v>
      </c>
      <c r="E333" s="3">
        <v>-93.178290000000004</v>
      </c>
      <c r="F333" s="3" t="s">
        <v>24</v>
      </c>
      <c r="G333" s="3" t="s">
        <v>24</v>
      </c>
      <c r="H333" s="3" t="s">
        <v>26</v>
      </c>
      <c r="I333" s="43"/>
      <c r="J333" s="55">
        <v>53</v>
      </c>
      <c r="K333" s="4">
        <v>53</v>
      </c>
      <c r="L333" s="22">
        <f>IF(ISNUMBER(Table2[[#This Row],[estHD]]),ABS(Table2[[#This Row],[HD]]-Table2[[#This Row],[estHD]]),"NA")</f>
        <v>0</v>
      </c>
      <c r="M333" s="4" t="b">
        <f>Table2[[#This Row],[HD]]=Table2[[#This Row],[estHD]]</f>
        <v>1</v>
      </c>
      <c r="N333" s="4" t="str">
        <f>IF(ISNUMBER([1]!Table2[[#This Row],[hatch_date]]),[1]!Table2[[#This Row],[hatch_date]]-19,"NA")</f>
        <v>NA</v>
      </c>
      <c r="O333" s="31">
        <v>34</v>
      </c>
      <c r="P333" s="23">
        <f>IF(ISNUMBER(Table2[[#This Row],[nest_age1]]),ABS(Table2[[#This Row],[nest_age1]]-Table2[[#This Row],[nest_age_feb]]),"NA")</f>
        <v>1</v>
      </c>
      <c r="Q333" s="24">
        <f>IF(ISNUMBER(Table2[[#This Row],[final_obs_int2]]),ABS(Table2[[#This Row],[final_obs_int2]]-Table2[[#This Row],[final_obs_int_feb]]), "NA")</f>
        <v>0</v>
      </c>
      <c r="R333" s="24"/>
      <c r="S333" s="57" t="s">
        <v>88</v>
      </c>
      <c r="T333" s="57" t="str">
        <f>Table2[[#This Row],[camera_old]]</f>
        <v>N</v>
      </c>
      <c r="U333" s="24"/>
      <c r="V333" s="16" t="s">
        <v>24</v>
      </c>
      <c r="W333" s="16">
        <v>17</v>
      </c>
      <c r="X333" s="145">
        <v>5</v>
      </c>
      <c r="Y333" s="147" t="s">
        <v>90</v>
      </c>
      <c r="Z333" s="146" t="s">
        <v>90</v>
      </c>
      <c r="AA333" s="4" t="str">
        <f>Table2[[#This Row],[field_fate]]</f>
        <v>U</v>
      </c>
      <c r="AB333" s="4" t="str">
        <f>Table2[[#This Row],[field_fate2]]</f>
        <v>U</v>
      </c>
      <c r="AC333" s="4" t="str">
        <f>Table2[[#This Row],[field_fate3]]</f>
        <v>U</v>
      </c>
      <c r="AD333" s="4" t="str">
        <f>Table2[[#This Row],[field_fate4]]</f>
        <v>U</v>
      </c>
      <c r="AE333" s="4" t="str">
        <f>Table2[[#This Row],[field_fate5]]</f>
        <v>U</v>
      </c>
      <c r="AF333" s="4" t="str">
        <f>Table2[[#This Row],[field_fate5]]</f>
        <v>U</v>
      </c>
      <c r="AG333" s="4" t="str">
        <f>Table2[[#This Row],[field_fate5]]</f>
        <v>U</v>
      </c>
      <c r="AH333" s="4" t="str">
        <f>Table2[[#This Row],[field_fate2]]</f>
        <v>U</v>
      </c>
      <c r="AI333" s="4" t="str">
        <f>Table2[[#This Row],[field_fate8]]</f>
        <v>U</v>
      </c>
      <c r="AJ333" s="4" t="str">
        <f>Table2[[#This Row],[field_fate10]]</f>
        <v>U</v>
      </c>
      <c r="AK333" s="4" t="b">
        <f>Table2[[#This Row],[field_fate_feb]]=Table2[[#This Row],[field_fate10]]</f>
        <v>1</v>
      </c>
      <c r="AL333" s="43" t="s">
        <v>24</v>
      </c>
      <c r="AM333" s="43" t="b">
        <f>Table2[[#This Row],[cam_fate2]]="NA"</f>
        <v>1</v>
      </c>
      <c r="AN333" s="19" t="str">
        <f>Table2[[#This Row],[cam_fate1]]</f>
        <v>NA</v>
      </c>
      <c r="AO333" s="2" t="s">
        <v>90</v>
      </c>
      <c r="AP333" s="5" t="str">
        <f>Table2[[#This Row],[final_fate1]]</f>
        <v>U</v>
      </c>
      <c r="AQ333" s="6">
        <v>18</v>
      </c>
      <c r="AR333" s="7">
        <v>18</v>
      </c>
      <c r="AS333" s="7">
        <f>Table2[[#This Row],[final_obs_date]]-Table2[[#This Row],[init_date]]</f>
        <v>18</v>
      </c>
      <c r="AT333" s="7">
        <f>(Table2[[#This Row],[final_obs_date2]]-Table2[[#This Row],[estHD]])+16</f>
        <v>15</v>
      </c>
      <c r="AU333" s="38">
        <v>5</v>
      </c>
      <c r="AV333" s="33">
        <v>5</v>
      </c>
      <c r="AW333" s="33">
        <f>Table2[[#This Row],[final_obs_date2]]-Table2[[#This Row],[pen_obs_date]]</f>
        <v>52</v>
      </c>
      <c r="AX333" s="67">
        <v>52</v>
      </c>
      <c r="AY333" s="6">
        <f>Table2[[#This Row],[final_obs_date]]</f>
        <v>52</v>
      </c>
      <c r="AZ333" s="6"/>
      <c r="BA333" s="91" t="s">
        <v>47</v>
      </c>
      <c r="BB333" s="6" t="b">
        <f>Table2[[#This Row],[final_obs_date]]&lt;(Table2[[#This Row],[estHD]]-2)</f>
        <v>0</v>
      </c>
      <c r="BC333" s="24">
        <f>IF(Table2[[#This Row],[field_fate]]="H",1,0)</f>
        <v>0</v>
      </c>
      <c r="BD333" s="16">
        <f>IF(Table2[[#This Row],[cam_fate2]]="H",1,0)</f>
        <v>0</v>
      </c>
      <c r="BE333" s="6" t="b">
        <f>NOT(Table2[[#This Row],[HF_C]]=Table2[[#This Row],[HF]])</f>
        <v>0</v>
      </c>
      <c r="BF333" s="6" t="b">
        <f>NOT(Table2[[#This Row],[cam_fate2]]=Table2[[#This Row],[field_fate3]])</f>
        <v>1</v>
      </c>
      <c r="BG333" s="6" t="b">
        <f>OR(Table2[[#This Row],[field_fate3]]="U",Table2[[#This Row],[field_fate3]]="U-H")</f>
        <v>1</v>
      </c>
      <c r="BH333" s="8">
        <v>38</v>
      </c>
      <c r="BI333" s="8">
        <v>47</v>
      </c>
      <c r="BJ333" s="14">
        <f>IF(ISTEXT(Table2[[#This Row],[j.cam]]),Table2[[#This Row],[j]],Table2[[#This Row],[j.cam]])</f>
        <v>47</v>
      </c>
      <c r="BK333" s="9">
        <v>52</v>
      </c>
      <c r="BL333" s="15">
        <f>IF(ISTEXT(Table2[[#This Row],[k.cam]]), Table2[[#This Row],[k]], Table2[[#This Row],[k.cam]])</f>
        <v>52</v>
      </c>
      <c r="BM333" s="4" t="s">
        <v>24</v>
      </c>
      <c r="BN333" s="8" t="s">
        <v>24</v>
      </c>
      <c r="BO333" s="4">
        <v>6</v>
      </c>
      <c r="BP333" s="4">
        <f>Table2[[#This Row],[final_obs_date]]-Table2[[#This Row],[i]]</f>
        <v>14</v>
      </c>
      <c r="BQ333" s="4" t="b">
        <f>Table2[[#This Row],[final_obs_date2]]&gt;Table2[[#This Row],[estHD]]+3</f>
        <v>0</v>
      </c>
      <c r="BR333" s="4" t="s">
        <v>33</v>
      </c>
      <c r="BS333" s="4" t="s">
        <v>45</v>
      </c>
      <c r="BT333" s="79" t="s">
        <v>1208</v>
      </c>
      <c r="BU333" s="26" t="s">
        <v>283</v>
      </c>
      <c r="BV333" s="79" t="s">
        <v>1578</v>
      </c>
      <c r="BW333" s="49"/>
      <c r="BX333" s="47"/>
      <c r="BY333" s="36" t="s">
        <v>692</v>
      </c>
    </row>
    <row r="334" spans="1:77" hidden="1" x14ac:dyDescent="0.35">
      <c r="A334" s="63">
        <v>20238</v>
      </c>
      <c r="B334" s="2" t="s">
        <v>35</v>
      </c>
      <c r="C334" s="45">
        <v>2020</v>
      </c>
      <c r="D334" s="3">
        <v>29.770320000000002</v>
      </c>
      <c r="E334" s="3">
        <v>-93.178740000000005</v>
      </c>
      <c r="F334" s="3" t="s">
        <v>24</v>
      </c>
      <c r="G334" s="3" t="s">
        <v>24</v>
      </c>
      <c r="H334" s="3" t="s">
        <v>26</v>
      </c>
      <c r="I334" s="43"/>
      <c r="J334" s="55">
        <v>46</v>
      </c>
      <c r="K334" s="4">
        <v>46</v>
      </c>
      <c r="L334" s="22">
        <f>IF(ISNUMBER(Table2[[#This Row],[estHD]]),ABS(Table2[[#This Row],[HD]]-Table2[[#This Row],[estHD]]),"NA")</f>
        <v>0</v>
      </c>
      <c r="M334" s="4" t="b">
        <f>Table2[[#This Row],[HD]]=Table2[[#This Row],[estHD]]</f>
        <v>1</v>
      </c>
      <c r="N334" s="4" t="str">
        <f>IF(ISNUMBER([1]!Table2[[#This Row],[hatch_date]]),[1]!Table2[[#This Row],[hatch_date]]-19,"NA")</f>
        <v>NA</v>
      </c>
      <c r="O334" s="31">
        <v>27</v>
      </c>
      <c r="P334" s="23">
        <f>IF(ISNUMBER(Table2[[#This Row],[nest_age1]]),ABS(Table2[[#This Row],[nest_age1]]-Table2[[#This Row],[nest_age_feb]]),"NA")</f>
        <v>1</v>
      </c>
      <c r="Q334" s="24">
        <f>IF(ISNUMBER(Table2[[#This Row],[final_obs_int2]]),ABS(Table2[[#This Row],[final_obs_int2]]-Table2[[#This Row],[final_obs_int_feb]]), "NA")</f>
        <v>0</v>
      </c>
      <c r="R334" s="24"/>
      <c r="S334" s="57" t="s">
        <v>36</v>
      </c>
      <c r="T334" s="57" t="str">
        <f>Table2[[#This Row],[camera_old]]</f>
        <v>A</v>
      </c>
      <c r="U334" s="24"/>
      <c r="V334" s="16" t="s">
        <v>24</v>
      </c>
      <c r="W334" s="16">
        <v>24</v>
      </c>
      <c r="X334" s="145">
        <v>5</v>
      </c>
      <c r="Y334" s="147" t="s">
        <v>90</v>
      </c>
      <c r="Z334" s="146" t="s">
        <v>90</v>
      </c>
      <c r="AA334" s="4" t="str">
        <f>Table2[[#This Row],[field_fate]]</f>
        <v>U</v>
      </c>
      <c r="AB334" s="4" t="str">
        <f>Table2[[#This Row],[field_fate2]]</f>
        <v>U</v>
      </c>
      <c r="AC334" s="4" t="str">
        <f>Table2[[#This Row],[field_fate3]]</f>
        <v>U</v>
      </c>
      <c r="AD334" s="4" t="str">
        <f>Table2[[#This Row],[field_fate4]]</f>
        <v>U</v>
      </c>
      <c r="AE334" s="4" t="str">
        <f>Table2[[#This Row],[field_fate5]]</f>
        <v>U</v>
      </c>
      <c r="AF334" s="4" t="str">
        <f>Table2[[#This Row],[field_fate5]]</f>
        <v>U</v>
      </c>
      <c r="AG334" s="4" t="str">
        <f>Table2[[#This Row],[field_fate5]]</f>
        <v>U</v>
      </c>
      <c r="AH334" s="4" t="str">
        <f>Table2[[#This Row],[field_fate2]]</f>
        <v>U</v>
      </c>
      <c r="AI334" s="4" t="str">
        <f>Table2[[#This Row],[field_fate8]]</f>
        <v>U</v>
      </c>
      <c r="AJ334" s="4" t="str">
        <f>Table2[[#This Row],[field_fate10]]</f>
        <v>U</v>
      </c>
      <c r="AK334" s="4" t="b">
        <f>Table2[[#This Row],[field_fate_feb]]=Table2[[#This Row],[field_fate10]]</f>
        <v>1</v>
      </c>
      <c r="AL334" s="43" t="s">
        <v>24</v>
      </c>
      <c r="AM334" s="43" t="b">
        <f>Table2[[#This Row],[cam_fate2]]="NA"</f>
        <v>1</v>
      </c>
      <c r="AN334" s="19" t="str">
        <f>Table2[[#This Row],[cam_fate1]]</f>
        <v>NA</v>
      </c>
      <c r="AO334" s="2" t="s">
        <v>24</v>
      </c>
      <c r="AP334" s="5" t="str">
        <f>Table2[[#This Row],[final_fate1]]</f>
        <v>NA</v>
      </c>
      <c r="AQ334" s="6">
        <v>25</v>
      </c>
      <c r="AR334" s="7">
        <v>25</v>
      </c>
      <c r="AS334" s="7">
        <f>Table2[[#This Row],[final_obs_date]]-Table2[[#This Row],[init_date]]</f>
        <v>25</v>
      </c>
      <c r="AT334" s="7">
        <f>(Table2[[#This Row],[final_obs_date2]]-Table2[[#This Row],[estHD]])+16</f>
        <v>22</v>
      </c>
      <c r="AU334" s="38">
        <v>5</v>
      </c>
      <c r="AV334" s="33">
        <v>5</v>
      </c>
      <c r="AW334" s="33">
        <f>Table2[[#This Row],[final_obs_date2]]-Table2[[#This Row],[pen_obs_date]]</f>
        <v>52</v>
      </c>
      <c r="AX334" s="67">
        <v>52</v>
      </c>
      <c r="AY334" s="6">
        <f>Table2[[#This Row],[final_obs_date]]</f>
        <v>52</v>
      </c>
      <c r="AZ334" s="6"/>
      <c r="BA334" s="91" t="s">
        <v>47</v>
      </c>
      <c r="BB334" s="6" t="b">
        <f>Table2[[#This Row],[final_obs_date]]&lt;(Table2[[#This Row],[estHD]]-2)</f>
        <v>0</v>
      </c>
      <c r="BC334" s="24">
        <f>IF(Table2[[#This Row],[field_fate]]="H",1,0)</f>
        <v>0</v>
      </c>
      <c r="BD334" s="16">
        <f>IF(Table2[[#This Row],[cam_fate2]]="H",1,0)</f>
        <v>0</v>
      </c>
      <c r="BE334" s="6" t="b">
        <f>NOT(Table2[[#This Row],[HF_C]]=Table2[[#This Row],[HF]])</f>
        <v>0</v>
      </c>
      <c r="BF334" s="6" t="b">
        <f>NOT(Table2[[#This Row],[cam_fate2]]=Table2[[#This Row],[field_fate3]])</f>
        <v>1</v>
      </c>
      <c r="BG334" s="6" t="b">
        <f>OR(Table2[[#This Row],[field_fate3]]="U",Table2[[#This Row],[field_fate3]]="U-H")</f>
        <v>1</v>
      </c>
      <c r="BH334" s="8">
        <v>38</v>
      </c>
      <c r="BI334" s="8">
        <v>47</v>
      </c>
      <c r="BJ334" s="14">
        <f>IF(ISTEXT(Table2[[#This Row],[j.cam]]),Table2[[#This Row],[j]],Table2[[#This Row],[j.cam]])</f>
        <v>47</v>
      </c>
      <c r="BK334" s="9">
        <v>52</v>
      </c>
      <c r="BL334" s="15">
        <f>IF(ISTEXT(Table2[[#This Row],[k.cam]]), Table2[[#This Row],[k]], Table2[[#This Row],[k.cam]])</f>
        <v>52</v>
      </c>
      <c r="BM334" s="4" t="s">
        <v>24</v>
      </c>
      <c r="BN334" s="8" t="s">
        <v>24</v>
      </c>
      <c r="BO334" s="4">
        <v>6</v>
      </c>
      <c r="BP334" s="4">
        <f>Table2[[#This Row],[final_obs_date]]-Table2[[#This Row],[i]]</f>
        <v>14</v>
      </c>
      <c r="BQ334" s="4" t="b">
        <f>Table2[[#This Row],[final_obs_date2]]&gt;Table2[[#This Row],[estHD]]+3</f>
        <v>1</v>
      </c>
      <c r="BR334" s="4" t="s">
        <v>33</v>
      </c>
      <c r="BS334" s="4" t="s">
        <v>100</v>
      </c>
      <c r="BT334" s="79" t="s">
        <v>1208</v>
      </c>
      <c r="BU334" s="26" t="s">
        <v>284</v>
      </c>
      <c r="BV334" s="79" t="s">
        <v>1578</v>
      </c>
      <c r="BW334" s="49"/>
      <c r="BX334" s="47"/>
      <c r="BY334" s="36" t="s">
        <v>693</v>
      </c>
    </row>
    <row r="335" spans="1:77" hidden="1" x14ac:dyDescent="0.35">
      <c r="A335" s="63">
        <v>20239</v>
      </c>
      <c r="B335" s="2" t="s">
        <v>122</v>
      </c>
      <c r="C335" s="45">
        <v>2020</v>
      </c>
      <c r="D335" s="3">
        <v>29.757960000000001</v>
      </c>
      <c r="E335" s="3">
        <v>-93.119389999999996</v>
      </c>
      <c r="F335" s="3" t="s">
        <v>24</v>
      </c>
      <c r="G335" s="3" t="s">
        <v>24</v>
      </c>
      <c r="H335" s="3" t="s">
        <v>26</v>
      </c>
      <c r="I335" s="43"/>
      <c r="J335" s="55">
        <v>45</v>
      </c>
      <c r="K335" s="4">
        <v>48</v>
      </c>
      <c r="L335" s="22">
        <f>IF(ISNUMBER(Table2[[#This Row],[estHD]]),ABS(Table2[[#This Row],[HD]]-Table2[[#This Row],[estHD]]),"NA")</f>
        <v>3</v>
      </c>
      <c r="M335" s="4" t="b">
        <f>Table2[[#This Row],[HD]]=Table2[[#This Row],[estHD]]</f>
        <v>0</v>
      </c>
      <c r="N335" s="4"/>
      <c r="O335" s="31"/>
      <c r="P335" s="23" t="str">
        <f>IF(ISNUMBER(Table2[[#This Row],[nest_age1]]),ABS(Table2[[#This Row],[nest_age1]]-Table2[[#This Row],[nest_age_feb]]),"NA")</f>
        <v>NA</v>
      </c>
      <c r="Q335" s="24">
        <f>IF(ISNUMBER(Table2[[#This Row],[final_obs_int2]]),ABS(Table2[[#This Row],[final_obs_int2]]-Table2[[#This Row],[final_obs_int_feb]]), "NA")</f>
        <v>0</v>
      </c>
      <c r="R335" s="24"/>
      <c r="S335" s="57" t="s">
        <v>88</v>
      </c>
      <c r="T335" s="57" t="str">
        <f>Table2[[#This Row],[camera_old]]</f>
        <v>N</v>
      </c>
      <c r="U335" s="24"/>
      <c r="V335" s="16" t="s">
        <v>24</v>
      </c>
      <c r="W335" s="16" t="s">
        <v>24</v>
      </c>
      <c r="X335" s="145">
        <v>3</v>
      </c>
      <c r="Y335" s="147" t="s">
        <v>37</v>
      </c>
      <c r="Z335" s="146" t="s">
        <v>37</v>
      </c>
      <c r="AA335" s="4" t="str">
        <f>Table2[[#This Row],[field_fate]]</f>
        <v>H</v>
      </c>
      <c r="AB335" s="4" t="str">
        <f>Table2[[#This Row],[field_fate2]]</f>
        <v>H</v>
      </c>
      <c r="AC335" s="4" t="str">
        <f>Table2[[#This Row],[field_fate3]]</f>
        <v>H</v>
      </c>
      <c r="AD335" s="4" t="str">
        <f>Table2[[#This Row],[field_fate4]]</f>
        <v>H</v>
      </c>
      <c r="AE335" s="4" t="str">
        <f>Table2[[#This Row],[field_fate5]]</f>
        <v>H</v>
      </c>
      <c r="AF335" s="4" t="str">
        <f>Table2[[#This Row],[field_fate5]]</f>
        <v>H</v>
      </c>
      <c r="AG335" s="4" t="str">
        <f>Table2[[#This Row],[field_fate5]]</f>
        <v>H</v>
      </c>
      <c r="AH335" s="4" t="str">
        <f>Table2[[#This Row],[field_fate2]]</f>
        <v>H</v>
      </c>
      <c r="AI335" s="4" t="str">
        <f>Table2[[#This Row],[field_fate8]]</f>
        <v>H</v>
      </c>
      <c r="AJ335" s="4" t="str">
        <f>Table2[[#This Row],[field_fate10]]</f>
        <v>H</v>
      </c>
      <c r="AK335" s="4" t="b">
        <f>Table2[[#This Row],[field_fate_feb]]=Table2[[#This Row],[field_fate10]]</f>
        <v>1</v>
      </c>
      <c r="AL335" s="43" t="s">
        <v>24</v>
      </c>
      <c r="AM335" s="43" t="b">
        <f>Table2[[#This Row],[cam_fate2]]="NA"</f>
        <v>1</v>
      </c>
      <c r="AN335" s="19" t="str">
        <f>Table2[[#This Row],[cam_fate1]]</f>
        <v>NA</v>
      </c>
      <c r="AO335" s="2" t="s">
        <v>37</v>
      </c>
      <c r="AP335" s="5" t="str">
        <f>Table2[[#This Row],[final_fate1]]</f>
        <v>H</v>
      </c>
      <c r="AQ335" s="6" t="s">
        <v>24</v>
      </c>
      <c r="AR335" s="7" t="s">
        <v>24</v>
      </c>
      <c r="AS335" s="7">
        <f>Table2[[#This Row],[final_obs_date]]-Table2[[#This Row],[init_date]]</f>
        <v>48</v>
      </c>
      <c r="AT335" s="7">
        <f>(Table2[[#This Row],[final_obs_date2]]-Table2[[#This Row],[estHD]])+16</f>
        <v>19</v>
      </c>
      <c r="AU335" s="38">
        <v>3</v>
      </c>
      <c r="AV335" s="33">
        <v>3</v>
      </c>
      <c r="AW335" s="33">
        <f>Table2[[#This Row],[final_obs_date2]]-Table2[[#This Row],[pen_obs_date]]</f>
        <v>48</v>
      </c>
      <c r="AX335" s="67">
        <v>48</v>
      </c>
      <c r="AY335" s="6">
        <f>Table2[[#This Row],[final_obs_date]]</f>
        <v>48</v>
      </c>
      <c r="AZ335" s="6"/>
      <c r="BA335" s="91" t="s">
        <v>285</v>
      </c>
      <c r="BB335" s="6" t="b">
        <f>Table2[[#This Row],[final_obs_date]]&lt;(Table2[[#This Row],[estHD]]-2)</f>
        <v>0</v>
      </c>
      <c r="BC335" s="24">
        <f>IF(Table2[[#This Row],[field_fate]]="H",1,0)</f>
        <v>1</v>
      </c>
      <c r="BD335" s="16">
        <f>IF(Table2[[#This Row],[cam_fate2]]="H",1,0)</f>
        <v>0</v>
      </c>
      <c r="BE335" s="6" t="b">
        <f>NOT(Table2[[#This Row],[HF_C]]=Table2[[#This Row],[HF]])</f>
        <v>1</v>
      </c>
      <c r="BF335" s="6" t="b">
        <f>NOT(Table2[[#This Row],[cam_fate2]]=Table2[[#This Row],[field_fate3]])</f>
        <v>1</v>
      </c>
      <c r="BG335" s="6" t="b">
        <f>OR(Table2[[#This Row],[field_fate3]]="U",Table2[[#This Row],[field_fate3]]="U-H")</f>
        <v>0</v>
      </c>
      <c r="BH335" s="8">
        <v>40</v>
      </c>
      <c r="BI335" s="8">
        <v>48</v>
      </c>
      <c r="BJ335" s="14">
        <f>IF(ISTEXT(Table2[[#This Row],[j.cam]]),Table2[[#This Row],[j]],Table2[[#This Row],[j.cam]])</f>
        <v>48</v>
      </c>
      <c r="BK335" s="9">
        <v>48</v>
      </c>
      <c r="BL335" s="15">
        <f>IF(ISTEXT(Table2[[#This Row],[k.cam]]), Table2[[#This Row],[k]], Table2[[#This Row],[k.cam]])</f>
        <v>48</v>
      </c>
      <c r="BM335" s="4" t="s">
        <v>24</v>
      </c>
      <c r="BN335" s="8" t="s">
        <v>24</v>
      </c>
      <c r="BO335" s="4">
        <v>4</v>
      </c>
      <c r="BP335" s="4">
        <f>Table2[[#This Row],[final_obs_date]]-Table2[[#This Row],[i]]</f>
        <v>8</v>
      </c>
      <c r="BQ335" s="4" t="b">
        <f>Table2[[#This Row],[final_obs_date2]]&gt;Table2[[#This Row],[estHD]]+3</f>
        <v>0</v>
      </c>
      <c r="BR335" s="4" t="s">
        <v>58</v>
      </c>
      <c r="BS335" s="4" t="s">
        <v>127</v>
      </c>
      <c r="BT335" s="79" t="s">
        <v>1209</v>
      </c>
      <c r="BU335" s="26" t="s">
        <v>286</v>
      </c>
      <c r="BV335" s="79" t="s">
        <v>1579</v>
      </c>
      <c r="BW335" s="49"/>
      <c r="BX335" s="47"/>
      <c r="BY335" s="36" t="s">
        <v>694</v>
      </c>
    </row>
    <row r="336" spans="1:77" hidden="1" x14ac:dyDescent="0.35">
      <c r="A336" s="63">
        <v>20240</v>
      </c>
      <c r="B336" s="2" t="s">
        <v>122</v>
      </c>
      <c r="C336" s="45">
        <v>2020</v>
      </c>
      <c r="D336" s="3">
        <v>29.75779</v>
      </c>
      <c r="E336" s="3">
        <v>-93.118579999999994</v>
      </c>
      <c r="F336" s="3" t="s">
        <v>24</v>
      </c>
      <c r="G336" s="3" t="s">
        <v>24</v>
      </c>
      <c r="H336" s="3" t="s">
        <v>26</v>
      </c>
      <c r="I336" s="43"/>
      <c r="J336" s="55">
        <v>44</v>
      </c>
      <c r="K336" s="4">
        <v>48</v>
      </c>
      <c r="L336" s="22">
        <f>IF(ISNUMBER(Table2[[#This Row],[estHD]]),ABS(Table2[[#This Row],[HD]]-Table2[[#This Row],[estHD]]),"NA")</f>
        <v>4</v>
      </c>
      <c r="M336" s="4" t="b">
        <f>Table2[[#This Row],[HD]]=Table2[[#This Row],[estHD]]</f>
        <v>0</v>
      </c>
      <c r="N336" s="4" t="str">
        <f>IF(ISNUMBER([1]!Table2[[#This Row],[hatch_date]]), [1]!Table2[[#This Row],[hatch_date]]-16, "NA")</f>
        <v>NA</v>
      </c>
      <c r="O336" s="31">
        <v>32</v>
      </c>
      <c r="P336" s="23">
        <f>IF(ISNUMBER(Table2[[#This Row],[nest_age1]]),ABS(Table2[[#This Row],[nest_age1]]-Table2[[#This Row],[nest_age_feb]]),"NA")</f>
        <v>3</v>
      </c>
      <c r="Q336" s="24">
        <f>IF(ISNUMBER(Table2[[#This Row],[final_obs_int2]]),ABS(Table2[[#This Row],[final_obs_int2]]-Table2[[#This Row],[final_obs_int_feb]]), "NA")</f>
        <v>0</v>
      </c>
      <c r="R336" s="24"/>
      <c r="S336" s="21" t="s">
        <v>983</v>
      </c>
      <c r="T336" s="21" t="str">
        <f>Table2[[#This Row],[camera_old]]</f>
        <v>Y-but</v>
      </c>
      <c r="U336" s="58" t="s">
        <v>909</v>
      </c>
      <c r="V336" s="16" t="s">
        <v>37</v>
      </c>
      <c r="W336" s="16">
        <v>19</v>
      </c>
      <c r="X336" s="145">
        <v>1</v>
      </c>
      <c r="Y336" s="147" t="s">
        <v>37</v>
      </c>
      <c r="Z336" s="146" t="s">
        <v>37</v>
      </c>
      <c r="AA336" s="4" t="str">
        <f>Table2[[#This Row],[field_fate]]</f>
        <v>H</v>
      </c>
      <c r="AB336" s="4" t="str">
        <f>Table2[[#This Row],[field_fate2]]</f>
        <v>H</v>
      </c>
      <c r="AC336" s="4" t="str">
        <f>Table2[[#This Row],[field_fate3]]</f>
        <v>H</v>
      </c>
      <c r="AD336" s="4" t="str">
        <f>Table2[[#This Row],[field_fate4]]</f>
        <v>H</v>
      </c>
      <c r="AE336" s="4" t="str">
        <f>Table2[[#This Row],[field_fate5]]</f>
        <v>H</v>
      </c>
      <c r="AF336" s="4" t="str">
        <f>Table2[[#This Row],[field_fate5]]</f>
        <v>H</v>
      </c>
      <c r="AG336" s="4" t="str">
        <f>Table2[[#This Row],[field_fate5]]</f>
        <v>H</v>
      </c>
      <c r="AH336" s="4" t="str">
        <f>Table2[[#This Row],[field_fate2]]</f>
        <v>H</v>
      </c>
      <c r="AI336" s="4" t="str">
        <f>Table2[[#This Row],[field_fate8]]</f>
        <v>H</v>
      </c>
      <c r="AJ336" s="4" t="str">
        <f>Table2[[#This Row],[field_fate10]]</f>
        <v>H</v>
      </c>
      <c r="AK336" s="4" t="b">
        <f>Table2[[#This Row],[field_fate_feb]]=Table2[[#This Row],[field_fate10]]</f>
        <v>1</v>
      </c>
      <c r="AL336" s="43" t="s">
        <v>37</v>
      </c>
      <c r="AM336" s="43" t="b">
        <f>Table2[[#This Row],[cam_fate2]]="NA"</f>
        <v>0</v>
      </c>
      <c r="AN336" s="19" t="str">
        <f>Table2[[#This Row],[cam_fate1]]</f>
        <v>H</v>
      </c>
      <c r="AO336" s="2" t="s">
        <v>37</v>
      </c>
      <c r="AP336" s="5" t="str">
        <f>Table2[[#This Row],[final_fate1]]</f>
        <v>H</v>
      </c>
      <c r="AQ336" s="6">
        <v>16</v>
      </c>
      <c r="AR336" s="7">
        <v>20</v>
      </c>
      <c r="AS336" s="7">
        <f>Table2[[#This Row],[final_obs_date]]-Table2[[#This Row],[init_date]]</f>
        <v>16</v>
      </c>
      <c r="AT336" s="7">
        <f>(Table2[[#This Row],[final_obs_date2]]-Table2[[#This Row],[estHD]])+16</f>
        <v>20</v>
      </c>
      <c r="AU336" s="38">
        <v>1</v>
      </c>
      <c r="AV336" s="33">
        <v>1</v>
      </c>
      <c r="AW336" s="33">
        <f>Table2[[#This Row],[final_obs_date2]]-Table2[[#This Row],[pen_obs_date]]</f>
        <v>48</v>
      </c>
      <c r="AX336" s="67">
        <v>48</v>
      </c>
      <c r="AY336" s="6">
        <f>Table2[[#This Row],[final_obs_date]]</f>
        <v>48</v>
      </c>
      <c r="AZ336" s="6"/>
      <c r="BA336" s="91" t="s">
        <v>60</v>
      </c>
      <c r="BB336" s="6" t="b">
        <f>Table2[[#This Row],[final_obs_date]]&lt;(Table2[[#This Row],[estHD]]-2)</f>
        <v>0</v>
      </c>
      <c r="BC336" s="25">
        <f>IF(Table2[[#This Row],[field_fate]]="H",1,0)</f>
        <v>1</v>
      </c>
      <c r="BD336" s="16">
        <f>IF(Table2[[#This Row],[cam_fate2]]="H",1,0)</f>
        <v>1</v>
      </c>
      <c r="BE336" s="6" t="b">
        <f>NOT(Table2[[#This Row],[HF_C]]=Table2[[#This Row],[HF]])</f>
        <v>0</v>
      </c>
      <c r="BF336" s="38" t="b">
        <f>NOT(Table2[[#This Row],[cam_fate2]]=Table2[[#This Row],[field_fate3]])</f>
        <v>0</v>
      </c>
      <c r="BG336" s="38" t="b">
        <f>OR(Table2[[#This Row],[field_fate3]]="U",Table2[[#This Row],[field_fate3]]="U-H")</f>
        <v>0</v>
      </c>
      <c r="BH336" s="8">
        <v>40</v>
      </c>
      <c r="BI336" s="8">
        <v>48</v>
      </c>
      <c r="BJ336" s="14">
        <f>IF(ISTEXT(Table2[[#This Row],[j.cam]]),Table2[[#This Row],[j]],Table2[[#This Row],[j.cam]])</f>
        <v>48</v>
      </c>
      <c r="BK336" s="8">
        <v>48</v>
      </c>
      <c r="BL336" s="14">
        <f>IF(ISTEXT(Table2[[#This Row],[k.cam]]), Table2[[#This Row],[k]], Table2[[#This Row],[k.cam]])</f>
        <v>48</v>
      </c>
      <c r="BM336" s="4" t="s">
        <v>24</v>
      </c>
      <c r="BN336" s="8" t="s">
        <v>24</v>
      </c>
      <c r="BO336" s="4">
        <v>5</v>
      </c>
      <c r="BP336" s="4">
        <f>Table2[[#This Row],[final_obs_date]]-Table2[[#This Row],[i]]</f>
        <v>8</v>
      </c>
      <c r="BQ336" s="4" t="b">
        <f>Table2[[#This Row],[final_obs_date2]]&gt;Table2[[#This Row],[estHD]]+3</f>
        <v>1</v>
      </c>
      <c r="BR336" s="3" t="s">
        <v>33</v>
      </c>
      <c r="BS336" s="3" t="s">
        <v>53</v>
      </c>
      <c r="BT336" s="79" t="s">
        <v>1210</v>
      </c>
      <c r="BU336" s="26" t="s">
        <v>54</v>
      </c>
      <c r="BV336" s="79" t="s">
        <v>1580</v>
      </c>
      <c r="BW336" s="49"/>
      <c r="BX336" s="66" t="s">
        <v>966</v>
      </c>
      <c r="BY336" s="36" t="s">
        <v>695</v>
      </c>
    </row>
    <row r="337" spans="1:77" hidden="1" x14ac:dyDescent="0.35">
      <c r="A337" s="63">
        <v>20241</v>
      </c>
      <c r="B337" s="2" t="s">
        <v>35</v>
      </c>
      <c r="C337" s="45">
        <v>2020</v>
      </c>
      <c r="D337" s="3">
        <v>29.76202</v>
      </c>
      <c r="E337" s="3">
        <v>-93.137699999999995</v>
      </c>
      <c r="F337" s="3" t="s">
        <v>24</v>
      </c>
      <c r="G337" s="3" t="s">
        <v>24</v>
      </c>
      <c r="H337" s="3" t="s">
        <v>26</v>
      </c>
      <c r="I337" s="43"/>
      <c r="J337" s="55" t="s">
        <v>24</v>
      </c>
      <c r="K337" s="4" t="s">
        <v>24</v>
      </c>
      <c r="L337" s="22" t="str">
        <f>IF(ISNUMBER(Table2[[#This Row],[estHD]]),ABS(Table2[[#This Row],[HD]]-Table2[[#This Row],[estHD]]),"NA")</f>
        <v>NA</v>
      </c>
      <c r="M337" s="4" t="b">
        <f>Table2[[#This Row],[HD]]=Table2[[#This Row],[estHD]]</f>
        <v>1</v>
      </c>
      <c r="N337" s="4" t="str">
        <f>IF(ISNUMBER([1]!Table2[[#This Row],[hatch_date]]),[1]!Table2[[#This Row],[hatch_date]]-19,"NA")</f>
        <v>NA</v>
      </c>
      <c r="O337" s="31" t="s">
        <v>24</v>
      </c>
      <c r="P337" s="23" t="str">
        <f>IF(ISNUMBER(Table2[[#This Row],[nest_age1]]),ABS(Table2[[#This Row],[nest_age1]]-Table2[[#This Row],[nest_age_feb]]),"NA")</f>
        <v>NA</v>
      </c>
      <c r="Q337" s="24">
        <f>IF(ISNUMBER(Table2[[#This Row],[final_obs_int2]]),ABS(Table2[[#This Row],[final_obs_int2]]-Table2[[#This Row],[final_obs_int_feb]]), "NA")</f>
        <v>0</v>
      </c>
      <c r="R337" s="24"/>
      <c r="S337" s="57" t="s">
        <v>88</v>
      </c>
      <c r="T337" s="57" t="str">
        <f>Table2[[#This Row],[camera_old]]</f>
        <v>N</v>
      </c>
      <c r="U337" s="24"/>
      <c r="V337" s="16" t="s">
        <v>24</v>
      </c>
      <c r="W337" s="16" t="s">
        <v>24</v>
      </c>
      <c r="X337" s="145">
        <v>4</v>
      </c>
      <c r="Y337" s="147" t="s">
        <v>65</v>
      </c>
      <c r="Z337" s="146" t="s">
        <v>65</v>
      </c>
      <c r="AA337" s="4" t="str">
        <f>Table2[[#This Row],[field_fate]]</f>
        <v>Ca</v>
      </c>
      <c r="AB337" s="4" t="str">
        <f>Table2[[#This Row],[field_fate2]]</f>
        <v>Ca</v>
      </c>
      <c r="AC337" s="4" t="str">
        <f>Table2[[#This Row],[field_fate3]]</f>
        <v>Ca</v>
      </c>
      <c r="AD337" s="4" t="str">
        <f>Table2[[#This Row],[field_fate4]]</f>
        <v>Ca</v>
      </c>
      <c r="AE337" s="4" t="str">
        <f>Table2[[#This Row],[field_fate5]]</f>
        <v>Ca</v>
      </c>
      <c r="AF337" s="4" t="str">
        <f>Table2[[#This Row],[field_fate5]]</f>
        <v>Ca</v>
      </c>
      <c r="AG337" s="4" t="str">
        <f>Table2[[#This Row],[field_fate5]]</f>
        <v>Ca</v>
      </c>
      <c r="AH337" s="4" t="str">
        <f>Table2[[#This Row],[field_fate2]]</f>
        <v>Ca</v>
      </c>
      <c r="AI337" s="4" t="str">
        <f>Table2[[#This Row],[field_fate8]]</f>
        <v>Ca</v>
      </c>
      <c r="AJ337" s="4" t="str">
        <f>Table2[[#This Row],[field_fate10]]</f>
        <v>Ca</v>
      </c>
      <c r="AK337" s="4" t="b">
        <f>Table2[[#This Row],[field_fate_feb]]=Table2[[#This Row],[field_fate10]]</f>
        <v>1</v>
      </c>
      <c r="AL337" s="43" t="s">
        <v>24</v>
      </c>
      <c r="AM337" s="43" t="b">
        <f>Table2[[#This Row],[cam_fate2]]="NA"</f>
        <v>1</v>
      </c>
      <c r="AN337" s="19" t="str">
        <f>Table2[[#This Row],[cam_fate1]]</f>
        <v>NA</v>
      </c>
      <c r="AO337" s="2" t="s">
        <v>65</v>
      </c>
      <c r="AP337" s="5" t="str">
        <f>Table2[[#This Row],[final_fate1]]</f>
        <v>Ca</v>
      </c>
      <c r="AQ337" s="6" t="s">
        <v>24</v>
      </c>
      <c r="AR337" s="7" t="s">
        <v>24</v>
      </c>
      <c r="AS337" s="7" t="e">
        <f>Table2[[#This Row],[final_obs_date]]-Table2[[#This Row],[init_date]]</f>
        <v>#VALUE!</v>
      </c>
      <c r="AT337" s="7" t="e">
        <f>(Table2[[#This Row],[final_obs_date2]]-Table2[[#This Row],[estHD]])+16</f>
        <v>#VALUE!</v>
      </c>
      <c r="AU337" s="38">
        <v>4</v>
      </c>
      <c r="AV337" s="33">
        <v>4</v>
      </c>
      <c r="AW337" s="33">
        <f>Table2[[#This Row],[final_obs_date2]]-Table2[[#This Row],[pen_obs_date]]</f>
        <v>55</v>
      </c>
      <c r="AX337" s="67">
        <v>55</v>
      </c>
      <c r="AY337" s="6">
        <f>Table2[[#This Row],[final_obs_date]]</f>
        <v>55</v>
      </c>
      <c r="AZ337" s="6"/>
      <c r="BA337" s="91" t="s">
        <v>47</v>
      </c>
      <c r="BB337" s="6" t="e">
        <f>Table2[[#This Row],[final_obs_date]]&lt;(Table2[[#This Row],[estHD]]-2)</f>
        <v>#VALUE!</v>
      </c>
      <c r="BC337" s="24">
        <f>IF(Table2[[#This Row],[field_fate]]="H",1,0)</f>
        <v>0</v>
      </c>
      <c r="BD337" s="16">
        <f>IF(Table2[[#This Row],[cam_fate2]]="H",1,0)</f>
        <v>0</v>
      </c>
      <c r="BE337" s="6" t="b">
        <f>NOT(Table2[[#This Row],[HF_C]]=Table2[[#This Row],[HF]])</f>
        <v>0</v>
      </c>
      <c r="BF337" s="6" t="b">
        <f>NOT(Table2[[#This Row],[cam_fate2]]=Table2[[#This Row],[field_fate3]])</f>
        <v>1</v>
      </c>
      <c r="BG337" s="6" t="b">
        <f>OR(Table2[[#This Row],[field_fate3]]="U",Table2[[#This Row],[field_fate3]]="U-H")</f>
        <v>0</v>
      </c>
      <c r="BH337" s="8">
        <v>45</v>
      </c>
      <c r="BI337" s="8">
        <v>51</v>
      </c>
      <c r="BJ337" s="14">
        <f>IF(ISTEXT(Table2[[#This Row],[j.cam]]),Table2[[#This Row],[j]],Table2[[#This Row],[j.cam]])</f>
        <v>51</v>
      </c>
      <c r="BK337" s="9">
        <v>55</v>
      </c>
      <c r="BL337" s="15">
        <f>IF(ISTEXT(Table2[[#This Row],[k.cam]]), Table2[[#This Row],[k]], Table2[[#This Row],[k.cam]])</f>
        <v>55</v>
      </c>
      <c r="BM337" s="4" t="s">
        <v>24</v>
      </c>
      <c r="BN337" s="8" t="s">
        <v>24</v>
      </c>
      <c r="BO337" s="4">
        <v>5</v>
      </c>
      <c r="BP337" s="4">
        <f>Table2[[#This Row],[final_obs_date]]-Table2[[#This Row],[i]]</f>
        <v>10</v>
      </c>
      <c r="BQ337" s="4" t="e">
        <f>Table2[[#This Row],[final_obs_date2]]&gt;Table2[[#This Row],[estHD]]+3</f>
        <v>#VALUE!</v>
      </c>
      <c r="BR337" s="4" t="s">
        <v>33</v>
      </c>
      <c r="BS337" s="4" t="s">
        <v>45</v>
      </c>
      <c r="BT337" s="79" t="s">
        <v>1211</v>
      </c>
      <c r="BU337" s="26" t="s">
        <v>287</v>
      </c>
      <c r="BV337" s="79" t="s">
        <v>1581</v>
      </c>
      <c r="BW337" s="49"/>
      <c r="BX337" s="47"/>
      <c r="BY337" s="36" t="s">
        <v>24</v>
      </c>
    </row>
    <row r="338" spans="1:77" hidden="1" x14ac:dyDescent="0.35">
      <c r="A338" s="63">
        <v>20242</v>
      </c>
      <c r="B338" s="2" t="s">
        <v>122</v>
      </c>
      <c r="C338" s="45">
        <v>2020</v>
      </c>
      <c r="D338" s="3">
        <v>29.758890000000001</v>
      </c>
      <c r="E338" s="3">
        <v>-93.123040000000003</v>
      </c>
      <c r="F338" s="3">
        <v>20</v>
      </c>
      <c r="G338" s="3">
        <v>20</v>
      </c>
      <c r="H338" s="3" t="s">
        <v>462</v>
      </c>
      <c r="I338" s="43"/>
      <c r="J338" s="55">
        <v>47</v>
      </c>
      <c r="K338" s="4">
        <v>47</v>
      </c>
      <c r="L338" s="22">
        <f>IF(ISNUMBER(Table2[[#This Row],[estHD]]),ABS(Table2[[#This Row],[HD]]-Table2[[#This Row],[estHD]]),"NA")</f>
        <v>0</v>
      </c>
      <c r="M338" s="4" t="b">
        <f>Table2[[#This Row],[HD]]=Table2[[#This Row],[estHD]]</f>
        <v>1</v>
      </c>
      <c r="N338" s="4" t="str">
        <f>IF(ISNUMBER([1]!Table2[[#This Row],[hatch_date]]), [1]!Table2[[#This Row],[hatch_date]]-28, "NA")</f>
        <v>NA</v>
      </c>
      <c r="O338" s="31">
        <v>19</v>
      </c>
      <c r="P338" s="23">
        <f>IF(ISNUMBER(Table2[[#This Row],[nest_age1]]),ABS(Table2[[#This Row],[nest_age1]]-Table2[[#This Row],[nest_age_feb]]),"NA")</f>
        <v>1</v>
      </c>
      <c r="Q338" s="24">
        <f>IF(ISNUMBER(Table2[[#This Row],[final_obs_int2]]),ABS(Table2[[#This Row],[final_obs_int2]]-Table2[[#This Row],[final_obs_int_feb]]), "NA")</f>
        <v>0</v>
      </c>
      <c r="R338" s="24"/>
      <c r="S338" s="57" t="s">
        <v>88</v>
      </c>
      <c r="T338" s="57" t="str">
        <f>Table2[[#This Row],[camera_old]]</f>
        <v>N</v>
      </c>
      <c r="U338" s="24"/>
      <c r="V338" s="16" t="s">
        <v>24</v>
      </c>
      <c r="W338" s="16">
        <v>27</v>
      </c>
      <c r="X338" s="145">
        <v>2</v>
      </c>
      <c r="Y338" s="147" t="s">
        <v>37</v>
      </c>
      <c r="Z338" s="146" t="s">
        <v>37</v>
      </c>
      <c r="AA338" s="4" t="str">
        <f>Table2[[#This Row],[field_fate]]</f>
        <v>H</v>
      </c>
      <c r="AB338" s="4" t="str">
        <f>Table2[[#This Row],[field_fate2]]</f>
        <v>H</v>
      </c>
      <c r="AC338" s="4" t="str">
        <f>Table2[[#This Row],[field_fate3]]</f>
        <v>H</v>
      </c>
      <c r="AD338" s="4" t="str">
        <f>Table2[[#This Row],[field_fate4]]</f>
        <v>H</v>
      </c>
      <c r="AE338" s="4" t="str">
        <f>Table2[[#This Row],[field_fate5]]</f>
        <v>H</v>
      </c>
      <c r="AF338" s="4" t="str">
        <f>Table2[[#This Row],[field_fate5]]</f>
        <v>H</v>
      </c>
      <c r="AG338" s="4" t="str">
        <f>Table2[[#This Row],[field_fate5]]</f>
        <v>H</v>
      </c>
      <c r="AH338" s="4" t="str">
        <f>Table2[[#This Row],[field_fate2]]</f>
        <v>H</v>
      </c>
      <c r="AI338" s="4" t="str">
        <f>Table2[[#This Row],[field_fate8]]</f>
        <v>H</v>
      </c>
      <c r="AJ338" s="4" t="str">
        <f>Table2[[#This Row],[field_fate10]]</f>
        <v>H</v>
      </c>
      <c r="AK338" s="4" t="b">
        <f>Table2[[#This Row],[field_fate_feb]]=Table2[[#This Row],[field_fate10]]</f>
        <v>1</v>
      </c>
      <c r="AL338" s="43" t="s">
        <v>24</v>
      </c>
      <c r="AM338" s="43" t="b">
        <f>Table2[[#This Row],[cam_fate2]]="NA"</f>
        <v>1</v>
      </c>
      <c r="AN338" s="19" t="str">
        <f>Table2[[#This Row],[cam_fate1]]</f>
        <v>NA</v>
      </c>
      <c r="AO338" s="2" t="s">
        <v>37</v>
      </c>
      <c r="AP338" s="5" t="str">
        <f>Table2[[#This Row],[final_fate1]]</f>
        <v>H</v>
      </c>
      <c r="AQ338" s="6">
        <v>28</v>
      </c>
      <c r="AR338" s="7">
        <v>28</v>
      </c>
      <c r="AS338" s="7">
        <f>Table2[[#This Row],[final_obs_date]]-Table2[[#This Row],[init_date]]</f>
        <v>28</v>
      </c>
      <c r="AT338" s="7">
        <f>(Table2[[#This Row],[final_obs_date2]]-Table2[[#This Row],[estHD]])+16</f>
        <v>16</v>
      </c>
      <c r="AU338" s="38">
        <v>2</v>
      </c>
      <c r="AV338" s="33">
        <v>2</v>
      </c>
      <c r="AW338" s="33">
        <f>Table2[[#This Row],[final_obs_date2]]-Table2[[#This Row],[pen_obs_date]]</f>
        <v>47</v>
      </c>
      <c r="AX338" s="67">
        <v>47</v>
      </c>
      <c r="AY338" s="6">
        <f>Table2[[#This Row],[final_obs_date]]</f>
        <v>47</v>
      </c>
      <c r="AZ338" s="6"/>
      <c r="BA338" s="91" t="s">
        <v>23</v>
      </c>
      <c r="BB338" s="6" t="b">
        <f>Table2[[#This Row],[final_obs_date]]&lt;(Table2[[#This Row],[estHD]]-2)</f>
        <v>0</v>
      </c>
      <c r="BC338" s="24">
        <f>IF(Table2[[#This Row],[field_fate]]="H",1,0)</f>
        <v>1</v>
      </c>
      <c r="BD338" s="16">
        <f>IF(Table2[[#This Row],[cam_fate2]]="H",1,0)</f>
        <v>0</v>
      </c>
      <c r="BE338" s="6" t="b">
        <f>NOT(Table2[[#This Row],[HF_C]]=Table2[[#This Row],[HF]])</f>
        <v>1</v>
      </c>
      <c r="BF338" s="6" t="b">
        <f>NOT(Table2[[#This Row],[cam_fate2]]=Table2[[#This Row],[field_fate3]])</f>
        <v>1</v>
      </c>
      <c r="BG338" s="6" t="b">
        <f>OR(Table2[[#This Row],[field_fate3]]="U",Table2[[#This Row],[field_fate3]]="U-H")</f>
        <v>0</v>
      </c>
      <c r="BH338" s="8">
        <v>45</v>
      </c>
      <c r="BI338" s="8">
        <v>47</v>
      </c>
      <c r="BJ338" s="14">
        <f>IF(ISTEXT(Table2[[#This Row],[j.cam]]),Table2[[#This Row],[j]],Table2[[#This Row],[j.cam]])</f>
        <v>47</v>
      </c>
      <c r="BK338" s="9">
        <v>47</v>
      </c>
      <c r="BL338" s="15">
        <f>IF(ISTEXT(Table2[[#This Row],[k.cam]]), Table2[[#This Row],[k]], Table2[[#This Row],[k.cam]])</f>
        <v>47</v>
      </c>
      <c r="BM338" s="4" t="s">
        <v>24</v>
      </c>
      <c r="BN338" s="8" t="s">
        <v>24</v>
      </c>
      <c r="BO338" s="4">
        <v>2</v>
      </c>
      <c r="BP338" s="4">
        <f>Table2[[#This Row],[final_obs_date]]-Table2[[#This Row],[i]]</f>
        <v>2</v>
      </c>
      <c r="BQ338" s="4" t="b">
        <f>Table2[[#This Row],[final_obs_date2]]&gt;Table2[[#This Row],[estHD]]+3</f>
        <v>0</v>
      </c>
      <c r="BR338" s="4" t="s">
        <v>27</v>
      </c>
      <c r="BS338" s="4" t="s">
        <v>288</v>
      </c>
      <c r="BT338" s="79" t="s">
        <v>1212</v>
      </c>
      <c r="BU338" s="26" t="s">
        <v>289</v>
      </c>
      <c r="BV338" s="79" t="s">
        <v>1456</v>
      </c>
      <c r="BW338" s="49"/>
      <c r="BX338" s="47"/>
      <c r="BY338" s="36" t="s">
        <v>696</v>
      </c>
    </row>
    <row r="339" spans="1:77" hidden="1" x14ac:dyDescent="0.35">
      <c r="A339" s="63">
        <v>20243</v>
      </c>
      <c r="B339" s="2" t="s">
        <v>122</v>
      </c>
      <c r="C339" s="45">
        <v>2020</v>
      </c>
      <c r="D339" s="3">
        <v>29.758859999999999</v>
      </c>
      <c r="E339" s="3">
        <v>-93.123019999999997</v>
      </c>
      <c r="F339" s="3">
        <v>20</v>
      </c>
      <c r="G339" s="3">
        <v>20</v>
      </c>
      <c r="H339" s="3" t="s">
        <v>462</v>
      </c>
      <c r="I339" s="43"/>
      <c r="J339" s="55">
        <v>57</v>
      </c>
      <c r="K339" s="4">
        <v>57</v>
      </c>
      <c r="L339" s="22">
        <f>IF(ISNUMBER(Table2[[#This Row],[estHD]]),ABS(Table2[[#This Row],[HD]]-Table2[[#This Row],[estHD]]),"NA")</f>
        <v>0</v>
      </c>
      <c r="M339" s="4" t="b">
        <f>Table2[[#This Row],[HD]]=Table2[[#This Row],[estHD]]</f>
        <v>1</v>
      </c>
      <c r="N339" s="4" t="str">
        <f>IF(ISNUMBER([1]!Table2[[#This Row],[hatch_date]]),[1]!Table2[[#This Row],[hatch_date]]-19,"NA")</f>
        <v>NA</v>
      </c>
      <c r="O339" s="31">
        <v>38</v>
      </c>
      <c r="P339" s="23">
        <f>IF(ISNUMBER(Table2[[#This Row],[nest_age1]]),ABS(Table2[[#This Row],[nest_age1]]-Table2[[#This Row],[nest_age_feb]]),"NA")</f>
        <v>1</v>
      </c>
      <c r="Q339" s="24">
        <f>IF(ISNUMBER(Table2[[#This Row],[final_obs_int2]]),ABS(Table2[[#This Row],[final_obs_int2]]-Table2[[#This Row],[final_obs_int_feb]]), "NA")</f>
        <v>0</v>
      </c>
      <c r="R339" s="24"/>
      <c r="S339" s="57" t="s">
        <v>88</v>
      </c>
      <c r="T339" s="57" t="str">
        <f>Table2[[#This Row],[camera_old]]</f>
        <v>N</v>
      </c>
      <c r="U339" s="24"/>
      <c r="V339" s="16" t="s">
        <v>24</v>
      </c>
      <c r="W339" s="16">
        <v>19</v>
      </c>
      <c r="X339" s="145">
        <v>2</v>
      </c>
      <c r="Y339" s="147" t="s">
        <v>37</v>
      </c>
      <c r="Z339" s="146" t="s">
        <v>37</v>
      </c>
      <c r="AA339" s="4" t="str">
        <f>Table2[[#This Row],[field_fate]]</f>
        <v>H</v>
      </c>
      <c r="AB339" s="4" t="str">
        <f>Table2[[#This Row],[field_fate2]]</f>
        <v>H</v>
      </c>
      <c r="AC339" s="4" t="str">
        <f>Table2[[#This Row],[field_fate3]]</f>
        <v>H</v>
      </c>
      <c r="AD339" s="4" t="str">
        <f>Table2[[#This Row],[field_fate4]]</f>
        <v>H</v>
      </c>
      <c r="AE339" s="4" t="str">
        <f>Table2[[#This Row],[field_fate5]]</f>
        <v>H</v>
      </c>
      <c r="AF339" s="4" t="str">
        <f>Table2[[#This Row],[field_fate5]]</f>
        <v>H</v>
      </c>
      <c r="AG339" s="4" t="str">
        <f>Table2[[#This Row],[field_fate5]]</f>
        <v>H</v>
      </c>
      <c r="AH339" s="4" t="str">
        <f>Table2[[#This Row],[field_fate2]]</f>
        <v>H</v>
      </c>
      <c r="AI339" s="4" t="str">
        <f>Table2[[#This Row],[field_fate8]]</f>
        <v>H</v>
      </c>
      <c r="AJ339" s="4" t="str">
        <f>Table2[[#This Row],[field_fate10]]</f>
        <v>H</v>
      </c>
      <c r="AK339" s="4" t="b">
        <f>Table2[[#This Row],[field_fate_feb]]=Table2[[#This Row],[field_fate10]]</f>
        <v>1</v>
      </c>
      <c r="AL339" s="43" t="s">
        <v>24</v>
      </c>
      <c r="AM339" s="43" t="b">
        <f>Table2[[#This Row],[cam_fate2]]="NA"</f>
        <v>1</v>
      </c>
      <c r="AN339" s="19" t="str">
        <f>Table2[[#This Row],[cam_fate1]]</f>
        <v>NA</v>
      </c>
      <c r="AO339" s="2" t="s">
        <v>37</v>
      </c>
      <c r="AP339" s="5" t="str">
        <f>Table2[[#This Row],[final_fate1]]</f>
        <v>H</v>
      </c>
      <c r="AQ339" s="6">
        <v>20</v>
      </c>
      <c r="AR339" s="7">
        <v>20</v>
      </c>
      <c r="AS339" s="7">
        <f>Table2[[#This Row],[final_obs_date]]-Table2[[#This Row],[init_date]]</f>
        <v>20</v>
      </c>
      <c r="AT339" s="7">
        <f>(Table2[[#This Row],[final_obs_date2]]-Table2[[#This Row],[estHD]])+16</f>
        <v>17</v>
      </c>
      <c r="AU339" s="38">
        <v>2</v>
      </c>
      <c r="AV339" s="33">
        <v>2</v>
      </c>
      <c r="AW339" s="33">
        <f>Table2[[#This Row],[final_obs_date2]]-Table2[[#This Row],[pen_obs_date]]</f>
        <v>58</v>
      </c>
      <c r="AX339" s="67">
        <v>58</v>
      </c>
      <c r="AY339" s="6">
        <f>Table2[[#This Row],[final_obs_date]]</f>
        <v>58</v>
      </c>
      <c r="AZ339" s="6"/>
      <c r="BA339" s="91" t="s">
        <v>47</v>
      </c>
      <c r="BB339" s="6" t="b">
        <f>Table2[[#This Row],[final_obs_date]]&lt;(Table2[[#This Row],[estHD]]-2)</f>
        <v>0</v>
      </c>
      <c r="BC339" s="24">
        <f>IF(Table2[[#This Row],[field_fate]]="H",1,0)</f>
        <v>1</v>
      </c>
      <c r="BD339" s="16">
        <f>IF(Table2[[#This Row],[cam_fate2]]="H",1,0)</f>
        <v>0</v>
      </c>
      <c r="BE339" s="6" t="b">
        <f>NOT(Table2[[#This Row],[HF_C]]=Table2[[#This Row],[HF]])</f>
        <v>1</v>
      </c>
      <c r="BF339" s="6" t="b">
        <f>NOT(Table2[[#This Row],[cam_fate2]]=Table2[[#This Row],[field_fate3]])</f>
        <v>1</v>
      </c>
      <c r="BG339" s="6" t="b">
        <f>OR(Table2[[#This Row],[field_fate3]]="U",Table2[[#This Row],[field_fate3]]="U-H")</f>
        <v>0</v>
      </c>
      <c r="BH339" s="8">
        <v>45</v>
      </c>
      <c r="BI339" s="8">
        <v>57</v>
      </c>
      <c r="BJ339" s="14">
        <f>IF(ISTEXT(Table2[[#This Row],[j.cam]]),Table2[[#This Row],[j]],Table2[[#This Row],[j.cam]])</f>
        <v>57</v>
      </c>
      <c r="BK339" s="9">
        <v>57</v>
      </c>
      <c r="BL339" s="15">
        <f>IF(ISTEXT(Table2[[#This Row],[k.cam]]), Table2[[#This Row],[k]], Table2[[#This Row],[k.cam]])</f>
        <v>57</v>
      </c>
      <c r="BM339" s="4" t="s">
        <v>24</v>
      </c>
      <c r="BN339" s="8" t="s">
        <v>24</v>
      </c>
      <c r="BO339" s="4">
        <v>6</v>
      </c>
      <c r="BP339" s="4">
        <f>Table2[[#This Row],[final_obs_date]]-Table2[[#This Row],[i]]</f>
        <v>13</v>
      </c>
      <c r="BQ339" s="4" t="b">
        <f>Table2[[#This Row],[final_obs_date2]]&gt;Table2[[#This Row],[estHD]]+3</f>
        <v>0</v>
      </c>
      <c r="BR339" s="4" t="s">
        <v>27</v>
      </c>
      <c r="BS339" s="4" t="s">
        <v>45</v>
      </c>
      <c r="BT339" s="79" t="s">
        <v>1213</v>
      </c>
      <c r="BU339" s="26" t="s">
        <v>290</v>
      </c>
      <c r="BV339" s="79" t="s">
        <v>1582</v>
      </c>
      <c r="BW339" s="49"/>
      <c r="BX339" s="47"/>
      <c r="BY339" s="36" t="s">
        <v>697</v>
      </c>
    </row>
    <row r="340" spans="1:77" hidden="1" x14ac:dyDescent="0.35">
      <c r="A340" s="63">
        <v>20244</v>
      </c>
      <c r="B340" s="2" t="s">
        <v>122</v>
      </c>
      <c r="C340" s="45">
        <v>2020</v>
      </c>
      <c r="D340" s="3">
        <v>29.75732</v>
      </c>
      <c r="E340" s="3">
        <v>-93.115369999999999</v>
      </c>
      <c r="F340" s="3">
        <v>30</v>
      </c>
      <c r="G340" s="3">
        <v>30</v>
      </c>
      <c r="H340" s="3" t="s">
        <v>291</v>
      </c>
      <c r="I340" s="43"/>
      <c r="J340" s="55">
        <v>57</v>
      </c>
      <c r="K340" s="4">
        <v>57</v>
      </c>
      <c r="L340" s="22">
        <f>IF(ISNUMBER(Table2[[#This Row],[estHD]]),ABS(Table2[[#This Row],[HD]]-Table2[[#This Row],[estHD]]),"NA")</f>
        <v>0</v>
      </c>
      <c r="M340" s="4" t="b">
        <f>Table2[[#This Row],[HD]]=Table2[[#This Row],[estHD]]</f>
        <v>1</v>
      </c>
      <c r="N340" s="4" t="str">
        <f>IF(ISNUMBER([1]!Table2[[#This Row],[hatch_date]]),[1]!Table2[[#This Row],[hatch_date]]-19,"NA")</f>
        <v>NA</v>
      </c>
      <c r="O340" s="31">
        <v>38</v>
      </c>
      <c r="P340" s="23">
        <f>IF(ISNUMBER(Table2[[#This Row],[nest_age1]]),ABS(Table2[[#This Row],[nest_age1]]-Table2[[#This Row],[nest_age_feb]]),"NA")</f>
        <v>1</v>
      </c>
      <c r="Q340" s="24">
        <f>IF(ISNUMBER(Table2[[#This Row],[final_obs_int2]]),ABS(Table2[[#This Row],[final_obs_int2]]-Table2[[#This Row],[final_obs_int_feb]]), "NA")</f>
        <v>0</v>
      </c>
      <c r="R340" s="24"/>
      <c r="S340" s="57" t="s">
        <v>88</v>
      </c>
      <c r="T340" s="57" t="str">
        <f>Table2[[#This Row],[camera_old]]</f>
        <v>N</v>
      </c>
      <c r="U340" s="24"/>
      <c r="V340" s="16" t="s">
        <v>24</v>
      </c>
      <c r="W340" s="16">
        <v>9</v>
      </c>
      <c r="X340" s="145">
        <v>3</v>
      </c>
      <c r="Y340" s="147" t="s">
        <v>65</v>
      </c>
      <c r="Z340" s="146" t="s">
        <v>65</v>
      </c>
      <c r="AA340" s="4" t="str">
        <f>Table2[[#This Row],[field_fate]]</f>
        <v>Ca</v>
      </c>
      <c r="AB340" s="4" t="str">
        <f>Table2[[#This Row],[field_fate2]]</f>
        <v>Ca</v>
      </c>
      <c r="AC340" s="4" t="str">
        <f>Table2[[#This Row],[field_fate3]]</f>
        <v>Ca</v>
      </c>
      <c r="AD340" s="4" t="str">
        <f>Table2[[#This Row],[field_fate4]]</f>
        <v>Ca</v>
      </c>
      <c r="AE340" s="4" t="str">
        <f>Table2[[#This Row],[field_fate5]]</f>
        <v>Ca</v>
      </c>
      <c r="AF340" s="4" t="str">
        <f>Table2[[#This Row],[field_fate5]]</f>
        <v>Ca</v>
      </c>
      <c r="AG340" s="4" t="str">
        <f>Table2[[#This Row],[field_fate5]]</f>
        <v>Ca</v>
      </c>
      <c r="AH340" s="4" t="str">
        <f>Table2[[#This Row],[field_fate2]]</f>
        <v>Ca</v>
      </c>
      <c r="AI340" s="4" t="str">
        <f>Table2[[#This Row],[field_fate8]]</f>
        <v>Ca</v>
      </c>
      <c r="AJ340" s="4" t="str">
        <f>Table2[[#This Row],[field_fate10]]</f>
        <v>Ca</v>
      </c>
      <c r="AK340" s="4" t="b">
        <f>Table2[[#This Row],[field_fate_feb]]=Table2[[#This Row],[field_fate10]]</f>
        <v>1</v>
      </c>
      <c r="AL340" s="43" t="s">
        <v>24</v>
      </c>
      <c r="AM340" s="43" t="b">
        <f>Table2[[#This Row],[cam_fate2]]="NA"</f>
        <v>1</v>
      </c>
      <c r="AN340" s="19" t="str">
        <f>Table2[[#This Row],[cam_fate1]]</f>
        <v>NA</v>
      </c>
      <c r="AO340" s="2" t="s">
        <v>65</v>
      </c>
      <c r="AP340" s="5" t="str">
        <f>Table2[[#This Row],[final_fate1]]</f>
        <v>Ca</v>
      </c>
      <c r="AQ340" s="6">
        <v>10</v>
      </c>
      <c r="AR340" s="7">
        <v>10</v>
      </c>
      <c r="AS340" s="7">
        <f>Table2[[#This Row],[final_obs_date]]-Table2[[#This Row],[init_date]]</f>
        <v>10</v>
      </c>
      <c r="AT340" s="7">
        <f>(Table2[[#This Row],[final_obs_date2]]-Table2[[#This Row],[estHD]])+16</f>
        <v>7</v>
      </c>
      <c r="AU340" s="38">
        <v>3</v>
      </c>
      <c r="AV340" s="33">
        <v>3</v>
      </c>
      <c r="AW340" s="33">
        <f>Table2[[#This Row],[final_obs_date2]]-Table2[[#This Row],[pen_obs_date]]</f>
        <v>48</v>
      </c>
      <c r="AX340" s="67">
        <v>48</v>
      </c>
      <c r="AY340" s="6">
        <f>Table2[[#This Row],[final_obs_date]]</f>
        <v>48</v>
      </c>
      <c r="AZ340" s="6"/>
      <c r="BA340" s="91" t="s">
        <v>47</v>
      </c>
      <c r="BB340" s="6" t="b">
        <f>Table2[[#This Row],[final_obs_date]]&lt;(Table2[[#This Row],[estHD]]-2)</f>
        <v>1</v>
      </c>
      <c r="BC340" s="24">
        <f>IF(Table2[[#This Row],[field_fate]]="H",1,0)</f>
        <v>0</v>
      </c>
      <c r="BD340" s="16">
        <f>IF(Table2[[#This Row],[cam_fate2]]="H",1,0)</f>
        <v>0</v>
      </c>
      <c r="BE340" s="6" t="b">
        <f>NOT(Table2[[#This Row],[HF_C]]=Table2[[#This Row],[HF]])</f>
        <v>0</v>
      </c>
      <c r="BF340" s="6" t="b">
        <f>NOT(Table2[[#This Row],[cam_fate2]]=Table2[[#This Row],[field_fate3]])</f>
        <v>1</v>
      </c>
      <c r="BG340" s="6" t="b">
        <f>OR(Table2[[#This Row],[field_fate3]]="U",Table2[[#This Row],[field_fate3]]="U-H")</f>
        <v>0</v>
      </c>
      <c r="BH340" s="8">
        <v>45</v>
      </c>
      <c r="BI340" s="8">
        <v>45</v>
      </c>
      <c r="BJ340" s="14">
        <f>IF(ISTEXT(Table2[[#This Row],[j.cam]]),Table2[[#This Row],[j]],Table2[[#This Row],[j.cam]])</f>
        <v>45</v>
      </c>
      <c r="BK340" s="9">
        <v>48</v>
      </c>
      <c r="BL340" s="15">
        <f>IF(ISTEXT(Table2[[#This Row],[k.cam]]), Table2[[#This Row],[k]], Table2[[#This Row],[k.cam]])</f>
        <v>48</v>
      </c>
      <c r="BM340" s="4" t="s">
        <v>24</v>
      </c>
      <c r="BN340" s="8" t="s">
        <v>24</v>
      </c>
      <c r="BO340" s="4">
        <v>2</v>
      </c>
      <c r="BP340" s="4">
        <f>Table2[[#This Row],[final_obs_date]]-Table2[[#This Row],[i]]</f>
        <v>3</v>
      </c>
      <c r="BQ340" s="4" t="b">
        <f>Table2[[#This Row],[final_obs_date2]]&gt;Table2[[#This Row],[estHD]]+3</f>
        <v>0</v>
      </c>
      <c r="BR340" s="4" t="s">
        <v>33</v>
      </c>
      <c r="BS340" s="4" t="s">
        <v>45</v>
      </c>
      <c r="BT340" s="79" t="s">
        <v>1214</v>
      </c>
      <c r="BU340" s="26" t="s">
        <v>87</v>
      </c>
      <c r="BV340" s="79" t="s">
        <v>1430</v>
      </c>
      <c r="BW340" s="49"/>
      <c r="BX340" s="47"/>
      <c r="BY340" s="36" t="s">
        <v>24</v>
      </c>
    </row>
    <row r="341" spans="1:77" hidden="1" x14ac:dyDescent="0.35">
      <c r="A341" s="63">
        <v>20245</v>
      </c>
      <c r="B341" s="2" t="s">
        <v>122</v>
      </c>
      <c r="C341" s="45">
        <v>2020</v>
      </c>
      <c r="D341" s="3">
        <v>29.757349999999999</v>
      </c>
      <c r="E341" s="3">
        <v>-93.115189999999998</v>
      </c>
      <c r="F341" s="3">
        <v>30</v>
      </c>
      <c r="G341" s="3">
        <v>30</v>
      </c>
      <c r="H341" s="3" t="s">
        <v>291</v>
      </c>
      <c r="I341" s="43"/>
      <c r="J341" s="55">
        <v>54</v>
      </c>
      <c r="K341" s="4">
        <v>54</v>
      </c>
      <c r="L341" s="22">
        <f>IF(ISNUMBER(Table2[[#This Row],[estHD]]),ABS(Table2[[#This Row],[HD]]-Table2[[#This Row],[estHD]]),"NA")</f>
        <v>0</v>
      </c>
      <c r="M341" s="4" t="b">
        <f>Table2[[#This Row],[HD]]=Table2[[#This Row],[estHD]]</f>
        <v>1</v>
      </c>
      <c r="N341" s="4" t="str">
        <f>IF(ISNUMBER([1]!Table2[[#This Row],[hatch_date]]),[1]!Table2[[#This Row],[hatch_date]]-19,"NA")</f>
        <v>NA</v>
      </c>
      <c r="O341" s="31">
        <v>35</v>
      </c>
      <c r="P341" s="23">
        <f>IF(ISNUMBER(Table2[[#This Row],[nest_age1]]),ABS(Table2[[#This Row],[nest_age1]]-Table2[[#This Row],[nest_age_feb]]),"NA")</f>
        <v>1</v>
      </c>
      <c r="Q341" s="24">
        <f>IF(ISNUMBER(Table2[[#This Row],[final_obs_int2]]),ABS(Table2[[#This Row],[final_obs_int2]]-Table2[[#This Row],[final_obs_int_feb]]), "NA")</f>
        <v>0</v>
      </c>
      <c r="R341" s="24"/>
      <c r="S341" s="57" t="s">
        <v>88</v>
      </c>
      <c r="T341" s="57" t="str">
        <f>Table2[[#This Row],[camera_old]]</f>
        <v>N</v>
      </c>
      <c r="U341" s="24"/>
      <c r="V341" s="16" t="s">
        <v>24</v>
      </c>
      <c r="W341" s="16">
        <v>12</v>
      </c>
      <c r="X341" s="145">
        <v>3</v>
      </c>
      <c r="Y341" s="147" t="s">
        <v>65</v>
      </c>
      <c r="Z341" s="146" t="s">
        <v>65</v>
      </c>
      <c r="AA341" s="4" t="str">
        <f>Table2[[#This Row],[field_fate]]</f>
        <v>Ca</v>
      </c>
      <c r="AB341" s="4" t="str">
        <f>Table2[[#This Row],[field_fate2]]</f>
        <v>Ca</v>
      </c>
      <c r="AC341" s="4" t="str">
        <f>Table2[[#This Row],[field_fate3]]</f>
        <v>Ca</v>
      </c>
      <c r="AD341" s="4" t="str">
        <f>Table2[[#This Row],[field_fate4]]</f>
        <v>Ca</v>
      </c>
      <c r="AE341" s="4" t="str">
        <f>Table2[[#This Row],[field_fate5]]</f>
        <v>Ca</v>
      </c>
      <c r="AF341" s="4" t="str">
        <f>Table2[[#This Row],[field_fate5]]</f>
        <v>Ca</v>
      </c>
      <c r="AG341" s="4" t="str">
        <f>Table2[[#This Row],[field_fate5]]</f>
        <v>Ca</v>
      </c>
      <c r="AH341" s="4" t="str">
        <f>Table2[[#This Row],[field_fate2]]</f>
        <v>Ca</v>
      </c>
      <c r="AI341" s="4" t="str">
        <f>Table2[[#This Row],[field_fate8]]</f>
        <v>Ca</v>
      </c>
      <c r="AJ341" s="4" t="str">
        <f>Table2[[#This Row],[field_fate10]]</f>
        <v>Ca</v>
      </c>
      <c r="AK341" s="4" t="b">
        <f>Table2[[#This Row],[field_fate_feb]]=Table2[[#This Row],[field_fate10]]</f>
        <v>1</v>
      </c>
      <c r="AL341" s="43" t="s">
        <v>24</v>
      </c>
      <c r="AM341" s="43" t="b">
        <f>Table2[[#This Row],[cam_fate2]]="NA"</f>
        <v>1</v>
      </c>
      <c r="AN341" s="19" t="str">
        <f>Table2[[#This Row],[cam_fate1]]</f>
        <v>NA</v>
      </c>
      <c r="AO341" s="2" t="s">
        <v>65</v>
      </c>
      <c r="AP341" s="5" t="str">
        <f>Table2[[#This Row],[final_fate1]]</f>
        <v>Ca</v>
      </c>
      <c r="AQ341" s="6">
        <v>13</v>
      </c>
      <c r="AR341" s="7">
        <v>13</v>
      </c>
      <c r="AS341" s="7">
        <f>Table2[[#This Row],[final_obs_date]]-Table2[[#This Row],[init_date]]</f>
        <v>13</v>
      </c>
      <c r="AT341" s="7">
        <f>(Table2[[#This Row],[final_obs_date2]]-Table2[[#This Row],[estHD]])+16</f>
        <v>10</v>
      </c>
      <c r="AU341" s="38">
        <v>3</v>
      </c>
      <c r="AV341" s="33">
        <v>3</v>
      </c>
      <c r="AW341" s="33">
        <f>Table2[[#This Row],[final_obs_date2]]-Table2[[#This Row],[pen_obs_date]]</f>
        <v>48</v>
      </c>
      <c r="AX341" s="67">
        <v>48</v>
      </c>
      <c r="AY341" s="6">
        <f>Table2[[#This Row],[final_obs_date]]</f>
        <v>48</v>
      </c>
      <c r="AZ341" s="6"/>
      <c r="BA341" s="91" t="s">
        <v>47</v>
      </c>
      <c r="BB341" s="6" t="b">
        <f>Table2[[#This Row],[final_obs_date]]&lt;(Table2[[#This Row],[estHD]]-2)</f>
        <v>1</v>
      </c>
      <c r="BC341" s="24">
        <f>IF(Table2[[#This Row],[field_fate]]="H",1,0)</f>
        <v>0</v>
      </c>
      <c r="BD341" s="16">
        <f>IF(Table2[[#This Row],[cam_fate2]]="H",1,0)</f>
        <v>0</v>
      </c>
      <c r="BE341" s="6" t="b">
        <f>NOT(Table2[[#This Row],[HF_C]]=Table2[[#This Row],[HF]])</f>
        <v>0</v>
      </c>
      <c r="BF341" s="6" t="b">
        <f>NOT(Table2[[#This Row],[cam_fate2]]=Table2[[#This Row],[field_fate3]])</f>
        <v>1</v>
      </c>
      <c r="BG341" s="6" t="b">
        <f>OR(Table2[[#This Row],[field_fate3]]="U",Table2[[#This Row],[field_fate3]]="U-H")</f>
        <v>0</v>
      </c>
      <c r="BH341" s="8">
        <v>45</v>
      </c>
      <c r="BI341" s="8">
        <v>45</v>
      </c>
      <c r="BJ341" s="14">
        <f>IF(ISTEXT(Table2[[#This Row],[j.cam]]),Table2[[#This Row],[j]],Table2[[#This Row],[j.cam]])</f>
        <v>45</v>
      </c>
      <c r="BK341" s="9">
        <v>48</v>
      </c>
      <c r="BL341" s="15">
        <f>IF(ISTEXT(Table2[[#This Row],[k.cam]]), Table2[[#This Row],[k]], Table2[[#This Row],[k.cam]])</f>
        <v>48</v>
      </c>
      <c r="BM341" s="4" t="s">
        <v>24</v>
      </c>
      <c r="BN341" s="8" t="s">
        <v>24</v>
      </c>
      <c r="BO341" s="4">
        <v>2</v>
      </c>
      <c r="BP341" s="4">
        <f>Table2[[#This Row],[final_obs_date]]-Table2[[#This Row],[i]]</f>
        <v>3</v>
      </c>
      <c r="BQ341" s="4" t="b">
        <f>Table2[[#This Row],[final_obs_date2]]&gt;Table2[[#This Row],[estHD]]+3</f>
        <v>0</v>
      </c>
      <c r="BR341" s="4" t="s">
        <v>27</v>
      </c>
      <c r="BS341" s="4" t="s">
        <v>45</v>
      </c>
      <c r="BT341" s="79" t="s">
        <v>1214</v>
      </c>
      <c r="BU341" s="26" t="s">
        <v>183</v>
      </c>
      <c r="BV341" s="79" t="s">
        <v>1430</v>
      </c>
      <c r="BW341" s="49"/>
      <c r="BX341" s="47"/>
      <c r="BY341" s="36" t="s">
        <v>24</v>
      </c>
    </row>
    <row r="342" spans="1:77" hidden="1" x14ac:dyDescent="0.35">
      <c r="A342" s="63">
        <v>20246</v>
      </c>
      <c r="B342" s="2" t="s">
        <v>122</v>
      </c>
      <c r="C342" s="45">
        <v>2020</v>
      </c>
      <c r="D342" s="3">
        <v>29.757259999999999</v>
      </c>
      <c r="E342" s="3">
        <v>-93.115080000000006</v>
      </c>
      <c r="F342" s="3">
        <v>30</v>
      </c>
      <c r="G342" s="3">
        <v>30</v>
      </c>
      <c r="H342" s="3" t="s">
        <v>291</v>
      </c>
      <c r="I342" s="43"/>
      <c r="J342" s="55">
        <v>57</v>
      </c>
      <c r="K342" s="4">
        <v>57</v>
      </c>
      <c r="L342" s="22">
        <f>IF(ISNUMBER(Table2[[#This Row],[estHD]]),ABS(Table2[[#This Row],[HD]]-Table2[[#This Row],[estHD]]),"NA")</f>
        <v>0</v>
      </c>
      <c r="M342" s="4" t="b">
        <f>Table2[[#This Row],[HD]]=Table2[[#This Row],[estHD]]</f>
        <v>1</v>
      </c>
      <c r="N342" s="4" t="str">
        <f>IF(ISNUMBER([1]!Table2[[#This Row],[hatch_date]]),[1]!Table2[[#This Row],[hatch_date]]-19,"NA")</f>
        <v>NA</v>
      </c>
      <c r="O342" s="31">
        <v>38</v>
      </c>
      <c r="P342" s="23">
        <f>IF(ISNUMBER(Table2[[#This Row],[nest_age1]]),ABS(Table2[[#This Row],[nest_age1]]-Table2[[#This Row],[nest_age_feb]]),"NA")</f>
        <v>1</v>
      </c>
      <c r="Q342" s="24">
        <f>IF(ISNUMBER(Table2[[#This Row],[final_obs_int2]]),ABS(Table2[[#This Row],[final_obs_int2]]-Table2[[#This Row],[final_obs_int_feb]]), "NA")</f>
        <v>0</v>
      </c>
      <c r="R342" s="24"/>
      <c r="S342" s="57" t="s">
        <v>88</v>
      </c>
      <c r="T342" s="57" t="str">
        <f>Table2[[#This Row],[camera_old]]</f>
        <v>N</v>
      </c>
      <c r="U342" s="24"/>
      <c r="V342" s="16" t="s">
        <v>24</v>
      </c>
      <c r="W342" s="16">
        <v>9</v>
      </c>
      <c r="X342" s="145">
        <v>3</v>
      </c>
      <c r="Y342" s="147" t="s">
        <v>65</v>
      </c>
      <c r="Z342" s="146" t="s">
        <v>65</v>
      </c>
      <c r="AA342" s="4" t="str">
        <f>Table2[[#This Row],[field_fate]]</f>
        <v>Ca</v>
      </c>
      <c r="AB342" s="4" t="str">
        <f>Table2[[#This Row],[field_fate2]]</f>
        <v>Ca</v>
      </c>
      <c r="AC342" s="4" t="str">
        <f>Table2[[#This Row],[field_fate3]]</f>
        <v>Ca</v>
      </c>
      <c r="AD342" s="4" t="str">
        <f>Table2[[#This Row],[field_fate4]]</f>
        <v>Ca</v>
      </c>
      <c r="AE342" s="4" t="str">
        <f>Table2[[#This Row],[field_fate5]]</f>
        <v>Ca</v>
      </c>
      <c r="AF342" s="4" t="str">
        <f>Table2[[#This Row],[field_fate5]]</f>
        <v>Ca</v>
      </c>
      <c r="AG342" s="4" t="str">
        <f>Table2[[#This Row],[field_fate5]]</f>
        <v>Ca</v>
      </c>
      <c r="AH342" s="4" t="str">
        <f>Table2[[#This Row],[field_fate2]]</f>
        <v>Ca</v>
      </c>
      <c r="AI342" s="4" t="str">
        <f>Table2[[#This Row],[field_fate8]]</f>
        <v>Ca</v>
      </c>
      <c r="AJ342" s="4" t="str">
        <f>Table2[[#This Row],[field_fate10]]</f>
        <v>Ca</v>
      </c>
      <c r="AK342" s="4" t="b">
        <f>Table2[[#This Row],[field_fate_feb]]=Table2[[#This Row],[field_fate10]]</f>
        <v>1</v>
      </c>
      <c r="AL342" s="43" t="s">
        <v>24</v>
      </c>
      <c r="AM342" s="43" t="b">
        <f>Table2[[#This Row],[cam_fate2]]="NA"</f>
        <v>1</v>
      </c>
      <c r="AN342" s="19" t="str">
        <f>Table2[[#This Row],[cam_fate1]]</f>
        <v>NA</v>
      </c>
      <c r="AO342" s="2" t="s">
        <v>65</v>
      </c>
      <c r="AP342" s="5" t="str">
        <f>Table2[[#This Row],[final_fate1]]</f>
        <v>Ca</v>
      </c>
      <c r="AQ342" s="6">
        <v>10</v>
      </c>
      <c r="AR342" s="7">
        <v>10</v>
      </c>
      <c r="AS342" s="7">
        <f>Table2[[#This Row],[final_obs_date]]-Table2[[#This Row],[init_date]]</f>
        <v>10</v>
      </c>
      <c r="AT342" s="7">
        <f>(Table2[[#This Row],[final_obs_date2]]-Table2[[#This Row],[estHD]])+16</f>
        <v>7</v>
      </c>
      <c r="AU342" s="38">
        <v>3</v>
      </c>
      <c r="AV342" s="33">
        <v>3</v>
      </c>
      <c r="AW342" s="33">
        <f>Table2[[#This Row],[final_obs_date2]]-Table2[[#This Row],[pen_obs_date]]</f>
        <v>48</v>
      </c>
      <c r="AX342" s="67">
        <v>48</v>
      </c>
      <c r="AY342" s="6">
        <f>Table2[[#This Row],[final_obs_date]]</f>
        <v>48</v>
      </c>
      <c r="AZ342" s="6"/>
      <c r="BA342" s="91" t="s">
        <v>47</v>
      </c>
      <c r="BB342" s="6" t="b">
        <f>Table2[[#This Row],[final_obs_date]]&lt;(Table2[[#This Row],[estHD]]-2)</f>
        <v>1</v>
      </c>
      <c r="BC342" s="24">
        <f>IF(Table2[[#This Row],[field_fate]]="H",1,0)</f>
        <v>0</v>
      </c>
      <c r="BD342" s="16">
        <f>IF(Table2[[#This Row],[cam_fate2]]="H",1,0)</f>
        <v>0</v>
      </c>
      <c r="BE342" s="6" t="b">
        <f>NOT(Table2[[#This Row],[HF_C]]=Table2[[#This Row],[HF]])</f>
        <v>0</v>
      </c>
      <c r="BF342" s="6" t="b">
        <f>NOT(Table2[[#This Row],[cam_fate2]]=Table2[[#This Row],[field_fate3]])</f>
        <v>1</v>
      </c>
      <c r="BG342" s="6" t="b">
        <f>OR(Table2[[#This Row],[field_fate3]]="U",Table2[[#This Row],[field_fate3]]="U-H")</f>
        <v>0</v>
      </c>
      <c r="BH342" s="8">
        <v>45</v>
      </c>
      <c r="BI342" s="8">
        <v>45</v>
      </c>
      <c r="BJ342" s="14">
        <f>IF(ISTEXT(Table2[[#This Row],[j.cam]]),Table2[[#This Row],[j]],Table2[[#This Row],[j.cam]])</f>
        <v>45</v>
      </c>
      <c r="BK342" s="9">
        <v>48</v>
      </c>
      <c r="BL342" s="15">
        <f>IF(ISTEXT(Table2[[#This Row],[k.cam]]), Table2[[#This Row],[k]], Table2[[#This Row],[k.cam]])</f>
        <v>48</v>
      </c>
      <c r="BM342" s="4" t="s">
        <v>24</v>
      </c>
      <c r="BN342" s="8" t="s">
        <v>24</v>
      </c>
      <c r="BO342" s="4">
        <v>2</v>
      </c>
      <c r="BP342" s="4">
        <f>Table2[[#This Row],[final_obs_date]]-Table2[[#This Row],[i]]</f>
        <v>3</v>
      </c>
      <c r="BQ342" s="4" t="b">
        <f>Table2[[#This Row],[final_obs_date2]]&gt;Table2[[#This Row],[estHD]]+3</f>
        <v>0</v>
      </c>
      <c r="BR342" s="4" t="s">
        <v>27</v>
      </c>
      <c r="BS342" s="4" t="s">
        <v>45</v>
      </c>
      <c r="BT342" s="79" t="s">
        <v>1214</v>
      </c>
      <c r="BU342" s="26" t="s">
        <v>183</v>
      </c>
      <c r="BV342" s="79" t="s">
        <v>1430</v>
      </c>
      <c r="BW342" s="49"/>
      <c r="BX342" s="47"/>
      <c r="BY342" s="36" t="s">
        <v>24</v>
      </c>
    </row>
    <row r="343" spans="1:77" hidden="1" x14ac:dyDescent="0.35">
      <c r="A343" s="63">
        <v>20247</v>
      </c>
      <c r="B343" s="2" t="s">
        <v>122</v>
      </c>
      <c r="C343" s="45">
        <v>2020</v>
      </c>
      <c r="D343" s="3">
        <v>29.756989999999998</v>
      </c>
      <c r="E343" s="3">
        <v>-93.113590000000002</v>
      </c>
      <c r="F343" s="3">
        <v>50</v>
      </c>
      <c r="G343" s="3">
        <v>50</v>
      </c>
      <c r="H343" s="3" t="s">
        <v>291</v>
      </c>
      <c r="I343" s="43"/>
      <c r="J343" s="55" t="s">
        <v>24</v>
      </c>
      <c r="K343" s="4" t="s">
        <v>24</v>
      </c>
      <c r="L343" s="22" t="str">
        <f>IF(ISNUMBER(Table2[[#This Row],[estHD]]),ABS(Table2[[#This Row],[HD]]-Table2[[#This Row],[estHD]]),"NA")</f>
        <v>NA</v>
      </c>
      <c r="M343" s="4" t="b">
        <f>Table2[[#This Row],[HD]]=Table2[[#This Row],[estHD]]</f>
        <v>1</v>
      </c>
      <c r="N343" s="4" t="str">
        <f>IF(ISNUMBER([1]!Table2[[#This Row],[hatch_date]]),[1]!Table2[[#This Row],[hatch_date]]-19,"NA")</f>
        <v>NA</v>
      </c>
      <c r="O343" s="31" t="s">
        <v>24</v>
      </c>
      <c r="P343" s="23" t="str">
        <f>IF(ISNUMBER(Table2[[#This Row],[nest_age1]]),ABS(Table2[[#This Row],[nest_age1]]-Table2[[#This Row],[nest_age_feb]]),"NA")</f>
        <v>NA</v>
      </c>
      <c r="Q343" s="24">
        <f>IF(ISNUMBER(Table2[[#This Row],[final_obs_int2]]),ABS(Table2[[#This Row],[final_obs_int2]]-Table2[[#This Row],[final_obs_int_feb]]), "NA")</f>
        <v>0</v>
      </c>
      <c r="R343" s="24"/>
      <c r="S343" s="21" t="s">
        <v>983</v>
      </c>
      <c r="T343" s="21" t="str">
        <f>Table2[[#This Row],[camera_old]]</f>
        <v>Y-but</v>
      </c>
      <c r="U343" s="58" t="s">
        <v>909</v>
      </c>
      <c r="V343" s="16" t="s">
        <v>24</v>
      </c>
      <c r="W343" s="16" t="s">
        <v>24</v>
      </c>
      <c r="X343" s="145">
        <v>3</v>
      </c>
      <c r="Y343" s="147" t="s">
        <v>36</v>
      </c>
      <c r="Z343" s="146" t="s">
        <v>36</v>
      </c>
      <c r="AA343" s="4" t="str">
        <f>Table2[[#This Row],[field_fate]]</f>
        <v>A</v>
      </c>
      <c r="AB343" s="4" t="str">
        <f>Table2[[#This Row],[field_fate2]]</f>
        <v>A</v>
      </c>
      <c r="AC343" s="4" t="str">
        <f>Table2[[#This Row],[field_fate3]]</f>
        <v>A</v>
      </c>
      <c r="AD343" s="4" t="str">
        <f>Table2[[#This Row],[field_fate4]]</f>
        <v>A</v>
      </c>
      <c r="AE343" s="4" t="str">
        <f>Table2[[#This Row],[field_fate5]]</f>
        <v>A</v>
      </c>
      <c r="AF343" s="4" t="str">
        <f>Table2[[#This Row],[field_fate5]]</f>
        <v>A</v>
      </c>
      <c r="AG343" s="4" t="str">
        <f>Table2[[#This Row],[field_fate5]]</f>
        <v>A</v>
      </c>
      <c r="AH343" s="4" t="str">
        <f>Table2[[#This Row],[field_fate2]]</f>
        <v>A</v>
      </c>
      <c r="AI343" s="4" t="str">
        <f>Table2[[#This Row],[field_fate8]]</f>
        <v>A</v>
      </c>
      <c r="AJ343" s="4" t="str">
        <f>Table2[[#This Row],[field_fate10]]</f>
        <v>A</v>
      </c>
      <c r="AK343" s="4" t="b">
        <f>Table2[[#This Row],[field_fate_feb]]=Table2[[#This Row],[field_fate10]]</f>
        <v>1</v>
      </c>
      <c r="AL343" s="43" t="s">
        <v>36</v>
      </c>
      <c r="AM343" s="43" t="b">
        <f>Table2[[#This Row],[cam_fate2]]="NA"</f>
        <v>1</v>
      </c>
      <c r="AN343" s="19" t="s">
        <v>24</v>
      </c>
      <c r="AO343" s="2" t="s">
        <v>36</v>
      </c>
      <c r="AP343" s="5" t="str">
        <f>Table2[[#This Row],[final_fate1]]</f>
        <v>A</v>
      </c>
      <c r="AQ343" s="6" t="s">
        <v>24</v>
      </c>
      <c r="AR343" s="7" t="s">
        <v>24</v>
      </c>
      <c r="AS343" s="7" t="e">
        <f>Table2[[#This Row],[final_obs_date]]-Table2[[#This Row],[init_date]]</f>
        <v>#VALUE!</v>
      </c>
      <c r="AT343" s="7" t="e">
        <f>(Table2[[#This Row],[final_obs_date2]]-Table2[[#This Row],[estHD]])+16</f>
        <v>#VALUE!</v>
      </c>
      <c r="AU343" s="38">
        <v>3</v>
      </c>
      <c r="AV343" s="33">
        <v>3</v>
      </c>
      <c r="AW343" s="33">
        <f>Table2[[#This Row],[final_obs_date2]]-Table2[[#This Row],[pen_obs_date]]</f>
        <v>51</v>
      </c>
      <c r="AX343" s="67">
        <v>51</v>
      </c>
      <c r="AY343" s="6">
        <f>Table2[[#This Row],[final_obs_date]]</f>
        <v>51</v>
      </c>
      <c r="AZ343" s="6"/>
      <c r="BA343" s="91" t="s">
        <v>47</v>
      </c>
      <c r="BB343" s="6" t="e">
        <f>Table2[[#This Row],[final_obs_date]]&lt;(Table2[[#This Row],[estHD]]-2)</f>
        <v>#VALUE!</v>
      </c>
      <c r="BC343" s="32">
        <f>IF(Table2[[#This Row],[field_fate]]="H",1,0)</f>
        <v>0</v>
      </c>
      <c r="BD343" s="16" t="s">
        <v>24</v>
      </c>
      <c r="BE343" s="6" t="b">
        <f>NOT(Table2[[#This Row],[HF_C]]=Table2[[#This Row],[HF]])</f>
        <v>1</v>
      </c>
      <c r="BF343" s="38" t="b">
        <f>NOT(Table2[[#This Row],[cam_fate2]]=Table2[[#This Row],[field_fate3]])</f>
        <v>1</v>
      </c>
      <c r="BG343" s="38" t="b">
        <f>OR(Table2[[#This Row],[field_fate3]]="U",Table2[[#This Row],[field_fate3]]="U-H")</f>
        <v>0</v>
      </c>
      <c r="BH343" s="8">
        <v>45</v>
      </c>
      <c r="BI343" s="8">
        <v>48</v>
      </c>
      <c r="BJ343" s="14">
        <f>IF(ISTEXT(Table2[[#This Row],[j.cam]]),Table2[[#This Row],[j]],Table2[[#This Row],[j.cam]])</f>
        <v>48</v>
      </c>
      <c r="BK343" s="8">
        <v>51</v>
      </c>
      <c r="BL343" s="14">
        <f>IF(ISTEXT(Table2[[#This Row],[k.cam]]), Table2[[#This Row],[k]], Table2[[#This Row],[k.cam]])</f>
        <v>51</v>
      </c>
      <c r="BM343" s="4" t="s">
        <v>24</v>
      </c>
      <c r="BN343" s="8" t="s">
        <v>24</v>
      </c>
      <c r="BO343" s="4">
        <v>3</v>
      </c>
      <c r="BP343" s="4">
        <f>Table2[[#This Row],[final_obs_date]]-Table2[[#This Row],[i]]</f>
        <v>6</v>
      </c>
      <c r="BQ343" s="4" t="e">
        <f>Table2[[#This Row],[final_obs_date2]]&gt;Table2[[#This Row],[estHD]]+3</f>
        <v>#VALUE!</v>
      </c>
      <c r="BR343" s="3" t="s">
        <v>58</v>
      </c>
      <c r="BS343" s="3" t="s">
        <v>134</v>
      </c>
      <c r="BT343" s="79" t="s">
        <v>1215</v>
      </c>
      <c r="BU343" s="26" t="s">
        <v>292</v>
      </c>
      <c r="BV343" s="79" t="s">
        <v>1583</v>
      </c>
      <c r="BW343" s="49" t="s">
        <v>484</v>
      </c>
      <c r="BX343" s="47" t="s">
        <v>937</v>
      </c>
      <c r="BY343" s="36" t="s">
        <v>698</v>
      </c>
    </row>
    <row r="344" spans="1:77" hidden="1" x14ac:dyDescent="0.35">
      <c r="A344" s="63">
        <v>20248</v>
      </c>
      <c r="B344" s="2" t="s">
        <v>35</v>
      </c>
      <c r="C344" s="45">
        <v>2020</v>
      </c>
      <c r="D344" s="3">
        <v>29.764050000000001</v>
      </c>
      <c r="E344" s="3">
        <v>-93.147869999999998</v>
      </c>
      <c r="F344" s="3">
        <v>0</v>
      </c>
      <c r="G344" s="3">
        <v>0</v>
      </c>
      <c r="H344" s="3" t="s">
        <v>293</v>
      </c>
      <c r="I344" s="43"/>
      <c r="J344" s="55">
        <v>65</v>
      </c>
      <c r="K344" s="4">
        <v>65</v>
      </c>
      <c r="L344" s="22">
        <f>IF(ISNUMBER(Table2[[#This Row],[estHD]]),ABS(Table2[[#This Row],[HD]]-Table2[[#This Row],[estHD]]),"NA")</f>
        <v>0</v>
      </c>
      <c r="M344" s="4" t="b">
        <f>Table2[[#This Row],[HD]]=Table2[[#This Row],[estHD]]</f>
        <v>1</v>
      </c>
      <c r="N344" s="4" t="str">
        <f>IF(ISNUMBER([1]!Table2[[#This Row],[hatch_date]]),[1]!Table2[[#This Row],[hatch_date]]-19,"NA")</f>
        <v>NA</v>
      </c>
      <c r="O344" s="31">
        <v>46</v>
      </c>
      <c r="P344" s="23">
        <f>IF(ISNUMBER(Table2[[#This Row],[nest_age1]]),ABS(Table2[[#This Row],[nest_age1]]-Table2[[#This Row],[nest_age_feb]]),"NA")</f>
        <v>1</v>
      </c>
      <c r="Q344" s="24">
        <f>IF(ISNUMBER(Table2[[#This Row],[final_obs_int2]]),ABS(Table2[[#This Row],[final_obs_int2]]-Table2[[#This Row],[final_obs_int_feb]]), "NA")</f>
        <v>0</v>
      </c>
      <c r="R344" s="24"/>
      <c r="S344" s="57" t="s">
        <v>88</v>
      </c>
      <c r="T344" s="57" t="str">
        <f>Table2[[#This Row],[camera_old]]</f>
        <v>N</v>
      </c>
      <c r="U344" s="24"/>
      <c r="V344" s="16" t="s">
        <v>24</v>
      </c>
      <c r="W344" s="16">
        <v>8</v>
      </c>
      <c r="X344" s="145">
        <v>4</v>
      </c>
      <c r="Y344" s="147" t="s">
        <v>25</v>
      </c>
      <c r="Z344" s="146" t="s">
        <v>25</v>
      </c>
      <c r="AA344" s="4" t="str">
        <f>Table2[[#This Row],[field_fate]]</f>
        <v>S</v>
      </c>
      <c r="AB344" s="4" t="str">
        <f>Table2[[#This Row],[field_fate2]]</f>
        <v>S</v>
      </c>
      <c r="AC344" s="4" t="str">
        <f>Table2[[#This Row],[field_fate3]]</f>
        <v>S</v>
      </c>
      <c r="AD344" s="4" t="str">
        <f>Table2[[#This Row],[field_fate4]]</f>
        <v>S</v>
      </c>
      <c r="AE344" s="4" t="str">
        <f>Table2[[#This Row],[field_fate5]]</f>
        <v>S</v>
      </c>
      <c r="AF344" s="4" t="str">
        <f>Table2[[#This Row],[field_fate5]]</f>
        <v>S</v>
      </c>
      <c r="AG344" s="4" t="str">
        <f>Table2[[#This Row],[field_fate5]]</f>
        <v>S</v>
      </c>
      <c r="AH344" s="4" t="str">
        <f>Table2[[#This Row],[field_fate2]]</f>
        <v>S</v>
      </c>
      <c r="AI344" s="4" t="str">
        <f>Table2[[#This Row],[field_fate8]]</f>
        <v>S</v>
      </c>
      <c r="AJ344" s="4" t="str">
        <f>Table2[[#This Row],[field_fate10]]</f>
        <v>S</v>
      </c>
      <c r="AK344" s="4" t="b">
        <f>Table2[[#This Row],[field_fate_feb]]=Table2[[#This Row],[field_fate10]]</f>
        <v>1</v>
      </c>
      <c r="AL344" s="43" t="s">
        <v>24</v>
      </c>
      <c r="AM344" s="43" t="b">
        <f>Table2[[#This Row],[cam_fate2]]="NA"</f>
        <v>1</v>
      </c>
      <c r="AN344" s="19" t="str">
        <f>Table2[[#This Row],[cam_fate1]]</f>
        <v>NA</v>
      </c>
      <c r="AO344" s="2" t="s">
        <v>25</v>
      </c>
      <c r="AP344" s="5" t="str">
        <f>Table2[[#This Row],[final_fate1]]</f>
        <v>S</v>
      </c>
      <c r="AQ344" s="6">
        <v>9</v>
      </c>
      <c r="AR344" s="7">
        <v>9</v>
      </c>
      <c r="AS344" s="7">
        <f>Table2[[#This Row],[final_obs_date]]-Table2[[#This Row],[init_date]]</f>
        <v>9</v>
      </c>
      <c r="AT344" s="7">
        <f>(Table2[[#This Row],[final_obs_date2]]-Table2[[#This Row],[estHD]])+16</f>
        <v>6</v>
      </c>
      <c r="AU344" s="38">
        <v>4</v>
      </c>
      <c r="AV344" s="33">
        <v>4</v>
      </c>
      <c r="AW344" s="33">
        <f>Table2[[#This Row],[final_obs_date2]]-Table2[[#This Row],[pen_obs_date]]</f>
        <v>55</v>
      </c>
      <c r="AX344" s="67">
        <v>55</v>
      </c>
      <c r="AY344" s="6">
        <f>Table2[[#This Row],[final_obs_date]]</f>
        <v>55</v>
      </c>
      <c r="AZ344" s="6"/>
      <c r="BA344" s="91" t="s">
        <v>47</v>
      </c>
      <c r="BB344" s="6" t="b">
        <f>Table2[[#This Row],[final_obs_date]]&lt;(Table2[[#This Row],[estHD]]-2)</f>
        <v>1</v>
      </c>
      <c r="BC344" s="24">
        <f>IF(Table2[[#This Row],[field_fate]]="H",1,0)</f>
        <v>0</v>
      </c>
      <c r="BD344" s="16">
        <f>IF(Table2[[#This Row],[cam_fate2]]="H",1,0)</f>
        <v>0</v>
      </c>
      <c r="BE344" s="6" t="b">
        <f>NOT(Table2[[#This Row],[HF_C]]=Table2[[#This Row],[HF]])</f>
        <v>0</v>
      </c>
      <c r="BF344" s="6" t="b">
        <f>NOT(Table2[[#This Row],[cam_fate2]]=Table2[[#This Row],[field_fate3]])</f>
        <v>1</v>
      </c>
      <c r="BG344" s="6" t="b">
        <f>OR(Table2[[#This Row],[field_fate3]]="U",Table2[[#This Row],[field_fate3]]="U-H")</f>
        <v>0</v>
      </c>
      <c r="BH344" s="8">
        <v>47</v>
      </c>
      <c r="BI344" s="8">
        <v>51</v>
      </c>
      <c r="BJ344" s="14">
        <f>IF(ISTEXT(Table2[[#This Row],[j.cam]]),Table2[[#This Row],[j]],Table2[[#This Row],[j.cam]])</f>
        <v>51</v>
      </c>
      <c r="BK344" s="9">
        <v>55</v>
      </c>
      <c r="BL344" s="15">
        <f>IF(ISTEXT(Table2[[#This Row],[k.cam]]), Table2[[#This Row],[k]], Table2[[#This Row],[k.cam]])</f>
        <v>55</v>
      </c>
      <c r="BM344" s="4" t="s">
        <v>24</v>
      </c>
      <c r="BN344" s="8" t="s">
        <v>24</v>
      </c>
      <c r="BO344" s="4">
        <v>3</v>
      </c>
      <c r="BP344" s="4">
        <f>Table2[[#This Row],[final_obs_date]]-Table2[[#This Row],[i]]</f>
        <v>8</v>
      </c>
      <c r="BQ344" s="4" t="b">
        <f>Table2[[#This Row],[final_obs_date2]]&gt;Table2[[#This Row],[estHD]]+3</f>
        <v>0</v>
      </c>
      <c r="BR344" s="4" t="s">
        <v>58</v>
      </c>
      <c r="BS344" s="4" t="s">
        <v>45</v>
      </c>
      <c r="BT344" s="79" t="s">
        <v>1216</v>
      </c>
      <c r="BU344" s="26" t="s">
        <v>133</v>
      </c>
      <c r="BV344" s="79" t="s">
        <v>1454</v>
      </c>
      <c r="BW344" s="49"/>
      <c r="BX344" s="47"/>
      <c r="BY344" s="36" t="s">
        <v>24</v>
      </c>
    </row>
    <row r="345" spans="1:77" ht="15" hidden="1" x14ac:dyDescent="0.35">
      <c r="A345" s="63">
        <v>20249</v>
      </c>
      <c r="B345" s="2" t="s">
        <v>35</v>
      </c>
      <c r="C345" s="45">
        <v>2020</v>
      </c>
      <c r="D345" s="3">
        <v>29.764309999999998</v>
      </c>
      <c r="E345" s="3">
        <v>-93.147999999999996</v>
      </c>
      <c r="F345" s="3">
        <v>10</v>
      </c>
      <c r="G345" s="3">
        <v>20</v>
      </c>
      <c r="H345" s="3" t="s">
        <v>462</v>
      </c>
      <c r="I345" s="43"/>
      <c r="J345" s="116">
        <v>59</v>
      </c>
      <c r="K345" s="4">
        <v>63</v>
      </c>
      <c r="L345" s="22">
        <f>IF(ISNUMBER(Table2[[#This Row],[estHD]]),ABS(Table2[[#This Row],[HD]]-Table2[[#This Row],[estHD]]),"NA")</f>
        <v>4</v>
      </c>
      <c r="M345" s="4" t="b">
        <f>Table2[[#This Row],[HD]]=Table2[[#This Row],[estHD]]</f>
        <v>0</v>
      </c>
      <c r="N345" s="4">
        <f>IF(ISNUMBER(Table2[[#This Row],[HD]]),Table2[[#This Row],[HD]]-19,"NA")</f>
        <v>44</v>
      </c>
      <c r="O345" s="31">
        <v>44</v>
      </c>
      <c r="P345" s="23">
        <f>IF(ISNUMBER(Table2[[#This Row],[nest_age1]]),ABS(Table2[[#This Row],[nest_age1]]-Table2[[#This Row],[nest_age_feb]]),"NA")</f>
        <v>3</v>
      </c>
      <c r="Q345" s="24">
        <f>IF(ISNUMBER(Table2[[#This Row],[final_obs_int2]]),ABS(Table2[[#This Row],[final_obs_int2]]-Table2[[#This Row],[final_obs_int_feb]]), "NA")</f>
        <v>3</v>
      </c>
      <c r="R345" s="24">
        <f>(Table2[[#This Row],[k_adj]]-Table2[[#This Row],[estHD]])/Table2[[#This Row],[estHD]]</f>
        <v>6.7796610169491525E-2</v>
      </c>
      <c r="S345" s="20" t="s">
        <v>75</v>
      </c>
      <c r="T345" s="20" t="str">
        <f>Table2[[#This Row],[camera_old]]</f>
        <v>Y</v>
      </c>
      <c r="U345" s="22" t="s">
        <v>88</v>
      </c>
      <c r="V345" s="16" t="s">
        <v>37</v>
      </c>
      <c r="W345" s="16">
        <v>23</v>
      </c>
      <c r="X345" s="145">
        <v>4</v>
      </c>
      <c r="Y345" s="147" t="s">
        <v>37</v>
      </c>
      <c r="Z345" s="146" t="s">
        <v>37</v>
      </c>
      <c r="AA345" s="4" t="str">
        <f>Table2[[#This Row],[field_fate]]</f>
        <v>H</v>
      </c>
      <c r="AB345" s="4" t="str">
        <f>Table2[[#This Row],[field_fate2]]</f>
        <v>H</v>
      </c>
      <c r="AC345" s="94" t="str">
        <f>Table2[[#This Row],[field_fate3]]</f>
        <v>H</v>
      </c>
      <c r="AD345" s="94" t="str">
        <f>Table2[[#This Row],[field_fate4]]</f>
        <v>H</v>
      </c>
      <c r="AE345" s="94" t="str">
        <f>Table2[[#This Row],[field_fate5]]</f>
        <v>H</v>
      </c>
      <c r="AF345" s="94" t="str">
        <f>Table2[[#This Row],[field_fate5]]</f>
        <v>H</v>
      </c>
      <c r="AG345" s="94" t="str">
        <f>Table2[[#This Row],[field_fate5]]</f>
        <v>H</v>
      </c>
      <c r="AH345" s="94" t="str">
        <f>Table2[[#This Row],[field_fate2]]</f>
        <v>H</v>
      </c>
      <c r="AI345" s="94" t="str">
        <f>Table2[[#This Row],[field_fate8]]</f>
        <v>H</v>
      </c>
      <c r="AJ345" s="94" t="str">
        <f>Table2[[#This Row],[field_fate10]]</f>
        <v>H</v>
      </c>
      <c r="AK345" s="94" t="b">
        <f>Table2[[#This Row],[field_fate_feb]]=Table2[[#This Row],[field_fate10]]</f>
        <v>1</v>
      </c>
      <c r="AL345" s="43" t="s">
        <v>37</v>
      </c>
      <c r="AM345" s="160" t="b">
        <f>Table2[[#This Row],[cam_fate2]]="NA"</f>
        <v>0</v>
      </c>
      <c r="AN345" s="19" t="str">
        <f>Table2[[#This Row],[cam_fate1]]</f>
        <v>H</v>
      </c>
      <c r="AO345" s="2" t="s">
        <v>37</v>
      </c>
      <c r="AP345" s="5" t="str">
        <f>Table2[[#This Row],[final_fate1]]</f>
        <v>H</v>
      </c>
      <c r="AQ345" s="6">
        <v>20</v>
      </c>
      <c r="AR345" s="72">
        <v>24</v>
      </c>
      <c r="AS345" s="155">
        <f>Table2[[#This Row],[final_obs_date]]-Table2[[#This Row],[init_date]]</f>
        <v>20</v>
      </c>
      <c r="AT345" s="155">
        <f>(Table2[[#This Row],[final_obs_date2]]-Table2[[#This Row],[estHD]])+19</f>
        <v>24</v>
      </c>
      <c r="AU345" s="38">
        <v>1</v>
      </c>
      <c r="AV345" s="33">
        <v>1</v>
      </c>
      <c r="AW345" s="33">
        <f>Table2[[#This Row],[final_obs_date2]]-Table2[[#This Row],[pen_obs_date]]</f>
        <v>4</v>
      </c>
      <c r="AX345" s="67">
        <v>64</v>
      </c>
      <c r="AY345" s="157">
        <f>Table2[[#This Row],[final_obs_date]]</f>
        <v>64</v>
      </c>
      <c r="AZ345" s="6">
        <v>60</v>
      </c>
      <c r="BA345" s="92" t="s">
        <v>47</v>
      </c>
      <c r="BB345" s="6" t="b">
        <f>Table2[[#This Row],[final_obs_date]]&lt;(Table2[[#This Row],[estHD]]-2)</f>
        <v>0</v>
      </c>
      <c r="BC345" s="32">
        <f>IF(Table2[[#This Row],[field_fate]]="H",1,0)</f>
        <v>1</v>
      </c>
      <c r="BD345" s="16">
        <f>IF(Table2[[#This Row],[cam_fate2]]="H",1,0)</f>
        <v>1</v>
      </c>
      <c r="BE345" s="6" t="b">
        <f>NOT(Table2[[#This Row],[HF_C]]=Table2[[#This Row],[HF]])</f>
        <v>0</v>
      </c>
      <c r="BF345" s="38" t="b">
        <f>NOT(Table2[[#This Row],[cam_fate2]]=Table2[[#This Row],[field_fate3]])</f>
        <v>0</v>
      </c>
      <c r="BG345" s="38" t="b">
        <f>OR(Table2[[#This Row],[field_fate3]]="U",Table2[[#This Row],[field_fate3]]="U-H")</f>
        <v>0</v>
      </c>
      <c r="BH345" s="8">
        <v>47</v>
      </c>
      <c r="BI345" s="8">
        <v>62</v>
      </c>
      <c r="BJ345" s="14">
        <f>IF(ISTEXT(Table2[[#This Row],[j.cam]]),Table2[[#This Row],[j]],Table2[[#This Row],[j.cam]])</f>
        <v>63</v>
      </c>
      <c r="BK345" s="8">
        <v>62</v>
      </c>
      <c r="BL345" s="14">
        <f>IF(ISTEXT(Table2[[#This Row],[k.cam]]), Table2[[#This Row],[k]], Table2[[#This Row],[k.cam]])</f>
        <v>63</v>
      </c>
      <c r="BM345" s="4">
        <v>63</v>
      </c>
      <c r="BN345" s="8">
        <v>63</v>
      </c>
      <c r="BO345" s="4">
        <v>7</v>
      </c>
      <c r="BP345" s="4">
        <f>Table2[[#This Row],[final_obs_date]]-Table2[[#This Row],[i]]</f>
        <v>17</v>
      </c>
      <c r="BQ345" s="4" t="b">
        <f>Table2[[#This Row],[final_obs_date2]]&gt;Table2[[#This Row],[estHD]]+3</f>
        <v>1</v>
      </c>
      <c r="BR345" s="3" t="s">
        <v>33</v>
      </c>
      <c r="BS345" s="3" t="s">
        <v>53</v>
      </c>
      <c r="BT345" s="125" t="s">
        <v>1217</v>
      </c>
      <c r="BU345" s="4" t="s">
        <v>294</v>
      </c>
      <c r="BV345" s="79" t="s">
        <v>1584</v>
      </c>
      <c r="BW345" s="69"/>
      <c r="BX345" s="36"/>
      <c r="BY345" s="36" t="s">
        <v>699</v>
      </c>
    </row>
    <row r="346" spans="1:77" ht="15" hidden="1" x14ac:dyDescent="0.35">
      <c r="A346" s="60">
        <v>20250</v>
      </c>
      <c r="B346" s="2" t="s">
        <v>35</v>
      </c>
      <c r="C346" s="45">
        <v>2020</v>
      </c>
      <c r="D346" s="3">
        <v>29.76998</v>
      </c>
      <c r="E346" s="3">
        <v>-93.176860000000005</v>
      </c>
      <c r="F346" s="3">
        <v>40</v>
      </c>
      <c r="G346" s="3">
        <v>50</v>
      </c>
      <c r="H346" s="3" t="s">
        <v>26</v>
      </c>
      <c r="I346" s="43"/>
      <c r="J346" s="116">
        <v>65</v>
      </c>
      <c r="K346" s="4">
        <v>66</v>
      </c>
      <c r="L346" s="22">
        <f>IF(ISNUMBER(Table2[[#This Row],[estHD]]),ABS(Table2[[#This Row],[HD]]-Table2[[#This Row],[estHD]]),"NA")</f>
        <v>1</v>
      </c>
      <c r="M346" s="4" t="b">
        <f>Table2[[#This Row],[HD]]=Table2[[#This Row],[estHD]]</f>
        <v>0</v>
      </c>
      <c r="N346" s="4" t="str">
        <f>IF(ISNUMBER([1]!Table2[[#This Row],[hatch_date]]),[1]!Table2[[#This Row],[hatch_date]]-19,"NA")</f>
        <v>NA</v>
      </c>
      <c r="O346" s="31">
        <v>47</v>
      </c>
      <c r="P346" s="23">
        <f>IF(ISNUMBER(Table2[[#This Row],[nest_age1]]),ABS(Table2[[#This Row],[nest_age1]]-Table2[[#This Row],[nest_age_feb]]),"NA")</f>
        <v>0</v>
      </c>
      <c r="Q346" s="24">
        <f>IF(ISNUMBER(Table2[[#This Row],[final_obs_int2]]),ABS(Table2[[#This Row],[final_obs_int2]]-Table2[[#This Row],[final_obs_int_feb]]), "NA")</f>
        <v>2</v>
      </c>
      <c r="R346" s="24">
        <f>(Table2[[#This Row],[k_adj]]-Table2[[#This Row],[estHD]])/Table2[[#This Row],[estHD]]</f>
        <v>1.5384615384615385E-2</v>
      </c>
      <c r="S346" s="20" t="s">
        <v>75</v>
      </c>
      <c r="T346" s="20" t="str">
        <f>Table2[[#This Row],[camera_old]]</f>
        <v>Y</v>
      </c>
      <c r="U346" s="22" t="s">
        <v>75</v>
      </c>
      <c r="V346" s="16" t="s">
        <v>37</v>
      </c>
      <c r="W346" s="16">
        <v>21</v>
      </c>
      <c r="X346" s="145">
        <v>4</v>
      </c>
      <c r="Y346" s="148" t="s">
        <v>37</v>
      </c>
      <c r="Z346" s="146" t="s">
        <v>37</v>
      </c>
      <c r="AA346" s="4" t="str">
        <f>Table2[[#This Row],[field_fate]]</f>
        <v>H</v>
      </c>
      <c r="AB346" s="4" t="str">
        <f>Table2[[#This Row],[field_fate2]]</f>
        <v>H</v>
      </c>
      <c r="AC346" s="94" t="str">
        <f>Table2[[#This Row],[field_fate3]]</f>
        <v>H</v>
      </c>
      <c r="AD346" s="94" t="str">
        <f>Table2[[#This Row],[field_fate4]]</f>
        <v>H</v>
      </c>
      <c r="AE346" s="94" t="str">
        <f>Table2[[#This Row],[field_fate5]]</f>
        <v>H</v>
      </c>
      <c r="AF346" s="94" t="str">
        <f>Table2[[#This Row],[field_fate5]]</f>
        <v>H</v>
      </c>
      <c r="AG346" s="94" t="str">
        <f>Table2[[#This Row],[field_fate5]]</f>
        <v>H</v>
      </c>
      <c r="AH346" s="94" t="str">
        <f>Table2[[#This Row],[field_fate2]]</f>
        <v>H</v>
      </c>
      <c r="AI346" s="94" t="str">
        <f>Table2[[#This Row],[field_fate8]]</f>
        <v>H</v>
      </c>
      <c r="AJ346" s="94" t="str">
        <f>Table2[[#This Row],[field_fate10]]</f>
        <v>H</v>
      </c>
      <c r="AK346" s="94" t="b">
        <f>Table2[[#This Row],[field_fate_feb]]=Table2[[#This Row],[field_fate10]]</f>
        <v>1</v>
      </c>
      <c r="AL346" s="43" t="s">
        <v>37</v>
      </c>
      <c r="AM346" s="160" t="b">
        <f>Table2[[#This Row],[cam_fate2]]="NA"</f>
        <v>0</v>
      </c>
      <c r="AN346" s="19" t="str">
        <f>Table2[[#This Row],[cam_fate1]]</f>
        <v>H</v>
      </c>
      <c r="AO346" s="2" t="s">
        <v>37</v>
      </c>
      <c r="AP346" s="5" t="str">
        <f>Table2[[#This Row],[final_fate1]]</f>
        <v>H</v>
      </c>
      <c r="AQ346" s="6">
        <v>21</v>
      </c>
      <c r="AR346" s="72">
        <v>22</v>
      </c>
      <c r="AS346" s="155">
        <f>Table2[[#This Row],[final_obs_date]]-Table2[[#This Row],[init_date]]</f>
        <v>21</v>
      </c>
      <c r="AT346" s="155">
        <f>(Table2[[#This Row],[final_obs_date2]]-Table2[[#This Row],[estHD]])+19</f>
        <v>22</v>
      </c>
      <c r="AU346" s="38">
        <v>2</v>
      </c>
      <c r="AV346" s="33">
        <v>2</v>
      </c>
      <c r="AW346" s="33">
        <f>Table2[[#This Row],[final_obs_date2]]-Table2[[#This Row],[pen_obs_date]]</f>
        <v>4</v>
      </c>
      <c r="AX346" s="67">
        <v>68</v>
      </c>
      <c r="AY346" s="157">
        <f>Table2[[#This Row],[final_obs_date]]</f>
        <v>68</v>
      </c>
      <c r="AZ346" s="6">
        <v>64</v>
      </c>
      <c r="BA346" s="92" t="s">
        <v>47</v>
      </c>
      <c r="BB346" s="6" t="b">
        <f>Table2[[#This Row],[final_obs_date]]&lt;(Table2[[#This Row],[estHD]]-2)</f>
        <v>0</v>
      </c>
      <c r="BC346" s="32">
        <f>IF(Table2[[#This Row],[field_fate]]="H",1,0)</f>
        <v>1</v>
      </c>
      <c r="BD346" s="16">
        <f>IF(Table2[[#This Row],[cam_fate2]]="H",1,0)</f>
        <v>1</v>
      </c>
      <c r="BE346" s="6" t="b">
        <f>NOT(Table2[[#This Row],[HF_C]]=Table2[[#This Row],[HF]])</f>
        <v>0</v>
      </c>
      <c r="BF346" s="38" t="b">
        <f>NOT(Table2[[#This Row],[cam_fate2]]=Table2[[#This Row],[field_fate3]])</f>
        <v>0</v>
      </c>
      <c r="BG346" s="38" t="b">
        <f>OR(Table2[[#This Row],[field_fate3]]="U",Table2[[#This Row],[field_fate3]]="U-H")</f>
        <v>0</v>
      </c>
      <c r="BH346" s="8">
        <v>47</v>
      </c>
      <c r="BI346" s="8">
        <v>66</v>
      </c>
      <c r="BJ346" s="14">
        <f>IF(ISTEXT(Table2[[#This Row],[j.cam]]),Table2[[#This Row],[j]],Table2[[#This Row],[j.cam]])</f>
        <v>66</v>
      </c>
      <c r="BK346" s="8">
        <v>66</v>
      </c>
      <c r="BL346" s="14">
        <f>IF(ISTEXT(Table2[[#This Row],[k.cam]]), Table2[[#This Row],[k]], Table2[[#This Row],[k.cam]])</f>
        <v>66</v>
      </c>
      <c r="BM346" s="4" t="s">
        <v>24</v>
      </c>
      <c r="BN346" s="8" t="s">
        <v>24</v>
      </c>
      <c r="BO346" s="4">
        <v>6</v>
      </c>
      <c r="BP346" s="4">
        <f>Table2[[#This Row],[final_obs_date]]-Table2[[#This Row],[i]]</f>
        <v>21</v>
      </c>
      <c r="BQ346" s="4" t="b">
        <f>Table2[[#This Row],[final_obs_date2]]&gt;Table2[[#This Row],[estHD]]+3</f>
        <v>0</v>
      </c>
      <c r="BR346" s="3" t="s">
        <v>33</v>
      </c>
      <c r="BS346" s="3" t="s">
        <v>45</v>
      </c>
      <c r="BT346" s="125" t="s">
        <v>1218</v>
      </c>
      <c r="BU346" s="4" t="s">
        <v>163</v>
      </c>
      <c r="BV346" s="79" t="s">
        <v>1585</v>
      </c>
      <c r="BW346" s="69"/>
      <c r="BX346" s="54" t="s">
        <v>967</v>
      </c>
      <c r="BY346" s="36" t="s">
        <v>700</v>
      </c>
    </row>
    <row r="347" spans="1:77" ht="15" x14ac:dyDescent="0.35">
      <c r="A347" s="60">
        <v>20251</v>
      </c>
      <c r="B347" s="2" t="s">
        <v>122</v>
      </c>
      <c r="C347" s="45">
        <v>2020</v>
      </c>
      <c r="D347" s="3">
        <v>29.758890000000001</v>
      </c>
      <c r="E347" s="3">
        <v>-93.122510000000005</v>
      </c>
      <c r="F347" s="3">
        <v>10</v>
      </c>
      <c r="G347" s="3">
        <v>20</v>
      </c>
      <c r="H347" s="3" t="s">
        <v>291</v>
      </c>
      <c r="I347" s="43"/>
      <c r="J347" s="116">
        <v>68</v>
      </c>
      <c r="K347" s="4">
        <v>68</v>
      </c>
      <c r="L347" s="22">
        <f>IF(ISNUMBER(Table2[[#This Row],[estHD]]),ABS(Table2[[#This Row],[HD]]-Table2[[#This Row],[estHD]]),"NA")</f>
        <v>0</v>
      </c>
      <c r="M347" s="4" t="b">
        <f>Table2[[#This Row],[HD]]=Table2[[#This Row],[estHD]]</f>
        <v>1</v>
      </c>
      <c r="N347" s="4">
        <f>IF(ISNUMBER(Table2[[#This Row],[HD]]),Table2[[#This Row],[HD]]-19,"NA")</f>
        <v>49</v>
      </c>
      <c r="O347" s="89">
        <v>49</v>
      </c>
      <c r="P347" s="23">
        <f>IF(ISNUMBER(Table2[[#This Row],[nest_age1]]),ABS(Table2[[#This Row],[nest_age1]]-Table2[[#This Row],[nest_age_feb]]),"NA")</f>
        <v>1</v>
      </c>
      <c r="Q347" s="25">
        <f>IF(ISNUMBER(Table2[[#This Row],[final_obs_int2]]),ABS(Table2[[#This Row],[final_obs_int2]]-Table2[[#This Row],[final_obs_int_feb]]), "NA")</f>
        <v>3</v>
      </c>
      <c r="R347" s="25"/>
      <c r="S347" s="20" t="s">
        <v>75</v>
      </c>
      <c r="T347" s="20" t="str">
        <f>Table2[[#This Row],[camera_old]]</f>
        <v>Y</v>
      </c>
      <c r="U347" s="22" t="s">
        <v>88</v>
      </c>
      <c r="V347" s="16" t="s">
        <v>37</v>
      </c>
      <c r="W347" s="16">
        <v>23</v>
      </c>
      <c r="X347" s="145">
        <v>1</v>
      </c>
      <c r="Y347" s="153" t="s">
        <v>104</v>
      </c>
      <c r="Z347" s="146" t="s">
        <v>104</v>
      </c>
      <c r="AA347" s="5" t="s">
        <v>37</v>
      </c>
      <c r="AB347" s="5" t="str">
        <f>Table2[[#This Row],[field_fate]]</f>
        <v>U-H</v>
      </c>
      <c r="AC347" s="94" t="s">
        <v>90</v>
      </c>
      <c r="AD347" s="94" t="s">
        <v>37</v>
      </c>
      <c r="AE347" s="94" t="str">
        <f>Table2[[#This Row],[field_fate5]]</f>
        <v>H</v>
      </c>
      <c r="AF347" s="94" t="str">
        <f>Table2[[#This Row],[field_fate5]]</f>
        <v>H</v>
      </c>
      <c r="AG347" s="94" t="str">
        <f>Table2[[#This Row],[field_fate5]]</f>
        <v>H</v>
      </c>
      <c r="AH347" s="94" t="str">
        <f>Table2[[#This Row],[field_fate2]]</f>
        <v>H</v>
      </c>
      <c r="AI347" s="163" t="str">
        <f>Table2[[#This Row],[field_fate8]]</f>
        <v>H</v>
      </c>
      <c r="AJ347" s="94" t="s">
        <v>90</v>
      </c>
      <c r="AK347" s="94" t="b">
        <f>Table2[[#This Row],[field_fate_feb]]=Table2[[#This Row],[field_fate10]]</f>
        <v>0</v>
      </c>
      <c r="AL347" s="43" t="s">
        <v>37</v>
      </c>
      <c r="AM347" s="160" t="b">
        <f>Table2[[#This Row],[cam_fate2]]="NA"</f>
        <v>0</v>
      </c>
      <c r="AN347" s="159" t="s">
        <v>36</v>
      </c>
      <c r="AO347" s="2" t="s">
        <v>37</v>
      </c>
      <c r="AP347" s="5" t="s">
        <v>36</v>
      </c>
      <c r="AQ347" s="6">
        <v>24</v>
      </c>
      <c r="AR347" s="72">
        <v>24</v>
      </c>
      <c r="AS347" s="155">
        <f>Table2[[#This Row],[final_obs_date]]-Table2[[#This Row],[init_date]]</f>
        <v>24</v>
      </c>
      <c r="AT347" s="155">
        <f>(Table2[[#This Row],[final_obs_date2]]-Table2[[#This Row],[estHD]])+19</f>
        <v>24</v>
      </c>
      <c r="AU347" s="40">
        <v>4</v>
      </c>
      <c r="AV347" s="33">
        <v>4</v>
      </c>
      <c r="AW347" s="33">
        <f>Table2[[#This Row],[final_obs_date2]]-Table2[[#This Row],[pen_obs_date]]</f>
        <v>2</v>
      </c>
      <c r="AX347" s="67">
        <v>73</v>
      </c>
      <c r="AY347" s="158">
        <f>Table2[[#This Row],[final_obs_date]]</f>
        <v>73</v>
      </c>
      <c r="AZ347" s="6">
        <v>71</v>
      </c>
      <c r="BA347" s="92" t="s">
        <v>47</v>
      </c>
      <c r="BB347" s="86" t="b">
        <f>Table2[[#This Row],[final_obs_date]]&lt;(Table2[[#This Row],[estHD]]-2)</f>
        <v>0</v>
      </c>
      <c r="BC347" s="83">
        <f>IF(Table2[[#This Row],[field_fate2]]="H",1,0)</f>
        <v>1</v>
      </c>
      <c r="BD347" s="82">
        <f>IF(Table2[[#This Row],[cam_fate2]]="H",1,0)</f>
        <v>0</v>
      </c>
      <c r="BE347" s="84" t="b">
        <f>NOT(Table2[[#This Row],[HF_C]]=Table2[[#This Row],[HF]])</f>
        <v>1</v>
      </c>
      <c r="BF347" s="85" t="b">
        <f>NOT(Table2[[#This Row],[cam_fate2]]=Table2[[#This Row],[field_fate3]])</f>
        <v>1</v>
      </c>
      <c r="BG347" s="85" t="b">
        <f>OR(Table2[[#This Row],[field_fate3]]="U",Table2[[#This Row],[field_fate3]]="U-H")</f>
        <v>1</v>
      </c>
      <c r="BH347" s="8">
        <v>51</v>
      </c>
      <c r="BI347" s="8">
        <v>73</v>
      </c>
      <c r="BJ347" s="14">
        <f>IF(ISTEXT(Table2[[#This Row],[j.cam]]),Table2[[#This Row],[j]],Table2[[#This Row],[j.cam]])</f>
        <v>72</v>
      </c>
      <c r="BK347" s="8">
        <v>73</v>
      </c>
      <c r="BL347" s="14">
        <f>IF(ISTEXT(Table2[[#This Row],[k.cam]]), Table2[[#This Row],[k]], Table2[[#This Row],[k.cam]])</f>
        <v>72</v>
      </c>
      <c r="BM347" s="87">
        <v>72</v>
      </c>
      <c r="BN347" s="87">
        <v>72</v>
      </c>
      <c r="BO347" s="4">
        <v>8</v>
      </c>
      <c r="BP347" s="4">
        <f>Table2[[#This Row],[final_obs_date]]-Table2[[#This Row],[i]]</f>
        <v>22</v>
      </c>
      <c r="BQ347" s="4" t="b">
        <f>Table2[[#This Row],[final_obs_date2]]&gt;Table2[[#This Row],[estHD]]+3</f>
        <v>1</v>
      </c>
      <c r="BR347" s="27" t="s">
        <v>176</v>
      </c>
      <c r="BS347" s="3" t="s">
        <v>45</v>
      </c>
      <c r="BT347" s="125" t="s">
        <v>1219</v>
      </c>
      <c r="BU347" s="122" t="s">
        <v>295</v>
      </c>
      <c r="BV347" s="88" t="s">
        <v>1586</v>
      </c>
      <c r="BW347" s="69" t="s">
        <v>451</v>
      </c>
      <c r="BX347" s="36" t="s">
        <v>938</v>
      </c>
      <c r="BY347" s="54" t="s">
        <v>701</v>
      </c>
    </row>
    <row r="348" spans="1:77" hidden="1" x14ac:dyDescent="0.35">
      <c r="A348" s="63">
        <v>20252</v>
      </c>
      <c r="B348" s="2" t="s">
        <v>122</v>
      </c>
      <c r="C348" s="45">
        <v>2020</v>
      </c>
      <c r="D348" s="3">
        <v>29.758749999999999</v>
      </c>
      <c r="E348" s="3">
        <v>-93.122410000000002</v>
      </c>
      <c r="F348" s="3">
        <v>20</v>
      </c>
      <c r="G348" s="3">
        <v>20</v>
      </c>
      <c r="H348" s="3" t="s">
        <v>291</v>
      </c>
      <c r="I348" s="43"/>
      <c r="J348" s="55">
        <v>63</v>
      </c>
      <c r="K348" s="4">
        <v>63</v>
      </c>
      <c r="L348" s="22">
        <f>IF(ISNUMBER(Table2[[#This Row],[estHD]]),ABS(Table2[[#This Row],[HD]]-Table2[[#This Row],[estHD]]),"NA")</f>
        <v>0</v>
      </c>
      <c r="M348" s="4" t="b">
        <f>Table2[[#This Row],[HD]]=Table2[[#This Row],[estHD]]</f>
        <v>1</v>
      </c>
      <c r="N348" s="4" t="str">
        <f>IF(ISNUMBER([1]!Table2[[#This Row],[hatch_date]]),[1]!Table2[[#This Row],[hatch_date]]-19,"NA")</f>
        <v>NA</v>
      </c>
      <c r="O348" s="31">
        <v>44</v>
      </c>
      <c r="P348" s="23">
        <f>IF(ISNUMBER(Table2[[#This Row],[nest_age1]]),ABS(Table2[[#This Row],[nest_age1]]-Table2[[#This Row],[nest_age_feb]]),"NA")</f>
        <v>1</v>
      </c>
      <c r="Q348" s="24">
        <f>IF(ISNUMBER(Table2[[#This Row],[final_obs_int2]]),ABS(Table2[[#This Row],[final_obs_int2]]-Table2[[#This Row],[final_obs_int_feb]]), "NA")</f>
        <v>0</v>
      </c>
      <c r="R348" s="24"/>
      <c r="S348" s="57" t="s">
        <v>88</v>
      </c>
      <c r="T348" s="57" t="str">
        <f>Table2[[#This Row],[camera_old]]</f>
        <v>N</v>
      </c>
      <c r="U348" s="24"/>
      <c r="V348" s="16" t="s">
        <v>24</v>
      </c>
      <c r="W348" s="16">
        <v>19</v>
      </c>
      <c r="X348" s="145">
        <v>3</v>
      </c>
      <c r="Y348" s="149" t="s">
        <v>37</v>
      </c>
      <c r="Z348" s="146" t="s">
        <v>37</v>
      </c>
      <c r="AA348" s="4" t="str">
        <f>Table2[[#This Row],[field_fate]]</f>
        <v>H</v>
      </c>
      <c r="AB348" s="4" t="str">
        <f>Table2[[#This Row],[field_fate2]]</f>
        <v>H</v>
      </c>
      <c r="AC348" s="4" t="str">
        <f>Table2[[#This Row],[field_fate3]]</f>
        <v>H</v>
      </c>
      <c r="AD348" s="4" t="str">
        <f>Table2[[#This Row],[field_fate4]]</f>
        <v>H</v>
      </c>
      <c r="AE348" s="4" t="str">
        <f>Table2[[#This Row],[field_fate5]]</f>
        <v>H</v>
      </c>
      <c r="AF348" s="4" t="str">
        <f>Table2[[#This Row],[field_fate5]]</f>
        <v>H</v>
      </c>
      <c r="AG348" s="4" t="str">
        <f>Table2[[#This Row],[field_fate5]]</f>
        <v>H</v>
      </c>
      <c r="AH348" s="4" t="str">
        <f>Table2[[#This Row],[field_fate2]]</f>
        <v>H</v>
      </c>
      <c r="AI348" s="4" t="str">
        <f>Table2[[#This Row],[field_fate8]]</f>
        <v>H</v>
      </c>
      <c r="AJ348" s="4" t="str">
        <f>Table2[[#This Row],[field_fate10]]</f>
        <v>H</v>
      </c>
      <c r="AK348" s="4" t="b">
        <f>Table2[[#This Row],[field_fate_feb]]=Table2[[#This Row],[field_fate10]]</f>
        <v>1</v>
      </c>
      <c r="AL348" s="43" t="s">
        <v>24</v>
      </c>
      <c r="AM348" s="43" t="b">
        <f>Table2[[#This Row],[cam_fate2]]="NA"</f>
        <v>1</v>
      </c>
      <c r="AN348" s="19" t="str">
        <f>Table2[[#This Row],[cam_fate1]]</f>
        <v>NA</v>
      </c>
      <c r="AO348" s="2" t="s">
        <v>37</v>
      </c>
      <c r="AP348" s="5" t="str">
        <f>Table2[[#This Row],[final_fate1]]</f>
        <v>H</v>
      </c>
      <c r="AQ348" s="6">
        <v>20</v>
      </c>
      <c r="AR348" s="7">
        <v>20</v>
      </c>
      <c r="AS348" s="7">
        <f>Table2[[#This Row],[final_obs_date]]-Table2[[#This Row],[init_date]]</f>
        <v>20</v>
      </c>
      <c r="AT348" s="7">
        <f>(Table2[[#This Row],[final_obs_date2]]-Table2[[#This Row],[estHD]])+16</f>
        <v>17</v>
      </c>
      <c r="AU348" s="38">
        <v>3</v>
      </c>
      <c r="AV348" s="33">
        <v>3</v>
      </c>
      <c r="AW348" s="33">
        <f>Table2[[#This Row],[final_obs_date2]]-Table2[[#This Row],[pen_obs_date]]</f>
        <v>64</v>
      </c>
      <c r="AX348" s="67">
        <v>64</v>
      </c>
      <c r="AY348" s="6">
        <f>Table2[[#This Row],[final_obs_date]]</f>
        <v>64</v>
      </c>
      <c r="AZ348" s="6"/>
      <c r="BA348" s="91" t="s">
        <v>47</v>
      </c>
      <c r="BB348" s="6" t="b">
        <f>Table2[[#This Row],[final_obs_date]]&lt;(Table2[[#This Row],[estHD]]-2)</f>
        <v>0</v>
      </c>
      <c r="BC348" s="24">
        <f>IF(Table2[[#This Row],[field_fate]]="H",1,0)</f>
        <v>1</v>
      </c>
      <c r="BD348" s="16">
        <f>IF(Table2[[#This Row],[cam_fate2]]="H",1,0)</f>
        <v>0</v>
      </c>
      <c r="BE348" s="6" t="b">
        <f>NOT(Table2[[#This Row],[HF_C]]=Table2[[#This Row],[HF]])</f>
        <v>1</v>
      </c>
      <c r="BF348" s="6" t="b">
        <f>NOT(Table2[[#This Row],[cam_fate2]]=Table2[[#This Row],[field_fate3]])</f>
        <v>1</v>
      </c>
      <c r="BG348" s="6" t="b">
        <f>OR(Table2[[#This Row],[field_fate3]]="U",Table2[[#This Row],[field_fate3]]="U-H")</f>
        <v>0</v>
      </c>
      <c r="BH348" s="8">
        <v>51</v>
      </c>
      <c r="BI348" s="8">
        <v>63</v>
      </c>
      <c r="BJ348" s="14">
        <f>IF(ISTEXT(Table2[[#This Row],[j.cam]]),Table2[[#This Row],[j]],Table2[[#This Row],[j.cam]])</f>
        <v>63</v>
      </c>
      <c r="BK348" s="9">
        <v>63</v>
      </c>
      <c r="BL348" s="15">
        <f>IF(ISTEXT(Table2[[#This Row],[k.cam]]), Table2[[#This Row],[k]], Table2[[#This Row],[k.cam]])</f>
        <v>63</v>
      </c>
      <c r="BM348" s="4">
        <v>63</v>
      </c>
      <c r="BN348" s="8">
        <v>63</v>
      </c>
      <c r="BO348" s="4">
        <v>5</v>
      </c>
      <c r="BP348" s="4">
        <f>Table2[[#This Row],[final_obs_date]]-Table2[[#This Row],[i]]</f>
        <v>13</v>
      </c>
      <c r="BQ348" s="4" t="b">
        <f>Table2[[#This Row],[final_obs_date2]]&gt;Table2[[#This Row],[estHD]]+3</f>
        <v>0</v>
      </c>
      <c r="BR348" s="4" t="s">
        <v>33</v>
      </c>
      <c r="BS348" s="4" t="s">
        <v>45</v>
      </c>
      <c r="BT348" s="79" t="s">
        <v>1220</v>
      </c>
      <c r="BU348" s="26" t="s">
        <v>105</v>
      </c>
      <c r="BV348" s="79" t="s">
        <v>1587</v>
      </c>
      <c r="BW348" s="49"/>
      <c r="BX348" s="47"/>
      <c r="BY348" s="36" t="s">
        <v>702</v>
      </c>
    </row>
    <row r="349" spans="1:77" hidden="1" x14ac:dyDescent="0.35">
      <c r="A349" s="63">
        <v>20253</v>
      </c>
      <c r="B349" s="2" t="s">
        <v>157</v>
      </c>
      <c r="C349" s="45">
        <v>2020</v>
      </c>
      <c r="D349" s="3">
        <v>29.76501</v>
      </c>
      <c r="E349" s="3">
        <v>-93.373189999999994</v>
      </c>
      <c r="F349" s="3">
        <v>0</v>
      </c>
      <c r="G349" s="3">
        <v>0</v>
      </c>
      <c r="H349" s="3" t="s">
        <v>26</v>
      </c>
      <c r="I349" s="43"/>
      <c r="J349" s="55" t="s">
        <v>24</v>
      </c>
      <c r="K349" s="4" t="s">
        <v>24</v>
      </c>
      <c r="L349" s="22" t="str">
        <f>IF(ISNUMBER(Table2[[#This Row],[estHD]]),ABS(Table2[[#This Row],[HD]]-Table2[[#This Row],[estHD]]),"NA")</f>
        <v>NA</v>
      </c>
      <c r="M349" s="4" t="b">
        <f>Table2[[#This Row],[HD]]=Table2[[#This Row],[estHD]]</f>
        <v>1</v>
      </c>
      <c r="N349" s="4" t="str">
        <f>IF(ISNUMBER([1]!Table2[[#This Row],[hatch_date]]),[1]!Table2[[#This Row],[hatch_date]]-19,"NA")</f>
        <v>NA</v>
      </c>
      <c r="O349" s="31" t="s">
        <v>24</v>
      </c>
      <c r="P349" s="23" t="str">
        <f>IF(ISNUMBER(Table2[[#This Row],[nest_age1]]),ABS(Table2[[#This Row],[nest_age1]]-Table2[[#This Row],[nest_age_feb]]),"NA")</f>
        <v>NA</v>
      </c>
      <c r="Q349" s="24">
        <f>IF(ISNUMBER(Table2[[#This Row],[final_obs_int2]]),ABS(Table2[[#This Row],[final_obs_int2]]-Table2[[#This Row],[final_obs_int_feb]]), "NA")</f>
        <v>0</v>
      </c>
      <c r="R349" s="24"/>
      <c r="S349" s="20" t="s">
        <v>75</v>
      </c>
      <c r="T349" s="20" t="str">
        <f>Table2[[#This Row],[camera_old]]</f>
        <v>Y</v>
      </c>
      <c r="U349" s="22" t="s">
        <v>88</v>
      </c>
      <c r="V349" s="16" t="s">
        <v>24</v>
      </c>
      <c r="W349" s="16" t="s">
        <v>24</v>
      </c>
      <c r="X349" s="145">
        <v>6</v>
      </c>
      <c r="Y349" s="147" t="s">
        <v>31</v>
      </c>
      <c r="Z349" s="146" t="s">
        <v>31</v>
      </c>
      <c r="AA349" s="4" t="str">
        <f>Table2[[#This Row],[field_fate]]</f>
        <v>D</v>
      </c>
      <c r="AB349" s="4" t="str">
        <f>Table2[[#This Row],[field_fate2]]</f>
        <v>D</v>
      </c>
      <c r="AC349" s="94" t="str">
        <f>Table2[[#This Row],[field_fate3]]</f>
        <v>D</v>
      </c>
      <c r="AD349" s="94" t="str">
        <f>Table2[[#This Row],[field_fate4]]</f>
        <v>D</v>
      </c>
      <c r="AE349" s="94" t="str">
        <f>Table2[[#This Row],[field_fate5]]</f>
        <v>D</v>
      </c>
      <c r="AF349" s="94" t="str">
        <f>Table2[[#This Row],[field_fate5]]</f>
        <v>D</v>
      </c>
      <c r="AG349" s="94" t="str">
        <f>Table2[[#This Row],[field_fate5]]</f>
        <v>D</v>
      </c>
      <c r="AH349" s="94" t="str">
        <f>Table2[[#This Row],[field_fate2]]</f>
        <v>D</v>
      </c>
      <c r="AI349" s="94" t="str">
        <f>Table2[[#This Row],[field_fate8]]</f>
        <v>D</v>
      </c>
      <c r="AJ349" s="94" t="str">
        <f>Table2[[#This Row],[field_fate10]]</f>
        <v>D</v>
      </c>
      <c r="AK349" s="94" t="b">
        <f>Table2[[#This Row],[field_fate_feb]]=Table2[[#This Row],[field_fate10]]</f>
        <v>1</v>
      </c>
      <c r="AL349" s="43" t="s">
        <v>24</v>
      </c>
      <c r="AM349" s="43" t="b">
        <f>Table2[[#This Row],[cam_fate2]]="NA"</f>
        <v>1</v>
      </c>
      <c r="AN349" s="19" t="str">
        <f>Table2[[#This Row],[cam_fate1]]</f>
        <v>NA</v>
      </c>
      <c r="AO349" s="2" t="s">
        <v>24</v>
      </c>
      <c r="AP349" s="5" t="str">
        <f>Table2[[#This Row],[final_fate1]]</f>
        <v>NA</v>
      </c>
      <c r="AQ349" s="6" t="s">
        <v>24</v>
      </c>
      <c r="AR349" s="7" t="s">
        <v>24</v>
      </c>
      <c r="AS349" s="7" t="e">
        <f>Table2[[#This Row],[final_obs_date]]-Table2[[#This Row],[init_date]]</f>
        <v>#VALUE!</v>
      </c>
      <c r="AT349" s="7" t="e">
        <f>(Table2[[#This Row],[final_obs_date2]]-Table2[[#This Row],[estHD]])+16</f>
        <v>#VALUE!</v>
      </c>
      <c r="AU349" s="38">
        <v>6</v>
      </c>
      <c r="AV349" s="33">
        <v>6</v>
      </c>
      <c r="AW349" s="33">
        <f>Table2[[#This Row],[final_obs_date2]]-Table2[[#This Row],[pen_obs_date]]</f>
        <v>58</v>
      </c>
      <c r="AX349" s="67">
        <v>58</v>
      </c>
      <c r="AY349" s="6">
        <f>Table2[[#This Row],[final_obs_date]]</f>
        <v>58</v>
      </c>
      <c r="AZ349" s="6"/>
      <c r="BA349" s="91" t="s">
        <v>47</v>
      </c>
      <c r="BB349" s="6" t="e">
        <f>Table2[[#This Row],[final_obs_date]]&lt;(Table2[[#This Row],[estHD]]-2)</f>
        <v>#VALUE!</v>
      </c>
      <c r="BC349" s="32">
        <f>IF(Table2[[#This Row],[field_fate]]="H",1,0)</f>
        <v>0</v>
      </c>
      <c r="BD349" s="16">
        <f>IF(Table2[[#This Row],[cam_fate2]]="H",1,0)</f>
        <v>0</v>
      </c>
      <c r="BE349" s="6" t="b">
        <f>NOT(Table2[[#This Row],[HF_C]]=Table2[[#This Row],[HF]])</f>
        <v>0</v>
      </c>
      <c r="BF349" s="6" t="b">
        <f>NOT(Table2[[#This Row],[cam_fate2]]=Table2[[#This Row],[field_fate3]])</f>
        <v>1</v>
      </c>
      <c r="BG349" s="6" t="b">
        <f>OR(Table2[[#This Row],[field_fate3]]="U",Table2[[#This Row],[field_fate3]]="U-H")</f>
        <v>0</v>
      </c>
      <c r="BH349" s="8">
        <v>52</v>
      </c>
      <c r="BI349" s="8">
        <v>52</v>
      </c>
      <c r="BJ349" s="14">
        <f>IF(ISTEXT(Table2[[#This Row],[j.cam]]),Table2[[#This Row],[j]],Table2[[#This Row],[j.cam]])</f>
        <v>52</v>
      </c>
      <c r="BK349" s="8">
        <v>58</v>
      </c>
      <c r="BL349" s="14">
        <f>IF(ISTEXT(Table2[[#This Row],[k.cam]]), Table2[[#This Row],[k]], Table2[[#This Row],[k.cam]])</f>
        <v>58</v>
      </c>
      <c r="BM349" s="4" t="s">
        <v>24</v>
      </c>
      <c r="BN349" s="8" t="s">
        <v>24</v>
      </c>
      <c r="BO349" s="4">
        <v>2</v>
      </c>
      <c r="BP349" s="4">
        <f>Table2[[#This Row],[final_obs_date]]-Table2[[#This Row],[i]]</f>
        <v>6</v>
      </c>
      <c r="BQ349" s="4" t="e">
        <f>Table2[[#This Row],[final_obs_date2]]&gt;Table2[[#This Row],[estHD]]+3</f>
        <v>#VALUE!</v>
      </c>
      <c r="BR349" s="3" t="s">
        <v>33</v>
      </c>
      <c r="BS349" s="3" t="s">
        <v>45</v>
      </c>
      <c r="BT349" s="79" t="s">
        <v>1221</v>
      </c>
      <c r="BU349" s="26" t="s">
        <v>87</v>
      </c>
      <c r="BV349" s="79" t="s">
        <v>1437</v>
      </c>
      <c r="BW349" s="49"/>
      <c r="BX349" s="47"/>
      <c r="BY349" s="36" t="s">
        <v>703</v>
      </c>
    </row>
    <row r="350" spans="1:77" hidden="1" x14ac:dyDescent="0.35">
      <c r="A350" s="63">
        <v>20254</v>
      </c>
      <c r="B350" s="2" t="s">
        <v>35</v>
      </c>
      <c r="C350" s="45">
        <v>2020</v>
      </c>
      <c r="D350" s="3">
        <v>29.762039999999999</v>
      </c>
      <c r="E350" s="3">
        <v>-93.137690000000006</v>
      </c>
      <c r="F350" s="3" t="s">
        <v>24</v>
      </c>
      <c r="G350" s="3" t="s">
        <v>24</v>
      </c>
      <c r="H350" s="3" t="s">
        <v>26</v>
      </c>
      <c r="I350" s="43"/>
      <c r="J350" s="55">
        <v>73</v>
      </c>
      <c r="K350" s="4">
        <v>73</v>
      </c>
      <c r="L350" s="22">
        <f>IF(ISNUMBER(Table2[[#This Row],[estHD]]),ABS(Table2[[#This Row],[HD]]-Table2[[#This Row],[estHD]]),"NA")</f>
        <v>0</v>
      </c>
      <c r="M350" s="4" t="b">
        <f>Table2[[#This Row],[HD]]=Table2[[#This Row],[estHD]]</f>
        <v>1</v>
      </c>
      <c r="N350" s="4" t="str">
        <f>IF(ISNUMBER([1]!Table2[[#This Row],[hatch_date]]),[1]!Table2[[#This Row],[hatch_date]]-19,"NA")</f>
        <v>NA</v>
      </c>
      <c r="O350" s="31">
        <v>54</v>
      </c>
      <c r="P350" s="23">
        <f>IF(ISNUMBER(Table2[[#This Row],[nest_age1]]),ABS(Table2[[#This Row],[nest_age1]]-Table2[[#This Row],[nest_age_feb]]),"NA")</f>
        <v>1</v>
      </c>
      <c r="Q350" s="24">
        <f>IF(ISNUMBER(Table2[[#This Row],[final_obs_int2]]),ABS(Table2[[#This Row],[final_obs_int2]]-Table2[[#This Row],[final_obs_int_feb]]), "NA")</f>
        <v>0</v>
      </c>
      <c r="R350" s="24"/>
      <c r="S350" s="57" t="s">
        <v>88</v>
      </c>
      <c r="T350" s="57" t="str">
        <f>Table2[[#This Row],[camera_old]]</f>
        <v>N</v>
      </c>
      <c r="U350" s="24"/>
      <c r="V350" s="16" t="s">
        <v>24</v>
      </c>
      <c r="W350" s="16">
        <v>9</v>
      </c>
      <c r="X350" s="145">
        <v>4</v>
      </c>
      <c r="Y350" s="147" t="s">
        <v>91</v>
      </c>
      <c r="Z350" s="146" t="s">
        <v>91</v>
      </c>
      <c r="AA350" s="4" t="str">
        <f>Table2[[#This Row],[field_fate]]</f>
        <v>Hu</v>
      </c>
      <c r="AB350" s="4" t="str">
        <f>Table2[[#This Row],[field_fate2]]</f>
        <v>Hu</v>
      </c>
      <c r="AC350" s="4" t="str">
        <f>Table2[[#This Row],[field_fate3]]</f>
        <v>Hu</v>
      </c>
      <c r="AD350" s="4" t="str">
        <f>Table2[[#This Row],[field_fate4]]</f>
        <v>Hu</v>
      </c>
      <c r="AE350" s="4" t="str">
        <f>Table2[[#This Row],[field_fate5]]</f>
        <v>Hu</v>
      </c>
      <c r="AF350" s="4" t="str">
        <f>Table2[[#This Row],[field_fate5]]</f>
        <v>Hu</v>
      </c>
      <c r="AG350" s="4" t="str">
        <f>Table2[[#This Row],[field_fate5]]</f>
        <v>Hu</v>
      </c>
      <c r="AH350" s="4" t="str">
        <f>Table2[[#This Row],[field_fate2]]</f>
        <v>Hu</v>
      </c>
      <c r="AI350" s="4" t="str">
        <f>Table2[[#This Row],[field_fate8]]</f>
        <v>Hu</v>
      </c>
      <c r="AJ350" s="4" t="str">
        <f>Table2[[#This Row],[field_fate10]]</f>
        <v>Hu</v>
      </c>
      <c r="AK350" s="4" t="b">
        <f>Table2[[#This Row],[field_fate_feb]]=Table2[[#This Row],[field_fate10]]</f>
        <v>1</v>
      </c>
      <c r="AL350" s="43" t="s">
        <v>24</v>
      </c>
      <c r="AM350" s="43" t="b">
        <f>Table2[[#This Row],[cam_fate2]]="NA"</f>
        <v>1</v>
      </c>
      <c r="AN350" s="19" t="str">
        <f>Table2[[#This Row],[cam_fate1]]</f>
        <v>NA</v>
      </c>
      <c r="AO350" s="2" t="s">
        <v>91</v>
      </c>
      <c r="AP350" s="5" t="str">
        <f>Table2[[#This Row],[final_fate1]]</f>
        <v>Hu</v>
      </c>
      <c r="AQ350" s="6">
        <v>10</v>
      </c>
      <c r="AR350" s="7">
        <v>10</v>
      </c>
      <c r="AS350" s="7">
        <f>Table2[[#This Row],[final_obs_date]]-Table2[[#This Row],[init_date]]</f>
        <v>10</v>
      </c>
      <c r="AT350" s="7">
        <f>(Table2[[#This Row],[final_obs_date2]]-Table2[[#This Row],[estHD]])+16</f>
        <v>7</v>
      </c>
      <c r="AU350" s="38">
        <v>4</v>
      </c>
      <c r="AV350" s="33">
        <v>4</v>
      </c>
      <c r="AW350" s="33">
        <f>Table2[[#This Row],[final_obs_date2]]-Table2[[#This Row],[pen_obs_date]]</f>
        <v>64</v>
      </c>
      <c r="AX350" s="67">
        <v>64</v>
      </c>
      <c r="AY350" s="6">
        <f>Table2[[#This Row],[final_obs_date]]</f>
        <v>64</v>
      </c>
      <c r="AZ350" s="6"/>
      <c r="BA350" s="91" t="s">
        <v>47</v>
      </c>
      <c r="BB350" s="6" t="b">
        <f>Table2[[#This Row],[final_obs_date]]&lt;(Table2[[#This Row],[estHD]]-2)</f>
        <v>1</v>
      </c>
      <c r="BC350" s="24">
        <f>IF(Table2[[#This Row],[field_fate]]="H",1,0)</f>
        <v>0</v>
      </c>
      <c r="BD350" s="16">
        <f>IF(Table2[[#This Row],[cam_fate2]]="H",1,0)</f>
        <v>0</v>
      </c>
      <c r="BE350" s="6" t="b">
        <f>NOT(Table2[[#This Row],[HF_C]]=Table2[[#This Row],[HF]])</f>
        <v>0</v>
      </c>
      <c r="BF350" s="6" t="b">
        <f>NOT(Table2[[#This Row],[cam_fate2]]=Table2[[#This Row],[field_fate3]])</f>
        <v>1</v>
      </c>
      <c r="BG350" s="6" t="b">
        <f>OR(Table2[[#This Row],[field_fate3]]="U",Table2[[#This Row],[field_fate3]]="U-H")</f>
        <v>0</v>
      </c>
      <c r="BH350" s="8">
        <v>55</v>
      </c>
      <c r="BI350" s="8">
        <v>60</v>
      </c>
      <c r="BJ350" s="14">
        <f>IF(ISTEXT(Table2[[#This Row],[j.cam]]),Table2[[#This Row],[j]],Table2[[#This Row],[j.cam]])</f>
        <v>60</v>
      </c>
      <c r="BK350" s="9">
        <v>64</v>
      </c>
      <c r="BL350" s="15">
        <f>IF(ISTEXT(Table2[[#This Row],[k.cam]]), Table2[[#This Row],[k]], Table2[[#This Row],[k.cam]])</f>
        <v>64</v>
      </c>
      <c r="BM350" s="4" t="s">
        <v>24</v>
      </c>
      <c r="BN350" s="8" t="s">
        <v>24</v>
      </c>
      <c r="BO350" s="4">
        <v>4</v>
      </c>
      <c r="BP350" s="4">
        <f>Table2[[#This Row],[final_obs_date]]-Table2[[#This Row],[i]]</f>
        <v>9</v>
      </c>
      <c r="BQ350" s="4" t="b">
        <f>Table2[[#This Row],[final_obs_date2]]&gt;Table2[[#This Row],[estHD]]+3</f>
        <v>0</v>
      </c>
      <c r="BR350" s="4" t="s">
        <v>33</v>
      </c>
      <c r="BS350" s="4" t="s">
        <v>45</v>
      </c>
      <c r="BT350" s="79" t="s">
        <v>1222</v>
      </c>
      <c r="BU350" s="26" t="s">
        <v>296</v>
      </c>
      <c r="BV350" s="79" t="s">
        <v>1588</v>
      </c>
      <c r="BW350" s="49"/>
      <c r="BX350" s="47"/>
      <c r="BY350" s="36" t="s">
        <v>704</v>
      </c>
    </row>
    <row r="351" spans="1:77" hidden="1" x14ac:dyDescent="0.35">
      <c r="A351" s="63">
        <v>20255</v>
      </c>
      <c r="B351" s="2" t="s">
        <v>35</v>
      </c>
      <c r="C351" s="45">
        <v>2020</v>
      </c>
      <c r="D351" s="3">
        <v>29.76426</v>
      </c>
      <c r="E351" s="3">
        <v>-93.147869999999998</v>
      </c>
      <c r="F351" s="3">
        <v>75</v>
      </c>
      <c r="G351" s="3">
        <v>75</v>
      </c>
      <c r="H351" s="3" t="s">
        <v>462</v>
      </c>
      <c r="I351" s="43"/>
      <c r="J351" s="55">
        <v>81</v>
      </c>
      <c r="K351" s="4">
        <v>78</v>
      </c>
      <c r="L351" s="22">
        <f>IF(ISNUMBER(Table2[[#This Row],[estHD]]),ABS(Table2[[#This Row],[HD]]-Table2[[#This Row],[estHD]]),"NA")</f>
        <v>3</v>
      </c>
      <c r="M351" s="4" t="b">
        <f>Table2[[#This Row],[HD]]=Table2[[#This Row],[estHD]]</f>
        <v>0</v>
      </c>
      <c r="N351" s="4" t="str">
        <f>IF(ISNUMBER([1]!Table2[[#This Row],[hatch_date]]), [1]!Table2[[#This Row],[hatch_date]]-28, "NA")</f>
        <v>NA</v>
      </c>
      <c r="O351" s="31">
        <v>50</v>
      </c>
      <c r="P351" s="23">
        <f>IF(ISNUMBER(Table2[[#This Row],[nest_age1]]),ABS(Table2[[#This Row],[nest_age1]]-Table2[[#This Row],[nest_age_feb]]),"NA")</f>
        <v>4</v>
      </c>
      <c r="Q351" s="24">
        <f>IF(ISNUMBER(Table2[[#This Row],[final_obs_int2]]),ABS(Table2[[#This Row],[final_obs_int2]]-Table2[[#This Row],[final_obs_int_feb]]), "NA")</f>
        <v>0</v>
      </c>
      <c r="R351" s="24"/>
      <c r="S351" s="20" t="s">
        <v>75</v>
      </c>
      <c r="T351" s="20" t="str">
        <f>Table2[[#This Row],[camera_old]]</f>
        <v>Y</v>
      </c>
      <c r="U351" s="22" t="s">
        <v>88</v>
      </c>
      <c r="V351" s="16" t="s">
        <v>37</v>
      </c>
      <c r="W351" s="16">
        <v>26</v>
      </c>
      <c r="X351" s="145">
        <v>4</v>
      </c>
      <c r="Y351" s="147" t="s">
        <v>37</v>
      </c>
      <c r="Z351" s="146" t="s">
        <v>37</v>
      </c>
      <c r="AA351" s="4" t="str">
        <f>Table2[[#This Row],[field_fate]]</f>
        <v>H</v>
      </c>
      <c r="AB351" s="4" t="str">
        <f>Table2[[#This Row],[field_fate2]]</f>
        <v>H</v>
      </c>
      <c r="AC351" s="4" t="str">
        <f>Table2[[#This Row],[field_fate3]]</f>
        <v>H</v>
      </c>
      <c r="AD351" s="4" t="str">
        <f>Table2[[#This Row],[field_fate4]]</f>
        <v>H</v>
      </c>
      <c r="AE351" s="4" t="str">
        <f>Table2[[#This Row],[field_fate5]]</f>
        <v>H</v>
      </c>
      <c r="AF351" s="4" t="str">
        <f>Table2[[#This Row],[field_fate5]]</f>
        <v>H</v>
      </c>
      <c r="AG351" s="4" t="str">
        <f>Table2[[#This Row],[field_fate5]]</f>
        <v>H</v>
      </c>
      <c r="AH351" s="4" t="str">
        <f>Table2[[#This Row],[field_fate2]]</f>
        <v>H</v>
      </c>
      <c r="AI351" s="4" t="str">
        <f>Table2[[#This Row],[field_fate8]]</f>
        <v>H</v>
      </c>
      <c r="AJ351" s="4" t="str">
        <f>Table2[[#This Row],[field_fate10]]</f>
        <v>H</v>
      </c>
      <c r="AK351" s="4" t="b">
        <f>Table2[[#This Row],[field_fate_feb]]=Table2[[#This Row],[field_fate10]]</f>
        <v>1</v>
      </c>
      <c r="AL351" s="43" t="s">
        <v>37</v>
      </c>
      <c r="AM351" s="43" t="b">
        <f>Table2[[#This Row],[cam_fate2]]="NA"</f>
        <v>0</v>
      </c>
      <c r="AN351" s="19" t="str">
        <f>Table2[[#This Row],[cam_fate1]]</f>
        <v>H</v>
      </c>
      <c r="AO351" s="2" t="s">
        <v>37</v>
      </c>
      <c r="AP351" s="5" t="str">
        <f>Table2[[#This Row],[final_fate1]]</f>
        <v>H</v>
      </c>
      <c r="AQ351" s="6">
        <v>30</v>
      </c>
      <c r="AR351" s="7">
        <v>27</v>
      </c>
      <c r="AS351" s="155">
        <f>Table2[[#This Row],[final_obs_date]]-Table2[[#This Row],[init_date]]</f>
        <v>30</v>
      </c>
      <c r="AT351" s="155">
        <f>(Table2[[#This Row],[final_obs_date2]]-Table2[[#This Row],[estHD]])+16</f>
        <v>15</v>
      </c>
      <c r="AU351" s="38">
        <v>4</v>
      </c>
      <c r="AV351" s="33">
        <v>4</v>
      </c>
      <c r="AW351" s="33">
        <f>Table2[[#This Row],[final_obs_date2]]-Table2[[#This Row],[pen_obs_date]]</f>
        <v>4</v>
      </c>
      <c r="AX351" s="67">
        <v>80</v>
      </c>
      <c r="AY351" s="6">
        <f>Table2[[#This Row],[final_obs_date]]</f>
        <v>80</v>
      </c>
      <c r="AZ351" s="6">
        <v>76</v>
      </c>
      <c r="BA351" s="91" t="s">
        <v>23</v>
      </c>
      <c r="BB351" s="6" t="b">
        <f>Table2[[#This Row],[final_obs_date]]&lt;(Table2[[#This Row],[estHD]]-2)</f>
        <v>0</v>
      </c>
      <c r="BC351" s="32">
        <f>IF(Table2[[#This Row],[field_fate]]="H",1,0)</f>
        <v>1</v>
      </c>
      <c r="BD351" s="16">
        <f>IF(Table2[[#This Row],[cam_fate2]]="H",1,0)</f>
        <v>1</v>
      </c>
      <c r="BE351" s="6" t="b">
        <f>NOT(Table2[[#This Row],[HF_C]]=Table2[[#This Row],[HF]])</f>
        <v>0</v>
      </c>
      <c r="BF351" s="6" t="b">
        <f>NOT(Table2[[#This Row],[cam_fate2]]=Table2[[#This Row],[field_fate3]])</f>
        <v>0</v>
      </c>
      <c r="BG351" s="6" t="b">
        <f>OR(Table2[[#This Row],[field_fate3]]="U",Table2[[#This Row],[field_fate3]]="U-H")</f>
        <v>0</v>
      </c>
      <c r="BH351" s="8">
        <v>55</v>
      </c>
      <c r="BI351" s="8">
        <v>78</v>
      </c>
      <c r="BJ351" s="14">
        <f>IF(ISTEXT(Table2[[#This Row],[j.cam]]),Table2[[#This Row],[j]],Table2[[#This Row],[j.cam]])</f>
        <v>78</v>
      </c>
      <c r="BK351" s="8">
        <v>78</v>
      </c>
      <c r="BL351" s="14">
        <f>IF(ISTEXT(Table2[[#This Row],[k.cam]]), Table2[[#This Row],[k]], Table2[[#This Row],[k.cam]])</f>
        <v>78</v>
      </c>
      <c r="BM351" s="4" t="s">
        <v>24</v>
      </c>
      <c r="BN351" s="8" t="s">
        <v>24</v>
      </c>
      <c r="BO351" s="4">
        <v>8</v>
      </c>
      <c r="BP351" s="4">
        <f>Table2[[#This Row],[final_obs_date]]-Table2[[#This Row],[i]]</f>
        <v>25</v>
      </c>
      <c r="BQ351" s="4" t="b">
        <f>Table2[[#This Row],[final_obs_date2]]&gt;Table2[[#This Row],[estHD]]+3</f>
        <v>0</v>
      </c>
      <c r="BR351" s="3" t="s">
        <v>27</v>
      </c>
      <c r="BS351" s="3" t="s">
        <v>45</v>
      </c>
      <c r="BT351" s="88" t="s">
        <v>1223</v>
      </c>
      <c r="BU351" s="26" t="s">
        <v>297</v>
      </c>
      <c r="BV351" s="79" t="s">
        <v>1589</v>
      </c>
      <c r="BW351" s="49"/>
      <c r="BX351" s="47"/>
      <c r="BY351" s="36" t="s">
        <v>705</v>
      </c>
    </row>
    <row r="352" spans="1:77" hidden="1" x14ac:dyDescent="0.35">
      <c r="A352" s="63">
        <v>20256</v>
      </c>
      <c r="B352" s="2" t="s">
        <v>35</v>
      </c>
      <c r="C352" s="45">
        <v>2020</v>
      </c>
      <c r="D352" s="3">
        <v>29.7638</v>
      </c>
      <c r="E352" s="3">
        <v>-93.144289999999998</v>
      </c>
      <c r="F352" s="3">
        <v>80</v>
      </c>
      <c r="G352" s="3">
        <v>80</v>
      </c>
      <c r="H352" s="3" t="s">
        <v>26</v>
      </c>
      <c r="I352" s="43"/>
      <c r="J352" s="116">
        <v>64</v>
      </c>
      <c r="K352" s="4">
        <v>63</v>
      </c>
      <c r="L352" s="22">
        <f>IF(ISNUMBER(Table2[[#This Row],[estHD]]),ABS(Table2[[#This Row],[HD]]-Table2[[#This Row],[estHD]]),"NA")</f>
        <v>1</v>
      </c>
      <c r="M352" s="4" t="b">
        <f>Table2[[#This Row],[HD]]=Table2[[#This Row],[estHD]]</f>
        <v>0</v>
      </c>
      <c r="N352" s="4">
        <f>IF(ISNUMBER(Table2[[#This Row],[HD]]),Table2[[#This Row],[HD]]-16,"NA")</f>
        <v>47</v>
      </c>
      <c r="O352" s="31">
        <v>47</v>
      </c>
      <c r="P352" s="23">
        <f>IF(ISNUMBER(Table2[[#This Row],[nest_age1]]),ABS(Table2[[#This Row],[nest_age1]]-Table2[[#This Row],[nest_age_feb]]),"NA")</f>
        <v>1</v>
      </c>
      <c r="Q352" s="24">
        <f>IF(ISNUMBER(Table2[[#This Row],[final_obs_int2]]),ABS(Table2[[#This Row],[final_obs_int2]]-Table2[[#This Row],[final_obs_int_feb]]), "NA")</f>
        <v>14</v>
      </c>
      <c r="R352" s="24">
        <f>(Table2[[#This Row],[k_adj]]-Table2[[#This Row],[estHD]])/Table2[[#This Row],[estHD]]</f>
        <v>-1.5625E-2</v>
      </c>
      <c r="S352" s="20" t="s">
        <v>75</v>
      </c>
      <c r="T352" s="20" t="str">
        <f>Table2[[#This Row],[camera_old]]</f>
        <v>Y</v>
      </c>
      <c r="U352" s="22" t="s">
        <v>88</v>
      </c>
      <c r="V352" s="16" t="s">
        <v>37</v>
      </c>
      <c r="W352" s="16">
        <v>15</v>
      </c>
      <c r="X352" s="145">
        <v>17</v>
      </c>
      <c r="Y352" s="147" t="s">
        <v>37</v>
      </c>
      <c r="Z352" s="146" t="s">
        <v>37</v>
      </c>
      <c r="AA352" s="4" t="str">
        <f>Table2[[#This Row],[field_fate]]</f>
        <v>H</v>
      </c>
      <c r="AB352" s="4" t="str">
        <f>Table2[[#This Row],[field_fate2]]</f>
        <v>H</v>
      </c>
      <c r="AC352" s="94" t="str">
        <f>Table2[[#This Row],[field_fate3]]</f>
        <v>H</v>
      </c>
      <c r="AD352" s="94" t="str">
        <f>Table2[[#This Row],[field_fate4]]</f>
        <v>H</v>
      </c>
      <c r="AE352" s="94" t="str">
        <f>Table2[[#This Row],[field_fate5]]</f>
        <v>H</v>
      </c>
      <c r="AF352" s="94" t="str">
        <f>Table2[[#This Row],[field_fate5]]</f>
        <v>H</v>
      </c>
      <c r="AG352" s="94" t="str">
        <f>Table2[[#This Row],[field_fate5]]</f>
        <v>H</v>
      </c>
      <c r="AH352" s="94" t="str">
        <f>Table2[[#This Row],[field_fate2]]</f>
        <v>H</v>
      </c>
      <c r="AI352" s="94" t="str">
        <f>Table2[[#This Row],[field_fate8]]</f>
        <v>H</v>
      </c>
      <c r="AJ352" s="94" t="str">
        <f>Table2[[#This Row],[field_fate10]]</f>
        <v>H</v>
      </c>
      <c r="AK352" s="94" t="b">
        <f>Table2[[#This Row],[field_fate_feb]]=Table2[[#This Row],[field_fate10]]</f>
        <v>1</v>
      </c>
      <c r="AL352" s="43" t="s">
        <v>37</v>
      </c>
      <c r="AM352" s="160" t="b">
        <f>Table2[[#This Row],[cam_fate2]]="NA"</f>
        <v>0</v>
      </c>
      <c r="AN352" s="19" t="str">
        <f>Table2[[#This Row],[cam_fate1]]</f>
        <v>H</v>
      </c>
      <c r="AO352" s="2" t="s">
        <v>37</v>
      </c>
      <c r="AP352" s="5" t="str">
        <f>Table2[[#This Row],[final_fate1]]</f>
        <v>H</v>
      </c>
      <c r="AQ352" s="6">
        <v>16</v>
      </c>
      <c r="AR352" s="72">
        <v>15</v>
      </c>
      <c r="AS352" s="155">
        <f>Table2[[#This Row],[final_obs_date]]-Table2[[#This Row],[init_date]]</f>
        <v>16</v>
      </c>
      <c r="AT352" s="155">
        <f>(Table2[[#This Row],[final_obs_date2]]-Table2[[#This Row],[estHD]])+16</f>
        <v>15</v>
      </c>
      <c r="AU352" s="38">
        <v>3</v>
      </c>
      <c r="AV352" s="33">
        <v>3</v>
      </c>
      <c r="AW352" s="33">
        <f>Table2[[#This Row],[final_obs_date2]]-Table2[[#This Row],[pen_obs_date]]</f>
        <v>3</v>
      </c>
      <c r="AX352" s="67">
        <v>63</v>
      </c>
      <c r="AY352" s="157">
        <f>Table2[[#This Row],[final_obs_date]]</f>
        <v>63</v>
      </c>
      <c r="AZ352" s="6">
        <v>60</v>
      </c>
      <c r="BA352" s="92" t="s">
        <v>60</v>
      </c>
      <c r="BB352" s="6" t="b">
        <f>Table2[[#This Row],[final_obs_date]]&lt;(Table2[[#This Row],[estHD]]-2)</f>
        <v>0</v>
      </c>
      <c r="BC352" s="32">
        <f>IF(Table2[[#This Row],[field_fate]]="H",1,0)</f>
        <v>1</v>
      </c>
      <c r="BD352" s="16">
        <f>IF(Table2[[#This Row],[cam_fate2]]="H",1,0)</f>
        <v>1</v>
      </c>
      <c r="BE352" s="6" t="b">
        <f>NOT(Table2[[#This Row],[HF_C]]=Table2[[#This Row],[HF]])</f>
        <v>0</v>
      </c>
      <c r="BF352" s="38" t="b">
        <f>NOT(Table2[[#This Row],[cam_fate2]]=Table2[[#This Row],[field_fate3]])</f>
        <v>0</v>
      </c>
      <c r="BG352" s="38" t="b">
        <f>OR(Table2[[#This Row],[field_fate3]]="U",Table2[[#This Row],[field_fate3]]="U-H")</f>
        <v>0</v>
      </c>
      <c r="BH352" s="8">
        <v>47</v>
      </c>
      <c r="BI352" s="8">
        <v>63</v>
      </c>
      <c r="BJ352" s="14">
        <f>IF(ISTEXT(Table2[[#This Row],[j.cam]]),Table2[[#This Row],[j]],Table2[[#This Row],[j.cam]])</f>
        <v>63</v>
      </c>
      <c r="BK352" s="8">
        <v>63</v>
      </c>
      <c r="BL352" s="14">
        <f>IF(ISTEXT(Table2[[#This Row],[k.cam]]), Table2[[#This Row],[k]], Table2[[#This Row],[k.cam]])</f>
        <v>63</v>
      </c>
      <c r="BM352" s="4">
        <v>63</v>
      </c>
      <c r="BN352" s="8">
        <v>63</v>
      </c>
      <c r="BO352" s="4">
        <v>4</v>
      </c>
      <c r="BP352" s="4">
        <f>Table2[[#This Row],[final_obs_date]]-Table2[[#This Row],[i]]</f>
        <v>16</v>
      </c>
      <c r="BQ352" s="4" t="b">
        <f>Table2[[#This Row],[final_obs_date2]]&gt;Table2[[#This Row],[estHD]]+3</f>
        <v>0</v>
      </c>
      <c r="BR352" s="3" t="s">
        <v>66</v>
      </c>
      <c r="BS352" s="3" t="s">
        <v>178</v>
      </c>
      <c r="BT352" s="125" t="s">
        <v>1224</v>
      </c>
      <c r="BU352" s="4" t="s">
        <v>298</v>
      </c>
      <c r="BV352" s="79" t="s">
        <v>1590</v>
      </c>
      <c r="BW352" s="69"/>
      <c r="BX352" s="36"/>
      <c r="BY352" s="54" t="s">
        <v>706</v>
      </c>
    </row>
    <row r="353" spans="1:77" hidden="1" x14ac:dyDescent="0.35">
      <c r="A353" s="63">
        <v>20257</v>
      </c>
      <c r="B353" s="2" t="s">
        <v>35</v>
      </c>
      <c r="C353" s="45">
        <v>2020</v>
      </c>
      <c r="D353" s="3">
        <v>29.764150000000001</v>
      </c>
      <c r="E353" s="3">
        <v>-93.147279999999995</v>
      </c>
      <c r="F353" s="3">
        <v>50</v>
      </c>
      <c r="G353" s="3">
        <v>50</v>
      </c>
      <c r="H353" s="3" t="s">
        <v>26</v>
      </c>
      <c r="I353" s="43"/>
      <c r="J353" s="116">
        <v>64</v>
      </c>
      <c r="K353" s="4">
        <v>62</v>
      </c>
      <c r="L353" s="22">
        <f>IF(ISNUMBER(Table2[[#This Row],[estHD]]),ABS(Table2[[#This Row],[HD]]-Table2[[#This Row],[estHD]]),"NA")</f>
        <v>2</v>
      </c>
      <c r="M353" s="4" t="b">
        <f>Table2[[#This Row],[HD]]=Table2[[#This Row],[estHD]]</f>
        <v>0</v>
      </c>
      <c r="N353" s="4">
        <f>IF(ISNUMBER(Table2[[#This Row],[HD]]),Table2[[#This Row],[HD]]-16,"NA")</f>
        <v>46</v>
      </c>
      <c r="O353" s="31">
        <v>46</v>
      </c>
      <c r="P353" s="23">
        <f>IF(ISNUMBER(Table2[[#This Row],[nest_age1]]),ABS(Table2[[#This Row],[nest_age1]]-Table2[[#This Row],[nest_age_feb]]),"NA")</f>
        <v>3</v>
      </c>
      <c r="Q353" s="24">
        <f>IF(ISNUMBER(Table2[[#This Row],[final_obs_int2]]),ABS(Table2[[#This Row],[final_obs_int2]]-Table2[[#This Row],[final_obs_int_feb]]), "NA")</f>
        <v>2</v>
      </c>
      <c r="R353" s="24">
        <f>(Table2[[#This Row],[k_adj]]-Table2[[#This Row],[estHD]])/Table2[[#This Row],[estHD]]</f>
        <v>-3.125E-2</v>
      </c>
      <c r="S353" s="20" t="s">
        <v>75</v>
      </c>
      <c r="T353" s="20" t="str">
        <f>Table2[[#This Row],[camera_old]]</f>
        <v>Y</v>
      </c>
      <c r="U353" s="22" t="s">
        <v>88</v>
      </c>
      <c r="V353" s="16" t="s">
        <v>37</v>
      </c>
      <c r="W353" s="16">
        <v>15</v>
      </c>
      <c r="X353" s="145">
        <v>4</v>
      </c>
      <c r="Y353" s="147" t="s">
        <v>37</v>
      </c>
      <c r="Z353" s="146" t="s">
        <v>37</v>
      </c>
      <c r="AA353" s="4" t="str">
        <f>Table2[[#This Row],[field_fate]]</f>
        <v>H</v>
      </c>
      <c r="AB353" s="4" t="str">
        <f>Table2[[#This Row],[field_fate2]]</f>
        <v>H</v>
      </c>
      <c r="AC353" s="94" t="str">
        <f>Table2[[#This Row],[field_fate3]]</f>
        <v>H</v>
      </c>
      <c r="AD353" s="94" t="str">
        <f>Table2[[#This Row],[field_fate4]]</f>
        <v>H</v>
      </c>
      <c r="AE353" s="94" t="str">
        <f>Table2[[#This Row],[field_fate5]]</f>
        <v>H</v>
      </c>
      <c r="AF353" s="94" t="str">
        <f>Table2[[#This Row],[field_fate5]]</f>
        <v>H</v>
      </c>
      <c r="AG353" s="94" t="str">
        <f>Table2[[#This Row],[field_fate5]]</f>
        <v>H</v>
      </c>
      <c r="AH353" s="94" t="str">
        <f>Table2[[#This Row],[field_fate2]]</f>
        <v>H</v>
      </c>
      <c r="AI353" s="94" t="str">
        <f>Table2[[#This Row],[field_fate8]]</f>
        <v>H</v>
      </c>
      <c r="AJ353" s="94" t="str">
        <f>Table2[[#This Row],[field_fate10]]</f>
        <v>H</v>
      </c>
      <c r="AK353" s="94" t="b">
        <f>Table2[[#This Row],[field_fate_feb]]=Table2[[#This Row],[field_fate10]]</f>
        <v>1</v>
      </c>
      <c r="AL353" s="43" t="s">
        <v>37</v>
      </c>
      <c r="AM353" s="160" t="b">
        <f>Table2[[#This Row],[cam_fate2]]="NA"</f>
        <v>0</v>
      </c>
      <c r="AN353" s="19" t="str">
        <f>Table2[[#This Row],[cam_fate1]]</f>
        <v>H</v>
      </c>
      <c r="AO353" s="2" t="s">
        <v>37</v>
      </c>
      <c r="AP353" s="5" t="str">
        <f>Table2[[#This Row],[final_fate1]]</f>
        <v>H</v>
      </c>
      <c r="AQ353" s="6">
        <v>18</v>
      </c>
      <c r="AR353" s="72">
        <v>16</v>
      </c>
      <c r="AS353" s="155">
        <f>Table2[[#This Row],[final_obs_date]]-Table2[[#This Row],[init_date]]</f>
        <v>18</v>
      </c>
      <c r="AT353" s="155">
        <f>(Table2[[#This Row],[final_obs_date2]]-Table2[[#This Row],[estHD]])+16</f>
        <v>16</v>
      </c>
      <c r="AU353" s="38">
        <v>2</v>
      </c>
      <c r="AV353" s="33">
        <v>2</v>
      </c>
      <c r="AW353" s="33">
        <f>Table2[[#This Row],[final_obs_date2]]-Table2[[#This Row],[pen_obs_date]]</f>
        <v>4</v>
      </c>
      <c r="AX353" s="67">
        <v>64</v>
      </c>
      <c r="AY353" s="157">
        <f>Table2[[#This Row],[final_obs_date]]</f>
        <v>64</v>
      </c>
      <c r="AZ353" s="6">
        <v>60</v>
      </c>
      <c r="BA353" s="92" t="s">
        <v>60</v>
      </c>
      <c r="BB353" s="6" t="b">
        <f>Table2[[#This Row],[final_obs_date]]&lt;(Table2[[#This Row],[estHD]]-2)</f>
        <v>0</v>
      </c>
      <c r="BC353" s="32">
        <f>IF(Table2[[#This Row],[field_fate]]="H",1,0)</f>
        <v>1</v>
      </c>
      <c r="BD353" s="16">
        <f>IF(Table2[[#This Row],[cam_fate2]]="H",1,0)</f>
        <v>1</v>
      </c>
      <c r="BE353" s="6" t="b">
        <f>NOT(Table2[[#This Row],[HF_C]]=Table2[[#This Row],[HF]])</f>
        <v>0</v>
      </c>
      <c r="BF353" s="38" t="b">
        <f>NOT(Table2[[#This Row],[cam_fate2]]=Table2[[#This Row],[field_fate3]])</f>
        <v>0</v>
      </c>
      <c r="BG353" s="38" t="b">
        <f>OR(Table2[[#This Row],[field_fate3]]="U",Table2[[#This Row],[field_fate3]]="U-H")</f>
        <v>0</v>
      </c>
      <c r="BH353" s="8">
        <v>47</v>
      </c>
      <c r="BI353" s="8">
        <v>62</v>
      </c>
      <c r="BJ353" s="14">
        <f>IF(ISTEXT(Table2[[#This Row],[j.cam]]),Table2[[#This Row],[j]],Table2[[#This Row],[j.cam]])</f>
        <v>62</v>
      </c>
      <c r="BK353" s="8">
        <v>62</v>
      </c>
      <c r="BL353" s="14">
        <f>IF(ISTEXT(Table2[[#This Row],[k.cam]]), Table2[[#This Row],[k]], Table2[[#This Row],[k.cam]])</f>
        <v>62</v>
      </c>
      <c r="BM353" s="4" t="s">
        <v>24</v>
      </c>
      <c r="BN353" s="8" t="s">
        <v>24</v>
      </c>
      <c r="BO353" s="4">
        <v>4</v>
      </c>
      <c r="BP353" s="4">
        <f>Table2[[#This Row],[final_obs_date]]-Table2[[#This Row],[i]]</f>
        <v>17</v>
      </c>
      <c r="BQ353" s="4" t="b">
        <f>Table2[[#This Row],[final_obs_date2]]&gt;Table2[[#This Row],[estHD]]+3</f>
        <v>0</v>
      </c>
      <c r="BR353" s="3" t="s">
        <v>66</v>
      </c>
      <c r="BS353" s="3" t="s">
        <v>127</v>
      </c>
      <c r="BT353" s="125" t="s">
        <v>1225</v>
      </c>
      <c r="BU353" s="4" t="s">
        <v>299</v>
      </c>
      <c r="BV353" s="79" t="s">
        <v>1591</v>
      </c>
      <c r="BW353" s="69"/>
      <c r="BX353" s="36"/>
      <c r="BY353" s="36" t="s">
        <v>707</v>
      </c>
    </row>
    <row r="354" spans="1:77" hidden="1" x14ac:dyDescent="0.35">
      <c r="A354" s="63">
        <v>20258</v>
      </c>
      <c r="B354" s="2" t="s">
        <v>35</v>
      </c>
      <c r="C354" s="45">
        <v>2020</v>
      </c>
      <c r="D354" s="3">
        <v>29.766829999999999</v>
      </c>
      <c r="E354" s="3">
        <v>-93.157709999999994</v>
      </c>
      <c r="F354" s="3">
        <v>95</v>
      </c>
      <c r="G354" s="3">
        <v>95</v>
      </c>
      <c r="H354" s="3" t="s">
        <v>26</v>
      </c>
      <c r="I354" s="43"/>
      <c r="J354" s="116" t="s">
        <v>24</v>
      </c>
      <c r="K354" s="4">
        <v>50</v>
      </c>
      <c r="L354" s="22" t="str">
        <f>IF(ISNUMBER(Table2[[#This Row],[estHD]]),ABS(Table2[[#This Row],[HD]]-Table2[[#This Row],[estHD]]),"NA")</f>
        <v>NA</v>
      </c>
      <c r="M354" s="4" t="b">
        <f>Table2[[#This Row],[HD]]=Table2[[#This Row],[estHD]]</f>
        <v>0</v>
      </c>
      <c r="N354" s="4">
        <f>IF(ISNUMBER(Table2[[#This Row],[HD]]),Table2[[#This Row],[HD]]-16,"NA")</f>
        <v>34</v>
      </c>
      <c r="O354" s="31">
        <v>34</v>
      </c>
      <c r="P354" s="23">
        <f>IF(ISNUMBER(Table2[[#This Row],[nest_age1]]),ABS(Table2[[#This Row],[nest_age1]]-Table2[[#This Row],[nest_age_feb]]),"NA")</f>
        <v>4</v>
      </c>
      <c r="Q354" s="24">
        <f>IF(ISNUMBER(Table2[[#This Row],[final_obs_int2]]),ABS(Table2[[#This Row],[final_obs_int2]]-Table2[[#This Row],[final_obs_int_feb]]), "NA")</f>
        <v>3</v>
      </c>
      <c r="R354" s="24" t="e">
        <f>(Table2[[#This Row],[k_adj]]-Table2[[#This Row],[estHD]])/Table2[[#This Row],[estHD]]</f>
        <v>#VALUE!</v>
      </c>
      <c r="S354" s="20" t="s">
        <v>75</v>
      </c>
      <c r="T354" s="20" t="str">
        <f>Table2[[#This Row],[camera_old]]</f>
        <v>Y</v>
      </c>
      <c r="U354" s="22" t="s">
        <v>88</v>
      </c>
      <c r="V354" s="16" t="s">
        <v>37</v>
      </c>
      <c r="W354" s="16">
        <v>16</v>
      </c>
      <c r="X354" s="145">
        <v>6</v>
      </c>
      <c r="Y354" s="147" t="s">
        <v>37</v>
      </c>
      <c r="Z354" s="146" t="s">
        <v>37</v>
      </c>
      <c r="AA354" s="4" t="str">
        <f>Table2[[#This Row],[field_fate]]</f>
        <v>H</v>
      </c>
      <c r="AB354" s="4" t="str">
        <f>Table2[[#This Row],[field_fate2]]</f>
        <v>H</v>
      </c>
      <c r="AC354" s="94" t="str">
        <f>Table2[[#This Row],[field_fate3]]</f>
        <v>H</v>
      </c>
      <c r="AD354" s="94" t="str">
        <f>Table2[[#This Row],[field_fate4]]</f>
        <v>H</v>
      </c>
      <c r="AE354" s="94" t="str">
        <f>Table2[[#This Row],[field_fate5]]</f>
        <v>H</v>
      </c>
      <c r="AF354" s="94" t="str">
        <f>Table2[[#This Row],[field_fate5]]</f>
        <v>H</v>
      </c>
      <c r="AG354" s="94" t="str">
        <f>Table2[[#This Row],[field_fate5]]</f>
        <v>H</v>
      </c>
      <c r="AH354" s="94" t="str">
        <f>Table2[[#This Row],[field_fate2]]</f>
        <v>H</v>
      </c>
      <c r="AI354" s="94" t="str">
        <f>Table2[[#This Row],[field_fate8]]</f>
        <v>H</v>
      </c>
      <c r="AJ354" s="94" t="str">
        <f>Table2[[#This Row],[field_fate10]]</f>
        <v>H</v>
      </c>
      <c r="AK354" s="94" t="b">
        <f>Table2[[#This Row],[field_fate_feb]]=Table2[[#This Row],[field_fate10]]</f>
        <v>1</v>
      </c>
      <c r="AL354" s="43" t="s">
        <v>37</v>
      </c>
      <c r="AM354" s="160" t="b">
        <f>Table2[[#This Row],[cam_fate2]]="NA"</f>
        <v>0</v>
      </c>
      <c r="AN354" s="19" t="str">
        <f>Table2[[#This Row],[cam_fate1]]</f>
        <v>H</v>
      </c>
      <c r="AO354" s="2" t="s">
        <v>37</v>
      </c>
      <c r="AP354" s="5" t="str">
        <f>Table2[[#This Row],[final_fate1]]</f>
        <v>H</v>
      </c>
      <c r="AQ354" s="6">
        <v>20</v>
      </c>
      <c r="AR354" s="72">
        <v>20</v>
      </c>
      <c r="AS354" s="155">
        <f>Table2[[#This Row],[final_obs_date]]-Table2[[#This Row],[init_date]]</f>
        <v>20</v>
      </c>
      <c r="AT354" s="155" t="e">
        <f>(Table2[[#This Row],[final_obs_date2]]-Table2[[#This Row],[estHD]])+16</f>
        <v>#VALUE!</v>
      </c>
      <c r="AU354" s="38">
        <v>3</v>
      </c>
      <c r="AV354" s="33">
        <v>3</v>
      </c>
      <c r="AW354" s="33">
        <f>Table2[[#This Row],[final_obs_date2]]-Table2[[#This Row],[pen_obs_date]]</f>
        <v>6</v>
      </c>
      <c r="AX354" s="67">
        <v>54</v>
      </c>
      <c r="AY354" s="157">
        <f>Table2[[#This Row],[final_obs_date]]</f>
        <v>54</v>
      </c>
      <c r="AZ354" s="6">
        <v>48</v>
      </c>
      <c r="BA354" s="92" t="s">
        <v>60</v>
      </c>
      <c r="BB354" s="6" t="e">
        <f>Table2[[#This Row],[final_obs_date]]&lt;(Table2[[#This Row],[estHD]]-2)</f>
        <v>#VALUE!</v>
      </c>
      <c r="BC354" s="32">
        <f>IF(Table2[[#This Row],[field_fate]]="H",1,0)</f>
        <v>1</v>
      </c>
      <c r="BD354" s="16">
        <f>IF(Table2[[#This Row],[cam_fate2]]="H",1,0)</f>
        <v>1</v>
      </c>
      <c r="BE354" s="6" t="b">
        <f>NOT(Table2[[#This Row],[HF_C]]=Table2[[#This Row],[HF]])</f>
        <v>0</v>
      </c>
      <c r="BF354" s="38" t="b">
        <f>NOT(Table2[[#This Row],[cam_fate2]]=Table2[[#This Row],[field_fate3]])</f>
        <v>0</v>
      </c>
      <c r="BG354" s="38" t="b">
        <f>OR(Table2[[#This Row],[field_fate3]]="U",Table2[[#This Row],[field_fate3]]="U-H")</f>
        <v>0</v>
      </c>
      <c r="BH354" s="8">
        <v>47</v>
      </c>
      <c r="BI354" s="8">
        <v>50</v>
      </c>
      <c r="BJ354" s="14">
        <f>IF(ISTEXT(Table2[[#This Row],[j.cam]]),Table2[[#This Row],[j]],Table2[[#This Row],[j.cam]])</f>
        <v>50</v>
      </c>
      <c r="BK354" s="8">
        <v>50</v>
      </c>
      <c r="BL354" s="14">
        <f>IF(ISTEXT(Table2[[#This Row],[k.cam]]), Table2[[#This Row],[k]], Table2[[#This Row],[k.cam]])</f>
        <v>50</v>
      </c>
      <c r="BM354" s="4" t="s">
        <v>24</v>
      </c>
      <c r="BN354" s="8" t="s">
        <v>24</v>
      </c>
      <c r="BO354" s="4">
        <v>2</v>
      </c>
      <c r="BP354" s="4">
        <f>Table2[[#This Row],[final_obs_date]]-Table2[[#This Row],[i]]</f>
        <v>7</v>
      </c>
      <c r="BQ354" s="4" t="e">
        <f>Table2[[#This Row],[final_obs_date2]]&gt;Table2[[#This Row],[estHD]]+3</f>
        <v>#VALUE!</v>
      </c>
      <c r="BR354" s="3" t="s">
        <v>33</v>
      </c>
      <c r="BS354" s="3" t="s">
        <v>300</v>
      </c>
      <c r="BT354" s="125" t="s">
        <v>1226</v>
      </c>
      <c r="BU354" s="4" t="s">
        <v>301</v>
      </c>
      <c r="BV354" s="79" t="s">
        <v>1430</v>
      </c>
      <c r="BW354" s="69"/>
      <c r="BX354" s="36"/>
      <c r="BY354" s="36" t="s">
        <v>708</v>
      </c>
    </row>
    <row r="355" spans="1:77" hidden="1" x14ac:dyDescent="0.35">
      <c r="A355" s="63">
        <v>20259</v>
      </c>
      <c r="B355" s="2" t="s">
        <v>35</v>
      </c>
      <c r="C355" s="45">
        <v>2020</v>
      </c>
      <c r="D355" s="3">
        <v>29.767029999999998</v>
      </c>
      <c r="E355" s="3">
        <v>-93.159400000000005</v>
      </c>
      <c r="F355" s="3">
        <v>95</v>
      </c>
      <c r="G355" s="3">
        <v>80</v>
      </c>
      <c r="H355" s="3" t="s">
        <v>26</v>
      </c>
      <c r="I355" s="43"/>
      <c r="J355" s="71" t="s">
        <v>24</v>
      </c>
      <c r="K355" s="4">
        <v>47</v>
      </c>
      <c r="L355" s="22" t="str">
        <f>IF(ISNUMBER(Table2[[#This Row],[estHD]]),ABS(Table2[[#This Row],[HD]]-Table2[[#This Row],[estHD]]),"NA")</f>
        <v>NA</v>
      </c>
      <c r="M355" s="4" t="b">
        <f>Table2[[#This Row],[HD]]=Table2[[#This Row],[estHD]]</f>
        <v>0</v>
      </c>
      <c r="N355" s="4" t="str">
        <f>IF(ISNUMBER([1]!Table2[[#This Row],[hatch_date]]), [1]!Table2[[#This Row],[hatch_date]]-16, "NA")</f>
        <v>NA</v>
      </c>
      <c r="O355" s="31">
        <v>31</v>
      </c>
      <c r="P355" s="23">
        <f>IF(ISNUMBER(Table2[[#This Row],[nest_age1]]),ABS(Table2[[#This Row],[nest_age1]]-Table2[[#This Row],[nest_age_feb]]),"NA")</f>
        <v>0</v>
      </c>
      <c r="Q355" s="24" t="str">
        <f>IF(ISNUMBER(Table2[[#This Row],[final_obs_int2]]),ABS(Table2[[#This Row],[final_obs_int2]]-Table2[[#This Row],[final_obs_int_feb]]), "NA")</f>
        <v>NA</v>
      </c>
      <c r="R355" s="24"/>
      <c r="S355" s="20" t="s">
        <v>993</v>
      </c>
      <c r="T355" s="20" t="str">
        <f>Table2[[#This Row],[camera_old]]</f>
        <v>CH</v>
      </c>
      <c r="U355" s="22" t="s">
        <v>88</v>
      </c>
      <c r="V355" s="16" t="s">
        <v>37</v>
      </c>
      <c r="W355" s="16">
        <v>16</v>
      </c>
      <c r="X355" s="145">
        <v>0</v>
      </c>
      <c r="Y355" s="148" t="s">
        <v>37</v>
      </c>
      <c r="Z355" s="146" t="s">
        <v>37</v>
      </c>
      <c r="AA355" s="4" t="str">
        <f>Table2[[#This Row],[field_fate]]</f>
        <v>H</v>
      </c>
      <c r="AB355" s="4" t="str">
        <f>Table2[[#This Row],[field_fate2]]</f>
        <v>H</v>
      </c>
      <c r="AC355" s="4" t="str">
        <f>Table2[[#This Row],[field_fate3]]</f>
        <v>H</v>
      </c>
      <c r="AD355" s="4" t="str">
        <f>Table2[[#This Row],[field_fate4]]</f>
        <v>H</v>
      </c>
      <c r="AE355" s="4" t="str">
        <f>Table2[[#This Row],[field_fate5]]</f>
        <v>H</v>
      </c>
      <c r="AF355" s="4" t="str">
        <f>Table2[[#This Row],[field_fate5]]</f>
        <v>H</v>
      </c>
      <c r="AG355" s="4" t="str">
        <f>Table2[[#This Row],[field_fate5]]</f>
        <v>H</v>
      </c>
      <c r="AH355" s="4" t="str">
        <f>Table2[[#This Row],[field_fate2]]</f>
        <v>H</v>
      </c>
      <c r="AI355" s="4" t="str">
        <f>Table2[[#This Row],[field_fate8]]</f>
        <v>H</v>
      </c>
      <c r="AJ355" s="4" t="str">
        <f>Table2[[#This Row],[field_fate10]]</f>
        <v>H</v>
      </c>
      <c r="AK355" s="4" t="b">
        <f>Table2[[#This Row],[field_fate_feb]]=Table2[[#This Row],[field_fate10]]</f>
        <v>1</v>
      </c>
      <c r="AL355" s="43" t="s">
        <v>37</v>
      </c>
      <c r="AM355" s="43" t="b">
        <f>Table2[[#This Row],[cam_fate2]]="NA"</f>
        <v>0</v>
      </c>
      <c r="AN355" s="19" t="str">
        <f>Table2[[#This Row],[cam_fate1]]</f>
        <v>H</v>
      </c>
      <c r="AO355" s="2" t="s">
        <v>37</v>
      </c>
      <c r="AP355" s="5" t="str">
        <f>Table2[[#This Row],[final_fate1]]</f>
        <v>H</v>
      </c>
      <c r="AQ355" s="6">
        <v>16</v>
      </c>
      <c r="AR355" s="72">
        <v>16</v>
      </c>
      <c r="AS355" s="72">
        <f>Table2[[#This Row],[final_obs_date]]-Table2[[#This Row],[init_date]]</f>
        <v>16</v>
      </c>
      <c r="AT355" s="72" t="e">
        <f>(Table2[[#This Row],[final_obs_date2]]-Table2[[#This Row],[estHD]])+16</f>
        <v>#VALUE!</v>
      </c>
      <c r="AU355" s="41" t="s">
        <v>24</v>
      </c>
      <c r="AV355" s="33" t="s">
        <v>24</v>
      </c>
      <c r="AW355" s="33">
        <f>Table2[[#This Row],[final_obs_date2]]-Table2[[#This Row],[pen_obs_date]]</f>
        <v>47</v>
      </c>
      <c r="AX355" s="67">
        <v>47</v>
      </c>
      <c r="AY355" s="6">
        <f>Table2[[#This Row],[final_obs_date]]</f>
        <v>47</v>
      </c>
      <c r="AZ355" s="6"/>
      <c r="BA355" s="92" t="s">
        <v>60</v>
      </c>
      <c r="BB355" s="6" t="e">
        <f>Table2[[#This Row],[final_obs_date]]&lt;(Table2[[#This Row],[estHD]]-2)</f>
        <v>#VALUE!</v>
      </c>
      <c r="BC355" s="32">
        <f>IF(Table2[[#This Row],[field_fate]]="H",1,0)</f>
        <v>1</v>
      </c>
      <c r="BD355" s="16">
        <f>IF(Table2[[#This Row],[cam_fate2]]="H",1,0)</f>
        <v>1</v>
      </c>
      <c r="BE355" s="6" t="b">
        <f>NOT(Table2[[#This Row],[HF_C]]=Table2[[#This Row],[HF]])</f>
        <v>0</v>
      </c>
      <c r="BF355" s="38" t="b">
        <f>NOT(Table2[[#This Row],[cam_fate2]]=Table2[[#This Row],[field_fate3]])</f>
        <v>0</v>
      </c>
      <c r="BG355" s="38" t="b">
        <f>OR(Table2[[#This Row],[field_fate3]]="U",Table2[[#This Row],[field_fate3]]="U-H")</f>
        <v>0</v>
      </c>
      <c r="BH355" s="8">
        <v>47</v>
      </c>
      <c r="BI355" s="8">
        <v>47</v>
      </c>
      <c r="BJ355" s="14">
        <f>IF(ISTEXT(Table2[[#This Row],[j.cam]]),Table2[[#This Row],[j]],Table2[[#This Row],[j.cam]])</f>
        <v>47</v>
      </c>
      <c r="BK355" s="8">
        <v>47</v>
      </c>
      <c r="BL355" s="14">
        <f>IF(ISTEXT(Table2[[#This Row],[k.cam]]), Table2[[#This Row],[k]], Table2[[#This Row],[k.cam]])</f>
        <v>47</v>
      </c>
      <c r="BM355" s="4" t="s">
        <v>24</v>
      </c>
      <c r="BN355" s="8" t="s">
        <v>24</v>
      </c>
      <c r="BO355" s="4">
        <v>1</v>
      </c>
      <c r="BP355" s="4">
        <f>Table2[[#This Row],[final_obs_date]]-Table2[[#This Row],[i]]</f>
        <v>0</v>
      </c>
      <c r="BQ355" s="4" t="e">
        <f>Table2[[#This Row],[final_obs_date2]]&gt;Table2[[#This Row],[estHD]]+3</f>
        <v>#VALUE!</v>
      </c>
      <c r="BR355" s="28" t="s">
        <v>24</v>
      </c>
      <c r="BS355" s="3" t="s">
        <v>44</v>
      </c>
      <c r="BT355" s="79">
        <v>47</v>
      </c>
      <c r="BU355" s="3" t="s">
        <v>44</v>
      </c>
      <c r="BV355" s="79">
        <v>0</v>
      </c>
      <c r="BW355" s="69" t="s">
        <v>452</v>
      </c>
      <c r="BX355" s="36"/>
      <c r="BY355" s="36" t="s">
        <v>709</v>
      </c>
    </row>
    <row r="356" spans="1:77" ht="18.5" x14ac:dyDescent="0.35">
      <c r="A356" s="60">
        <v>20260</v>
      </c>
      <c r="B356" s="2" t="s">
        <v>35</v>
      </c>
      <c r="C356" s="45">
        <v>2020</v>
      </c>
      <c r="D356" s="3">
        <v>29.760739999999998</v>
      </c>
      <c r="E356" s="3">
        <v>-93.131320000000002</v>
      </c>
      <c r="F356" s="3">
        <v>60</v>
      </c>
      <c r="G356" s="3">
        <v>60</v>
      </c>
      <c r="H356" s="3" t="s">
        <v>26</v>
      </c>
      <c r="I356" s="43"/>
      <c r="J356" s="116">
        <v>64</v>
      </c>
      <c r="K356" s="4">
        <v>64</v>
      </c>
      <c r="L356" s="22">
        <f>IF(ISNUMBER(Table2[[#This Row],[estHD]]),ABS(Table2[[#This Row],[HD]]-Table2[[#This Row],[estHD]]),"NA")</f>
        <v>0</v>
      </c>
      <c r="M356" s="4" t="b">
        <f>Table2[[#This Row],[HD]]=Table2[[#This Row],[estHD]]</f>
        <v>1</v>
      </c>
      <c r="N356" s="4">
        <f>IF(ISNUMBER(Table2[[#This Row],[HD]]),Table2[[#This Row],[HD]]-16,"NA")</f>
        <v>48</v>
      </c>
      <c r="O356" s="89">
        <v>48</v>
      </c>
      <c r="P356" s="23">
        <f>IF(ISNUMBER(Table2[[#This Row],[nest_age1]]),ABS(Table2[[#This Row],[nest_age1]]-Table2[[#This Row],[nest_age_feb]]),"NA")</f>
        <v>1</v>
      </c>
      <c r="Q356" s="24">
        <f>IF(ISNUMBER(Table2[[#This Row],[final_obs_int2]]),ABS(Table2[[#This Row],[final_obs_int2]]-Table2[[#This Row],[final_obs_int_feb]]), "NA")</f>
        <v>0</v>
      </c>
      <c r="R356" s="24"/>
      <c r="S356" s="20" t="s">
        <v>75</v>
      </c>
      <c r="T356" s="20" t="str">
        <f>Table2[[#This Row],[camera_old]]</f>
        <v>Y</v>
      </c>
      <c r="U356" s="58" t="s">
        <v>909</v>
      </c>
      <c r="V356" s="16" t="s">
        <v>36</v>
      </c>
      <c r="W356" s="16">
        <v>15</v>
      </c>
      <c r="X356" s="145">
        <v>3</v>
      </c>
      <c r="Y356" s="153" t="s">
        <v>104</v>
      </c>
      <c r="Z356" s="146" t="s">
        <v>104</v>
      </c>
      <c r="AA356" s="5" t="s">
        <v>90</v>
      </c>
      <c r="AB356" s="5" t="str">
        <f>Table2[[#This Row],[field_fate]]</f>
        <v>U-H</v>
      </c>
      <c r="AC356" s="98" t="s">
        <v>104</v>
      </c>
      <c r="AD356" s="141" t="s">
        <v>90</v>
      </c>
      <c r="AE356" s="114" t="s">
        <v>90</v>
      </c>
      <c r="AF356" s="94" t="str">
        <f>Table2[[#This Row],[field_fate5]]</f>
        <v>U</v>
      </c>
      <c r="AG356" s="94" t="s">
        <v>37</v>
      </c>
      <c r="AH356" s="94" t="str">
        <f>Table2[[#This Row],[field_fate2]]</f>
        <v>U</v>
      </c>
      <c r="AI356" s="94" t="str">
        <f>Table2[[#This Row],[field_fate8]]</f>
        <v>H</v>
      </c>
      <c r="AJ356" s="94" t="str">
        <f>Table2[[#This Row],[field_fate10]]</f>
        <v>H</v>
      </c>
      <c r="AK356" s="94" t="b">
        <f>Table2[[#This Row],[field_fate_feb]]=Table2[[#This Row],[field_fate10]]</f>
        <v>0</v>
      </c>
      <c r="AL356" s="43" t="s">
        <v>36</v>
      </c>
      <c r="AM356" s="160" t="b">
        <f>Table2[[#This Row],[cam_fate2]]="NA"</f>
        <v>0</v>
      </c>
      <c r="AN356" s="159" t="s">
        <v>36</v>
      </c>
      <c r="AO356" s="2" t="s">
        <v>36</v>
      </c>
      <c r="AP356" s="5" t="str">
        <f>Table2[[#This Row],[final_fate1]]</f>
        <v>A</v>
      </c>
      <c r="AQ356" s="6">
        <v>16</v>
      </c>
      <c r="AR356" s="72">
        <v>16</v>
      </c>
      <c r="AS356" s="155">
        <f>Table2[[#This Row],[final_obs_date]]-Table2[[#This Row],[init_date]]</f>
        <v>16</v>
      </c>
      <c r="AT356" s="155">
        <f>(Table2[[#This Row],[final_obs_date2]]-Table2[[#This Row],[estHD]])+16</f>
        <v>16</v>
      </c>
      <c r="AU356" s="38">
        <v>3</v>
      </c>
      <c r="AV356" s="33">
        <v>3</v>
      </c>
      <c r="AW356" s="33">
        <f>Table2[[#This Row],[final_obs_date2]]-Table2[[#This Row],[pen_obs_date]]</f>
        <v>3</v>
      </c>
      <c r="AX356" s="67">
        <v>64</v>
      </c>
      <c r="AY356" s="158">
        <f>Table2[[#This Row],[final_obs_date]]</f>
        <v>64</v>
      </c>
      <c r="AZ356" s="6">
        <v>61</v>
      </c>
      <c r="BA356" s="92" t="s">
        <v>60</v>
      </c>
      <c r="BB356" s="86" t="b">
        <f>Table2[[#This Row],[final_obs_date]]&lt;(Table2[[#This Row],[estHD]]-2)</f>
        <v>0</v>
      </c>
      <c r="BC356" s="83">
        <v>7</v>
      </c>
      <c r="BD356" s="82">
        <f>IF(Table2[[#This Row],[cam_fate2]]="H",1,0)</f>
        <v>0</v>
      </c>
      <c r="BE356" s="84" t="b">
        <f>NOT(Table2[[#This Row],[HF_C]]=Table2[[#This Row],[HF]])</f>
        <v>1</v>
      </c>
      <c r="BF356" s="85" t="b">
        <f>NOT(Table2[[#This Row],[cam_fate2]]=Table2[[#This Row],[field_fate3]])</f>
        <v>1</v>
      </c>
      <c r="BG356" s="85" t="b">
        <f>OR(Table2[[#This Row],[field_fate3]]="U",Table2[[#This Row],[field_fate3]]="U-H")</f>
        <v>1</v>
      </c>
      <c r="BH356" s="8">
        <v>47</v>
      </c>
      <c r="BI356" s="8">
        <v>61</v>
      </c>
      <c r="BJ356" s="14">
        <f>IF(ISTEXT(Table2[[#This Row],[j.cam]]),Table2[[#This Row],[j]],Table2[[#This Row],[j.cam]])</f>
        <v>61</v>
      </c>
      <c r="BK356" s="8">
        <v>64</v>
      </c>
      <c r="BL356" s="14">
        <f>IF(ISTEXT(Table2[[#This Row],[k.cam]]), Table2[[#This Row],[k]], Table2[[#This Row],[k.cam]])</f>
        <v>64</v>
      </c>
      <c r="BM356" s="87" t="s">
        <v>24</v>
      </c>
      <c r="BN356" s="87" t="s">
        <v>24</v>
      </c>
      <c r="BO356" s="4">
        <v>4</v>
      </c>
      <c r="BP356" s="4">
        <f>Table2[[#This Row],[final_obs_date]]-Table2[[#This Row],[i]]</f>
        <v>17</v>
      </c>
      <c r="BQ356" s="4" t="b">
        <f>Table2[[#This Row],[final_obs_date2]]&gt;Table2[[#This Row],[estHD]]+3</f>
        <v>0</v>
      </c>
      <c r="BR356" s="3" t="s">
        <v>33</v>
      </c>
      <c r="BS356" s="3" t="s">
        <v>45</v>
      </c>
      <c r="BT356" s="125" t="s">
        <v>1227</v>
      </c>
      <c r="BU356" s="122" t="s">
        <v>302</v>
      </c>
      <c r="BV356" s="88" t="s">
        <v>1592</v>
      </c>
      <c r="BW356" s="69" t="s">
        <v>1722</v>
      </c>
      <c r="BX356" s="36" t="s">
        <v>964</v>
      </c>
      <c r="BY356" s="36" t="s">
        <v>710</v>
      </c>
    </row>
    <row r="357" spans="1:77" hidden="1" x14ac:dyDescent="0.35">
      <c r="A357" s="63">
        <v>20261</v>
      </c>
      <c r="B357" s="2" t="s">
        <v>35</v>
      </c>
      <c r="C357" s="45">
        <v>2020</v>
      </c>
      <c r="D357" s="3">
        <v>29.765779999999999</v>
      </c>
      <c r="E357" s="3">
        <v>-93.155379999999994</v>
      </c>
      <c r="F357" s="3">
        <v>10</v>
      </c>
      <c r="G357" s="3">
        <v>10</v>
      </c>
      <c r="H357" s="3" t="s">
        <v>26</v>
      </c>
      <c r="I357" s="43"/>
      <c r="J357" s="55">
        <v>73</v>
      </c>
      <c r="K357" s="4">
        <v>78</v>
      </c>
      <c r="L357" s="22">
        <f>IF(ISNUMBER(Table2[[#This Row],[estHD]]),ABS(Table2[[#This Row],[HD]]-Table2[[#This Row],[estHD]]),"NA")</f>
        <v>5</v>
      </c>
      <c r="M357" s="4" t="b">
        <f>Table2[[#This Row],[HD]]=Table2[[#This Row],[estHD]]</f>
        <v>0</v>
      </c>
      <c r="N357" s="4" t="str">
        <f>IF(ISNUMBER([1]!Table2[[#This Row],[hatch_date]]),[1]!Table2[[#This Row],[hatch_date]]-19,"NA")</f>
        <v>NA</v>
      </c>
      <c r="O357" s="31">
        <v>59</v>
      </c>
      <c r="P357" s="23">
        <f>IF(ISNUMBER(Table2[[#This Row],[nest_age1]]),ABS(Table2[[#This Row],[nest_age1]]-Table2[[#This Row],[nest_age_feb]]),"NA")</f>
        <v>4</v>
      </c>
      <c r="Q357" s="24">
        <f>IF(ISNUMBER(Table2[[#This Row],[final_obs_int2]]),ABS(Table2[[#This Row],[final_obs_int2]]-Table2[[#This Row],[final_obs_int_feb]]), "NA")</f>
        <v>0</v>
      </c>
      <c r="R357" s="24"/>
      <c r="S357" s="57" t="s">
        <v>88</v>
      </c>
      <c r="T357" s="57" t="str">
        <f>Table2[[#This Row],[camera_old]]</f>
        <v>N</v>
      </c>
      <c r="U357" s="24"/>
      <c r="V357" s="16" t="s">
        <v>24</v>
      </c>
      <c r="W357" s="16">
        <v>25</v>
      </c>
      <c r="X357" s="145">
        <v>4</v>
      </c>
      <c r="Y357" s="149" t="s">
        <v>37</v>
      </c>
      <c r="Z357" s="146" t="s">
        <v>37</v>
      </c>
      <c r="AA357" s="4" t="str">
        <f>Table2[[#This Row],[field_fate]]</f>
        <v>H</v>
      </c>
      <c r="AB357" s="4" t="str">
        <f>Table2[[#This Row],[field_fate2]]</f>
        <v>H</v>
      </c>
      <c r="AC357" s="4" t="str">
        <f>Table2[[#This Row],[field_fate3]]</f>
        <v>H</v>
      </c>
      <c r="AD357" s="4" t="str">
        <f>Table2[[#This Row],[field_fate4]]</f>
        <v>H</v>
      </c>
      <c r="AE357" s="4" t="str">
        <f>Table2[[#This Row],[field_fate5]]</f>
        <v>H</v>
      </c>
      <c r="AF357" s="4" t="str">
        <f>Table2[[#This Row],[field_fate5]]</f>
        <v>H</v>
      </c>
      <c r="AG357" s="4" t="str">
        <f>Table2[[#This Row],[field_fate5]]</f>
        <v>H</v>
      </c>
      <c r="AH357" s="4" t="str">
        <f>Table2[[#This Row],[field_fate2]]</f>
        <v>H</v>
      </c>
      <c r="AI357" s="4" t="str">
        <f>Table2[[#This Row],[field_fate8]]</f>
        <v>H</v>
      </c>
      <c r="AJ357" s="4" t="str">
        <f>Table2[[#This Row],[field_fate10]]</f>
        <v>H</v>
      </c>
      <c r="AK357" s="4" t="b">
        <f>Table2[[#This Row],[field_fate_feb]]=Table2[[#This Row],[field_fate10]]</f>
        <v>1</v>
      </c>
      <c r="AL357" s="43" t="s">
        <v>24</v>
      </c>
      <c r="AM357" s="43" t="b">
        <f>Table2[[#This Row],[cam_fate2]]="NA"</f>
        <v>1</v>
      </c>
      <c r="AN357" s="19" t="str">
        <f>Table2[[#This Row],[cam_fate1]]</f>
        <v>NA</v>
      </c>
      <c r="AO357" s="2" t="s">
        <v>37</v>
      </c>
      <c r="AP357" s="5" t="str">
        <f>Table2[[#This Row],[final_fate1]]</f>
        <v>H</v>
      </c>
      <c r="AQ357" s="6">
        <v>21</v>
      </c>
      <c r="AR357" s="7">
        <v>26</v>
      </c>
      <c r="AS357" s="7">
        <f>Table2[[#This Row],[final_obs_date]]-Table2[[#This Row],[init_date]]</f>
        <v>21</v>
      </c>
      <c r="AT357" s="7">
        <f>(Table2[[#This Row],[final_obs_date2]]-Table2[[#This Row],[estHD]])+16</f>
        <v>23</v>
      </c>
      <c r="AU357" s="38">
        <v>4</v>
      </c>
      <c r="AV357" s="33">
        <v>4</v>
      </c>
      <c r="AW357" s="33">
        <f>Table2[[#This Row],[final_obs_date2]]-Table2[[#This Row],[pen_obs_date]]</f>
        <v>80</v>
      </c>
      <c r="AX357" s="67">
        <v>80</v>
      </c>
      <c r="AY357" s="6">
        <f>Table2[[#This Row],[final_obs_date]]</f>
        <v>80</v>
      </c>
      <c r="AZ357" s="6"/>
      <c r="BA357" s="91" t="s">
        <v>47</v>
      </c>
      <c r="BB357" s="6" t="b">
        <f>Table2[[#This Row],[final_obs_date]]&lt;(Table2[[#This Row],[estHD]]-2)</f>
        <v>0</v>
      </c>
      <c r="BC357" s="24">
        <f>IF(Table2[[#This Row],[field_fate]]="H",1,0)</f>
        <v>1</v>
      </c>
      <c r="BD357" s="16">
        <f>IF(Table2[[#This Row],[cam_fate2]]="H",1,0)</f>
        <v>0</v>
      </c>
      <c r="BE357" s="6" t="b">
        <f>NOT(Table2[[#This Row],[HF_C]]=Table2[[#This Row],[HF]])</f>
        <v>1</v>
      </c>
      <c r="BF357" s="6" t="b">
        <f>NOT(Table2[[#This Row],[cam_fate2]]=Table2[[#This Row],[field_fate3]])</f>
        <v>1</v>
      </c>
      <c r="BG357" s="6" t="b">
        <f>OR(Table2[[#This Row],[field_fate3]]="U",Table2[[#This Row],[field_fate3]]="U-H")</f>
        <v>0</v>
      </c>
      <c r="BH357" s="8">
        <v>55</v>
      </c>
      <c r="BI357" s="8">
        <v>78</v>
      </c>
      <c r="BJ357" s="14">
        <f>IF(ISTEXT(Table2[[#This Row],[j.cam]]),Table2[[#This Row],[j]],Table2[[#This Row],[j.cam]])</f>
        <v>78</v>
      </c>
      <c r="BK357" s="9">
        <v>78</v>
      </c>
      <c r="BL357" s="15">
        <f>IF(ISTEXT(Table2[[#This Row],[k.cam]]), Table2[[#This Row],[k]], Table2[[#This Row],[k.cam]])</f>
        <v>78</v>
      </c>
      <c r="BM357" s="4" t="s">
        <v>24</v>
      </c>
      <c r="BN357" s="8" t="s">
        <v>24</v>
      </c>
      <c r="BO357" s="4">
        <v>7</v>
      </c>
      <c r="BP357" s="4">
        <f>Table2[[#This Row],[final_obs_date]]-Table2[[#This Row],[i]]</f>
        <v>25</v>
      </c>
      <c r="BQ357" s="4" t="b">
        <f>Table2[[#This Row],[final_obs_date2]]&gt;Table2[[#This Row],[estHD]]+3</f>
        <v>1</v>
      </c>
      <c r="BR357" s="4" t="s">
        <v>58</v>
      </c>
      <c r="BS357" s="4" t="s">
        <v>45</v>
      </c>
      <c r="BT357" s="79" t="s">
        <v>1228</v>
      </c>
      <c r="BU357" s="26" t="s">
        <v>303</v>
      </c>
      <c r="BV357" s="79" t="s">
        <v>1593</v>
      </c>
      <c r="BW357" s="49"/>
      <c r="BX357" s="47"/>
      <c r="BY357" s="36" t="s">
        <v>711</v>
      </c>
    </row>
    <row r="358" spans="1:77" hidden="1" x14ac:dyDescent="0.35">
      <c r="A358" s="63">
        <v>20262</v>
      </c>
      <c r="B358" s="2" t="s">
        <v>122</v>
      </c>
      <c r="C358" s="45">
        <v>2020</v>
      </c>
      <c r="D358" s="3">
        <v>29.75882</v>
      </c>
      <c r="E358" s="3">
        <v>-93.123040000000003</v>
      </c>
      <c r="F358" s="3">
        <v>20</v>
      </c>
      <c r="G358" s="3">
        <v>30</v>
      </c>
      <c r="H358" s="3" t="s">
        <v>291</v>
      </c>
      <c r="I358" s="43"/>
      <c r="J358" s="116">
        <v>71</v>
      </c>
      <c r="K358" s="4">
        <v>71</v>
      </c>
      <c r="L358" s="22">
        <f>IF(ISNUMBER(Table2[[#This Row],[estHD]]),ABS(Table2[[#This Row],[HD]]-Table2[[#This Row],[estHD]]),"NA")</f>
        <v>0</v>
      </c>
      <c r="M358" s="4" t="b">
        <f>Table2[[#This Row],[HD]]=Table2[[#This Row],[estHD]]</f>
        <v>1</v>
      </c>
      <c r="N358" s="4" t="str">
        <f>IF(ISNUMBER([1]!Table2[[#This Row],[hatch_date]]),[1]!Table2[[#This Row],[hatch_date]]-19,"NA")</f>
        <v>NA</v>
      </c>
      <c r="O358" s="31">
        <v>52</v>
      </c>
      <c r="P358" s="23">
        <f>IF(ISNUMBER(Table2[[#This Row],[nest_age1]]),ABS(Table2[[#This Row],[nest_age1]]-Table2[[#This Row],[nest_age_feb]]),"NA")</f>
        <v>1</v>
      </c>
      <c r="Q358" s="24">
        <f>IF(ISNUMBER(Table2[[#This Row],[final_obs_int2]]),ABS(Table2[[#This Row],[final_obs_int2]]-Table2[[#This Row],[final_obs_int_feb]]), "NA")</f>
        <v>0</v>
      </c>
      <c r="R358" s="24"/>
      <c r="S358" s="20" t="s">
        <v>75</v>
      </c>
      <c r="T358" s="20" t="str">
        <f>Table2[[#This Row],[camera_old]]</f>
        <v>Y</v>
      </c>
      <c r="U358" s="22" t="s">
        <v>88</v>
      </c>
      <c r="V358" s="16" t="s">
        <v>37</v>
      </c>
      <c r="W358" s="16">
        <v>20</v>
      </c>
      <c r="X358" s="145">
        <v>4</v>
      </c>
      <c r="Y358" s="148" t="s">
        <v>37</v>
      </c>
      <c r="Z358" s="146" t="s">
        <v>37</v>
      </c>
      <c r="AA358" s="4" t="str">
        <f>Table2[[#This Row],[field_fate]]</f>
        <v>H</v>
      </c>
      <c r="AB358" s="4" t="str">
        <f>Table2[[#This Row],[field_fate2]]</f>
        <v>H</v>
      </c>
      <c r="AC358" s="94" t="str">
        <f>Table2[[#This Row],[field_fate3]]</f>
        <v>H</v>
      </c>
      <c r="AD358" s="94" t="str">
        <f>Table2[[#This Row],[field_fate4]]</f>
        <v>H</v>
      </c>
      <c r="AE358" s="94" t="str">
        <f>Table2[[#This Row],[field_fate5]]</f>
        <v>H</v>
      </c>
      <c r="AF358" s="94" t="str">
        <f>Table2[[#This Row],[field_fate5]]</f>
        <v>H</v>
      </c>
      <c r="AG358" s="94" t="str">
        <f>Table2[[#This Row],[field_fate5]]</f>
        <v>H</v>
      </c>
      <c r="AH358" s="94" t="str">
        <f>Table2[[#This Row],[field_fate2]]</f>
        <v>H</v>
      </c>
      <c r="AI358" s="94" t="str">
        <f>Table2[[#This Row],[field_fate8]]</f>
        <v>H</v>
      </c>
      <c r="AJ358" s="94" t="str">
        <f>Table2[[#This Row],[field_fate10]]</f>
        <v>H</v>
      </c>
      <c r="AK358" s="94" t="b">
        <f>Table2[[#This Row],[field_fate_feb]]=Table2[[#This Row],[field_fate10]]</f>
        <v>1</v>
      </c>
      <c r="AL358" s="43" t="s">
        <v>24</v>
      </c>
      <c r="AM358" s="43" t="b">
        <f>Table2[[#This Row],[cam_fate2]]="NA"</f>
        <v>1</v>
      </c>
      <c r="AN358" s="19" t="str">
        <f>Table2[[#This Row],[cam_fate1]]</f>
        <v>NA</v>
      </c>
      <c r="AO358" s="2" t="s">
        <v>24</v>
      </c>
      <c r="AP358" s="5" t="str">
        <f>Table2[[#This Row],[final_fate1]]</f>
        <v>NA</v>
      </c>
      <c r="AQ358" s="6">
        <v>21</v>
      </c>
      <c r="AR358" s="72">
        <v>21</v>
      </c>
      <c r="AS358" s="72">
        <f>Table2[[#This Row],[final_obs_date]]-Table2[[#This Row],[init_date]]</f>
        <v>21</v>
      </c>
      <c r="AT358" s="72">
        <f>(Table2[[#This Row],[final_obs_date2]]-Table2[[#This Row],[estHD]])+16</f>
        <v>18</v>
      </c>
      <c r="AU358" s="38">
        <v>4</v>
      </c>
      <c r="AV358" s="33">
        <v>4</v>
      </c>
      <c r="AW358" s="33">
        <f>Table2[[#This Row],[final_obs_date2]]-Table2[[#This Row],[pen_obs_date]]</f>
        <v>73</v>
      </c>
      <c r="AX358" s="67">
        <v>73</v>
      </c>
      <c r="AY358" s="156">
        <f>Table2[[#This Row],[final_obs_date]]</f>
        <v>73</v>
      </c>
      <c r="AZ358" s="6"/>
      <c r="BA358" s="92" t="s">
        <v>47</v>
      </c>
      <c r="BB358" s="6" t="b">
        <f>Table2[[#This Row],[final_obs_date]]&lt;(Table2[[#This Row],[estHD]]-2)</f>
        <v>0</v>
      </c>
      <c r="BC358" s="32">
        <f>IF(Table2[[#This Row],[field_fate]]="H",1,0)</f>
        <v>1</v>
      </c>
      <c r="BD358" s="16" t="s">
        <v>24</v>
      </c>
      <c r="BE358" s="6" t="b">
        <f>NOT(Table2[[#This Row],[HF_C]]=Table2[[#This Row],[HF]])</f>
        <v>1</v>
      </c>
      <c r="BF358" s="38" t="b">
        <f>NOT(Table2[[#This Row],[cam_fate2]]=Table2[[#This Row],[field_fate3]])</f>
        <v>1</v>
      </c>
      <c r="BG358" s="38" t="b">
        <f>OR(Table2[[#This Row],[field_fate3]]="U",Table2[[#This Row],[field_fate3]]="U-H")</f>
        <v>0</v>
      </c>
      <c r="BH358" s="8">
        <v>56</v>
      </c>
      <c r="BI358" s="8">
        <v>73</v>
      </c>
      <c r="BJ358" s="14">
        <f>IF(ISTEXT(Table2[[#This Row],[j.cam]]),Table2[[#This Row],[j]],Table2[[#This Row],[j.cam]])</f>
        <v>73</v>
      </c>
      <c r="BK358" s="8">
        <v>73</v>
      </c>
      <c r="BL358" s="14">
        <f>IF(ISTEXT(Table2[[#This Row],[k.cam]]), Table2[[#This Row],[k]], Table2[[#This Row],[k.cam]])</f>
        <v>73</v>
      </c>
      <c r="BM358" s="4" t="s">
        <v>24</v>
      </c>
      <c r="BN358" s="8" t="s">
        <v>24</v>
      </c>
      <c r="BO358" s="4">
        <v>6</v>
      </c>
      <c r="BP358" s="4">
        <f>Table2[[#This Row],[final_obs_date]]-Table2[[#This Row],[i]]</f>
        <v>17</v>
      </c>
      <c r="BQ358" s="4" t="b">
        <f>Table2[[#This Row],[final_obs_date2]]&gt;Table2[[#This Row],[estHD]]+3</f>
        <v>0</v>
      </c>
      <c r="BR358" s="3" t="s">
        <v>33</v>
      </c>
      <c r="BS358" s="3" t="s">
        <v>45</v>
      </c>
      <c r="BT358" s="125" t="s">
        <v>1229</v>
      </c>
      <c r="BU358" s="4" t="s">
        <v>304</v>
      </c>
      <c r="BV358" s="79" t="s">
        <v>1594</v>
      </c>
      <c r="BW358" s="69"/>
      <c r="BX358" s="73" t="s">
        <v>939</v>
      </c>
      <c r="BY358" s="54" t="s">
        <v>712</v>
      </c>
    </row>
    <row r="359" spans="1:77" x14ac:dyDescent="0.35">
      <c r="A359" s="60">
        <v>20263</v>
      </c>
      <c r="B359" s="2" t="s">
        <v>122</v>
      </c>
      <c r="C359" s="45">
        <v>2020</v>
      </c>
      <c r="D359" s="3">
        <v>29.758420000000001</v>
      </c>
      <c r="E359" s="3">
        <v>-93.120949999999993</v>
      </c>
      <c r="F359" s="3">
        <v>10</v>
      </c>
      <c r="G359" s="3">
        <v>20</v>
      </c>
      <c r="H359" s="3" t="s">
        <v>291</v>
      </c>
      <c r="I359" s="43"/>
      <c r="J359" s="116">
        <v>71</v>
      </c>
      <c r="K359" s="4">
        <v>71</v>
      </c>
      <c r="L359" s="22">
        <f>IF(ISNUMBER(Table2[[#This Row],[estHD]]),ABS(Table2[[#This Row],[HD]]-Table2[[#This Row],[estHD]]),"NA")</f>
        <v>0</v>
      </c>
      <c r="M359" s="4" t="b">
        <f>Table2[[#This Row],[HD]]=Table2[[#This Row],[estHD]]</f>
        <v>1</v>
      </c>
      <c r="N359" s="4">
        <f>IF(ISNUMBER(Table2[[#This Row],[HD]]),Table2[[#This Row],[HD]]-19,"NA")</f>
        <v>52</v>
      </c>
      <c r="O359" s="89">
        <v>52</v>
      </c>
      <c r="P359" s="23">
        <f>IF(ISNUMBER(Table2[[#This Row],[nest_age1]]),ABS(Table2[[#This Row],[nest_age1]]-Table2[[#This Row],[nest_age_feb]]),"NA")</f>
        <v>1</v>
      </c>
      <c r="Q359" s="24">
        <f>IF(ISNUMBER(Table2[[#This Row],[final_obs_int2]]),ABS(Table2[[#This Row],[final_obs_int2]]-Table2[[#This Row],[final_obs_int_feb]]), "NA")</f>
        <v>0</v>
      </c>
      <c r="R359" s="24"/>
      <c r="S359" s="20" t="s">
        <v>75</v>
      </c>
      <c r="T359" s="20" t="str">
        <f>Table2[[#This Row],[camera_old]]</f>
        <v>Y</v>
      </c>
      <c r="U359" s="22" t="s">
        <v>88</v>
      </c>
      <c r="V359" s="16" t="s">
        <v>36</v>
      </c>
      <c r="W359" s="16">
        <v>20</v>
      </c>
      <c r="X359" s="145">
        <v>4</v>
      </c>
      <c r="Y359" s="153" t="s">
        <v>104</v>
      </c>
      <c r="Z359" s="146" t="s">
        <v>104</v>
      </c>
      <c r="AA359" s="5" t="s">
        <v>37</v>
      </c>
      <c r="AB359" s="2" t="str">
        <f>Table2[[#This Row],[field_fate]]</f>
        <v>U-H</v>
      </c>
      <c r="AC359" s="128" t="str">
        <f>Table2[[#This Row],[field_fate3]]</f>
        <v>U-H</v>
      </c>
      <c r="AD359" s="94" t="s">
        <v>37</v>
      </c>
      <c r="AE359" s="94" t="s">
        <v>104</v>
      </c>
      <c r="AF359" s="94" t="str">
        <f>Table2[[#This Row],[field_fate5]]</f>
        <v>H</v>
      </c>
      <c r="AG359" s="94" t="str">
        <f>Table2[[#This Row],[field_fate5]]</f>
        <v>H</v>
      </c>
      <c r="AH359" s="94" t="str">
        <f>Table2[[#This Row],[field_fate2]]</f>
        <v>H</v>
      </c>
      <c r="AI359" s="163" t="str">
        <f>Table2[[#This Row],[field_fate8]]</f>
        <v>H</v>
      </c>
      <c r="AJ359" s="94" t="s">
        <v>90</v>
      </c>
      <c r="AK359" s="94" t="b">
        <f>Table2[[#This Row],[field_fate_feb]]=Table2[[#This Row],[field_fate10]]</f>
        <v>0</v>
      </c>
      <c r="AL359" s="43" t="s">
        <v>37</v>
      </c>
      <c r="AM359" s="160" t="b">
        <f>Table2[[#This Row],[cam_fate2]]="NA"</f>
        <v>0</v>
      </c>
      <c r="AN359" s="159" t="s">
        <v>36</v>
      </c>
      <c r="AO359" s="2" t="s">
        <v>37</v>
      </c>
      <c r="AP359" s="5" t="s">
        <v>36</v>
      </c>
      <c r="AQ359" s="6">
        <v>21</v>
      </c>
      <c r="AR359" s="72">
        <v>21</v>
      </c>
      <c r="AS359" s="155">
        <f>Table2[[#This Row],[final_obs_date]]-Table2[[#This Row],[init_date]]</f>
        <v>21</v>
      </c>
      <c r="AT359" s="155">
        <f>(Table2[[#This Row],[final_obs_date2]]-Table2[[#This Row],[estHD]])+19</f>
        <v>21</v>
      </c>
      <c r="AU359" s="38">
        <v>4</v>
      </c>
      <c r="AV359" s="33">
        <v>4</v>
      </c>
      <c r="AW359" s="33">
        <f>Table2[[#This Row],[final_obs_date2]]-Table2[[#This Row],[pen_obs_date]]</f>
        <v>4</v>
      </c>
      <c r="AX359" s="67">
        <v>73</v>
      </c>
      <c r="AY359" s="158">
        <f>Table2[[#This Row],[final_obs_date]]</f>
        <v>73</v>
      </c>
      <c r="AZ359" s="6">
        <v>69</v>
      </c>
      <c r="BA359" s="92" t="s">
        <v>47</v>
      </c>
      <c r="BB359" s="86" t="b">
        <f>Table2[[#This Row],[final_obs_date]]&lt;(Table2[[#This Row],[estHD]]-2)</f>
        <v>0</v>
      </c>
      <c r="BC359" s="83">
        <f>IF(Table2[[#This Row],[field_fate2]]="H",1,0)</f>
        <v>1</v>
      </c>
      <c r="BD359" s="82">
        <f>IF(Table2[[#This Row],[cam_fate2]]="H",1,0)</f>
        <v>0</v>
      </c>
      <c r="BE359" s="84" t="b">
        <f>NOT(Table2[[#This Row],[HF_C]]=Table2[[#This Row],[HF]])</f>
        <v>1</v>
      </c>
      <c r="BF359" s="85" t="b">
        <f>NOT(Table2[[#This Row],[cam_fate2]]=Table2[[#This Row],[field_fate3]])</f>
        <v>1</v>
      </c>
      <c r="BG359" s="85" t="b">
        <f>OR(Table2[[#This Row],[field_fate3]]="U",Table2[[#This Row],[field_fate3]]="U-H")</f>
        <v>1</v>
      </c>
      <c r="BH359" s="8">
        <v>56</v>
      </c>
      <c r="BI359" s="8">
        <v>73</v>
      </c>
      <c r="BJ359" s="14">
        <f>IF(ISTEXT(Table2[[#This Row],[j.cam]]),Table2[[#This Row],[j]],Table2[[#This Row],[j.cam]])</f>
        <v>73</v>
      </c>
      <c r="BK359" s="8">
        <v>73</v>
      </c>
      <c r="BL359" s="14">
        <f>IF(ISTEXT(Table2[[#This Row],[k.cam]]), Table2[[#This Row],[k]], Table2[[#This Row],[k.cam]])</f>
        <v>73</v>
      </c>
      <c r="BM359" s="87" t="s">
        <v>24</v>
      </c>
      <c r="BN359" s="87" t="s">
        <v>24</v>
      </c>
      <c r="BO359" s="4">
        <v>6</v>
      </c>
      <c r="BP359" s="4">
        <f>Table2[[#This Row],[final_obs_date]]-Table2[[#This Row],[i]]</f>
        <v>17</v>
      </c>
      <c r="BQ359" s="4" t="b">
        <f>Table2[[#This Row],[final_obs_date2]]&gt;Table2[[#This Row],[estHD]]+3</f>
        <v>0</v>
      </c>
      <c r="BR359" s="3" t="s">
        <v>58</v>
      </c>
      <c r="BS359" s="3" t="s">
        <v>45</v>
      </c>
      <c r="BT359" s="125" t="s">
        <v>1229</v>
      </c>
      <c r="BU359" s="122" t="s">
        <v>305</v>
      </c>
      <c r="BV359" s="88" t="s">
        <v>1594</v>
      </c>
      <c r="BW359" s="70" t="s">
        <v>1702</v>
      </c>
      <c r="BX359" s="36" t="s">
        <v>940</v>
      </c>
      <c r="BY359" s="36" t="s">
        <v>713</v>
      </c>
    </row>
    <row r="360" spans="1:77" ht="15" x14ac:dyDescent="0.35">
      <c r="A360" s="60">
        <v>20264</v>
      </c>
      <c r="B360" s="2" t="s">
        <v>122</v>
      </c>
      <c r="C360" s="45">
        <v>2020</v>
      </c>
      <c r="D360" s="3">
        <v>29.758299999999998</v>
      </c>
      <c r="E360" s="3">
        <v>-93.120940000000004</v>
      </c>
      <c r="F360" s="3">
        <v>25</v>
      </c>
      <c r="G360" s="3">
        <v>30</v>
      </c>
      <c r="H360" s="3" t="s">
        <v>291</v>
      </c>
      <c r="I360" s="43"/>
      <c r="J360" s="116">
        <v>74</v>
      </c>
      <c r="K360" s="4">
        <v>77</v>
      </c>
      <c r="L360" s="22">
        <f>IF(ISNUMBER(Table2[[#This Row],[estHD]]),ABS(Table2[[#This Row],[HD]]-Table2[[#This Row],[estHD]]),"NA")</f>
        <v>3</v>
      </c>
      <c r="M360" s="4" t="b">
        <f>Table2[[#This Row],[HD]]=Table2[[#This Row],[estHD]]</f>
        <v>0</v>
      </c>
      <c r="N360" s="4">
        <f>IF(ISNUMBER(Table2[[#This Row],[HD]]),Table2[[#This Row],[HD]]-19,"NA")</f>
        <v>58</v>
      </c>
      <c r="O360" s="31">
        <v>58</v>
      </c>
      <c r="P360" s="23">
        <f>IF(ISNUMBER(Table2[[#This Row],[nest_age1]]),ABS(Table2[[#This Row],[nest_age1]]-Table2[[#This Row],[nest_age_feb]]),"NA")</f>
        <v>2</v>
      </c>
      <c r="Q360" s="24">
        <f>IF(ISNUMBER(Table2[[#This Row],[final_obs_int2]]),ABS(Table2[[#This Row],[final_obs_int2]]-Table2[[#This Row],[final_obs_int_feb]]), "NA")</f>
        <v>1</v>
      </c>
      <c r="R360" s="24">
        <f>(Table2[[#This Row],[k_adj]]-Table2[[#This Row],[estHD]])/Table2[[#This Row],[estHD]]</f>
        <v>4.0540540540540543E-2</v>
      </c>
      <c r="S360" s="20" t="s">
        <v>75</v>
      </c>
      <c r="T360" s="20" t="str">
        <f>Table2[[#This Row],[camera_old]]</f>
        <v>Y</v>
      </c>
      <c r="U360" s="22" t="s">
        <v>88</v>
      </c>
      <c r="V360" s="16" t="s">
        <v>37</v>
      </c>
      <c r="W360" s="16">
        <v>24</v>
      </c>
      <c r="X360" s="145">
        <v>4</v>
      </c>
      <c r="Y360" s="153" t="s">
        <v>104</v>
      </c>
      <c r="Z360" s="146" t="s">
        <v>104</v>
      </c>
      <c r="AA360" s="5" t="s">
        <v>37</v>
      </c>
      <c r="AB360" s="5" t="str">
        <f>Table2[[#This Row],[field_fate]]</f>
        <v>U-H</v>
      </c>
      <c r="AC360" s="94" t="s">
        <v>90</v>
      </c>
      <c r="AD360" s="94" t="s">
        <v>37</v>
      </c>
      <c r="AE360" s="94" t="s">
        <v>90</v>
      </c>
      <c r="AF360" s="94" t="s">
        <v>90</v>
      </c>
      <c r="AG360" s="94" t="s">
        <v>90</v>
      </c>
      <c r="AH360" s="94" t="str">
        <f>Table2[[#This Row],[field_fate2]]</f>
        <v>H</v>
      </c>
      <c r="AI360" s="94" t="str">
        <f>Table2[[#This Row],[field_fate8]]</f>
        <v>U</v>
      </c>
      <c r="AJ360" s="94" t="str">
        <f>Table2[[#This Row],[field_fate10]]</f>
        <v>U</v>
      </c>
      <c r="AK360" s="94" t="b">
        <f>Table2[[#This Row],[field_fate_feb]]=Table2[[#This Row],[field_fate10]]</f>
        <v>0</v>
      </c>
      <c r="AL360" s="43" t="s">
        <v>37</v>
      </c>
      <c r="AM360" s="160" t="b">
        <f>Table2[[#This Row],[cam_fate2]]="NA"</f>
        <v>0</v>
      </c>
      <c r="AN360" s="19" t="str">
        <f>Table2[[#This Row],[cam_fate1]]</f>
        <v>H</v>
      </c>
      <c r="AO360" s="2" t="s">
        <v>37</v>
      </c>
      <c r="AP360" s="5" t="str">
        <f>Table2[[#This Row],[final_fate1]]</f>
        <v>H</v>
      </c>
      <c r="AQ360" s="6">
        <v>22</v>
      </c>
      <c r="AR360" s="72">
        <v>25</v>
      </c>
      <c r="AS360" s="155">
        <f>Table2[[#This Row],[final_obs_date]]-Table2[[#This Row],[init_date]]</f>
        <v>22</v>
      </c>
      <c r="AT360" s="155">
        <f>(Table2[[#This Row],[final_obs_date2]]-Table2[[#This Row],[estHD]])+19</f>
        <v>25</v>
      </c>
      <c r="AU360" s="38">
        <v>3</v>
      </c>
      <c r="AV360" s="33">
        <v>3</v>
      </c>
      <c r="AW360" s="33">
        <f>Table2[[#This Row],[final_obs_date2]]-Table2[[#This Row],[pen_obs_date]]</f>
        <v>4</v>
      </c>
      <c r="AX360" s="67">
        <v>80</v>
      </c>
      <c r="AY360" s="157">
        <f>Table2[[#This Row],[final_obs_date]]</f>
        <v>80</v>
      </c>
      <c r="AZ360" s="6">
        <v>76</v>
      </c>
      <c r="BA360" s="92" t="s">
        <v>47</v>
      </c>
      <c r="BB360" s="6" t="b">
        <f>Table2[[#This Row],[final_obs_date]]&lt;(Table2[[#This Row],[estHD]]-2)</f>
        <v>0</v>
      </c>
      <c r="BC360" s="32">
        <f>IF(Table2[[#This Row],[field_fate2]]="H",1,0)</f>
        <v>1</v>
      </c>
      <c r="BD360" s="16">
        <f>IF(Table2[[#This Row],[cam_fate2]]="H",1,0)</f>
        <v>1</v>
      </c>
      <c r="BE360" s="6" t="b">
        <f>NOT(Table2[[#This Row],[HF_C]]=Table2[[#This Row],[HF]])</f>
        <v>0</v>
      </c>
      <c r="BF360" s="38" t="b">
        <f>NOT(Table2[[#This Row],[cam_fate2]]=Table2[[#This Row],[field_fate3]])</f>
        <v>1</v>
      </c>
      <c r="BG360" s="38" t="b">
        <f>OR(Table2[[#This Row],[field_fate3]]="U",Table2[[#This Row],[field_fate3]]="U-H")</f>
        <v>1</v>
      </c>
      <c r="BH360" s="8">
        <v>56</v>
      </c>
      <c r="BI360" s="8">
        <v>78</v>
      </c>
      <c r="BJ360" s="14">
        <f>IF(ISTEXT(Table2[[#This Row],[j.cam]]),Table2[[#This Row],[j]],Table2[[#This Row],[j.cam]])</f>
        <v>77</v>
      </c>
      <c r="BK360" s="8">
        <v>78</v>
      </c>
      <c r="BL360" s="14">
        <f>IF(ISTEXT(Table2[[#This Row],[k.cam]]), Table2[[#This Row],[k]], Table2[[#This Row],[k.cam]])</f>
        <v>77</v>
      </c>
      <c r="BM360" s="4">
        <v>77</v>
      </c>
      <c r="BN360" s="8">
        <v>77</v>
      </c>
      <c r="BO360" s="4">
        <v>7</v>
      </c>
      <c r="BP360" s="4">
        <f>Table2[[#This Row],[final_obs_date]]-Table2[[#This Row],[i]]</f>
        <v>24</v>
      </c>
      <c r="BQ360" s="4" t="b">
        <f>Table2[[#This Row],[final_obs_date2]]&gt;Table2[[#This Row],[estHD]]+3</f>
        <v>1</v>
      </c>
      <c r="BR360" s="3" t="s">
        <v>33</v>
      </c>
      <c r="BS360" s="3" t="s">
        <v>45</v>
      </c>
      <c r="BT360" s="125" t="s">
        <v>1230</v>
      </c>
      <c r="BU360" s="4" t="s">
        <v>230</v>
      </c>
      <c r="BV360" s="79" t="s">
        <v>1595</v>
      </c>
      <c r="BW360" s="131" t="s">
        <v>1719</v>
      </c>
      <c r="BX360" s="54" t="s">
        <v>967</v>
      </c>
      <c r="BY360" s="54" t="s">
        <v>714</v>
      </c>
    </row>
    <row r="361" spans="1:77" hidden="1" x14ac:dyDescent="0.35">
      <c r="A361" s="63">
        <v>20265</v>
      </c>
      <c r="B361" s="2" t="s">
        <v>122</v>
      </c>
      <c r="C361" s="45">
        <v>2020</v>
      </c>
      <c r="D361" s="3">
        <v>29.757149999999999</v>
      </c>
      <c r="E361" s="3">
        <v>-93.116420000000005</v>
      </c>
      <c r="F361" s="3">
        <v>60</v>
      </c>
      <c r="G361" s="3">
        <v>80</v>
      </c>
      <c r="H361" s="3" t="s">
        <v>26</v>
      </c>
      <c r="I361" s="43"/>
      <c r="J361" s="55">
        <v>65</v>
      </c>
      <c r="K361" s="4">
        <v>69</v>
      </c>
      <c r="L361" s="22">
        <f>IF(ISNUMBER(Table2[[#This Row],[estHD]]),ABS(Table2[[#This Row],[HD]]-Table2[[#This Row],[estHD]]),"NA")</f>
        <v>4</v>
      </c>
      <c r="M361" s="4" t="b">
        <f>Table2[[#This Row],[HD]]=Table2[[#This Row],[estHD]]</f>
        <v>0</v>
      </c>
      <c r="N361" s="4" t="str">
        <f>IF(ISNUMBER([1]!Table2[[#This Row],[hatch_date]]), [1]!Table2[[#This Row],[hatch_date]]-16, "NA")</f>
        <v>NA</v>
      </c>
      <c r="O361" s="31">
        <v>53</v>
      </c>
      <c r="P361" s="23">
        <f>IF(ISNUMBER(Table2[[#This Row],[nest_age1]]),ABS(Table2[[#This Row],[nest_age1]]-Table2[[#This Row],[nest_age_feb]]),"NA")</f>
        <v>3</v>
      </c>
      <c r="Q361" s="24">
        <f>IF(ISNUMBER(Table2[[#This Row],[final_obs_int2]]),ABS(Table2[[#This Row],[final_obs_int2]]-Table2[[#This Row],[final_obs_int_feb]]), "NA")</f>
        <v>0</v>
      </c>
      <c r="R361" s="24"/>
      <c r="S361" s="57" t="s">
        <v>88</v>
      </c>
      <c r="T361" s="57" t="str">
        <f>Table2[[#This Row],[camera_old]]</f>
        <v>N</v>
      </c>
      <c r="U361" s="24"/>
      <c r="V361" s="16" t="s">
        <v>24</v>
      </c>
      <c r="W361" s="16">
        <v>19</v>
      </c>
      <c r="X361" s="145">
        <v>5</v>
      </c>
      <c r="Y361" s="150" t="s">
        <v>37</v>
      </c>
      <c r="Z361" s="146" t="s">
        <v>37</v>
      </c>
      <c r="AA361" s="4" t="str">
        <f>Table2[[#This Row],[field_fate]]</f>
        <v>H</v>
      </c>
      <c r="AB361" s="4" t="str">
        <f>Table2[[#This Row],[field_fate2]]</f>
        <v>H</v>
      </c>
      <c r="AC361" s="4" t="str">
        <f>Table2[[#This Row],[field_fate3]]</f>
        <v>H</v>
      </c>
      <c r="AD361" s="4" t="str">
        <f>Table2[[#This Row],[field_fate4]]</f>
        <v>H</v>
      </c>
      <c r="AE361" s="4" t="str">
        <f>Table2[[#This Row],[field_fate5]]</f>
        <v>H</v>
      </c>
      <c r="AF361" s="4" t="str">
        <f>Table2[[#This Row],[field_fate5]]</f>
        <v>H</v>
      </c>
      <c r="AG361" s="4" t="str">
        <f>Table2[[#This Row],[field_fate5]]</f>
        <v>H</v>
      </c>
      <c r="AH361" s="4" t="str">
        <f>Table2[[#This Row],[field_fate2]]</f>
        <v>H</v>
      </c>
      <c r="AI361" s="4" t="str">
        <f>Table2[[#This Row],[field_fate8]]</f>
        <v>H</v>
      </c>
      <c r="AJ361" s="4" t="str">
        <f>Table2[[#This Row],[field_fate10]]</f>
        <v>H</v>
      </c>
      <c r="AK361" s="4" t="b">
        <f>Table2[[#This Row],[field_fate_feb]]=Table2[[#This Row],[field_fate10]]</f>
        <v>1</v>
      </c>
      <c r="AL361" s="43" t="s">
        <v>24</v>
      </c>
      <c r="AM361" s="43" t="b">
        <f>Table2[[#This Row],[cam_fate2]]="NA"</f>
        <v>1</v>
      </c>
      <c r="AN361" s="19" t="str">
        <f>Table2[[#This Row],[cam_fate1]]</f>
        <v>NA</v>
      </c>
      <c r="AO361" s="2" t="s">
        <v>37</v>
      </c>
      <c r="AP361" s="5" t="str">
        <f>Table2[[#This Row],[final_fate1]]</f>
        <v>H</v>
      </c>
      <c r="AQ361" s="6">
        <v>16</v>
      </c>
      <c r="AR361" s="7">
        <v>20</v>
      </c>
      <c r="AS361" s="7">
        <f>Table2[[#This Row],[final_obs_date]]-Table2[[#This Row],[init_date]]</f>
        <v>16</v>
      </c>
      <c r="AT361" s="7">
        <f>(Table2[[#This Row],[final_obs_date2]]-Table2[[#This Row],[estHD]])+16</f>
        <v>20</v>
      </c>
      <c r="AU361" s="38">
        <v>5</v>
      </c>
      <c r="AV361" s="33">
        <v>5</v>
      </c>
      <c r="AW361" s="33">
        <f>Table2[[#This Row],[final_obs_date2]]-Table2[[#This Row],[pen_obs_date]]</f>
        <v>69</v>
      </c>
      <c r="AX361" s="67">
        <v>69</v>
      </c>
      <c r="AY361" s="6">
        <f>Table2[[#This Row],[final_obs_date]]</f>
        <v>69</v>
      </c>
      <c r="AZ361" s="6"/>
      <c r="BA361" s="91" t="s">
        <v>60</v>
      </c>
      <c r="BB361" s="6" t="b">
        <f>Table2[[#This Row],[final_obs_date]]&lt;(Table2[[#This Row],[estHD]]-2)</f>
        <v>0</v>
      </c>
      <c r="BC361" s="24">
        <f>IF(Table2[[#This Row],[field_fate]]="H",1,0)</f>
        <v>1</v>
      </c>
      <c r="BD361" s="16">
        <f>IF(Table2[[#This Row],[cam_fate2]]="H",1,0)</f>
        <v>0</v>
      </c>
      <c r="BE361" s="6" t="b">
        <f>NOT(Table2[[#This Row],[HF_C]]=Table2[[#This Row],[HF]])</f>
        <v>1</v>
      </c>
      <c r="BF361" s="6" t="b">
        <f>NOT(Table2[[#This Row],[cam_fate2]]=Table2[[#This Row],[field_fate3]])</f>
        <v>1</v>
      </c>
      <c r="BG361" s="6" t="b">
        <f>OR(Table2[[#This Row],[field_fate3]]="U",Table2[[#This Row],[field_fate3]]="U-H")</f>
        <v>0</v>
      </c>
      <c r="BH361" s="8">
        <v>56</v>
      </c>
      <c r="BI361" s="8">
        <v>69</v>
      </c>
      <c r="BJ361" s="14">
        <f>IF(ISTEXT(Table2[[#This Row],[j.cam]]),Table2[[#This Row],[j]],Table2[[#This Row],[j.cam]])</f>
        <v>69</v>
      </c>
      <c r="BK361" s="9">
        <v>69</v>
      </c>
      <c r="BL361" s="15">
        <f>IF(ISTEXT(Table2[[#This Row],[k.cam]]), Table2[[#This Row],[k]], Table2[[#This Row],[k.cam]])</f>
        <v>69</v>
      </c>
      <c r="BM361" s="4" t="s">
        <v>24</v>
      </c>
      <c r="BN361" s="8" t="s">
        <v>24</v>
      </c>
      <c r="BO361" s="4">
        <v>4</v>
      </c>
      <c r="BP361" s="4">
        <f>Table2[[#This Row],[final_obs_date]]-Table2[[#This Row],[i]]</f>
        <v>13</v>
      </c>
      <c r="BQ361" s="4" t="b">
        <f>Table2[[#This Row],[final_obs_date2]]&gt;Table2[[#This Row],[estHD]]+3</f>
        <v>1</v>
      </c>
      <c r="BR361" s="4" t="s">
        <v>58</v>
      </c>
      <c r="BS361" s="4" t="s">
        <v>127</v>
      </c>
      <c r="BT361" s="79" t="s">
        <v>1231</v>
      </c>
      <c r="BU361" s="26" t="s">
        <v>286</v>
      </c>
      <c r="BV361" s="79" t="s">
        <v>1596</v>
      </c>
      <c r="BW361" s="49"/>
      <c r="BX361" s="47"/>
      <c r="BY361" s="36" t="s">
        <v>24</v>
      </c>
    </row>
    <row r="362" spans="1:77" ht="24" x14ac:dyDescent="0.35">
      <c r="A362" s="60">
        <v>20266</v>
      </c>
      <c r="B362" s="2" t="s">
        <v>122</v>
      </c>
      <c r="C362" s="45">
        <v>2020</v>
      </c>
      <c r="D362" s="3">
        <v>29.756830000000001</v>
      </c>
      <c r="E362" s="3">
        <v>-93.11497</v>
      </c>
      <c r="F362" s="3">
        <v>70</v>
      </c>
      <c r="G362" s="3">
        <v>80</v>
      </c>
      <c r="H362" s="3" t="s">
        <v>26</v>
      </c>
      <c r="I362" s="43"/>
      <c r="J362" s="116">
        <v>73</v>
      </c>
      <c r="K362" s="4">
        <v>74</v>
      </c>
      <c r="L362" s="22">
        <f>IF(ISNUMBER(Table2[[#This Row],[estHD]]),ABS(Table2[[#This Row],[HD]]-Table2[[#This Row],[estHD]]),"NA")</f>
        <v>1</v>
      </c>
      <c r="M362" s="4" t="b">
        <f>Table2[[#This Row],[HD]]=Table2[[#This Row],[estHD]]</f>
        <v>0</v>
      </c>
      <c r="N362" s="4">
        <f>IF(ISNUMBER(Table2[[#This Row],[HD]]),Table2[[#This Row],[HD]]-16,"NA")</f>
        <v>58</v>
      </c>
      <c r="O362" s="31">
        <v>58</v>
      </c>
      <c r="P362" s="23">
        <f>IF(ISNUMBER(Table2[[#This Row],[nest_age1]]),ABS(Table2[[#This Row],[nest_age1]]-Table2[[#This Row],[nest_age_feb]]),"NA")</f>
        <v>2</v>
      </c>
      <c r="Q362" s="24">
        <f>IF(ISNUMBER(Table2[[#This Row],[final_obs_int2]]),ABS(Table2[[#This Row],[final_obs_int2]]-Table2[[#This Row],[final_obs_int_feb]]), "NA")</f>
        <v>0</v>
      </c>
      <c r="R362" s="24">
        <f>(Table2[[#This Row],[k_adj]]-Table2[[#This Row],[estHD]])/Table2[[#This Row],[estHD]]</f>
        <v>4.1095890410958902E-2</v>
      </c>
      <c r="S362" s="20" t="s">
        <v>75</v>
      </c>
      <c r="T362" s="20" t="str">
        <f>Table2[[#This Row],[camera_old]]</f>
        <v>Y</v>
      </c>
      <c r="U362" s="22" t="s">
        <v>88</v>
      </c>
      <c r="V362" s="16" t="s">
        <v>37</v>
      </c>
      <c r="W362" s="16">
        <v>22</v>
      </c>
      <c r="X362" s="145">
        <v>2</v>
      </c>
      <c r="Y362" s="153" t="s">
        <v>104</v>
      </c>
      <c r="Z362" s="146" t="s">
        <v>104</v>
      </c>
      <c r="AA362" s="5" t="s">
        <v>37</v>
      </c>
      <c r="AB362" s="5" t="str">
        <f>Table2[[#This Row],[field_fate]]</f>
        <v>U-H</v>
      </c>
      <c r="AC362" s="94" t="str">
        <f>Table2[[#This Row],[field_fate3]]</f>
        <v>U-H</v>
      </c>
      <c r="AD362" s="94" t="s">
        <v>37</v>
      </c>
      <c r="AE362" s="94" t="s">
        <v>37</v>
      </c>
      <c r="AF362" s="94" t="s">
        <v>37</v>
      </c>
      <c r="AG362" s="94" t="s">
        <v>37</v>
      </c>
      <c r="AH362" s="94" t="str">
        <f>Table2[[#This Row],[field_fate2]]</f>
        <v>H</v>
      </c>
      <c r="AI362" s="94" t="str">
        <f>Table2[[#This Row],[field_fate8]]</f>
        <v>H</v>
      </c>
      <c r="AJ362" s="94" t="str">
        <f>Table2[[#This Row],[field_fate10]]</f>
        <v>H</v>
      </c>
      <c r="AK362" s="94" t="b">
        <f>Table2[[#This Row],[field_fate_feb]]=Table2[[#This Row],[field_fate10]]</f>
        <v>0</v>
      </c>
      <c r="AL362" s="43" t="s">
        <v>37</v>
      </c>
      <c r="AM362" s="160" t="b">
        <f>Table2[[#This Row],[cam_fate2]]="NA"</f>
        <v>0</v>
      </c>
      <c r="AN362" s="19" t="str">
        <f>Table2[[#This Row],[cam_fate1]]</f>
        <v>H</v>
      </c>
      <c r="AO362" s="2" t="s">
        <v>37</v>
      </c>
      <c r="AP362" s="5" t="str">
        <f>Table2[[#This Row],[final_fate1]]</f>
        <v>H</v>
      </c>
      <c r="AQ362" s="6">
        <v>20</v>
      </c>
      <c r="AR362" s="72">
        <v>21</v>
      </c>
      <c r="AS362" s="155">
        <f>Table2[[#This Row],[final_obs_date]]-Table2[[#This Row],[init_date]]</f>
        <v>20</v>
      </c>
      <c r="AT362" s="155">
        <f>(Table2[[#This Row],[final_obs_date2]]-Table2[[#This Row],[estHD]])+16</f>
        <v>21</v>
      </c>
      <c r="AU362" s="38">
        <v>2</v>
      </c>
      <c r="AV362" s="33">
        <v>2</v>
      </c>
      <c r="AW362" s="33">
        <f>Table2[[#This Row],[final_obs_date2]]-Table2[[#This Row],[pen_obs_date]]</f>
        <v>2</v>
      </c>
      <c r="AX362" s="67">
        <v>78</v>
      </c>
      <c r="AY362" s="157">
        <f>Table2[[#This Row],[final_obs_date]]</f>
        <v>78</v>
      </c>
      <c r="AZ362" s="6">
        <v>76</v>
      </c>
      <c r="BA362" s="92" t="s">
        <v>60</v>
      </c>
      <c r="BB362" s="6" t="b">
        <f>Table2[[#This Row],[final_obs_date]]&lt;(Table2[[#This Row],[estHD]]-2)</f>
        <v>0</v>
      </c>
      <c r="BC362" s="32">
        <f>IF(Table2[[#This Row],[field_fate2]]="H",1,0)</f>
        <v>1</v>
      </c>
      <c r="BD362" s="16">
        <f>IF(Table2[[#This Row],[cam_fate2]]="H",1,0)</f>
        <v>1</v>
      </c>
      <c r="BE362" s="6" t="b">
        <f>NOT(Table2[[#This Row],[HF_C]]=Table2[[#This Row],[HF]])</f>
        <v>0</v>
      </c>
      <c r="BF362" s="38" t="b">
        <f>NOT(Table2[[#This Row],[cam_fate2]]=Table2[[#This Row],[field_fate3]])</f>
        <v>1</v>
      </c>
      <c r="BG362" s="38" t="b">
        <f>OR(Table2[[#This Row],[field_fate3]]="U",Table2[[#This Row],[field_fate3]]="U-H")</f>
        <v>1</v>
      </c>
      <c r="BH362" s="8">
        <v>56</v>
      </c>
      <c r="BI362" s="8">
        <v>78</v>
      </c>
      <c r="BJ362" s="120">
        <v>76</v>
      </c>
      <c r="BK362" s="8">
        <v>78</v>
      </c>
      <c r="BL362" s="120">
        <v>76</v>
      </c>
      <c r="BM362" s="4">
        <v>74</v>
      </c>
      <c r="BN362" s="8">
        <v>74</v>
      </c>
      <c r="BO362" s="4">
        <v>7</v>
      </c>
      <c r="BP362" s="4">
        <f>Table2[[#This Row],[final_obs_date]]-Table2[[#This Row],[i]]</f>
        <v>22</v>
      </c>
      <c r="BQ362" s="4" t="b">
        <f>Table2[[#This Row],[final_obs_date2]]&gt;Table2[[#This Row],[estHD]]+3</f>
        <v>1</v>
      </c>
      <c r="BR362" s="3" t="s">
        <v>33</v>
      </c>
      <c r="BS362" s="3" t="s">
        <v>45</v>
      </c>
      <c r="BT362" s="125" t="s">
        <v>1232</v>
      </c>
      <c r="BU362" s="4" t="s">
        <v>230</v>
      </c>
      <c r="BV362" s="79" t="s">
        <v>1597</v>
      </c>
      <c r="BW362" s="69" t="s">
        <v>1725</v>
      </c>
      <c r="BX362" s="54" t="s">
        <v>969</v>
      </c>
      <c r="BY362" s="36" t="s">
        <v>968</v>
      </c>
    </row>
    <row r="363" spans="1:77" hidden="1" x14ac:dyDescent="0.35">
      <c r="A363" s="63">
        <v>20267</v>
      </c>
      <c r="B363" s="2" t="s">
        <v>159</v>
      </c>
      <c r="C363" s="45">
        <v>2020</v>
      </c>
      <c r="D363" s="3">
        <v>29.768599999999999</v>
      </c>
      <c r="E363" s="3">
        <v>-93.426339999999996</v>
      </c>
      <c r="F363" s="3">
        <v>50</v>
      </c>
      <c r="G363" s="3">
        <v>50</v>
      </c>
      <c r="H363" s="3" t="s">
        <v>26</v>
      </c>
      <c r="I363" s="43"/>
      <c r="J363" s="55">
        <v>63</v>
      </c>
      <c r="K363" s="4">
        <v>63</v>
      </c>
      <c r="L363" s="22">
        <f>IF(ISNUMBER(Table2[[#This Row],[estHD]]),ABS(Table2[[#This Row],[HD]]-Table2[[#This Row],[estHD]]),"NA")</f>
        <v>0</v>
      </c>
      <c r="M363" s="4" t="b">
        <f>Table2[[#This Row],[HD]]=Table2[[#This Row],[estHD]]</f>
        <v>1</v>
      </c>
      <c r="N363" s="4" t="str">
        <f>IF(ISNUMBER([1]!Table2[[#This Row],[hatch_date]]), [1]!Table2[[#This Row],[hatch_date]]-16, "NA")</f>
        <v>NA</v>
      </c>
      <c r="O363" s="31">
        <v>47</v>
      </c>
      <c r="P363" s="23">
        <f>IF(ISNUMBER(Table2[[#This Row],[nest_age1]]),ABS(Table2[[#This Row],[nest_age1]]-Table2[[#This Row],[nest_age_feb]]),"NA")</f>
        <v>1</v>
      </c>
      <c r="Q363" s="24">
        <f>IF(ISNUMBER(Table2[[#This Row],[final_obs_int2]]),ABS(Table2[[#This Row],[final_obs_int2]]-Table2[[#This Row],[final_obs_int_feb]]), "NA")</f>
        <v>0</v>
      </c>
      <c r="R363" s="24"/>
      <c r="S363" s="20" t="s">
        <v>75</v>
      </c>
      <c r="T363" s="20" t="str">
        <f>Table2[[#This Row],[camera_old]]</f>
        <v>Y</v>
      </c>
      <c r="U363" s="22" t="s">
        <v>88</v>
      </c>
      <c r="V363" s="16" t="s">
        <v>24</v>
      </c>
      <c r="W363" s="16">
        <v>19</v>
      </c>
      <c r="X363" s="145">
        <v>8</v>
      </c>
      <c r="Y363" s="149" t="s">
        <v>90</v>
      </c>
      <c r="Z363" s="146" t="s">
        <v>90</v>
      </c>
      <c r="AA363" s="4" t="str">
        <f>Table2[[#This Row],[field_fate]]</f>
        <v>U</v>
      </c>
      <c r="AB363" s="4" t="str">
        <f>Table2[[#This Row],[field_fate2]]</f>
        <v>U</v>
      </c>
      <c r="AC363" s="94" t="str">
        <f>Table2[[#This Row],[field_fate3]]</f>
        <v>U</v>
      </c>
      <c r="AD363" s="94" t="str">
        <f>Table2[[#This Row],[field_fate4]]</f>
        <v>U</v>
      </c>
      <c r="AE363" s="94" t="str">
        <f>Table2[[#This Row],[field_fate5]]</f>
        <v>U</v>
      </c>
      <c r="AF363" s="94" t="str">
        <f>Table2[[#This Row],[field_fate5]]</f>
        <v>U</v>
      </c>
      <c r="AG363" s="94" t="str">
        <f>Table2[[#This Row],[field_fate5]]</f>
        <v>U</v>
      </c>
      <c r="AH363" s="94" t="str">
        <f>Table2[[#This Row],[field_fate2]]</f>
        <v>U</v>
      </c>
      <c r="AI363" s="94" t="str">
        <f>Table2[[#This Row],[field_fate8]]</f>
        <v>U</v>
      </c>
      <c r="AJ363" s="94" t="str">
        <f>Table2[[#This Row],[field_fate10]]</f>
        <v>U</v>
      </c>
      <c r="AK363" s="94" t="b">
        <f>Table2[[#This Row],[field_fate_feb]]=Table2[[#This Row],[field_fate10]]</f>
        <v>1</v>
      </c>
      <c r="AL363" s="43" t="s">
        <v>24</v>
      </c>
      <c r="AM363" s="43" t="b">
        <f>Table2[[#This Row],[cam_fate2]]="NA"</f>
        <v>1</v>
      </c>
      <c r="AN363" s="19" t="str">
        <f>Table2[[#This Row],[cam_fate1]]</f>
        <v>NA</v>
      </c>
      <c r="AO363" s="2" t="s">
        <v>24</v>
      </c>
      <c r="AP363" s="5" t="str">
        <f>Table2[[#This Row],[final_fate1]]</f>
        <v>NA</v>
      </c>
      <c r="AQ363" s="6">
        <v>20</v>
      </c>
      <c r="AR363" s="7">
        <v>20</v>
      </c>
      <c r="AS363" s="7">
        <f>Table2[[#This Row],[final_obs_date]]-Table2[[#This Row],[init_date]]</f>
        <v>20</v>
      </c>
      <c r="AT363" s="7">
        <f>(Table2[[#This Row],[final_obs_date2]]-Table2[[#This Row],[estHD]])+16</f>
        <v>20</v>
      </c>
      <c r="AU363" s="38">
        <v>8</v>
      </c>
      <c r="AV363" s="33">
        <v>8</v>
      </c>
      <c r="AW363" s="33">
        <f>Table2[[#This Row],[final_obs_date2]]-Table2[[#This Row],[pen_obs_date]]</f>
        <v>67</v>
      </c>
      <c r="AX363" s="67">
        <v>67</v>
      </c>
      <c r="AY363" s="6">
        <f>Table2[[#This Row],[final_obs_date]]</f>
        <v>67</v>
      </c>
      <c r="AZ363" s="6"/>
      <c r="BA363" s="91" t="s">
        <v>60</v>
      </c>
      <c r="BB363" s="6" t="b">
        <f>Table2[[#This Row],[final_obs_date]]&lt;(Table2[[#This Row],[estHD]]-2)</f>
        <v>0</v>
      </c>
      <c r="BC363" s="32">
        <f>IF(Table2[[#This Row],[field_fate]]="H",1,0)</f>
        <v>0</v>
      </c>
      <c r="BD363" s="16">
        <f>IF(Table2[[#This Row],[cam_fate2]]="H",1,0)</f>
        <v>0</v>
      </c>
      <c r="BE363" s="6" t="b">
        <f>NOT(Table2[[#This Row],[HF_C]]=Table2[[#This Row],[HF]])</f>
        <v>0</v>
      </c>
      <c r="BF363" s="6" t="b">
        <f>NOT(Table2[[#This Row],[cam_fate2]]=Table2[[#This Row],[field_fate3]])</f>
        <v>1</v>
      </c>
      <c r="BG363" s="6" t="b">
        <f>OR(Table2[[#This Row],[field_fate3]]="U",Table2[[#This Row],[field_fate3]]="U-H")</f>
        <v>1</v>
      </c>
      <c r="BH363" s="8">
        <v>59</v>
      </c>
      <c r="BI363" s="8">
        <v>59</v>
      </c>
      <c r="BJ363" s="14">
        <f>IF(ISTEXT(Table2[[#This Row],[j.cam]]),Table2[[#This Row],[j]],Table2[[#This Row],[j.cam]])</f>
        <v>59</v>
      </c>
      <c r="BK363" s="8">
        <v>67</v>
      </c>
      <c r="BL363" s="14">
        <f>IF(ISTEXT(Table2[[#This Row],[k.cam]]), Table2[[#This Row],[k]], Table2[[#This Row],[k.cam]])</f>
        <v>67</v>
      </c>
      <c r="BM363" s="4" t="s">
        <v>24</v>
      </c>
      <c r="BN363" s="8" t="s">
        <v>24</v>
      </c>
      <c r="BO363" s="4">
        <v>2</v>
      </c>
      <c r="BP363" s="4">
        <f>Table2[[#This Row],[final_obs_date]]-Table2[[#This Row],[i]]</f>
        <v>8</v>
      </c>
      <c r="BQ363" s="4" t="b">
        <f>Table2[[#This Row],[final_obs_date2]]&gt;Table2[[#This Row],[estHD]]+3</f>
        <v>1</v>
      </c>
      <c r="BR363" s="3" t="s">
        <v>33</v>
      </c>
      <c r="BS363" s="3" t="s">
        <v>45</v>
      </c>
      <c r="BT363" s="79" t="s">
        <v>1233</v>
      </c>
      <c r="BU363" s="26" t="s">
        <v>87</v>
      </c>
      <c r="BV363" s="79" t="s">
        <v>1427</v>
      </c>
      <c r="BW363" s="49"/>
      <c r="BX363" s="47"/>
      <c r="BY363" s="36" t="s">
        <v>715</v>
      </c>
    </row>
    <row r="364" spans="1:77" hidden="1" x14ac:dyDescent="0.35">
      <c r="A364" s="63">
        <v>20268</v>
      </c>
      <c r="B364" s="2" t="s">
        <v>35</v>
      </c>
      <c r="C364" s="45">
        <v>2020</v>
      </c>
      <c r="D364" s="3">
        <v>29.762799999999999</v>
      </c>
      <c r="E364" s="3">
        <v>-93.141490000000005</v>
      </c>
      <c r="F364" s="3">
        <v>95</v>
      </c>
      <c r="G364" s="3">
        <v>95</v>
      </c>
      <c r="H364" s="3" t="s">
        <v>293</v>
      </c>
      <c r="I364" s="43"/>
      <c r="J364" s="55">
        <v>70</v>
      </c>
      <c r="K364" s="4">
        <v>70</v>
      </c>
      <c r="L364" s="22">
        <f>IF(ISNUMBER(Table2[[#This Row],[estHD]]),ABS(Table2[[#This Row],[HD]]-Table2[[#This Row],[estHD]]),"NA")</f>
        <v>0</v>
      </c>
      <c r="M364" s="4" t="b">
        <f>Table2[[#This Row],[HD]]=Table2[[#This Row],[estHD]]</f>
        <v>1</v>
      </c>
      <c r="N364" s="4" t="str">
        <f>IF(ISNUMBER([1]!Table2[[#This Row],[hatch_date]]), [1]!Table2[[#This Row],[hatch_date]]-16, "NA")</f>
        <v>NA</v>
      </c>
      <c r="O364" s="31">
        <v>54</v>
      </c>
      <c r="P364" s="23">
        <f>IF(ISNUMBER(Table2[[#This Row],[nest_age1]]),ABS(Table2[[#This Row],[nest_age1]]-Table2[[#This Row],[nest_age_feb]]),"NA")</f>
        <v>1</v>
      </c>
      <c r="Q364" s="24">
        <f>IF(ISNUMBER(Table2[[#This Row],[final_obs_int2]]),ABS(Table2[[#This Row],[final_obs_int2]]-Table2[[#This Row],[final_obs_int_feb]]), "NA")</f>
        <v>0</v>
      </c>
      <c r="R364" s="24"/>
      <c r="S364" s="57" t="s">
        <v>88</v>
      </c>
      <c r="T364" s="57" t="str">
        <f>Table2[[#This Row],[camera_old]]</f>
        <v>N</v>
      </c>
      <c r="U364" s="24"/>
      <c r="V364" s="16" t="s">
        <v>24</v>
      </c>
      <c r="W364" s="16">
        <v>18</v>
      </c>
      <c r="X364" s="145">
        <v>5</v>
      </c>
      <c r="Y364" s="147" t="s">
        <v>36</v>
      </c>
      <c r="Z364" s="146" t="s">
        <v>36</v>
      </c>
      <c r="AA364" s="4" t="str">
        <f>Table2[[#This Row],[field_fate]]</f>
        <v>A</v>
      </c>
      <c r="AB364" s="4" t="str">
        <f>Table2[[#This Row],[field_fate2]]</f>
        <v>A</v>
      </c>
      <c r="AC364" s="4" t="str">
        <f>Table2[[#This Row],[field_fate3]]</f>
        <v>A</v>
      </c>
      <c r="AD364" s="4" t="str">
        <f>Table2[[#This Row],[field_fate4]]</f>
        <v>A</v>
      </c>
      <c r="AE364" s="4" t="str">
        <f>Table2[[#This Row],[field_fate5]]</f>
        <v>A</v>
      </c>
      <c r="AF364" s="4" t="str">
        <f>Table2[[#This Row],[field_fate5]]</f>
        <v>A</v>
      </c>
      <c r="AG364" s="4" t="str">
        <f>Table2[[#This Row],[field_fate5]]</f>
        <v>A</v>
      </c>
      <c r="AH364" s="4" t="str">
        <f>Table2[[#This Row],[field_fate2]]</f>
        <v>A</v>
      </c>
      <c r="AI364" s="4" t="str">
        <f>Table2[[#This Row],[field_fate8]]</f>
        <v>A</v>
      </c>
      <c r="AJ364" s="4" t="str">
        <f>Table2[[#This Row],[field_fate10]]</f>
        <v>A</v>
      </c>
      <c r="AK364" s="4" t="b">
        <f>Table2[[#This Row],[field_fate_feb]]=Table2[[#This Row],[field_fate10]]</f>
        <v>1</v>
      </c>
      <c r="AL364" s="43" t="s">
        <v>24</v>
      </c>
      <c r="AM364" s="43" t="b">
        <f>Table2[[#This Row],[cam_fate2]]="NA"</f>
        <v>1</v>
      </c>
      <c r="AN364" s="19" t="str">
        <f>Table2[[#This Row],[cam_fate1]]</f>
        <v>NA</v>
      </c>
      <c r="AO364" s="2" t="s">
        <v>36</v>
      </c>
      <c r="AP364" s="5" t="str">
        <f>Table2[[#This Row],[final_fate1]]</f>
        <v>A</v>
      </c>
      <c r="AQ364" s="6">
        <v>19</v>
      </c>
      <c r="AR364" s="7">
        <v>19</v>
      </c>
      <c r="AS364" s="7">
        <f>Table2[[#This Row],[final_obs_date]]-Table2[[#This Row],[init_date]]</f>
        <v>19</v>
      </c>
      <c r="AT364" s="7">
        <f>(Table2[[#This Row],[final_obs_date2]]-Table2[[#This Row],[estHD]])+16</f>
        <v>19</v>
      </c>
      <c r="AU364" s="38">
        <v>5</v>
      </c>
      <c r="AV364" s="33">
        <v>5</v>
      </c>
      <c r="AW364" s="33">
        <f>Table2[[#This Row],[final_obs_date2]]-Table2[[#This Row],[pen_obs_date]]</f>
        <v>73</v>
      </c>
      <c r="AX364" s="67">
        <v>73</v>
      </c>
      <c r="AY364" s="6">
        <f>Table2[[#This Row],[final_obs_date]]</f>
        <v>73</v>
      </c>
      <c r="AZ364" s="6"/>
      <c r="BA364" s="91" t="s">
        <v>60</v>
      </c>
      <c r="BB364" s="6" t="b">
        <f>Table2[[#This Row],[final_obs_date]]&lt;(Table2[[#This Row],[estHD]]-2)</f>
        <v>0</v>
      </c>
      <c r="BC364" s="24">
        <f>IF(Table2[[#This Row],[field_fate]]="H",1,0)</f>
        <v>0</v>
      </c>
      <c r="BD364" s="16">
        <f>IF(Table2[[#This Row],[cam_fate2]]="H",1,0)</f>
        <v>0</v>
      </c>
      <c r="BE364" s="6" t="b">
        <f>NOT(Table2[[#This Row],[HF_C]]=Table2[[#This Row],[HF]])</f>
        <v>0</v>
      </c>
      <c r="BF364" s="6" t="b">
        <f>NOT(Table2[[#This Row],[cam_fate2]]=Table2[[#This Row],[field_fate3]])</f>
        <v>1</v>
      </c>
      <c r="BG364" s="6" t="b">
        <f>OR(Table2[[#This Row],[field_fate3]]="U",Table2[[#This Row],[field_fate3]]="U-H")</f>
        <v>0</v>
      </c>
      <c r="BH364" s="8">
        <v>60</v>
      </c>
      <c r="BI364" s="8">
        <v>68</v>
      </c>
      <c r="BJ364" s="14">
        <f>IF(ISTEXT(Table2[[#This Row],[j.cam]]),Table2[[#This Row],[j]],Table2[[#This Row],[j.cam]])</f>
        <v>68</v>
      </c>
      <c r="BK364" s="9">
        <v>73</v>
      </c>
      <c r="BL364" s="15">
        <f>IF(ISTEXT(Table2[[#This Row],[k.cam]]), Table2[[#This Row],[k]], Table2[[#This Row],[k.cam]])</f>
        <v>73</v>
      </c>
      <c r="BM364" s="4" t="s">
        <v>24</v>
      </c>
      <c r="BN364" s="8" t="s">
        <v>24</v>
      </c>
      <c r="BO364" s="4">
        <v>4</v>
      </c>
      <c r="BP364" s="4">
        <f>Table2[[#This Row],[final_obs_date]]-Table2[[#This Row],[i]]</f>
        <v>13</v>
      </c>
      <c r="BQ364" s="4" t="b">
        <f>Table2[[#This Row],[final_obs_date2]]&gt;Table2[[#This Row],[estHD]]+3</f>
        <v>0</v>
      </c>
      <c r="BR364" s="4" t="s">
        <v>58</v>
      </c>
      <c r="BS364" s="4" t="s">
        <v>58</v>
      </c>
      <c r="BT364" s="79" t="s">
        <v>1234</v>
      </c>
      <c r="BU364" s="26" t="s">
        <v>306</v>
      </c>
      <c r="BV364" s="79" t="s">
        <v>1598</v>
      </c>
      <c r="BW364" s="49"/>
      <c r="BX364" s="47"/>
      <c r="BY364" s="36" t="s">
        <v>716</v>
      </c>
    </row>
    <row r="365" spans="1:77" hidden="1" x14ac:dyDescent="0.35">
      <c r="A365" s="63">
        <v>20269</v>
      </c>
      <c r="B365" s="2" t="s">
        <v>35</v>
      </c>
      <c r="C365" s="45">
        <v>2020</v>
      </c>
      <c r="D365" s="3">
        <v>29.76437</v>
      </c>
      <c r="E365" s="3">
        <v>-93.148629999999997</v>
      </c>
      <c r="F365" s="3">
        <v>40</v>
      </c>
      <c r="G365" s="3">
        <v>40</v>
      </c>
      <c r="H365" s="3" t="s">
        <v>462</v>
      </c>
      <c r="I365" s="43"/>
      <c r="J365" s="116">
        <v>74</v>
      </c>
      <c r="K365" s="4">
        <v>73</v>
      </c>
      <c r="L365" s="22">
        <f>IF(ISNUMBER(Table2[[#This Row],[estHD]]),ABS(Table2[[#This Row],[HD]]-Table2[[#This Row],[estHD]]),"NA")</f>
        <v>1</v>
      </c>
      <c r="M365" s="4" t="b">
        <f>Table2[[#This Row],[HD]]=Table2[[#This Row],[estHD]]</f>
        <v>0</v>
      </c>
      <c r="N365" s="4">
        <f>IF(ISNUMBER(Table2[[#This Row],[HD]]),Table2[[#This Row],[HD]]-19,"NA")</f>
        <v>54</v>
      </c>
      <c r="O365" s="31">
        <v>54</v>
      </c>
      <c r="P365" s="23">
        <f>IF(ISNUMBER(Table2[[#This Row],[nest_age1]]),ABS(Table2[[#This Row],[nest_age1]]-Table2[[#This Row],[nest_age_feb]]),"NA")</f>
        <v>2</v>
      </c>
      <c r="Q365" s="24">
        <f>IF(ISNUMBER(Table2[[#This Row],[final_obs_int2]]),ABS(Table2[[#This Row],[final_obs_int2]]-Table2[[#This Row],[final_obs_int_feb]]), "NA")</f>
        <v>0</v>
      </c>
      <c r="R365" s="24">
        <f>(Table2[[#This Row],[k_adj]]-Table2[[#This Row],[estHD]])/Table2[[#This Row],[estHD]]</f>
        <v>-1.3513513513513514E-2</v>
      </c>
      <c r="S365" s="20" t="s">
        <v>75</v>
      </c>
      <c r="T365" s="20" t="str">
        <f>Table2[[#This Row],[camera_old]]</f>
        <v>Y</v>
      </c>
      <c r="U365" s="22" t="s">
        <v>88</v>
      </c>
      <c r="V365" s="16" t="s">
        <v>37</v>
      </c>
      <c r="W365" s="16">
        <v>20</v>
      </c>
      <c r="X365" s="145">
        <v>3</v>
      </c>
      <c r="Y365" s="147" t="s">
        <v>37</v>
      </c>
      <c r="Z365" s="146" t="s">
        <v>37</v>
      </c>
      <c r="AA365" s="4" t="str">
        <f>Table2[[#This Row],[field_fate]]</f>
        <v>H</v>
      </c>
      <c r="AB365" s="4" t="str">
        <f>Table2[[#This Row],[field_fate2]]</f>
        <v>H</v>
      </c>
      <c r="AC365" s="94" t="str">
        <f>Table2[[#This Row],[field_fate3]]</f>
        <v>H</v>
      </c>
      <c r="AD365" s="94" t="str">
        <f>Table2[[#This Row],[field_fate4]]</f>
        <v>H</v>
      </c>
      <c r="AE365" s="94" t="str">
        <f>Table2[[#This Row],[field_fate5]]</f>
        <v>H</v>
      </c>
      <c r="AF365" s="94" t="str">
        <f>Table2[[#This Row],[field_fate5]]</f>
        <v>H</v>
      </c>
      <c r="AG365" s="94" t="str">
        <f>Table2[[#This Row],[field_fate5]]</f>
        <v>H</v>
      </c>
      <c r="AH365" s="94" t="str">
        <f>Table2[[#This Row],[field_fate2]]</f>
        <v>H</v>
      </c>
      <c r="AI365" s="94" t="str">
        <f>Table2[[#This Row],[field_fate8]]</f>
        <v>H</v>
      </c>
      <c r="AJ365" s="94" t="str">
        <f>Table2[[#This Row],[field_fate10]]</f>
        <v>H</v>
      </c>
      <c r="AK365" s="94" t="b">
        <f>Table2[[#This Row],[field_fate_feb]]=Table2[[#This Row],[field_fate10]]</f>
        <v>1</v>
      </c>
      <c r="AL365" s="43" t="s">
        <v>37</v>
      </c>
      <c r="AM365" s="160" t="b">
        <f>Table2[[#This Row],[cam_fate2]]="NA"</f>
        <v>0</v>
      </c>
      <c r="AN365" s="19" t="str">
        <f>Table2[[#This Row],[cam_fate1]]</f>
        <v>H</v>
      </c>
      <c r="AO365" s="2" t="s">
        <v>37</v>
      </c>
      <c r="AP365" s="5" t="str">
        <f>Table2[[#This Row],[final_fate1]]</f>
        <v>H</v>
      </c>
      <c r="AQ365" s="6">
        <v>22</v>
      </c>
      <c r="AR365" s="72">
        <v>21</v>
      </c>
      <c r="AS365" s="155">
        <f>Table2[[#This Row],[final_obs_date]]-Table2[[#This Row],[init_date]]</f>
        <v>22</v>
      </c>
      <c r="AT365" s="155">
        <f>(Table2[[#This Row],[final_obs_date2]]-Table2[[#This Row],[estHD]])+19</f>
        <v>21</v>
      </c>
      <c r="AU365" s="38">
        <v>3</v>
      </c>
      <c r="AV365" s="33">
        <v>3</v>
      </c>
      <c r="AW365" s="33">
        <f>Table2[[#This Row],[final_obs_date2]]-Table2[[#This Row],[pen_obs_date]]</f>
        <v>3</v>
      </c>
      <c r="AX365" s="67">
        <v>76</v>
      </c>
      <c r="AY365" s="157">
        <f>Table2[[#This Row],[final_obs_date]]</f>
        <v>76</v>
      </c>
      <c r="AZ365" s="6">
        <v>73</v>
      </c>
      <c r="BA365" s="92" t="s">
        <v>47</v>
      </c>
      <c r="BB365" s="6" t="b">
        <f>Table2[[#This Row],[final_obs_date]]&lt;(Table2[[#This Row],[estHD]]-2)</f>
        <v>0</v>
      </c>
      <c r="BC365" s="32">
        <f>IF(Table2[[#This Row],[field_fate]]="H",1,0)</f>
        <v>1</v>
      </c>
      <c r="BD365" s="16">
        <f>IF(Table2[[#This Row],[cam_fate2]]="H",1,0)</f>
        <v>1</v>
      </c>
      <c r="BE365" s="6" t="b">
        <f>NOT(Table2[[#This Row],[HF_C]]=Table2[[#This Row],[HF]])</f>
        <v>0</v>
      </c>
      <c r="BF365" s="38" t="b">
        <f>NOT(Table2[[#This Row],[cam_fate2]]=Table2[[#This Row],[field_fate3]])</f>
        <v>0</v>
      </c>
      <c r="BG365" s="38" t="b">
        <f>OR(Table2[[#This Row],[field_fate3]]="U",Table2[[#This Row],[field_fate3]]="U-H")</f>
        <v>0</v>
      </c>
      <c r="BH365" s="8">
        <v>60</v>
      </c>
      <c r="BI365" s="8">
        <v>73</v>
      </c>
      <c r="BJ365" s="14">
        <f>IF(ISTEXT(Table2[[#This Row],[j.cam]]),Table2[[#This Row],[j]],Table2[[#This Row],[j.cam]])</f>
        <v>73</v>
      </c>
      <c r="BK365" s="8">
        <v>73</v>
      </c>
      <c r="BL365" s="14">
        <f>IF(ISTEXT(Table2[[#This Row],[k.cam]]), Table2[[#This Row],[k]], Table2[[#This Row],[k.cam]])</f>
        <v>73</v>
      </c>
      <c r="BM365" s="4">
        <v>73</v>
      </c>
      <c r="BN365" s="8">
        <v>73</v>
      </c>
      <c r="BO365" s="4">
        <v>5</v>
      </c>
      <c r="BP365" s="4">
        <f>Table2[[#This Row],[final_obs_date]]-Table2[[#This Row],[i]]</f>
        <v>16</v>
      </c>
      <c r="BQ365" s="4" t="b">
        <f>Table2[[#This Row],[final_obs_date2]]&gt;Table2[[#This Row],[estHD]]+3</f>
        <v>0</v>
      </c>
      <c r="BR365" s="3" t="s">
        <v>33</v>
      </c>
      <c r="BS365" s="3" t="s">
        <v>127</v>
      </c>
      <c r="BT365" s="125" t="s">
        <v>1235</v>
      </c>
      <c r="BU365" s="4" t="s">
        <v>307</v>
      </c>
      <c r="BV365" s="79" t="s">
        <v>1599</v>
      </c>
      <c r="BW365" s="69"/>
      <c r="BX365" s="36"/>
      <c r="BY365" s="36" t="s">
        <v>717</v>
      </c>
    </row>
    <row r="366" spans="1:77" hidden="1" x14ac:dyDescent="0.35">
      <c r="A366" s="63">
        <v>20270</v>
      </c>
      <c r="B366" s="2" t="s">
        <v>35</v>
      </c>
      <c r="C366" s="45">
        <v>2020</v>
      </c>
      <c r="D366" s="3">
        <v>29.764469999999999</v>
      </c>
      <c r="E366" s="3">
        <v>-93.148849999999996</v>
      </c>
      <c r="F366" s="3">
        <v>70</v>
      </c>
      <c r="G366" s="3">
        <v>70</v>
      </c>
      <c r="H366" s="3" t="s">
        <v>462</v>
      </c>
      <c r="I366" s="43"/>
      <c r="J366" s="55">
        <v>72</v>
      </c>
      <c r="K366" s="4">
        <v>72</v>
      </c>
      <c r="L366" s="22">
        <f>IF(ISNUMBER(Table2[[#This Row],[estHD]]),ABS(Table2[[#This Row],[HD]]-Table2[[#This Row],[estHD]]),"NA")</f>
        <v>0</v>
      </c>
      <c r="M366" s="4" t="b">
        <f>Table2[[#This Row],[HD]]=Table2[[#This Row],[estHD]]</f>
        <v>1</v>
      </c>
      <c r="N366" s="4" t="str">
        <f>IF(ISNUMBER([1]!Table2[[#This Row],[hatch_date]]), [1]!Table2[[#This Row],[hatch_date]]-16, "NA")</f>
        <v>NA</v>
      </c>
      <c r="O366" s="31">
        <v>56</v>
      </c>
      <c r="P366" s="23">
        <f>IF(ISNUMBER(Table2[[#This Row],[nest_age1]]),ABS(Table2[[#This Row],[nest_age1]]-Table2[[#This Row],[nest_age_feb]]),"NA")</f>
        <v>1</v>
      </c>
      <c r="Q366" s="24">
        <f>IF(ISNUMBER(Table2[[#This Row],[final_obs_int2]]),ABS(Table2[[#This Row],[final_obs_int2]]-Table2[[#This Row],[final_obs_int_feb]]), "NA")</f>
        <v>0</v>
      </c>
      <c r="R366" s="24"/>
      <c r="S366" s="57" t="s">
        <v>88</v>
      </c>
      <c r="T366" s="57" t="str">
        <f>Table2[[#This Row],[camera_old]]</f>
        <v>N</v>
      </c>
      <c r="U366" s="24"/>
      <c r="V366" s="16" t="s">
        <v>24</v>
      </c>
      <c r="W366" s="16">
        <v>11</v>
      </c>
      <c r="X366" s="145">
        <v>4</v>
      </c>
      <c r="Y366" s="147" t="s">
        <v>91</v>
      </c>
      <c r="Z366" s="146" t="s">
        <v>91</v>
      </c>
      <c r="AA366" s="4" t="str">
        <f>Table2[[#This Row],[field_fate]]</f>
        <v>Hu</v>
      </c>
      <c r="AB366" s="4" t="str">
        <f>Table2[[#This Row],[field_fate2]]</f>
        <v>Hu</v>
      </c>
      <c r="AC366" s="4" t="str">
        <f>Table2[[#This Row],[field_fate3]]</f>
        <v>Hu</v>
      </c>
      <c r="AD366" s="4" t="str">
        <f>Table2[[#This Row],[field_fate4]]</f>
        <v>Hu</v>
      </c>
      <c r="AE366" s="4" t="str">
        <f>Table2[[#This Row],[field_fate5]]</f>
        <v>Hu</v>
      </c>
      <c r="AF366" s="4" t="str">
        <f>Table2[[#This Row],[field_fate5]]</f>
        <v>Hu</v>
      </c>
      <c r="AG366" s="4" t="str">
        <f>Table2[[#This Row],[field_fate5]]</f>
        <v>Hu</v>
      </c>
      <c r="AH366" s="4" t="str">
        <f>Table2[[#This Row],[field_fate2]]</f>
        <v>Hu</v>
      </c>
      <c r="AI366" s="4" t="str">
        <f>Table2[[#This Row],[field_fate8]]</f>
        <v>Hu</v>
      </c>
      <c r="AJ366" s="4" t="str">
        <f>Table2[[#This Row],[field_fate10]]</f>
        <v>Hu</v>
      </c>
      <c r="AK366" s="4" t="b">
        <f>Table2[[#This Row],[field_fate_feb]]=Table2[[#This Row],[field_fate10]]</f>
        <v>1</v>
      </c>
      <c r="AL366" s="43" t="s">
        <v>24</v>
      </c>
      <c r="AM366" s="43" t="b">
        <f>Table2[[#This Row],[cam_fate2]]="NA"</f>
        <v>1</v>
      </c>
      <c r="AN366" s="19" t="str">
        <f>Table2[[#This Row],[cam_fate1]]</f>
        <v>NA</v>
      </c>
      <c r="AO366" s="2" t="s">
        <v>91</v>
      </c>
      <c r="AP366" s="5" t="str">
        <f>Table2[[#This Row],[final_fate1]]</f>
        <v>Hu</v>
      </c>
      <c r="AQ366" s="6">
        <v>12</v>
      </c>
      <c r="AR366" s="7">
        <v>12</v>
      </c>
      <c r="AS366" s="7">
        <f>Table2[[#This Row],[final_obs_date]]-Table2[[#This Row],[init_date]]</f>
        <v>12</v>
      </c>
      <c r="AT366" s="7">
        <f>(Table2[[#This Row],[final_obs_date2]]-Table2[[#This Row],[estHD]])+16</f>
        <v>12</v>
      </c>
      <c r="AU366" s="38">
        <v>4</v>
      </c>
      <c r="AV366" s="33">
        <v>4</v>
      </c>
      <c r="AW366" s="33">
        <f>Table2[[#This Row],[final_obs_date2]]-Table2[[#This Row],[pen_obs_date]]</f>
        <v>68</v>
      </c>
      <c r="AX366" s="67">
        <v>68</v>
      </c>
      <c r="AY366" s="6">
        <f>Table2[[#This Row],[final_obs_date]]</f>
        <v>68</v>
      </c>
      <c r="AZ366" s="6"/>
      <c r="BA366" s="91" t="s">
        <v>60</v>
      </c>
      <c r="BB366" s="6" t="b">
        <f>Table2[[#This Row],[final_obs_date]]&lt;(Table2[[#This Row],[estHD]]-2)</f>
        <v>1</v>
      </c>
      <c r="BC366" s="24">
        <f>IF(Table2[[#This Row],[field_fate]]="H",1,0)</f>
        <v>0</v>
      </c>
      <c r="BD366" s="16">
        <f>IF(Table2[[#This Row],[cam_fate2]]="H",1,0)</f>
        <v>0</v>
      </c>
      <c r="BE366" s="6" t="b">
        <f>NOT(Table2[[#This Row],[HF_C]]=Table2[[#This Row],[HF]])</f>
        <v>0</v>
      </c>
      <c r="BF366" s="6" t="b">
        <f>NOT(Table2[[#This Row],[cam_fate2]]=Table2[[#This Row],[field_fate3]])</f>
        <v>1</v>
      </c>
      <c r="BG366" s="6" t="b">
        <f>OR(Table2[[#This Row],[field_fate3]]="U",Table2[[#This Row],[field_fate3]]="U-H")</f>
        <v>0</v>
      </c>
      <c r="BH366" s="8">
        <v>60</v>
      </c>
      <c r="BI366" s="8">
        <v>64</v>
      </c>
      <c r="BJ366" s="14">
        <f>IF(ISTEXT(Table2[[#This Row],[j.cam]]),Table2[[#This Row],[j]],Table2[[#This Row],[j.cam]])</f>
        <v>64</v>
      </c>
      <c r="BK366" s="9">
        <v>68</v>
      </c>
      <c r="BL366" s="15">
        <f>IF(ISTEXT(Table2[[#This Row],[k.cam]]), Table2[[#This Row],[k]], Table2[[#This Row],[k.cam]])</f>
        <v>68</v>
      </c>
      <c r="BM366" s="4" t="s">
        <v>24</v>
      </c>
      <c r="BN366" s="8" t="s">
        <v>24</v>
      </c>
      <c r="BO366" s="4">
        <v>3</v>
      </c>
      <c r="BP366" s="4">
        <f>Table2[[#This Row],[final_obs_date]]-Table2[[#This Row],[i]]</f>
        <v>8</v>
      </c>
      <c r="BQ366" s="4" t="b">
        <f>Table2[[#This Row],[final_obs_date2]]&gt;Table2[[#This Row],[estHD]]+3</f>
        <v>0</v>
      </c>
      <c r="BR366" s="4" t="s">
        <v>33</v>
      </c>
      <c r="BS366" s="4" t="s">
        <v>45</v>
      </c>
      <c r="BT366" s="79" t="s">
        <v>1236</v>
      </c>
      <c r="BU366" s="26" t="s">
        <v>132</v>
      </c>
      <c r="BV366" s="79" t="s">
        <v>1454</v>
      </c>
      <c r="BW366" s="49"/>
      <c r="BX366" s="47"/>
      <c r="BY366" s="36" t="s">
        <v>718</v>
      </c>
    </row>
    <row r="367" spans="1:77" hidden="1" x14ac:dyDescent="0.35">
      <c r="A367" s="63">
        <v>20271</v>
      </c>
      <c r="B367" s="2" t="s">
        <v>35</v>
      </c>
      <c r="C367" s="45">
        <v>2020</v>
      </c>
      <c r="D367" s="3">
        <v>29.765750000000001</v>
      </c>
      <c r="E367" s="3">
        <v>-93.15513</v>
      </c>
      <c r="F367" s="3">
        <v>5</v>
      </c>
      <c r="G367" s="3">
        <v>10</v>
      </c>
      <c r="H367" s="3" t="s">
        <v>26</v>
      </c>
      <c r="I367" s="43"/>
      <c r="J367" s="55">
        <v>78</v>
      </c>
      <c r="K367" s="4">
        <v>78</v>
      </c>
      <c r="L367" s="22">
        <f>IF(ISNUMBER(Table2[[#This Row],[estHD]]),ABS(Table2[[#This Row],[HD]]-Table2[[#This Row],[estHD]]),"NA")</f>
        <v>0</v>
      </c>
      <c r="M367" s="4" t="b">
        <f>Table2[[#This Row],[HD]]=Table2[[#This Row],[estHD]]</f>
        <v>1</v>
      </c>
      <c r="N367" s="4" t="str">
        <f>IF(ISNUMBER([1]!Table2[[#This Row],[hatch_date]]),[1]!Table2[[#This Row],[hatch_date]]-19,"NA")</f>
        <v>NA</v>
      </c>
      <c r="O367" s="31">
        <v>59</v>
      </c>
      <c r="P367" s="23">
        <f>IF(ISNUMBER(Table2[[#This Row],[nest_age1]]),ABS(Table2[[#This Row],[nest_age1]]-Table2[[#This Row],[nest_age_feb]]),"NA")</f>
        <v>1</v>
      </c>
      <c r="Q367" s="24">
        <f>IF(ISNUMBER(Table2[[#This Row],[final_obs_int2]]),ABS(Table2[[#This Row],[final_obs_int2]]-Table2[[#This Row],[final_obs_int_feb]]), "NA")</f>
        <v>0</v>
      </c>
      <c r="R367" s="24"/>
      <c r="S367" s="57" t="s">
        <v>88</v>
      </c>
      <c r="T367" s="57" t="str">
        <f>Table2[[#This Row],[camera_old]]</f>
        <v>N</v>
      </c>
      <c r="U367" s="24"/>
      <c r="V367" s="16" t="s">
        <v>24</v>
      </c>
      <c r="W367" s="16">
        <v>4</v>
      </c>
      <c r="X367" s="145">
        <v>4</v>
      </c>
      <c r="Y367" s="147" t="s">
        <v>65</v>
      </c>
      <c r="Z367" s="146" t="s">
        <v>65</v>
      </c>
      <c r="AA367" s="4" t="str">
        <f>Table2[[#This Row],[field_fate]]</f>
        <v>Ca</v>
      </c>
      <c r="AB367" s="4" t="str">
        <f>Table2[[#This Row],[field_fate2]]</f>
        <v>Ca</v>
      </c>
      <c r="AC367" s="4" t="str">
        <f>Table2[[#This Row],[field_fate3]]</f>
        <v>Ca</v>
      </c>
      <c r="AD367" s="4" t="str">
        <f>Table2[[#This Row],[field_fate4]]</f>
        <v>Ca</v>
      </c>
      <c r="AE367" s="4" t="str">
        <f>Table2[[#This Row],[field_fate5]]</f>
        <v>Ca</v>
      </c>
      <c r="AF367" s="4" t="str">
        <f>Table2[[#This Row],[field_fate5]]</f>
        <v>Ca</v>
      </c>
      <c r="AG367" s="4" t="str">
        <f>Table2[[#This Row],[field_fate5]]</f>
        <v>Ca</v>
      </c>
      <c r="AH367" s="4" t="str">
        <f>Table2[[#This Row],[field_fate2]]</f>
        <v>Ca</v>
      </c>
      <c r="AI367" s="4" t="str">
        <f>Table2[[#This Row],[field_fate8]]</f>
        <v>Ca</v>
      </c>
      <c r="AJ367" s="4" t="str">
        <f>Table2[[#This Row],[field_fate10]]</f>
        <v>Ca</v>
      </c>
      <c r="AK367" s="4" t="b">
        <f>Table2[[#This Row],[field_fate_feb]]=Table2[[#This Row],[field_fate10]]</f>
        <v>1</v>
      </c>
      <c r="AL367" s="43" t="s">
        <v>24</v>
      </c>
      <c r="AM367" s="43" t="b">
        <f>Table2[[#This Row],[cam_fate2]]="NA"</f>
        <v>1</v>
      </c>
      <c r="AN367" s="19" t="str">
        <f>Table2[[#This Row],[cam_fate1]]</f>
        <v>NA</v>
      </c>
      <c r="AO367" s="2" t="s">
        <v>65</v>
      </c>
      <c r="AP367" s="5" t="str">
        <f>Table2[[#This Row],[final_fate1]]</f>
        <v>Ca</v>
      </c>
      <c r="AQ367" s="6">
        <v>5</v>
      </c>
      <c r="AR367" s="7">
        <v>5</v>
      </c>
      <c r="AS367" s="7">
        <f>Table2[[#This Row],[final_obs_date]]-Table2[[#This Row],[init_date]]</f>
        <v>5</v>
      </c>
      <c r="AT367" s="7">
        <f>(Table2[[#This Row],[final_obs_date2]]-Table2[[#This Row],[estHD]])+16</f>
        <v>2</v>
      </c>
      <c r="AU367" s="38">
        <v>4</v>
      </c>
      <c r="AV367" s="33">
        <v>4</v>
      </c>
      <c r="AW367" s="33">
        <f>Table2[[#This Row],[final_obs_date2]]-Table2[[#This Row],[pen_obs_date]]</f>
        <v>64</v>
      </c>
      <c r="AX367" s="67">
        <v>64</v>
      </c>
      <c r="AY367" s="6">
        <f>Table2[[#This Row],[final_obs_date]]</f>
        <v>64</v>
      </c>
      <c r="AZ367" s="6"/>
      <c r="BA367" s="91" t="s">
        <v>47</v>
      </c>
      <c r="BB367" s="6" t="b">
        <f>Table2[[#This Row],[final_obs_date]]&lt;(Table2[[#This Row],[estHD]]-2)</f>
        <v>1</v>
      </c>
      <c r="BC367" s="24">
        <f>IF(Table2[[#This Row],[field_fate]]="H",1,0)</f>
        <v>0</v>
      </c>
      <c r="BD367" s="16">
        <f>IF(Table2[[#This Row],[cam_fate2]]="H",1,0)</f>
        <v>0</v>
      </c>
      <c r="BE367" s="6" t="b">
        <f>NOT(Table2[[#This Row],[HF_C]]=Table2[[#This Row],[HF]])</f>
        <v>0</v>
      </c>
      <c r="BF367" s="6" t="b">
        <f>NOT(Table2[[#This Row],[cam_fate2]]=Table2[[#This Row],[field_fate3]])</f>
        <v>1</v>
      </c>
      <c r="BG367" s="6" t="b">
        <f>OR(Table2[[#This Row],[field_fate3]]="U",Table2[[#This Row],[field_fate3]]="U-H")</f>
        <v>0</v>
      </c>
      <c r="BH367" s="8">
        <v>60</v>
      </c>
      <c r="BI367" s="8">
        <v>60</v>
      </c>
      <c r="BJ367" s="14">
        <f>IF(ISTEXT(Table2[[#This Row],[j.cam]]),Table2[[#This Row],[j]],Table2[[#This Row],[j.cam]])</f>
        <v>60</v>
      </c>
      <c r="BK367" s="9">
        <v>64</v>
      </c>
      <c r="BL367" s="15">
        <f>IF(ISTEXT(Table2[[#This Row],[k.cam]]), Table2[[#This Row],[k]], Table2[[#This Row],[k.cam]])</f>
        <v>64</v>
      </c>
      <c r="BM367" s="4" t="s">
        <v>24</v>
      </c>
      <c r="BN367" s="8" t="s">
        <v>24</v>
      </c>
      <c r="BO367" s="4">
        <v>2</v>
      </c>
      <c r="BP367" s="4">
        <f>Table2[[#This Row],[final_obs_date]]-Table2[[#This Row],[i]]</f>
        <v>4</v>
      </c>
      <c r="BQ367" s="4" t="b">
        <f>Table2[[#This Row],[final_obs_date2]]&gt;Table2[[#This Row],[estHD]]+3</f>
        <v>0</v>
      </c>
      <c r="BR367" s="4" t="s">
        <v>33</v>
      </c>
      <c r="BS367" s="4" t="s">
        <v>58</v>
      </c>
      <c r="BT367" s="79" t="s">
        <v>1237</v>
      </c>
      <c r="BU367" s="26" t="s">
        <v>308</v>
      </c>
      <c r="BV367" s="79" t="s">
        <v>1429</v>
      </c>
      <c r="BW367" s="49"/>
      <c r="BX367" s="47"/>
      <c r="BY367" s="36" t="s">
        <v>719</v>
      </c>
    </row>
    <row r="368" spans="1:77" hidden="1" x14ac:dyDescent="0.35">
      <c r="A368" s="63">
        <v>20272</v>
      </c>
      <c r="B368" s="2" t="s">
        <v>35</v>
      </c>
      <c r="C368" s="45">
        <v>2020</v>
      </c>
      <c r="D368" s="3">
        <v>29.770520000000001</v>
      </c>
      <c r="E368" s="3">
        <v>-93.179699999999997</v>
      </c>
      <c r="F368" s="3">
        <v>40</v>
      </c>
      <c r="G368" s="3">
        <v>50</v>
      </c>
      <c r="H368" s="3" t="s">
        <v>26</v>
      </c>
      <c r="I368" s="43"/>
      <c r="J368" s="55">
        <v>87</v>
      </c>
      <c r="K368" s="4">
        <v>87</v>
      </c>
      <c r="L368" s="22">
        <f>IF(ISNUMBER(Table2[[#This Row],[estHD]]),ABS(Table2[[#This Row],[HD]]-Table2[[#This Row],[estHD]]),"NA")</f>
        <v>0</v>
      </c>
      <c r="M368" s="4" t="b">
        <f>Table2[[#This Row],[HD]]=Table2[[#This Row],[estHD]]</f>
        <v>1</v>
      </c>
      <c r="N368" s="4" t="str">
        <f>IF(ISNUMBER([1]!Table2[[#This Row],[hatch_date]]), [1]!Table2[[#This Row],[hatch_date]]-28, "NA")</f>
        <v>NA</v>
      </c>
      <c r="O368" s="31">
        <v>59</v>
      </c>
      <c r="P368" s="23">
        <f>IF(ISNUMBER(Table2[[#This Row],[nest_age1]]),ABS(Table2[[#This Row],[nest_age1]]-Table2[[#This Row],[nest_age_feb]]),"NA")</f>
        <v>1</v>
      </c>
      <c r="Q368" s="24">
        <f>IF(ISNUMBER(Table2[[#This Row],[final_obs_int2]]),ABS(Table2[[#This Row],[final_obs_int2]]-Table2[[#This Row],[final_obs_int_feb]]), "NA")</f>
        <v>0</v>
      </c>
      <c r="R368" s="24"/>
      <c r="S368" s="57" t="s">
        <v>88</v>
      </c>
      <c r="T368" s="57" t="str">
        <f>Table2[[#This Row],[camera_old]]</f>
        <v>N</v>
      </c>
      <c r="U368" s="24"/>
      <c r="V368" s="16" t="s">
        <v>24</v>
      </c>
      <c r="W368" s="16">
        <v>28</v>
      </c>
      <c r="X368" s="145">
        <v>2</v>
      </c>
      <c r="Y368" s="147" t="s">
        <v>36</v>
      </c>
      <c r="Z368" s="146" t="s">
        <v>36</v>
      </c>
      <c r="AA368" s="4" t="str">
        <f>Table2[[#This Row],[field_fate]]</f>
        <v>A</v>
      </c>
      <c r="AB368" s="4" t="str">
        <f>Table2[[#This Row],[field_fate2]]</f>
        <v>A</v>
      </c>
      <c r="AC368" s="4" t="str">
        <f>Table2[[#This Row],[field_fate3]]</f>
        <v>A</v>
      </c>
      <c r="AD368" s="4" t="str">
        <f>Table2[[#This Row],[field_fate4]]</f>
        <v>A</v>
      </c>
      <c r="AE368" s="4" t="str">
        <f>Table2[[#This Row],[field_fate5]]</f>
        <v>A</v>
      </c>
      <c r="AF368" s="4" t="str">
        <f>Table2[[#This Row],[field_fate5]]</f>
        <v>A</v>
      </c>
      <c r="AG368" s="4" t="str">
        <f>Table2[[#This Row],[field_fate5]]</f>
        <v>A</v>
      </c>
      <c r="AH368" s="4" t="str">
        <f>Table2[[#This Row],[field_fate2]]</f>
        <v>A</v>
      </c>
      <c r="AI368" s="4" t="str">
        <f>Table2[[#This Row],[field_fate8]]</f>
        <v>A</v>
      </c>
      <c r="AJ368" s="4" t="str">
        <f>Table2[[#This Row],[field_fate10]]</f>
        <v>A</v>
      </c>
      <c r="AK368" s="4" t="b">
        <f>Table2[[#This Row],[field_fate_feb]]=Table2[[#This Row],[field_fate10]]</f>
        <v>1</v>
      </c>
      <c r="AL368" s="43" t="s">
        <v>24</v>
      </c>
      <c r="AM368" s="43" t="b">
        <f>Table2[[#This Row],[cam_fate2]]="NA"</f>
        <v>1</v>
      </c>
      <c r="AN368" s="19" t="str">
        <f>Table2[[#This Row],[cam_fate1]]</f>
        <v>NA</v>
      </c>
      <c r="AO368" s="2" t="s">
        <v>36</v>
      </c>
      <c r="AP368" s="5" t="str">
        <f>Table2[[#This Row],[final_fate1]]</f>
        <v>A</v>
      </c>
      <c r="AQ368" s="6">
        <v>29</v>
      </c>
      <c r="AR368" s="7">
        <v>29</v>
      </c>
      <c r="AS368" s="7">
        <f>Table2[[#This Row],[final_obs_date]]-Table2[[#This Row],[init_date]]</f>
        <v>29</v>
      </c>
      <c r="AT368" s="7">
        <f>(Table2[[#This Row],[final_obs_date2]]-Table2[[#This Row],[estHD]])+16</f>
        <v>17</v>
      </c>
      <c r="AU368" s="38">
        <v>2</v>
      </c>
      <c r="AV368" s="33">
        <v>2</v>
      </c>
      <c r="AW368" s="33">
        <f>Table2[[#This Row],[final_obs_date2]]-Table2[[#This Row],[pen_obs_date]]</f>
        <v>88</v>
      </c>
      <c r="AX368" s="67">
        <v>88</v>
      </c>
      <c r="AY368" s="6">
        <f>Table2[[#This Row],[final_obs_date]]</f>
        <v>88</v>
      </c>
      <c r="AZ368" s="6"/>
      <c r="BA368" s="91" t="s">
        <v>23</v>
      </c>
      <c r="BB368" s="6" t="b">
        <f>Table2[[#This Row],[final_obs_date]]&lt;(Table2[[#This Row],[estHD]]-2)</f>
        <v>0</v>
      </c>
      <c r="BC368" s="24">
        <f>IF(Table2[[#This Row],[field_fate]]="H",1,0)</f>
        <v>0</v>
      </c>
      <c r="BD368" s="16">
        <f>IF(Table2[[#This Row],[cam_fate2]]="H",1,0)</f>
        <v>0</v>
      </c>
      <c r="BE368" s="6" t="b">
        <f>NOT(Table2[[#This Row],[HF_C]]=Table2[[#This Row],[HF]])</f>
        <v>0</v>
      </c>
      <c r="BF368" s="6" t="b">
        <f>NOT(Table2[[#This Row],[cam_fate2]]=Table2[[#This Row],[field_fate3]])</f>
        <v>1</v>
      </c>
      <c r="BG368" s="6" t="b">
        <f>OR(Table2[[#This Row],[field_fate3]]="U",Table2[[#This Row],[field_fate3]]="U-H")</f>
        <v>0</v>
      </c>
      <c r="BH368" s="8">
        <v>60</v>
      </c>
      <c r="BI368" s="8">
        <v>86</v>
      </c>
      <c r="BJ368" s="14">
        <f>IF(ISTEXT(Table2[[#This Row],[j.cam]]),Table2[[#This Row],[j]],Table2[[#This Row],[j.cam]])</f>
        <v>86</v>
      </c>
      <c r="BK368" s="9">
        <v>88</v>
      </c>
      <c r="BL368" s="15">
        <f>IF(ISTEXT(Table2[[#This Row],[k.cam]]), Table2[[#This Row],[k]], Table2[[#This Row],[k.cam]])</f>
        <v>88</v>
      </c>
      <c r="BM368" s="4" t="s">
        <v>24</v>
      </c>
      <c r="BN368" s="8" t="s">
        <v>24</v>
      </c>
      <c r="BO368" s="4">
        <v>9</v>
      </c>
      <c r="BP368" s="4">
        <f>Table2[[#This Row],[final_obs_date]]-Table2[[#This Row],[i]]</f>
        <v>28</v>
      </c>
      <c r="BQ368" s="4" t="b">
        <f>Table2[[#This Row],[final_obs_date2]]&gt;Table2[[#This Row],[estHD]]+3</f>
        <v>0</v>
      </c>
      <c r="BR368" s="4" t="s">
        <v>33</v>
      </c>
      <c r="BS368" s="4" t="s">
        <v>134</v>
      </c>
      <c r="BT368" s="79" t="s">
        <v>1238</v>
      </c>
      <c r="BU368" s="26" t="s">
        <v>309</v>
      </c>
      <c r="BV368" s="79" t="s">
        <v>1600</v>
      </c>
      <c r="BW368" s="49"/>
      <c r="BX368" s="47"/>
      <c r="BY368" s="36" t="s">
        <v>720</v>
      </c>
    </row>
    <row r="369" spans="1:77" hidden="1" x14ac:dyDescent="0.35">
      <c r="A369" s="63">
        <v>20273</v>
      </c>
      <c r="B369" s="2" t="s">
        <v>122</v>
      </c>
      <c r="C369" s="45">
        <v>2020</v>
      </c>
      <c r="D369" s="3">
        <v>29.758890000000001</v>
      </c>
      <c r="E369" s="3">
        <v>-93.123019999999997</v>
      </c>
      <c r="F369" s="3">
        <v>40</v>
      </c>
      <c r="G369" s="3">
        <v>40</v>
      </c>
      <c r="H369" s="3" t="s">
        <v>291</v>
      </c>
      <c r="I369" s="43"/>
      <c r="J369" s="55">
        <v>73</v>
      </c>
      <c r="K369" s="4">
        <v>76</v>
      </c>
      <c r="L369" s="22">
        <f>IF(ISNUMBER(Table2[[#This Row],[estHD]]),ABS(Table2[[#This Row],[HD]]-Table2[[#This Row],[estHD]]),"NA")</f>
        <v>3</v>
      </c>
      <c r="M369" s="4" t="b">
        <f>Table2[[#This Row],[HD]]=Table2[[#This Row],[estHD]]</f>
        <v>0</v>
      </c>
      <c r="N369" s="4" t="str">
        <f>IF(ISNUMBER([1]!Table2[[#This Row],[hatch_date]]),[1]!Table2[[#This Row],[hatch_date]]-19,"NA")</f>
        <v>NA</v>
      </c>
      <c r="O369" s="31">
        <v>57</v>
      </c>
      <c r="P369" s="23">
        <f>IF(ISNUMBER(Table2[[#This Row],[nest_age1]]),ABS(Table2[[#This Row],[nest_age1]]-Table2[[#This Row],[nest_age_feb]]),"NA")</f>
        <v>2</v>
      </c>
      <c r="Q369" s="24">
        <f>IF(ISNUMBER(Table2[[#This Row],[final_obs_int2]]),ABS(Table2[[#This Row],[final_obs_int2]]-Table2[[#This Row],[final_obs_int_feb]]), "NA")</f>
        <v>0</v>
      </c>
      <c r="R369" s="24"/>
      <c r="S369" s="57" t="s">
        <v>88</v>
      </c>
      <c r="T369" s="57" t="str">
        <f>Table2[[#This Row],[camera_old]]</f>
        <v>N</v>
      </c>
      <c r="U369" s="24"/>
      <c r="V369" s="16" t="s">
        <v>24</v>
      </c>
      <c r="W369" s="16">
        <v>21</v>
      </c>
      <c r="X369" s="145">
        <v>3</v>
      </c>
      <c r="Y369" s="147" t="s">
        <v>37</v>
      </c>
      <c r="Z369" s="146" t="s">
        <v>37</v>
      </c>
      <c r="AA369" s="4" t="str">
        <f>Table2[[#This Row],[field_fate]]</f>
        <v>H</v>
      </c>
      <c r="AB369" s="4" t="str">
        <f>Table2[[#This Row],[field_fate2]]</f>
        <v>H</v>
      </c>
      <c r="AC369" s="4" t="str">
        <f>Table2[[#This Row],[field_fate3]]</f>
        <v>H</v>
      </c>
      <c r="AD369" s="4" t="str">
        <f>Table2[[#This Row],[field_fate4]]</f>
        <v>H</v>
      </c>
      <c r="AE369" s="4" t="str">
        <f>Table2[[#This Row],[field_fate5]]</f>
        <v>H</v>
      </c>
      <c r="AF369" s="4" t="str">
        <f>Table2[[#This Row],[field_fate5]]</f>
        <v>H</v>
      </c>
      <c r="AG369" s="4" t="str">
        <f>Table2[[#This Row],[field_fate5]]</f>
        <v>H</v>
      </c>
      <c r="AH369" s="4" t="str">
        <f>Table2[[#This Row],[field_fate2]]</f>
        <v>H</v>
      </c>
      <c r="AI369" s="4" t="str">
        <f>Table2[[#This Row],[field_fate8]]</f>
        <v>H</v>
      </c>
      <c r="AJ369" s="4" t="str">
        <f>Table2[[#This Row],[field_fate10]]</f>
        <v>H</v>
      </c>
      <c r="AK369" s="4" t="b">
        <f>Table2[[#This Row],[field_fate_feb]]=Table2[[#This Row],[field_fate10]]</f>
        <v>1</v>
      </c>
      <c r="AL369" s="43" t="s">
        <v>24</v>
      </c>
      <c r="AM369" s="43" t="b">
        <f>Table2[[#This Row],[cam_fate2]]="NA"</f>
        <v>1</v>
      </c>
      <c r="AN369" s="19" t="str">
        <f>Table2[[#This Row],[cam_fate1]]</f>
        <v>NA</v>
      </c>
      <c r="AO369" s="2" t="s">
        <v>37</v>
      </c>
      <c r="AP369" s="5" t="str">
        <f>Table2[[#This Row],[final_fate1]]</f>
        <v>H</v>
      </c>
      <c r="AQ369" s="6">
        <v>19</v>
      </c>
      <c r="AR369" s="7">
        <v>22</v>
      </c>
      <c r="AS369" s="7">
        <f>Table2[[#This Row],[final_obs_date]]-Table2[[#This Row],[init_date]]</f>
        <v>19</v>
      </c>
      <c r="AT369" s="7">
        <f>(Table2[[#This Row],[final_obs_date2]]-Table2[[#This Row],[estHD]])+16</f>
        <v>19</v>
      </c>
      <c r="AU369" s="38">
        <v>3</v>
      </c>
      <c r="AV369" s="33">
        <v>3</v>
      </c>
      <c r="AW369" s="33">
        <f>Table2[[#This Row],[final_obs_date2]]-Table2[[#This Row],[pen_obs_date]]</f>
        <v>76</v>
      </c>
      <c r="AX369" s="67">
        <v>76</v>
      </c>
      <c r="AY369" s="6">
        <f>Table2[[#This Row],[final_obs_date]]</f>
        <v>76</v>
      </c>
      <c r="AZ369" s="6"/>
      <c r="BA369" s="91" t="s">
        <v>47</v>
      </c>
      <c r="BB369" s="6" t="b">
        <f>Table2[[#This Row],[final_obs_date]]&lt;(Table2[[#This Row],[estHD]]-2)</f>
        <v>0</v>
      </c>
      <c r="BC369" s="24">
        <f>IF(Table2[[#This Row],[field_fate]]="H",1,0)</f>
        <v>1</v>
      </c>
      <c r="BD369" s="16">
        <f>IF(Table2[[#This Row],[cam_fate2]]="H",1,0)</f>
        <v>0</v>
      </c>
      <c r="BE369" s="6" t="b">
        <f>NOT(Table2[[#This Row],[HF_C]]=Table2[[#This Row],[HF]])</f>
        <v>1</v>
      </c>
      <c r="BF369" s="6" t="b">
        <f>NOT(Table2[[#This Row],[cam_fate2]]=Table2[[#This Row],[field_fate3]])</f>
        <v>1</v>
      </c>
      <c r="BG369" s="6" t="b">
        <f>OR(Table2[[#This Row],[field_fate3]]="U",Table2[[#This Row],[field_fate3]]="U-H")</f>
        <v>0</v>
      </c>
      <c r="BH369" s="8">
        <v>61</v>
      </c>
      <c r="BI369" s="8">
        <v>76</v>
      </c>
      <c r="BJ369" s="14">
        <f>IF(ISTEXT(Table2[[#This Row],[j.cam]]),Table2[[#This Row],[j]],Table2[[#This Row],[j.cam]])</f>
        <v>76</v>
      </c>
      <c r="BK369" s="9">
        <v>76</v>
      </c>
      <c r="BL369" s="15">
        <f>IF(ISTEXT(Table2[[#This Row],[k.cam]]), Table2[[#This Row],[k]], Table2[[#This Row],[k.cam]])</f>
        <v>76</v>
      </c>
      <c r="BM369" s="4" t="s">
        <v>24</v>
      </c>
      <c r="BN369" s="8" t="s">
        <v>24</v>
      </c>
      <c r="BO369" s="4">
        <v>5</v>
      </c>
      <c r="BP369" s="4">
        <f>Table2[[#This Row],[final_obs_date]]-Table2[[#This Row],[i]]</f>
        <v>15</v>
      </c>
      <c r="BQ369" s="4" t="b">
        <f>Table2[[#This Row],[final_obs_date2]]&gt;Table2[[#This Row],[estHD]]+3</f>
        <v>0</v>
      </c>
      <c r="BR369" s="4" t="s">
        <v>33</v>
      </c>
      <c r="BS369" s="4" t="s">
        <v>53</v>
      </c>
      <c r="BT369" s="79" t="s">
        <v>1239</v>
      </c>
      <c r="BU369" s="26" t="s">
        <v>54</v>
      </c>
      <c r="BV369" s="79" t="s">
        <v>1601</v>
      </c>
      <c r="BW369" s="49"/>
      <c r="BX369" s="47"/>
      <c r="BY369" s="36" t="s">
        <v>24</v>
      </c>
    </row>
    <row r="370" spans="1:77" hidden="1" x14ac:dyDescent="0.35">
      <c r="A370" s="63">
        <v>20274</v>
      </c>
      <c r="B370" s="2" t="s">
        <v>122</v>
      </c>
      <c r="C370" s="45">
        <v>2020</v>
      </c>
      <c r="D370" s="3">
        <v>29.758510000000001</v>
      </c>
      <c r="E370" s="3">
        <v>-93.121399999999994</v>
      </c>
      <c r="F370" s="3">
        <v>40</v>
      </c>
      <c r="G370" s="3">
        <v>40</v>
      </c>
      <c r="H370" s="3" t="s">
        <v>291</v>
      </c>
      <c r="I370" s="43"/>
      <c r="J370" s="55">
        <v>80</v>
      </c>
      <c r="K370" s="4">
        <v>80</v>
      </c>
      <c r="L370" s="22">
        <f>IF(ISNUMBER(Table2[[#This Row],[estHD]]),ABS(Table2[[#This Row],[HD]]-Table2[[#This Row],[estHD]]),"NA")</f>
        <v>0</v>
      </c>
      <c r="M370" s="4" t="b">
        <f>Table2[[#This Row],[HD]]=Table2[[#This Row],[estHD]]</f>
        <v>1</v>
      </c>
      <c r="N370" s="4" t="str">
        <f>IF(ISNUMBER([1]!Table2[[#This Row],[hatch_date]]), [1]!Table2[[#This Row],[hatch_date]]-28, "NA")</f>
        <v>NA</v>
      </c>
      <c r="O370" s="31">
        <v>52</v>
      </c>
      <c r="P370" s="23">
        <f>IF(ISNUMBER(Table2[[#This Row],[nest_age1]]),ABS(Table2[[#This Row],[nest_age1]]-Table2[[#This Row],[nest_age_feb]]),"NA")</f>
        <v>1</v>
      </c>
      <c r="Q370" s="24">
        <f>IF(ISNUMBER(Table2[[#This Row],[final_obs_int2]]),ABS(Table2[[#This Row],[final_obs_int2]]-Table2[[#This Row],[final_obs_int_feb]]), "NA")</f>
        <v>0</v>
      </c>
      <c r="R370" s="24"/>
      <c r="S370" s="57" t="s">
        <v>88</v>
      </c>
      <c r="T370" s="57" t="str">
        <f>Table2[[#This Row],[camera_old]]</f>
        <v>N</v>
      </c>
      <c r="U370" s="24"/>
      <c r="V370" s="16" t="s">
        <v>24</v>
      </c>
      <c r="W370" s="16">
        <v>27</v>
      </c>
      <c r="X370" s="145">
        <v>4</v>
      </c>
      <c r="Y370" s="147" t="s">
        <v>37</v>
      </c>
      <c r="Z370" s="146" t="s">
        <v>37</v>
      </c>
      <c r="AA370" s="4" t="str">
        <f>Table2[[#This Row],[field_fate]]</f>
        <v>H</v>
      </c>
      <c r="AB370" s="4" t="str">
        <f>Table2[[#This Row],[field_fate2]]</f>
        <v>H</v>
      </c>
      <c r="AC370" s="4" t="str">
        <f>Table2[[#This Row],[field_fate3]]</f>
        <v>H</v>
      </c>
      <c r="AD370" s="4" t="str">
        <f>Table2[[#This Row],[field_fate4]]</f>
        <v>H</v>
      </c>
      <c r="AE370" s="4" t="str">
        <f>Table2[[#This Row],[field_fate5]]</f>
        <v>H</v>
      </c>
      <c r="AF370" s="4" t="str">
        <f>Table2[[#This Row],[field_fate5]]</f>
        <v>H</v>
      </c>
      <c r="AG370" s="4" t="str">
        <f>Table2[[#This Row],[field_fate5]]</f>
        <v>H</v>
      </c>
      <c r="AH370" s="4" t="str">
        <f>Table2[[#This Row],[field_fate2]]</f>
        <v>H</v>
      </c>
      <c r="AI370" s="4" t="str">
        <f>Table2[[#This Row],[field_fate8]]</f>
        <v>H</v>
      </c>
      <c r="AJ370" s="4" t="str">
        <f>Table2[[#This Row],[field_fate10]]</f>
        <v>H</v>
      </c>
      <c r="AK370" s="4" t="b">
        <f>Table2[[#This Row],[field_fate_feb]]=Table2[[#This Row],[field_fate10]]</f>
        <v>1</v>
      </c>
      <c r="AL370" s="43" t="s">
        <v>24</v>
      </c>
      <c r="AM370" s="43" t="b">
        <f>Table2[[#This Row],[cam_fate2]]="NA"</f>
        <v>1</v>
      </c>
      <c r="AN370" s="19" t="str">
        <f>Table2[[#This Row],[cam_fate1]]</f>
        <v>NA</v>
      </c>
      <c r="AO370" s="2" t="s">
        <v>37</v>
      </c>
      <c r="AP370" s="5" t="str">
        <f>Table2[[#This Row],[final_fate1]]</f>
        <v>H</v>
      </c>
      <c r="AQ370" s="6">
        <v>28</v>
      </c>
      <c r="AR370" s="7">
        <v>28</v>
      </c>
      <c r="AS370" s="7">
        <f>Table2[[#This Row],[final_obs_date]]-Table2[[#This Row],[init_date]]</f>
        <v>28</v>
      </c>
      <c r="AT370" s="7">
        <f>(Table2[[#This Row],[final_obs_date2]]-Table2[[#This Row],[estHD]])+16</f>
        <v>16</v>
      </c>
      <c r="AU370" s="38">
        <v>4</v>
      </c>
      <c r="AV370" s="33">
        <v>4</v>
      </c>
      <c r="AW370" s="33">
        <f>Table2[[#This Row],[final_obs_date2]]-Table2[[#This Row],[pen_obs_date]]</f>
        <v>80</v>
      </c>
      <c r="AX370" s="67">
        <v>80</v>
      </c>
      <c r="AY370" s="6">
        <f>Table2[[#This Row],[final_obs_date]]</f>
        <v>80</v>
      </c>
      <c r="AZ370" s="6"/>
      <c r="BA370" s="91" t="s">
        <v>23</v>
      </c>
      <c r="BB370" s="6" t="b">
        <f>Table2[[#This Row],[final_obs_date]]&lt;(Table2[[#This Row],[estHD]]-2)</f>
        <v>0</v>
      </c>
      <c r="BC370" s="24">
        <f>IF(Table2[[#This Row],[field_fate]]="H",1,0)</f>
        <v>1</v>
      </c>
      <c r="BD370" s="16">
        <f>IF(Table2[[#This Row],[cam_fate2]]="H",1,0)</f>
        <v>0</v>
      </c>
      <c r="BE370" s="6" t="b">
        <f>NOT(Table2[[#This Row],[HF_C]]=Table2[[#This Row],[HF]])</f>
        <v>1</v>
      </c>
      <c r="BF370" s="6" t="b">
        <f>NOT(Table2[[#This Row],[cam_fate2]]=Table2[[#This Row],[field_fate3]])</f>
        <v>1</v>
      </c>
      <c r="BG370" s="6" t="b">
        <f>OR(Table2[[#This Row],[field_fate3]]="U",Table2[[#This Row],[field_fate3]]="U-H")</f>
        <v>0</v>
      </c>
      <c r="BH370" s="8">
        <v>61</v>
      </c>
      <c r="BI370" s="8">
        <v>80</v>
      </c>
      <c r="BJ370" s="14">
        <f>IF(ISTEXT(Table2[[#This Row],[j.cam]]),Table2[[#This Row],[j]],Table2[[#This Row],[j.cam]])</f>
        <v>80</v>
      </c>
      <c r="BK370" s="9">
        <v>80</v>
      </c>
      <c r="BL370" s="15">
        <f>IF(ISTEXT(Table2[[#This Row],[k.cam]]), Table2[[#This Row],[k]], Table2[[#This Row],[k.cam]])</f>
        <v>80</v>
      </c>
      <c r="BM370" s="4" t="s">
        <v>24</v>
      </c>
      <c r="BN370" s="8" t="s">
        <v>24</v>
      </c>
      <c r="BO370" s="4">
        <v>6</v>
      </c>
      <c r="BP370" s="4">
        <f>Table2[[#This Row],[final_obs_date]]-Table2[[#This Row],[i]]</f>
        <v>19</v>
      </c>
      <c r="BQ370" s="4" t="b">
        <f>Table2[[#This Row],[final_obs_date2]]&gt;Table2[[#This Row],[estHD]]+3</f>
        <v>0</v>
      </c>
      <c r="BR370" s="4" t="s">
        <v>27</v>
      </c>
      <c r="BS370" s="4" t="s">
        <v>310</v>
      </c>
      <c r="BT370" s="79" t="s">
        <v>1240</v>
      </c>
      <c r="BU370" s="26" t="s">
        <v>311</v>
      </c>
      <c r="BV370" s="79" t="s">
        <v>1602</v>
      </c>
      <c r="BW370" s="49"/>
      <c r="BX370" s="47"/>
      <c r="BY370" s="36" t="s">
        <v>721</v>
      </c>
    </row>
    <row r="371" spans="1:77" hidden="1" x14ac:dyDescent="0.35">
      <c r="A371" s="63">
        <v>20275</v>
      </c>
      <c r="B371" s="2" t="s">
        <v>35</v>
      </c>
      <c r="C371" s="45">
        <v>2020</v>
      </c>
      <c r="D371" s="3">
        <v>29.764199999999999</v>
      </c>
      <c r="E371" s="3">
        <v>-93.147490000000005</v>
      </c>
      <c r="F371" s="3" t="s">
        <v>24</v>
      </c>
      <c r="G371" s="3" t="s">
        <v>24</v>
      </c>
      <c r="H371" s="3" t="s">
        <v>462</v>
      </c>
      <c r="I371" s="43"/>
      <c r="J371" s="55">
        <v>65</v>
      </c>
      <c r="K371" s="4">
        <v>65</v>
      </c>
      <c r="L371" s="22">
        <f>IF(ISNUMBER(Table2[[#This Row],[estHD]]),ABS(Table2[[#This Row],[HD]]-Table2[[#This Row],[estHD]]),"NA")</f>
        <v>0</v>
      </c>
      <c r="M371" s="4" t="b">
        <f>Table2[[#This Row],[HD]]=Table2[[#This Row],[estHD]]</f>
        <v>1</v>
      </c>
      <c r="N371" s="4" t="str">
        <f>IF(ISNUMBER([1]!Table2[[#This Row],[hatch_date]]), [1]!Table2[[#This Row],[hatch_date]]-28, "NA")</f>
        <v>NA</v>
      </c>
      <c r="O371" s="31">
        <v>37</v>
      </c>
      <c r="P371" s="23">
        <f>IF(ISNUMBER(Table2[[#This Row],[nest_age1]]),ABS(Table2[[#This Row],[nest_age1]]-Table2[[#This Row],[nest_age_feb]]),"NA")</f>
        <v>1</v>
      </c>
      <c r="Q371" s="24">
        <f>IF(ISNUMBER(Table2[[#This Row],[final_obs_int2]]),ABS(Table2[[#This Row],[final_obs_int2]]-Table2[[#This Row],[final_obs_int_feb]]), "NA")</f>
        <v>0</v>
      </c>
      <c r="R371" s="24"/>
      <c r="S371" s="20" t="s">
        <v>75</v>
      </c>
      <c r="T371" s="20" t="str">
        <f>Table2[[#This Row],[camera_old]]</f>
        <v>Y</v>
      </c>
      <c r="U371" s="22" t="s">
        <v>88</v>
      </c>
      <c r="V371" s="16" t="s">
        <v>37</v>
      </c>
      <c r="W371" s="16">
        <v>27</v>
      </c>
      <c r="X371" s="145">
        <v>1</v>
      </c>
      <c r="Y371" s="147" t="s">
        <v>37</v>
      </c>
      <c r="Z371" s="146" t="s">
        <v>37</v>
      </c>
      <c r="AA371" s="4" t="str">
        <f>Table2[[#This Row],[field_fate]]</f>
        <v>H</v>
      </c>
      <c r="AB371" s="4" t="str">
        <f>Table2[[#This Row],[field_fate2]]</f>
        <v>H</v>
      </c>
      <c r="AC371" s="4" t="str">
        <f>Table2[[#This Row],[field_fate3]]</f>
        <v>H</v>
      </c>
      <c r="AD371" s="4" t="str">
        <f>Table2[[#This Row],[field_fate4]]</f>
        <v>H</v>
      </c>
      <c r="AE371" s="4" t="str">
        <f>Table2[[#This Row],[field_fate5]]</f>
        <v>H</v>
      </c>
      <c r="AF371" s="4" t="str">
        <f>Table2[[#This Row],[field_fate5]]</f>
        <v>H</v>
      </c>
      <c r="AG371" s="4" t="str">
        <f>Table2[[#This Row],[field_fate5]]</f>
        <v>H</v>
      </c>
      <c r="AH371" s="4" t="str">
        <f>Table2[[#This Row],[field_fate2]]</f>
        <v>H</v>
      </c>
      <c r="AI371" s="4" t="str">
        <f>Table2[[#This Row],[field_fate8]]</f>
        <v>H</v>
      </c>
      <c r="AJ371" s="4" t="str">
        <f>Table2[[#This Row],[field_fate10]]</f>
        <v>H</v>
      </c>
      <c r="AK371" s="4" t="b">
        <f>Table2[[#This Row],[field_fate_feb]]=Table2[[#This Row],[field_fate10]]</f>
        <v>1</v>
      </c>
      <c r="AL371" s="43" t="s">
        <v>37</v>
      </c>
      <c r="AM371" s="43" t="b">
        <f>Table2[[#This Row],[cam_fate2]]="NA"</f>
        <v>0</v>
      </c>
      <c r="AN371" s="19" t="str">
        <f>Table2[[#This Row],[cam_fate1]]</f>
        <v>H</v>
      </c>
      <c r="AO371" s="2" t="s">
        <v>37</v>
      </c>
      <c r="AP371" s="5" t="str">
        <f>Table2[[#This Row],[final_fate1]]</f>
        <v>H</v>
      </c>
      <c r="AQ371" s="6">
        <v>28</v>
      </c>
      <c r="AR371" s="7">
        <v>28</v>
      </c>
      <c r="AS371" s="155">
        <f>Table2[[#This Row],[final_obs_date]]-Table2[[#This Row],[init_date]]</f>
        <v>28</v>
      </c>
      <c r="AT371" s="155">
        <f>(Table2[[#This Row],[final_obs_date2]]-Table2[[#This Row],[estHD]])+16</f>
        <v>16</v>
      </c>
      <c r="AU371" s="38">
        <v>1</v>
      </c>
      <c r="AV371" s="33">
        <v>1</v>
      </c>
      <c r="AW371" s="33">
        <f>Table2[[#This Row],[final_obs_date2]]-Table2[[#This Row],[pen_obs_date]]</f>
        <v>65</v>
      </c>
      <c r="AX371" s="67">
        <v>65</v>
      </c>
      <c r="AY371" s="6">
        <f>Table2[[#This Row],[final_obs_date]]</f>
        <v>65</v>
      </c>
      <c r="AZ371" s="6"/>
      <c r="BA371" s="91" t="s">
        <v>23</v>
      </c>
      <c r="BB371" s="6" t="b">
        <f>Table2[[#This Row],[final_obs_date]]&lt;(Table2[[#This Row],[estHD]]-2)</f>
        <v>0</v>
      </c>
      <c r="BC371" s="32">
        <f>IF(Table2[[#This Row],[field_fate]]="H",1,0)</f>
        <v>1</v>
      </c>
      <c r="BD371" s="16">
        <f>IF(Table2[[#This Row],[cam_fate2]]="H",1,0)</f>
        <v>1</v>
      </c>
      <c r="BE371" s="6" t="b">
        <f>NOT(Table2[[#This Row],[HF_C]]=Table2[[#This Row],[HF]])</f>
        <v>0</v>
      </c>
      <c r="BF371" s="6" t="b">
        <f>NOT(Table2[[#This Row],[cam_fate2]]=Table2[[#This Row],[field_fate3]])</f>
        <v>0</v>
      </c>
      <c r="BG371" s="6" t="b">
        <f>OR(Table2[[#This Row],[field_fate3]]="U",Table2[[#This Row],[field_fate3]]="U-H")</f>
        <v>0</v>
      </c>
      <c r="BH371" s="8">
        <v>64</v>
      </c>
      <c r="BI371" s="8">
        <v>65</v>
      </c>
      <c r="BJ371" s="14">
        <f>IF(ISTEXT(Table2[[#This Row],[j.cam]]),Table2[[#This Row],[j]],Table2[[#This Row],[j.cam]])</f>
        <v>65</v>
      </c>
      <c r="BK371" s="8">
        <v>65</v>
      </c>
      <c r="BL371" s="14">
        <f>IF(ISTEXT(Table2[[#This Row],[k.cam]]), Table2[[#This Row],[k]], Table2[[#This Row],[k.cam]])</f>
        <v>65</v>
      </c>
      <c r="BM371" s="4" t="s">
        <v>24</v>
      </c>
      <c r="BN371" s="8" t="s">
        <v>24</v>
      </c>
      <c r="BO371" s="4">
        <v>2</v>
      </c>
      <c r="BP371" s="4">
        <f>Table2[[#This Row],[final_obs_date]]-Table2[[#This Row],[i]]</f>
        <v>1</v>
      </c>
      <c r="BQ371" s="4" t="b">
        <f>Table2[[#This Row],[final_obs_date2]]&gt;Table2[[#This Row],[estHD]]+3</f>
        <v>0</v>
      </c>
      <c r="BR371" s="3" t="s">
        <v>27</v>
      </c>
      <c r="BS371" s="3" t="s">
        <v>279</v>
      </c>
      <c r="BT371" s="88" t="s">
        <v>1241</v>
      </c>
      <c r="BU371" s="26" t="s">
        <v>280</v>
      </c>
      <c r="BV371" s="79" t="s">
        <v>1471</v>
      </c>
      <c r="BW371" s="49"/>
      <c r="BX371" s="47"/>
      <c r="BY371" s="36" t="s">
        <v>722</v>
      </c>
    </row>
    <row r="372" spans="1:77" ht="18.5" hidden="1" x14ac:dyDescent="0.35">
      <c r="A372" s="63">
        <v>20276</v>
      </c>
      <c r="B372" s="2" t="s">
        <v>122</v>
      </c>
      <c r="C372" s="45">
        <v>2020</v>
      </c>
      <c r="D372" s="3">
        <v>29.759029999999999</v>
      </c>
      <c r="E372" s="3">
        <v>-93.123779999999996</v>
      </c>
      <c r="F372" s="3">
        <v>75</v>
      </c>
      <c r="G372" s="3">
        <v>75</v>
      </c>
      <c r="H372" s="3" t="s">
        <v>291</v>
      </c>
      <c r="I372" s="43"/>
      <c r="J372" s="116">
        <v>73</v>
      </c>
      <c r="K372" s="4">
        <v>76</v>
      </c>
      <c r="L372" s="22">
        <f>IF(ISNUMBER(Table2[[#This Row],[estHD]]),ABS(Table2[[#This Row],[HD]]-Table2[[#This Row],[estHD]]),"NA")</f>
        <v>3</v>
      </c>
      <c r="M372" s="4" t="b">
        <f>Table2[[#This Row],[HD]]=Table2[[#This Row],[estHD]]</f>
        <v>0</v>
      </c>
      <c r="N372" s="4">
        <f>IF(ISNUMBER(Table2[[#This Row],[HD]]),Table2[[#This Row],[HD]]-16,"NA")</f>
        <v>60</v>
      </c>
      <c r="O372" s="31">
        <v>60</v>
      </c>
      <c r="P372" s="23">
        <f>IF(ISNUMBER(Table2[[#This Row],[nest_age1]]),ABS(Table2[[#This Row],[nest_age1]]-Table2[[#This Row],[nest_age_feb]]),"NA")</f>
        <v>2</v>
      </c>
      <c r="Q372" s="24">
        <f>IF(ISNUMBER(Table2[[#This Row],[final_obs_int2]]),ABS(Table2[[#This Row],[final_obs_int2]]-Table2[[#This Row],[final_obs_int_feb]]), "NA")</f>
        <v>0</v>
      </c>
      <c r="R372" s="24">
        <f>(Table2[[#This Row],[k_adj]]-Table2[[#This Row],[estHD]])/Table2[[#This Row],[estHD]]</f>
        <v>4.1095890410958902E-2</v>
      </c>
      <c r="S372" s="20" t="s">
        <v>75</v>
      </c>
      <c r="T372" s="20" t="str">
        <f>Table2[[#This Row],[camera_old]]</f>
        <v>Y</v>
      </c>
      <c r="U372" s="22" t="s">
        <v>88</v>
      </c>
      <c r="V372" s="16" t="s">
        <v>37</v>
      </c>
      <c r="W372" s="16">
        <v>18</v>
      </c>
      <c r="X372" s="145">
        <v>3</v>
      </c>
      <c r="Y372" s="147" t="s">
        <v>37</v>
      </c>
      <c r="Z372" s="146" t="s">
        <v>37</v>
      </c>
      <c r="AA372" s="4" t="str">
        <f>Table2[[#This Row],[field_fate]]</f>
        <v>H</v>
      </c>
      <c r="AB372" s="4" t="str">
        <f>Table2[[#This Row],[field_fate2]]</f>
        <v>H</v>
      </c>
      <c r="AC372" s="94" t="str">
        <f>Table2[[#This Row],[field_fate3]]</f>
        <v>H</v>
      </c>
      <c r="AD372" s="94" t="str">
        <f>Table2[[#This Row],[field_fate4]]</f>
        <v>H</v>
      </c>
      <c r="AE372" s="94" t="str">
        <f>Table2[[#This Row],[field_fate5]]</f>
        <v>H</v>
      </c>
      <c r="AF372" s="94" t="str">
        <f>Table2[[#This Row],[field_fate5]]</f>
        <v>H</v>
      </c>
      <c r="AG372" s="94" t="str">
        <f>Table2[[#This Row],[field_fate5]]</f>
        <v>H</v>
      </c>
      <c r="AH372" s="94" t="str">
        <f>Table2[[#This Row],[field_fate2]]</f>
        <v>H</v>
      </c>
      <c r="AI372" s="94" t="str">
        <f>Table2[[#This Row],[field_fate8]]</f>
        <v>H</v>
      </c>
      <c r="AJ372" s="94" t="str">
        <f>Table2[[#This Row],[field_fate10]]</f>
        <v>H</v>
      </c>
      <c r="AK372" s="94" t="b">
        <f>Table2[[#This Row],[field_fate_feb]]=Table2[[#This Row],[field_fate10]]</f>
        <v>1</v>
      </c>
      <c r="AL372" s="43" t="s">
        <v>37</v>
      </c>
      <c r="AM372" s="160" t="b">
        <f>Table2[[#This Row],[cam_fate2]]="NA"</f>
        <v>0</v>
      </c>
      <c r="AN372" s="19" t="str">
        <f>Table2[[#This Row],[cam_fate1]]</f>
        <v>H</v>
      </c>
      <c r="AO372" s="2" t="s">
        <v>37</v>
      </c>
      <c r="AP372" s="5" t="str">
        <f>Table2[[#This Row],[final_fate1]]</f>
        <v>H</v>
      </c>
      <c r="AQ372" s="6">
        <v>16</v>
      </c>
      <c r="AR372" s="72">
        <v>19</v>
      </c>
      <c r="AS372" s="155">
        <f>Table2[[#This Row],[final_obs_date]]-Table2[[#This Row],[init_date]]</f>
        <v>16</v>
      </c>
      <c r="AT372" s="155">
        <f>(Table2[[#This Row],[final_obs_date2]]-Table2[[#This Row],[estHD]])+16</f>
        <v>19</v>
      </c>
      <c r="AU372" s="38">
        <v>3</v>
      </c>
      <c r="AV372" s="33">
        <v>3</v>
      </c>
      <c r="AW372" s="33">
        <f>Table2[[#This Row],[final_obs_date2]]-Table2[[#This Row],[pen_obs_date]]</f>
        <v>3</v>
      </c>
      <c r="AX372" s="67">
        <v>76</v>
      </c>
      <c r="AY372" s="157">
        <f>Table2[[#This Row],[final_obs_date]]</f>
        <v>76</v>
      </c>
      <c r="AZ372" s="6">
        <v>73</v>
      </c>
      <c r="BA372" s="92" t="s">
        <v>60</v>
      </c>
      <c r="BB372" s="6" t="b">
        <f>Table2[[#This Row],[final_obs_date]]&lt;(Table2[[#This Row],[estHD]]-2)</f>
        <v>0</v>
      </c>
      <c r="BC372" s="32">
        <f>IF(Table2[[#This Row],[field_fate]]="H",1,0)</f>
        <v>1</v>
      </c>
      <c r="BD372" s="16">
        <f>IF(Table2[[#This Row],[cam_fate2]]="H",1,0)</f>
        <v>1</v>
      </c>
      <c r="BE372" s="6" t="b">
        <f>NOT(Table2[[#This Row],[HF_C]]=Table2[[#This Row],[HF]])</f>
        <v>0</v>
      </c>
      <c r="BF372" s="38" t="b">
        <f>NOT(Table2[[#This Row],[cam_fate2]]=Table2[[#This Row],[field_fate3]])</f>
        <v>0</v>
      </c>
      <c r="BG372" s="38" t="b">
        <f>OR(Table2[[#This Row],[field_fate3]]="U",Table2[[#This Row],[field_fate3]]="U-H")</f>
        <v>0</v>
      </c>
      <c r="BH372" s="8">
        <v>64</v>
      </c>
      <c r="BI372" s="8">
        <v>76</v>
      </c>
      <c r="BJ372" s="14">
        <f>IF(ISTEXT(Table2[[#This Row],[j.cam]]),Table2[[#This Row],[j]],Table2[[#This Row],[j.cam]])</f>
        <v>76</v>
      </c>
      <c r="BK372" s="8">
        <v>76</v>
      </c>
      <c r="BL372" s="14">
        <f>IF(ISTEXT(Table2[[#This Row],[k.cam]]), Table2[[#This Row],[k]], Table2[[#This Row],[k.cam]])</f>
        <v>76</v>
      </c>
      <c r="BM372" s="4" t="s">
        <v>24</v>
      </c>
      <c r="BN372" s="8" t="s">
        <v>24</v>
      </c>
      <c r="BO372" s="4">
        <v>4</v>
      </c>
      <c r="BP372" s="4">
        <f>Table2[[#This Row],[final_obs_date]]-Table2[[#This Row],[i]]</f>
        <v>12</v>
      </c>
      <c r="BQ372" s="4" t="b">
        <f>Table2[[#This Row],[final_obs_date2]]&gt;Table2[[#This Row],[estHD]]+3</f>
        <v>0</v>
      </c>
      <c r="BR372" s="3" t="s">
        <v>33</v>
      </c>
      <c r="BS372" s="3" t="s">
        <v>165</v>
      </c>
      <c r="BT372" s="125" t="s">
        <v>1242</v>
      </c>
      <c r="BU372" s="4" t="s">
        <v>312</v>
      </c>
      <c r="BV372" s="79" t="s">
        <v>1603</v>
      </c>
      <c r="BW372" s="69"/>
      <c r="BX372" s="36"/>
      <c r="BY372" s="36" t="s">
        <v>723</v>
      </c>
    </row>
    <row r="373" spans="1:77" hidden="1" x14ac:dyDescent="0.35">
      <c r="A373" s="63">
        <v>20277</v>
      </c>
      <c r="B373" s="2" t="s">
        <v>122</v>
      </c>
      <c r="C373" s="45">
        <v>2020</v>
      </c>
      <c r="D373" s="3">
        <v>29.758769999999998</v>
      </c>
      <c r="E373" s="3">
        <v>-93.122219999999999</v>
      </c>
      <c r="F373" s="3">
        <v>50</v>
      </c>
      <c r="G373" s="3">
        <v>50</v>
      </c>
      <c r="H373" s="3" t="s">
        <v>291</v>
      </c>
      <c r="I373" s="43"/>
      <c r="J373" s="55">
        <v>76</v>
      </c>
      <c r="K373" s="4">
        <v>76</v>
      </c>
      <c r="L373" s="22">
        <f>IF(ISNUMBER(Table2[[#This Row],[estHD]]),ABS(Table2[[#This Row],[HD]]-Table2[[#This Row],[estHD]]),"NA")</f>
        <v>0</v>
      </c>
      <c r="M373" s="4" t="b">
        <f>Table2[[#This Row],[HD]]=Table2[[#This Row],[estHD]]</f>
        <v>1</v>
      </c>
      <c r="N373" s="4" t="str">
        <f>IF(ISNUMBER([1]!Table2[[#This Row],[hatch_date]]),[1]!Table2[[#This Row],[hatch_date]]-19,"NA")</f>
        <v>NA</v>
      </c>
      <c r="O373" s="31">
        <v>57</v>
      </c>
      <c r="P373" s="23">
        <f>IF(ISNUMBER(Table2[[#This Row],[nest_age1]]),ABS(Table2[[#This Row],[nest_age1]]-Table2[[#This Row],[nest_age_feb]]),"NA")</f>
        <v>1</v>
      </c>
      <c r="Q373" s="24">
        <f>IF(ISNUMBER(Table2[[#This Row],[final_obs_int2]]),ABS(Table2[[#This Row],[final_obs_int2]]-Table2[[#This Row],[final_obs_int_feb]]), "NA")</f>
        <v>0</v>
      </c>
      <c r="R373" s="24"/>
      <c r="S373" s="57" t="s">
        <v>88</v>
      </c>
      <c r="T373" s="57" t="str">
        <f>Table2[[#This Row],[camera_old]]</f>
        <v>N</v>
      </c>
      <c r="U373" s="24"/>
      <c r="V373" s="16" t="s">
        <v>24</v>
      </c>
      <c r="W373" s="16">
        <v>11</v>
      </c>
      <c r="X373" s="145">
        <v>5</v>
      </c>
      <c r="Y373" s="147" t="s">
        <v>48</v>
      </c>
      <c r="Z373" s="146" t="s">
        <v>48</v>
      </c>
      <c r="AA373" s="4" t="str">
        <f>Table2[[#This Row],[field_fate]]</f>
        <v>F</v>
      </c>
      <c r="AB373" s="4" t="str">
        <f>Table2[[#This Row],[field_fate2]]</f>
        <v>F</v>
      </c>
      <c r="AC373" s="4" t="str">
        <f>Table2[[#This Row],[field_fate3]]</f>
        <v>F</v>
      </c>
      <c r="AD373" s="4" t="str">
        <f>Table2[[#This Row],[field_fate4]]</f>
        <v>F</v>
      </c>
      <c r="AE373" s="4" t="str">
        <f>Table2[[#This Row],[field_fate5]]</f>
        <v>F</v>
      </c>
      <c r="AF373" s="4" t="str">
        <f>Table2[[#This Row],[field_fate5]]</f>
        <v>F</v>
      </c>
      <c r="AG373" s="4" t="str">
        <f>Table2[[#This Row],[field_fate5]]</f>
        <v>F</v>
      </c>
      <c r="AH373" s="4" t="str">
        <f>Table2[[#This Row],[field_fate2]]</f>
        <v>F</v>
      </c>
      <c r="AI373" s="4" t="str">
        <f>Table2[[#This Row],[field_fate8]]</f>
        <v>F</v>
      </c>
      <c r="AJ373" s="4" t="str">
        <f>Table2[[#This Row],[field_fate10]]</f>
        <v>F</v>
      </c>
      <c r="AK373" s="4" t="b">
        <f>Table2[[#This Row],[field_fate_feb]]=Table2[[#This Row],[field_fate10]]</f>
        <v>1</v>
      </c>
      <c r="AL373" s="43" t="s">
        <v>24</v>
      </c>
      <c r="AM373" s="43" t="b">
        <f>Table2[[#This Row],[cam_fate2]]="NA"</f>
        <v>1</v>
      </c>
      <c r="AN373" s="19" t="str">
        <f>Table2[[#This Row],[cam_fate1]]</f>
        <v>NA</v>
      </c>
      <c r="AO373" s="2" t="s">
        <v>48</v>
      </c>
      <c r="AP373" s="5" t="str">
        <f>Table2[[#This Row],[final_fate1]]</f>
        <v>F</v>
      </c>
      <c r="AQ373" s="6">
        <v>12</v>
      </c>
      <c r="AR373" s="7">
        <v>12</v>
      </c>
      <c r="AS373" s="7">
        <f>Table2[[#This Row],[final_obs_date]]-Table2[[#This Row],[init_date]]</f>
        <v>12</v>
      </c>
      <c r="AT373" s="7">
        <f>(Table2[[#This Row],[final_obs_date2]]-Table2[[#This Row],[estHD]])+16</f>
        <v>9</v>
      </c>
      <c r="AU373" s="38">
        <v>5</v>
      </c>
      <c r="AV373" s="33">
        <v>5</v>
      </c>
      <c r="AW373" s="33">
        <f>Table2[[#This Row],[final_obs_date2]]-Table2[[#This Row],[pen_obs_date]]</f>
        <v>69</v>
      </c>
      <c r="AX373" s="67">
        <v>69</v>
      </c>
      <c r="AY373" s="6">
        <f>Table2[[#This Row],[final_obs_date]]</f>
        <v>69</v>
      </c>
      <c r="AZ373" s="6"/>
      <c r="BA373" s="91" t="s">
        <v>47</v>
      </c>
      <c r="BB373" s="6" t="b">
        <f>Table2[[#This Row],[final_obs_date]]&lt;(Table2[[#This Row],[estHD]]-2)</f>
        <v>1</v>
      </c>
      <c r="BC373" s="24">
        <f>IF(Table2[[#This Row],[field_fate]]="H",1,0)</f>
        <v>0</v>
      </c>
      <c r="BD373" s="16">
        <f>IF(Table2[[#This Row],[cam_fate2]]="H",1,0)</f>
        <v>0</v>
      </c>
      <c r="BE373" s="6" t="b">
        <f>NOT(Table2[[#This Row],[HF_C]]=Table2[[#This Row],[HF]])</f>
        <v>0</v>
      </c>
      <c r="BF373" s="6" t="b">
        <f>NOT(Table2[[#This Row],[cam_fate2]]=Table2[[#This Row],[field_fate3]])</f>
        <v>1</v>
      </c>
      <c r="BG373" s="6" t="b">
        <f>OR(Table2[[#This Row],[field_fate3]]="U",Table2[[#This Row],[field_fate3]]="U-H")</f>
        <v>0</v>
      </c>
      <c r="BH373" s="8">
        <v>64</v>
      </c>
      <c r="BI373" s="8">
        <v>64</v>
      </c>
      <c r="BJ373" s="14">
        <f>IF(ISTEXT(Table2[[#This Row],[j.cam]]),Table2[[#This Row],[j]],Table2[[#This Row],[j.cam]])</f>
        <v>64</v>
      </c>
      <c r="BK373" s="9">
        <v>69</v>
      </c>
      <c r="BL373" s="15">
        <f>IF(ISTEXT(Table2[[#This Row],[k.cam]]), Table2[[#This Row],[k]], Table2[[#This Row],[k.cam]])</f>
        <v>69</v>
      </c>
      <c r="BM373" s="4" t="s">
        <v>24</v>
      </c>
      <c r="BN373" s="8" t="s">
        <v>24</v>
      </c>
      <c r="BO373" s="4">
        <v>2</v>
      </c>
      <c r="BP373" s="4">
        <f>Table2[[#This Row],[final_obs_date]]-Table2[[#This Row],[i]]</f>
        <v>5</v>
      </c>
      <c r="BQ373" s="4" t="b">
        <f>Table2[[#This Row],[final_obs_date2]]&gt;Table2[[#This Row],[estHD]]+3</f>
        <v>0</v>
      </c>
      <c r="BR373" s="4" t="s">
        <v>33</v>
      </c>
      <c r="BS373" s="4" t="s">
        <v>45</v>
      </c>
      <c r="BT373" s="79" t="s">
        <v>1243</v>
      </c>
      <c r="BU373" s="26" t="s">
        <v>87</v>
      </c>
      <c r="BV373" s="79" t="s">
        <v>1464</v>
      </c>
      <c r="BW373" s="49"/>
      <c r="BX373" s="47"/>
      <c r="BY373" s="36" t="s">
        <v>724</v>
      </c>
    </row>
    <row r="374" spans="1:77" hidden="1" x14ac:dyDescent="0.35">
      <c r="A374" s="63">
        <v>20278</v>
      </c>
      <c r="B374" s="2" t="s">
        <v>35</v>
      </c>
      <c r="C374" s="45">
        <v>2020</v>
      </c>
      <c r="D374" s="3">
        <v>29.770430000000001</v>
      </c>
      <c r="E374" s="3">
        <v>-93.176249999999996</v>
      </c>
      <c r="F374" s="3">
        <v>30</v>
      </c>
      <c r="G374" s="3">
        <v>75</v>
      </c>
      <c r="H374" s="3" t="s">
        <v>26</v>
      </c>
      <c r="I374" s="43"/>
      <c r="J374" s="55">
        <v>81</v>
      </c>
      <c r="K374" s="4">
        <v>81</v>
      </c>
      <c r="L374" s="22">
        <f>IF(ISNUMBER(Table2[[#This Row],[estHD]]),ABS(Table2[[#This Row],[HD]]-Table2[[#This Row],[estHD]]),"NA")</f>
        <v>0</v>
      </c>
      <c r="M374" s="4" t="b">
        <f>Table2[[#This Row],[HD]]=Table2[[#This Row],[estHD]]</f>
        <v>1</v>
      </c>
      <c r="N374" s="4" t="str">
        <f>IF(ISNUMBER([1]!Table2[[#This Row],[hatch_date]]),[1]!Table2[[#This Row],[hatch_date]]-19,"NA")</f>
        <v>NA</v>
      </c>
      <c r="O374" s="31">
        <v>62</v>
      </c>
      <c r="P374" s="23">
        <f>IF(ISNUMBER(Table2[[#This Row],[nest_age1]]),ABS(Table2[[#This Row],[nest_age1]]-Table2[[#This Row],[nest_age_feb]]),"NA")</f>
        <v>1</v>
      </c>
      <c r="Q374" s="24">
        <f>IF(ISNUMBER(Table2[[#This Row],[final_obs_int2]]),ABS(Table2[[#This Row],[final_obs_int2]]-Table2[[#This Row],[final_obs_int_feb]]), "NA")</f>
        <v>0</v>
      </c>
      <c r="R374" s="24"/>
      <c r="S374" s="57" t="s">
        <v>88</v>
      </c>
      <c r="T374" s="57" t="str">
        <f>Table2[[#This Row],[camera_old]]</f>
        <v>N</v>
      </c>
      <c r="U374" s="24"/>
      <c r="V374" s="16" t="s">
        <v>24</v>
      </c>
      <c r="W374" s="16">
        <v>10</v>
      </c>
      <c r="X374" s="145">
        <v>5</v>
      </c>
      <c r="Y374" s="147" t="s">
        <v>65</v>
      </c>
      <c r="Z374" s="146" t="s">
        <v>65</v>
      </c>
      <c r="AA374" s="4" t="str">
        <f>Table2[[#This Row],[field_fate]]</f>
        <v>Ca</v>
      </c>
      <c r="AB374" s="4" t="str">
        <f>Table2[[#This Row],[field_fate2]]</f>
        <v>Ca</v>
      </c>
      <c r="AC374" s="4" t="str">
        <f>Table2[[#This Row],[field_fate3]]</f>
        <v>Ca</v>
      </c>
      <c r="AD374" s="4" t="str">
        <f>Table2[[#This Row],[field_fate4]]</f>
        <v>Ca</v>
      </c>
      <c r="AE374" s="4" t="str">
        <f>Table2[[#This Row],[field_fate5]]</f>
        <v>Ca</v>
      </c>
      <c r="AF374" s="4" t="str">
        <f>Table2[[#This Row],[field_fate5]]</f>
        <v>Ca</v>
      </c>
      <c r="AG374" s="4" t="str">
        <f>Table2[[#This Row],[field_fate5]]</f>
        <v>Ca</v>
      </c>
      <c r="AH374" s="4" t="str">
        <f>Table2[[#This Row],[field_fate2]]</f>
        <v>Ca</v>
      </c>
      <c r="AI374" s="4" t="str">
        <f>Table2[[#This Row],[field_fate8]]</f>
        <v>Ca</v>
      </c>
      <c r="AJ374" s="4" t="str">
        <f>Table2[[#This Row],[field_fate10]]</f>
        <v>Ca</v>
      </c>
      <c r="AK374" s="4" t="b">
        <f>Table2[[#This Row],[field_fate_feb]]=Table2[[#This Row],[field_fate10]]</f>
        <v>1</v>
      </c>
      <c r="AL374" s="43" t="s">
        <v>24</v>
      </c>
      <c r="AM374" s="43" t="b">
        <f>Table2[[#This Row],[cam_fate2]]="NA"</f>
        <v>1</v>
      </c>
      <c r="AN374" s="19" t="str">
        <f>Table2[[#This Row],[cam_fate1]]</f>
        <v>NA</v>
      </c>
      <c r="AO374" s="2" t="s">
        <v>65</v>
      </c>
      <c r="AP374" s="5" t="str">
        <f>Table2[[#This Row],[final_fate1]]</f>
        <v>Ca</v>
      </c>
      <c r="AQ374" s="6">
        <v>11</v>
      </c>
      <c r="AR374" s="7">
        <v>11</v>
      </c>
      <c r="AS374" s="7">
        <f>Table2[[#This Row],[final_obs_date]]-Table2[[#This Row],[init_date]]</f>
        <v>11</v>
      </c>
      <c r="AT374" s="7">
        <f>(Table2[[#This Row],[final_obs_date2]]-Table2[[#This Row],[estHD]])+16</f>
        <v>8</v>
      </c>
      <c r="AU374" s="38">
        <v>5</v>
      </c>
      <c r="AV374" s="33">
        <v>5</v>
      </c>
      <c r="AW374" s="33">
        <f>Table2[[#This Row],[final_obs_date2]]-Table2[[#This Row],[pen_obs_date]]</f>
        <v>73</v>
      </c>
      <c r="AX374" s="67">
        <v>73</v>
      </c>
      <c r="AY374" s="6">
        <f>Table2[[#This Row],[final_obs_date]]</f>
        <v>73</v>
      </c>
      <c r="AZ374" s="6"/>
      <c r="BA374" s="91" t="s">
        <v>47</v>
      </c>
      <c r="BB374" s="6" t="b">
        <f>Table2[[#This Row],[final_obs_date]]&lt;(Table2[[#This Row],[estHD]]-2)</f>
        <v>1</v>
      </c>
      <c r="BC374" s="24">
        <f>IF(Table2[[#This Row],[field_fate]]="H",1,0)</f>
        <v>0</v>
      </c>
      <c r="BD374" s="16">
        <f>IF(Table2[[#This Row],[cam_fate2]]="H",1,0)</f>
        <v>0</v>
      </c>
      <c r="BE374" s="6" t="b">
        <f>NOT(Table2[[#This Row],[HF_C]]=Table2[[#This Row],[HF]])</f>
        <v>0</v>
      </c>
      <c r="BF374" s="6" t="b">
        <f>NOT(Table2[[#This Row],[cam_fate2]]=Table2[[#This Row],[field_fate3]])</f>
        <v>1</v>
      </c>
      <c r="BG374" s="6" t="b">
        <f>OR(Table2[[#This Row],[field_fate3]]="U",Table2[[#This Row],[field_fate3]]="U-H")</f>
        <v>0</v>
      </c>
      <c r="BH374" s="8">
        <v>68</v>
      </c>
      <c r="BI374" s="8">
        <v>68</v>
      </c>
      <c r="BJ374" s="14">
        <f>IF(ISTEXT(Table2[[#This Row],[j.cam]]),Table2[[#This Row],[j]],Table2[[#This Row],[j.cam]])</f>
        <v>68</v>
      </c>
      <c r="BK374" s="9">
        <v>73</v>
      </c>
      <c r="BL374" s="15">
        <f>IF(ISTEXT(Table2[[#This Row],[k.cam]]), Table2[[#This Row],[k]], Table2[[#This Row],[k.cam]])</f>
        <v>73</v>
      </c>
      <c r="BM374" s="4" t="s">
        <v>24</v>
      </c>
      <c r="BN374" s="8" t="s">
        <v>24</v>
      </c>
      <c r="BO374" s="4">
        <v>2</v>
      </c>
      <c r="BP374" s="4">
        <f>Table2[[#This Row],[final_obs_date]]-Table2[[#This Row],[i]]</f>
        <v>5</v>
      </c>
      <c r="BQ374" s="4" t="b">
        <f>Table2[[#This Row],[final_obs_date2]]&gt;Table2[[#This Row],[estHD]]+3</f>
        <v>0</v>
      </c>
      <c r="BR374" s="4" t="s">
        <v>33</v>
      </c>
      <c r="BS374" s="4" t="s">
        <v>45</v>
      </c>
      <c r="BT374" s="79" t="s">
        <v>1244</v>
      </c>
      <c r="BU374" s="26" t="s">
        <v>87</v>
      </c>
      <c r="BV374" s="79" t="s">
        <v>1464</v>
      </c>
      <c r="BW374" s="49"/>
      <c r="BX374" s="47"/>
      <c r="BY374" s="36" t="s">
        <v>725</v>
      </c>
    </row>
    <row r="375" spans="1:77" hidden="1" x14ac:dyDescent="0.35">
      <c r="A375" s="63">
        <v>20279</v>
      </c>
      <c r="B375" s="2" t="s">
        <v>35</v>
      </c>
      <c r="C375" s="45">
        <v>2020</v>
      </c>
      <c r="D375" s="3">
        <v>29.770479999999999</v>
      </c>
      <c r="E375" s="3">
        <v>-93.176479999999998</v>
      </c>
      <c r="F375" s="3">
        <v>30</v>
      </c>
      <c r="G375" s="3">
        <v>75</v>
      </c>
      <c r="H375" s="3" t="s">
        <v>26</v>
      </c>
      <c r="I375" s="43"/>
      <c r="J375" s="55">
        <v>83</v>
      </c>
      <c r="K375" s="4">
        <v>83</v>
      </c>
      <c r="L375" s="22">
        <f>IF(ISNUMBER(Table2[[#This Row],[estHD]]),ABS(Table2[[#This Row],[HD]]-Table2[[#This Row],[estHD]]),"NA")</f>
        <v>0</v>
      </c>
      <c r="M375" s="4" t="b">
        <f>Table2[[#This Row],[HD]]=Table2[[#This Row],[estHD]]</f>
        <v>1</v>
      </c>
      <c r="N375" s="4" t="str">
        <f>IF(ISNUMBER([1]!Table2[[#This Row],[hatch_date]]),[1]!Table2[[#This Row],[hatch_date]]-19,"NA")</f>
        <v>NA</v>
      </c>
      <c r="O375" s="31">
        <v>64</v>
      </c>
      <c r="P375" s="23">
        <f>IF(ISNUMBER(Table2[[#This Row],[nest_age1]]),ABS(Table2[[#This Row],[nest_age1]]-Table2[[#This Row],[nest_age_feb]]),"NA")</f>
        <v>1</v>
      </c>
      <c r="Q375" s="24">
        <f>IF(ISNUMBER(Table2[[#This Row],[final_obs_int2]]),ABS(Table2[[#This Row],[final_obs_int2]]-Table2[[#This Row],[final_obs_int_feb]]), "NA")</f>
        <v>0</v>
      </c>
      <c r="R375" s="24"/>
      <c r="S375" s="57" t="s">
        <v>88</v>
      </c>
      <c r="T375" s="57" t="str">
        <f>Table2[[#This Row],[camera_old]]</f>
        <v>N</v>
      </c>
      <c r="U375" s="24"/>
      <c r="V375" s="16" t="s">
        <v>24</v>
      </c>
      <c r="W375" s="16">
        <v>8</v>
      </c>
      <c r="X375" s="145">
        <v>5</v>
      </c>
      <c r="Y375" s="147" t="s">
        <v>65</v>
      </c>
      <c r="Z375" s="146" t="s">
        <v>65</v>
      </c>
      <c r="AA375" s="4" t="str">
        <f>Table2[[#This Row],[field_fate]]</f>
        <v>Ca</v>
      </c>
      <c r="AB375" s="4" t="str">
        <f>Table2[[#This Row],[field_fate2]]</f>
        <v>Ca</v>
      </c>
      <c r="AC375" s="4" t="str">
        <f>Table2[[#This Row],[field_fate3]]</f>
        <v>Ca</v>
      </c>
      <c r="AD375" s="4" t="str">
        <f>Table2[[#This Row],[field_fate4]]</f>
        <v>Ca</v>
      </c>
      <c r="AE375" s="4" t="str">
        <f>Table2[[#This Row],[field_fate5]]</f>
        <v>Ca</v>
      </c>
      <c r="AF375" s="4" t="str">
        <f>Table2[[#This Row],[field_fate5]]</f>
        <v>Ca</v>
      </c>
      <c r="AG375" s="4" t="str">
        <f>Table2[[#This Row],[field_fate5]]</f>
        <v>Ca</v>
      </c>
      <c r="AH375" s="4" t="str">
        <f>Table2[[#This Row],[field_fate2]]</f>
        <v>Ca</v>
      </c>
      <c r="AI375" s="4" t="str">
        <f>Table2[[#This Row],[field_fate8]]</f>
        <v>Ca</v>
      </c>
      <c r="AJ375" s="4" t="str">
        <f>Table2[[#This Row],[field_fate10]]</f>
        <v>Ca</v>
      </c>
      <c r="AK375" s="4" t="b">
        <f>Table2[[#This Row],[field_fate_feb]]=Table2[[#This Row],[field_fate10]]</f>
        <v>1</v>
      </c>
      <c r="AL375" s="43" t="s">
        <v>24</v>
      </c>
      <c r="AM375" s="43" t="b">
        <f>Table2[[#This Row],[cam_fate2]]="NA"</f>
        <v>1</v>
      </c>
      <c r="AN375" s="19" t="str">
        <f>Table2[[#This Row],[cam_fate1]]</f>
        <v>NA</v>
      </c>
      <c r="AO375" s="2" t="s">
        <v>65</v>
      </c>
      <c r="AP375" s="5" t="str">
        <f>Table2[[#This Row],[final_fate1]]</f>
        <v>Ca</v>
      </c>
      <c r="AQ375" s="6">
        <v>9</v>
      </c>
      <c r="AR375" s="7">
        <v>9</v>
      </c>
      <c r="AS375" s="7">
        <f>Table2[[#This Row],[final_obs_date]]-Table2[[#This Row],[init_date]]</f>
        <v>9</v>
      </c>
      <c r="AT375" s="7">
        <f>(Table2[[#This Row],[final_obs_date2]]-Table2[[#This Row],[estHD]])+16</f>
        <v>6</v>
      </c>
      <c r="AU375" s="38">
        <v>5</v>
      </c>
      <c r="AV375" s="33">
        <v>5</v>
      </c>
      <c r="AW375" s="33">
        <f>Table2[[#This Row],[final_obs_date2]]-Table2[[#This Row],[pen_obs_date]]</f>
        <v>73</v>
      </c>
      <c r="AX375" s="67">
        <v>73</v>
      </c>
      <c r="AY375" s="6">
        <f>Table2[[#This Row],[final_obs_date]]</f>
        <v>73</v>
      </c>
      <c r="AZ375" s="6"/>
      <c r="BA375" s="91" t="s">
        <v>47</v>
      </c>
      <c r="BB375" s="6" t="b">
        <f>Table2[[#This Row],[final_obs_date]]&lt;(Table2[[#This Row],[estHD]]-2)</f>
        <v>1</v>
      </c>
      <c r="BC375" s="24">
        <f>IF(Table2[[#This Row],[field_fate]]="H",1,0)</f>
        <v>0</v>
      </c>
      <c r="BD375" s="16">
        <f>IF(Table2[[#This Row],[cam_fate2]]="H",1,0)</f>
        <v>0</v>
      </c>
      <c r="BE375" s="6" t="b">
        <f>NOT(Table2[[#This Row],[HF_C]]=Table2[[#This Row],[HF]])</f>
        <v>0</v>
      </c>
      <c r="BF375" s="6" t="b">
        <f>NOT(Table2[[#This Row],[cam_fate2]]=Table2[[#This Row],[field_fate3]])</f>
        <v>1</v>
      </c>
      <c r="BG375" s="6" t="b">
        <f>OR(Table2[[#This Row],[field_fate3]]="U",Table2[[#This Row],[field_fate3]]="U-H")</f>
        <v>0</v>
      </c>
      <c r="BH375" s="8">
        <v>68</v>
      </c>
      <c r="BI375" s="8">
        <v>68</v>
      </c>
      <c r="BJ375" s="14">
        <f>IF(ISTEXT(Table2[[#This Row],[j.cam]]),Table2[[#This Row],[j]],Table2[[#This Row],[j.cam]])</f>
        <v>68</v>
      </c>
      <c r="BK375" s="9">
        <v>73</v>
      </c>
      <c r="BL375" s="15">
        <f>IF(ISTEXT(Table2[[#This Row],[k.cam]]), Table2[[#This Row],[k]], Table2[[#This Row],[k.cam]])</f>
        <v>73</v>
      </c>
      <c r="BM375" s="4" t="s">
        <v>24</v>
      </c>
      <c r="BN375" s="8" t="s">
        <v>24</v>
      </c>
      <c r="BO375" s="4">
        <v>2</v>
      </c>
      <c r="BP375" s="4">
        <f>Table2[[#This Row],[final_obs_date]]-Table2[[#This Row],[i]]</f>
        <v>5</v>
      </c>
      <c r="BQ375" s="4" t="b">
        <f>Table2[[#This Row],[final_obs_date2]]&gt;Table2[[#This Row],[estHD]]+3</f>
        <v>0</v>
      </c>
      <c r="BR375" s="4" t="s">
        <v>33</v>
      </c>
      <c r="BS375" s="4" t="s">
        <v>45</v>
      </c>
      <c r="BT375" s="79" t="s">
        <v>1244</v>
      </c>
      <c r="BU375" s="26" t="s">
        <v>87</v>
      </c>
      <c r="BV375" s="79" t="s">
        <v>1464</v>
      </c>
      <c r="BW375" s="49"/>
      <c r="BX375" s="47"/>
      <c r="BY375" s="36" t="s">
        <v>725</v>
      </c>
    </row>
    <row r="376" spans="1:77" hidden="1" x14ac:dyDescent="0.35">
      <c r="A376" s="63">
        <v>20280</v>
      </c>
      <c r="B376" s="2" t="s">
        <v>35</v>
      </c>
      <c r="C376" s="45">
        <v>2020</v>
      </c>
      <c r="D376" s="3">
        <v>29.770499999999998</v>
      </c>
      <c r="E376" s="3">
        <v>-93.176559999999995</v>
      </c>
      <c r="F376" s="3">
        <v>30</v>
      </c>
      <c r="G376" s="3">
        <v>75</v>
      </c>
      <c r="H376" s="3" t="s">
        <v>26</v>
      </c>
      <c r="I376" s="43"/>
      <c r="J376" s="55">
        <v>83</v>
      </c>
      <c r="K376" s="4">
        <v>83</v>
      </c>
      <c r="L376" s="22">
        <f>IF(ISNUMBER(Table2[[#This Row],[estHD]]),ABS(Table2[[#This Row],[HD]]-Table2[[#This Row],[estHD]]),"NA")</f>
        <v>0</v>
      </c>
      <c r="M376" s="4" t="b">
        <f>Table2[[#This Row],[HD]]=Table2[[#This Row],[estHD]]</f>
        <v>1</v>
      </c>
      <c r="N376" s="4" t="str">
        <f>IF(ISNUMBER([1]!Table2[[#This Row],[hatch_date]]),[1]!Table2[[#This Row],[hatch_date]]-19,"NA")</f>
        <v>NA</v>
      </c>
      <c r="O376" s="31">
        <v>64</v>
      </c>
      <c r="P376" s="23">
        <f>IF(ISNUMBER(Table2[[#This Row],[nest_age1]]),ABS(Table2[[#This Row],[nest_age1]]-Table2[[#This Row],[nest_age_feb]]),"NA")</f>
        <v>1</v>
      </c>
      <c r="Q376" s="24">
        <f>IF(ISNUMBER(Table2[[#This Row],[final_obs_int2]]),ABS(Table2[[#This Row],[final_obs_int2]]-Table2[[#This Row],[final_obs_int_feb]]), "NA")</f>
        <v>0</v>
      </c>
      <c r="R376" s="24"/>
      <c r="S376" s="57" t="s">
        <v>88</v>
      </c>
      <c r="T376" s="57" t="str">
        <f>Table2[[#This Row],[camera_old]]</f>
        <v>N</v>
      </c>
      <c r="U376" s="24"/>
      <c r="V376" s="16" t="s">
        <v>24</v>
      </c>
      <c r="W376" s="16">
        <v>8</v>
      </c>
      <c r="X376" s="145">
        <v>5</v>
      </c>
      <c r="Y376" s="147" t="s">
        <v>65</v>
      </c>
      <c r="Z376" s="146" t="s">
        <v>65</v>
      </c>
      <c r="AA376" s="4" t="str">
        <f>Table2[[#This Row],[field_fate]]</f>
        <v>Ca</v>
      </c>
      <c r="AB376" s="4" t="str">
        <f>Table2[[#This Row],[field_fate2]]</f>
        <v>Ca</v>
      </c>
      <c r="AC376" s="4" t="str">
        <f>Table2[[#This Row],[field_fate3]]</f>
        <v>Ca</v>
      </c>
      <c r="AD376" s="4" t="str">
        <f>Table2[[#This Row],[field_fate4]]</f>
        <v>Ca</v>
      </c>
      <c r="AE376" s="4" t="str">
        <f>Table2[[#This Row],[field_fate5]]</f>
        <v>Ca</v>
      </c>
      <c r="AF376" s="4" t="str">
        <f>Table2[[#This Row],[field_fate5]]</f>
        <v>Ca</v>
      </c>
      <c r="AG376" s="4" t="str">
        <f>Table2[[#This Row],[field_fate5]]</f>
        <v>Ca</v>
      </c>
      <c r="AH376" s="4" t="str">
        <f>Table2[[#This Row],[field_fate2]]</f>
        <v>Ca</v>
      </c>
      <c r="AI376" s="4" t="str">
        <f>Table2[[#This Row],[field_fate8]]</f>
        <v>Ca</v>
      </c>
      <c r="AJ376" s="4" t="str">
        <f>Table2[[#This Row],[field_fate10]]</f>
        <v>Ca</v>
      </c>
      <c r="AK376" s="4" t="b">
        <f>Table2[[#This Row],[field_fate_feb]]=Table2[[#This Row],[field_fate10]]</f>
        <v>1</v>
      </c>
      <c r="AL376" s="43" t="s">
        <v>24</v>
      </c>
      <c r="AM376" s="43" t="b">
        <f>Table2[[#This Row],[cam_fate2]]="NA"</f>
        <v>1</v>
      </c>
      <c r="AN376" s="19" t="str">
        <f>Table2[[#This Row],[cam_fate1]]</f>
        <v>NA</v>
      </c>
      <c r="AO376" s="2" t="s">
        <v>65</v>
      </c>
      <c r="AP376" s="5" t="str">
        <f>Table2[[#This Row],[final_fate1]]</f>
        <v>Ca</v>
      </c>
      <c r="AQ376" s="6">
        <v>9</v>
      </c>
      <c r="AR376" s="7">
        <v>9</v>
      </c>
      <c r="AS376" s="7">
        <f>Table2[[#This Row],[final_obs_date]]-Table2[[#This Row],[init_date]]</f>
        <v>9</v>
      </c>
      <c r="AT376" s="7">
        <f>(Table2[[#This Row],[final_obs_date2]]-Table2[[#This Row],[estHD]])+16</f>
        <v>6</v>
      </c>
      <c r="AU376" s="38">
        <v>5</v>
      </c>
      <c r="AV376" s="33">
        <v>5</v>
      </c>
      <c r="AW376" s="33">
        <f>Table2[[#This Row],[final_obs_date2]]-Table2[[#This Row],[pen_obs_date]]</f>
        <v>73</v>
      </c>
      <c r="AX376" s="67">
        <v>73</v>
      </c>
      <c r="AY376" s="6">
        <f>Table2[[#This Row],[final_obs_date]]</f>
        <v>73</v>
      </c>
      <c r="AZ376" s="6"/>
      <c r="BA376" s="91" t="s">
        <v>47</v>
      </c>
      <c r="BB376" s="6" t="b">
        <f>Table2[[#This Row],[final_obs_date]]&lt;(Table2[[#This Row],[estHD]]-2)</f>
        <v>1</v>
      </c>
      <c r="BC376" s="24">
        <f>IF(Table2[[#This Row],[field_fate]]="H",1,0)</f>
        <v>0</v>
      </c>
      <c r="BD376" s="16">
        <f>IF(Table2[[#This Row],[cam_fate2]]="H",1,0)</f>
        <v>0</v>
      </c>
      <c r="BE376" s="6" t="b">
        <f>NOT(Table2[[#This Row],[HF_C]]=Table2[[#This Row],[HF]])</f>
        <v>0</v>
      </c>
      <c r="BF376" s="6" t="b">
        <f>NOT(Table2[[#This Row],[cam_fate2]]=Table2[[#This Row],[field_fate3]])</f>
        <v>1</v>
      </c>
      <c r="BG376" s="6" t="b">
        <f>OR(Table2[[#This Row],[field_fate3]]="U",Table2[[#This Row],[field_fate3]]="U-H")</f>
        <v>0</v>
      </c>
      <c r="BH376" s="8">
        <v>68</v>
      </c>
      <c r="BI376" s="8">
        <v>68</v>
      </c>
      <c r="BJ376" s="14">
        <f>IF(ISTEXT(Table2[[#This Row],[j.cam]]),Table2[[#This Row],[j]],Table2[[#This Row],[j.cam]])</f>
        <v>68</v>
      </c>
      <c r="BK376" s="9">
        <v>73</v>
      </c>
      <c r="BL376" s="15">
        <f>IF(ISTEXT(Table2[[#This Row],[k.cam]]), Table2[[#This Row],[k]], Table2[[#This Row],[k.cam]])</f>
        <v>73</v>
      </c>
      <c r="BM376" s="4" t="s">
        <v>24</v>
      </c>
      <c r="BN376" s="8" t="s">
        <v>24</v>
      </c>
      <c r="BO376" s="4">
        <v>2</v>
      </c>
      <c r="BP376" s="4">
        <f>Table2[[#This Row],[final_obs_date]]-Table2[[#This Row],[i]]</f>
        <v>5</v>
      </c>
      <c r="BQ376" s="4" t="b">
        <f>Table2[[#This Row],[final_obs_date2]]&gt;Table2[[#This Row],[estHD]]+3</f>
        <v>0</v>
      </c>
      <c r="BR376" s="4" t="s">
        <v>58</v>
      </c>
      <c r="BS376" s="4" t="s">
        <v>45</v>
      </c>
      <c r="BT376" s="79" t="s">
        <v>1244</v>
      </c>
      <c r="BU376" s="26" t="s">
        <v>117</v>
      </c>
      <c r="BV376" s="79" t="s">
        <v>1464</v>
      </c>
      <c r="BW376" s="49"/>
      <c r="BX376" s="47"/>
      <c r="BY376" s="36" t="s">
        <v>725</v>
      </c>
    </row>
    <row r="377" spans="1:77" hidden="1" x14ac:dyDescent="0.35">
      <c r="A377" s="63">
        <v>20281</v>
      </c>
      <c r="B377" s="2" t="s">
        <v>35</v>
      </c>
      <c r="C377" s="45">
        <v>2020</v>
      </c>
      <c r="D377" s="3">
        <v>29.76577</v>
      </c>
      <c r="E377" s="3">
        <v>-93.1554</v>
      </c>
      <c r="F377" s="3">
        <v>20</v>
      </c>
      <c r="G377" s="3">
        <v>20</v>
      </c>
      <c r="H377" s="3" t="s">
        <v>26</v>
      </c>
      <c r="I377" s="43"/>
      <c r="J377" s="116">
        <v>83</v>
      </c>
      <c r="K377" s="4">
        <v>83</v>
      </c>
      <c r="L377" s="22">
        <f>IF(ISNUMBER(Table2[[#This Row],[estHD]]),ABS(Table2[[#This Row],[HD]]-Table2[[#This Row],[estHD]]),"NA")</f>
        <v>0</v>
      </c>
      <c r="M377" s="4" t="b">
        <f>Table2[[#This Row],[HD]]=Table2[[#This Row],[estHD]]</f>
        <v>1</v>
      </c>
      <c r="N377" s="4" t="str">
        <f>IF(ISNUMBER([1]!Table2[[#This Row],[hatch_date]]),[1]!Table2[[#This Row],[hatch_date]]-19,"NA")</f>
        <v>NA</v>
      </c>
      <c r="O377" s="31">
        <v>64</v>
      </c>
      <c r="P377" s="23">
        <f>IF(ISNUMBER(Table2[[#This Row],[nest_age1]]),ABS(Table2[[#This Row],[nest_age1]]-Table2[[#This Row],[nest_age_feb]]),"NA")</f>
        <v>1</v>
      </c>
      <c r="Q377" s="24">
        <f>IF(ISNUMBER(Table2[[#This Row],[final_obs_int2]]),ABS(Table2[[#This Row],[final_obs_int2]]-Table2[[#This Row],[final_obs_int_feb]]), "NA")</f>
        <v>0</v>
      </c>
      <c r="R377" s="24"/>
      <c r="S377" s="20" t="s">
        <v>75</v>
      </c>
      <c r="T377" s="20" t="str">
        <f>Table2[[#This Row],[camera_old]]</f>
        <v>Y</v>
      </c>
      <c r="U377" s="22" t="s">
        <v>88</v>
      </c>
      <c r="V377" s="16" t="s">
        <v>24</v>
      </c>
      <c r="W377" s="16">
        <v>19</v>
      </c>
      <c r="X377" s="145">
        <v>4</v>
      </c>
      <c r="Y377" s="147" t="s">
        <v>90</v>
      </c>
      <c r="Z377" s="146" t="s">
        <v>90</v>
      </c>
      <c r="AA377" s="4" t="str">
        <f>Table2[[#This Row],[field_fate]]</f>
        <v>U</v>
      </c>
      <c r="AB377" s="65" t="str">
        <f>Table2[[#This Row],[field_fate2]]</f>
        <v>U</v>
      </c>
      <c r="AC377" s="93" t="str">
        <f>Table2[[#This Row],[field_fate3]]</f>
        <v>U</v>
      </c>
      <c r="AD377" s="93" t="str">
        <f>Table2[[#This Row],[field_fate4]]</f>
        <v>U</v>
      </c>
      <c r="AE377" s="93" t="str">
        <f>Table2[[#This Row],[field_fate5]]</f>
        <v>U</v>
      </c>
      <c r="AF377" s="93" t="str">
        <f>Table2[[#This Row],[field_fate5]]</f>
        <v>U</v>
      </c>
      <c r="AG377" s="93" t="str">
        <f>Table2[[#This Row],[field_fate5]]</f>
        <v>U</v>
      </c>
      <c r="AH377" s="93" t="str">
        <f>Table2[[#This Row],[field_fate2]]</f>
        <v>U</v>
      </c>
      <c r="AI377" s="93" t="str">
        <f>Table2[[#This Row],[field_fate8]]</f>
        <v>U</v>
      </c>
      <c r="AJ377" s="93" t="str">
        <f>Table2[[#This Row],[field_fate10]]</f>
        <v>U</v>
      </c>
      <c r="AK377" s="93" t="b">
        <f>Table2[[#This Row],[field_fate_feb]]=Table2[[#This Row],[field_fate10]]</f>
        <v>1</v>
      </c>
      <c r="AL377" s="43" t="s">
        <v>24</v>
      </c>
      <c r="AM377" s="43" t="b">
        <f>Table2[[#This Row],[cam_fate2]]="NA"</f>
        <v>1</v>
      </c>
      <c r="AN377" s="19" t="str">
        <f>Table2[[#This Row],[cam_fate1]]</f>
        <v>NA</v>
      </c>
      <c r="AO377" s="2" t="s">
        <v>24</v>
      </c>
      <c r="AP377" s="5" t="str">
        <f>Table2[[#This Row],[final_fate1]]</f>
        <v>NA</v>
      </c>
      <c r="AQ377" s="6">
        <v>20</v>
      </c>
      <c r="AR377" s="72">
        <v>20</v>
      </c>
      <c r="AS377" s="72">
        <f>Table2[[#This Row],[final_obs_date]]-Table2[[#This Row],[init_date]]</f>
        <v>20</v>
      </c>
      <c r="AT377" s="72">
        <f>(Table2[[#This Row],[final_obs_date2]]-Table2[[#This Row],[estHD]])+16</f>
        <v>17</v>
      </c>
      <c r="AU377" s="38">
        <v>4</v>
      </c>
      <c r="AV377" s="33">
        <v>4</v>
      </c>
      <c r="AW377" s="33">
        <f>Table2[[#This Row],[final_obs_date2]]-Table2[[#This Row],[pen_obs_date]]</f>
        <v>84</v>
      </c>
      <c r="AX377" s="67">
        <v>84</v>
      </c>
      <c r="AY377" s="156">
        <f>Table2[[#This Row],[final_obs_date]]</f>
        <v>84</v>
      </c>
      <c r="AZ377" s="6"/>
      <c r="BA377" s="92" t="s">
        <v>47</v>
      </c>
      <c r="BB377" s="6" t="b">
        <f>Table2[[#This Row],[final_obs_date]]&lt;(Table2[[#This Row],[estHD]]-2)</f>
        <v>0</v>
      </c>
      <c r="BC377" s="32">
        <v>7</v>
      </c>
      <c r="BD377" s="16" t="s">
        <v>24</v>
      </c>
      <c r="BE377" s="6" t="b">
        <f>NOT(Table2[[#This Row],[HF_C]]=Table2[[#This Row],[HF]])</f>
        <v>1</v>
      </c>
      <c r="BF377" s="38" t="b">
        <f>NOT(Table2[[#This Row],[cam_fate2]]=Table2[[#This Row],[field_fate3]])</f>
        <v>1</v>
      </c>
      <c r="BG377" s="38" t="b">
        <f>OR(Table2[[#This Row],[field_fate3]]="U",Table2[[#This Row],[field_fate3]]="U-H")</f>
        <v>1</v>
      </c>
      <c r="BH377" s="8">
        <v>68</v>
      </c>
      <c r="BI377" s="8">
        <v>80</v>
      </c>
      <c r="BJ377" s="14">
        <f>IF(ISTEXT(Table2[[#This Row],[j.cam]]),Table2[[#This Row],[j]],Table2[[#This Row],[j.cam]])</f>
        <v>80</v>
      </c>
      <c r="BK377" s="8">
        <v>84</v>
      </c>
      <c r="BL377" s="14">
        <f>IF(ISTEXT(Table2[[#This Row],[k.cam]]), Table2[[#This Row],[k]], Table2[[#This Row],[k.cam]])</f>
        <v>84</v>
      </c>
      <c r="BM377" s="4" t="s">
        <v>24</v>
      </c>
      <c r="BN377" s="8" t="s">
        <v>24</v>
      </c>
      <c r="BO377" s="4">
        <v>5</v>
      </c>
      <c r="BP377" s="4">
        <f>Table2[[#This Row],[final_obs_date]]-Table2[[#This Row],[i]]</f>
        <v>16</v>
      </c>
      <c r="BQ377" s="4" t="b">
        <f>Table2[[#This Row],[final_obs_date2]]&gt;Table2[[#This Row],[estHD]]+3</f>
        <v>0</v>
      </c>
      <c r="BR377" s="3" t="s">
        <v>33</v>
      </c>
      <c r="BS377" s="3" t="s">
        <v>45</v>
      </c>
      <c r="BT377" s="125" t="s">
        <v>1245</v>
      </c>
      <c r="BU377" s="4" t="s">
        <v>105</v>
      </c>
      <c r="BV377" s="79" t="s">
        <v>1604</v>
      </c>
      <c r="BW377" s="69"/>
      <c r="BX377" s="73" t="s">
        <v>941</v>
      </c>
      <c r="BY377" s="47" t="s">
        <v>726</v>
      </c>
    </row>
    <row r="378" spans="1:77" hidden="1" x14ac:dyDescent="0.35">
      <c r="A378" s="63">
        <v>20282</v>
      </c>
      <c r="B378" s="2" t="s">
        <v>35</v>
      </c>
      <c r="C378" s="45">
        <v>2020</v>
      </c>
      <c r="D378" s="3">
        <v>29.765720000000002</v>
      </c>
      <c r="E378" s="3">
        <v>-93.155389999999997</v>
      </c>
      <c r="F378" s="3">
        <v>20</v>
      </c>
      <c r="G378" s="3">
        <v>20</v>
      </c>
      <c r="H378" s="3" t="s">
        <v>26</v>
      </c>
      <c r="I378" s="43"/>
      <c r="J378" s="55">
        <v>80</v>
      </c>
      <c r="K378" s="4">
        <v>80</v>
      </c>
      <c r="L378" s="22">
        <f>IF(ISNUMBER(Table2[[#This Row],[estHD]]),ABS(Table2[[#This Row],[HD]]-Table2[[#This Row],[estHD]]),"NA")</f>
        <v>0</v>
      </c>
      <c r="M378" s="4" t="b">
        <f>Table2[[#This Row],[HD]]=Table2[[#This Row],[estHD]]</f>
        <v>1</v>
      </c>
      <c r="N378" s="4" t="str">
        <f>IF(ISNUMBER([1]!Table2[[#This Row],[hatch_date]]),[1]!Table2[[#This Row],[hatch_date]]-19,"NA")</f>
        <v>NA</v>
      </c>
      <c r="O378" s="31">
        <v>61</v>
      </c>
      <c r="P378" s="23">
        <f>IF(ISNUMBER(Table2[[#This Row],[nest_age1]]),ABS(Table2[[#This Row],[nest_age1]]-Table2[[#This Row],[nest_age_feb]]),"NA")</f>
        <v>1</v>
      </c>
      <c r="Q378" s="24">
        <f>IF(ISNUMBER(Table2[[#This Row],[final_obs_int2]]),ABS(Table2[[#This Row],[final_obs_int2]]-Table2[[#This Row],[final_obs_int_feb]]), "NA")</f>
        <v>0</v>
      </c>
      <c r="R378" s="24"/>
      <c r="S378" s="57" t="s">
        <v>88</v>
      </c>
      <c r="T378" s="57" t="str">
        <f>Table2[[#This Row],[camera_old]]</f>
        <v>N</v>
      </c>
      <c r="U378" s="24"/>
      <c r="V378" s="16" t="s">
        <v>24</v>
      </c>
      <c r="W378" s="16">
        <v>11</v>
      </c>
      <c r="X378" s="145">
        <v>5</v>
      </c>
      <c r="Y378" s="147" t="s">
        <v>91</v>
      </c>
      <c r="Z378" s="146" t="s">
        <v>91</v>
      </c>
      <c r="AA378" s="4" t="str">
        <f>Table2[[#This Row],[field_fate]]</f>
        <v>Hu</v>
      </c>
      <c r="AB378" s="4" t="str">
        <f>Table2[[#This Row],[field_fate2]]</f>
        <v>Hu</v>
      </c>
      <c r="AC378" s="4" t="str">
        <f>Table2[[#This Row],[field_fate3]]</f>
        <v>Hu</v>
      </c>
      <c r="AD378" s="4" t="str">
        <f>Table2[[#This Row],[field_fate4]]</f>
        <v>Hu</v>
      </c>
      <c r="AE378" s="4" t="str">
        <f>Table2[[#This Row],[field_fate5]]</f>
        <v>Hu</v>
      </c>
      <c r="AF378" s="4" t="str">
        <f>Table2[[#This Row],[field_fate5]]</f>
        <v>Hu</v>
      </c>
      <c r="AG378" s="4" t="str">
        <f>Table2[[#This Row],[field_fate5]]</f>
        <v>Hu</v>
      </c>
      <c r="AH378" s="4" t="str">
        <f>Table2[[#This Row],[field_fate2]]</f>
        <v>Hu</v>
      </c>
      <c r="AI378" s="4" t="str">
        <f>Table2[[#This Row],[field_fate8]]</f>
        <v>Hu</v>
      </c>
      <c r="AJ378" s="4" t="str">
        <f>Table2[[#This Row],[field_fate10]]</f>
        <v>Hu</v>
      </c>
      <c r="AK378" s="4" t="b">
        <f>Table2[[#This Row],[field_fate_feb]]=Table2[[#This Row],[field_fate10]]</f>
        <v>1</v>
      </c>
      <c r="AL378" s="43" t="s">
        <v>24</v>
      </c>
      <c r="AM378" s="43" t="b">
        <f>Table2[[#This Row],[cam_fate2]]="NA"</f>
        <v>1</v>
      </c>
      <c r="AN378" s="19" t="str">
        <f>Table2[[#This Row],[cam_fate1]]</f>
        <v>NA</v>
      </c>
      <c r="AO378" s="2" t="s">
        <v>91</v>
      </c>
      <c r="AP378" s="5" t="str">
        <f>Table2[[#This Row],[final_fate1]]</f>
        <v>Hu</v>
      </c>
      <c r="AQ378" s="6">
        <v>12</v>
      </c>
      <c r="AR378" s="7">
        <v>12</v>
      </c>
      <c r="AS378" s="7">
        <f>Table2[[#This Row],[final_obs_date]]-Table2[[#This Row],[init_date]]</f>
        <v>12</v>
      </c>
      <c r="AT378" s="7">
        <f>(Table2[[#This Row],[final_obs_date2]]-Table2[[#This Row],[estHD]])+16</f>
        <v>9</v>
      </c>
      <c r="AU378" s="38">
        <v>5</v>
      </c>
      <c r="AV378" s="33">
        <v>5</v>
      </c>
      <c r="AW378" s="33">
        <f>Table2[[#This Row],[final_obs_date2]]-Table2[[#This Row],[pen_obs_date]]</f>
        <v>73</v>
      </c>
      <c r="AX378" s="67">
        <v>73</v>
      </c>
      <c r="AY378" s="6">
        <f>Table2[[#This Row],[final_obs_date]]</f>
        <v>73</v>
      </c>
      <c r="AZ378" s="6"/>
      <c r="BA378" s="91" t="s">
        <v>47</v>
      </c>
      <c r="BB378" s="6" t="b">
        <f>Table2[[#This Row],[final_obs_date]]&lt;(Table2[[#This Row],[estHD]]-2)</f>
        <v>1</v>
      </c>
      <c r="BC378" s="24">
        <f>IF(Table2[[#This Row],[field_fate]]="H",1,0)</f>
        <v>0</v>
      </c>
      <c r="BD378" s="16">
        <f>IF(Table2[[#This Row],[cam_fate2]]="H",1,0)</f>
        <v>0</v>
      </c>
      <c r="BE378" s="6" t="b">
        <f>NOT(Table2[[#This Row],[HF_C]]=Table2[[#This Row],[HF]])</f>
        <v>0</v>
      </c>
      <c r="BF378" s="6" t="b">
        <f>NOT(Table2[[#This Row],[cam_fate2]]=Table2[[#This Row],[field_fate3]])</f>
        <v>1</v>
      </c>
      <c r="BG378" s="6" t="b">
        <f>OR(Table2[[#This Row],[field_fate3]]="U",Table2[[#This Row],[field_fate3]]="U-H")</f>
        <v>0</v>
      </c>
      <c r="BH378" s="8">
        <v>68</v>
      </c>
      <c r="BI378" s="8">
        <v>68</v>
      </c>
      <c r="BJ378" s="14">
        <f>IF(ISTEXT(Table2[[#This Row],[j.cam]]),Table2[[#This Row],[j]],Table2[[#This Row],[j.cam]])</f>
        <v>68</v>
      </c>
      <c r="BK378" s="9">
        <v>73</v>
      </c>
      <c r="BL378" s="15">
        <f>IF(ISTEXT(Table2[[#This Row],[k.cam]]), Table2[[#This Row],[k]], Table2[[#This Row],[k.cam]])</f>
        <v>73</v>
      </c>
      <c r="BM378" s="4" t="s">
        <v>24</v>
      </c>
      <c r="BN378" s="8" t="s">
        <v>24</v>
      </c>
      <c r="BO378" s="4">
        <v>2</v>
      </c>
      <c r="BP378" s="4">
        <f>Table2[[#This Row],[final_obs_date]]-Table2[[#This Row],[i]]</f>
        <v>5</v>
      </c>
      <c r="BQ378" s="4" t="b">
        <f>Table2[[#This Row],[final_obs_date2]]&gt;Table2[[#This Row],[estHD]]+3</f>
        <v>0</v>
      </c>
      <c r="BR378" s="4" t="s">
        <v>33</v>
      </c>
      <c r="BS378" s="4" t="s">
        <v>45</v>
      </c>
      <c r="BT378" s="79" t="s">
        <v>1244</v>
      </c>
      <c r="BU378" s="26" t="s">
        <v>87</v>
      </c>
      <c r="BV378" s="79" t="s">
        <v>1464</v>
      </c>
      <c r="BW378" s="49"/>
      <c r="BX378" s="47"/>
      <c r="BY378" s="36" t="s">
        <v>727</v>
      </c>
    </row>
    <row r="379" spans="1:77" hidden="1" x14ac:dyDescent="0.35">
      <c r="A379" s="63">
        <v>20283</v>
      </c>
      <c r="B379" s="2" t="s">
        <v>111</v>
      </c>
      <c r="C379" s="45">
        <v>2020</v>
      </c>
      <c r="D379" s="3">
        <v>29.77224</v>
      </c>
      <c r="E379" s="3">
        <v>-93.296800000000005</v>
      </c>
      <c r="F379" s="3">
        <v>0</v>
      </c>
      <c r="G379" s="3">
        <v>0</v>
      </c>
      <c r="H379" s="3" t="s">
        <v>26</v>
      </c>
      <c r="I379" s="43"/>
      <c r="J379" s="55">
        <v>86</v>
      </c>
      <c r="K379" s="4">
        <v>86</v>
      </c>
      <c r="L379" s="22">
        <f>IF(ISNUMBER(Table2[[#This Row],[estHD]]),ABS(Table2[[#This Row],[HD]]-Table2[[#This Row],[estHD]]),"NA")</f>
        <v>0</v>
      </c>
      <c r="M379" s="4" t="b">
        <f>Table2[[#This Row],[HD]]=Table2[[#This Row],[estHD]]</f>
        <v>1</v>
      </c>
      <c r="N379" s="4" t="str">
        <f>IF(ISNUMBER([1]!Table2[[#This Row],[hatch_date]]),[1]!Table2[[#This Row],[hatch_date]]-19,"NA")</f>
        <v>NA</v>
      </c>
      <c r="O379" s="31">
        <v>67</v>
      </c>
      <c r="P379" s="23">
        <f>IF(ISNUMBER(Table2[[#This Row],[nest_age1]]),ABS(Table2[[#This Row],[nest_age1]]-Table2[[#This Row],[nest_age_feb]]),"NA")</f>
        <v>1</v>
      </c>
      <c r="Q379" s="24">
        <f>IF(ISNUMBER(Table2[[#This Row],[final_obs_int2]]),ABS(Table2[[#This Row],[final_obs_int2]]-Table2[[#This Row],[final_obs_int_feb]]), "NA")</f>
        <v>0</v>
      </c>
      <c r="R379" s="24"/>
      <c r="S379" s="57" t="s">
        <v>88</v>
      </c>
      <c r="T379" s="57" t="str">
        <f>Table2[[#This Row],[camera_old]]</f>
        <v>N</v>
      </c>
      <c r="U379" s="24"/>
      <c r="V379" s="16" t="s">
        <v>24</v>
      </c>
      <c r="W379" s="16">
        <v>6</v>
      </c>
      <c r="X379" s="145">
        <v>3</v>
      </c>
      <c r="Y379" s="147" t="s">
        <v>25</v>
      </c>
      <c r="Z379" s="146" t="s">
        <v>25</v>
      </c>
      <c r="AA379" s="4" t="str">
        <f>Table2[[#This Row],[field_fate]]</f>
        <v>S</v>
      </c>
      <c r="AB379" s="4" t="str">
        <f>Table2[[#This Row],[field_fate2]]</f>
        <v>S</v>
      </c>
      <c r="AC379" s="4" t="str">
        <f>Table2[[#This Row],[field_fate3]]</f>
        <v>S</v>
      </c>
      <c r="AD379" s="4" t="str">
        <f>Table2[[#This Row],[field_fate4]]</f>
        <v>S</v>
      </c>
      <c r="AE379" s="4" t="str">
        <f>Table2[[#This Row],[field_fate5]]</f>
        <v>S</v>
      </c>
      <c r="AF379" s="4" t="str">
        <f>Table2[[#This Row],[field_fate5]]</f>
        <v>S</v>
      </c>
      <c r="AG379" s="4" t="str">
        <f>Table2[[#This Row],[field_fate5]]</f>
        <v>S</v>
      </c>
      <c r="AH379" s="4" t="str">
        <f>Table2[[#This Row],[field_fate2]]</f>
        <v>S</v>
      </c>
      <c r="AI379" s="4" t="str">
        <f>Table2[[#This Row],[field_fate8]]</f>
        <v>S</v>
      </c>
      <c r="AJ379" s="4" t="str">
        <f>Table2[[#This Row],[field_fate10]]</f>
        <v>S</v>
      </c>
      <c r="AK379" s="4" t="b">
        <f>Table2[[#This Row],[field_fate_feb]]=Table2[[#This Row],[field_fate10]]</f>
        <v>1</v>
      </c>
      <c r="AL379" s="43" t="s">
        <v>24</v>
      </c>
      <c r="AM379" s="43" t="b">
        <f>Table2[[#This Row],[cam_fate2]]="NA"</f>
        <v>1</v>
      </c>
      <c r="AN379" s="19" t="str">
        <f>Table2[[#This Row],[cam_fate1]]</f>
        <v>NA</v>
      </c>
      <c r="AO379" s="2" t="s">
        <v>25</v>
      </c>
      <c r="AP379" s="5" t="str">
        <f>Table2[[#This Row],[final_fate1]]</f>
        <v>S</v>
      </c>
      <c r="AQ379" s="6">
        <v>7</v>
      </c>
      <c r="AR379" s="7">
        <v>7</v>
      </c>
      <c r="AS379" s="7">
        <f>Table2[[#This Row],[final_obs_date]]-Table2[[#This Row],[init_date]]</f>
        <v>7</v>
      </c>
      <c r="AT379" s="7">
        <f>(Table2[[#This Row],[final_obs_date2]]-Table2[[#This Row],[estHD]])+16</f>
        <v>4</v>
      </c>
      <c r="AU379" s="38">
        <v>3</v>
      </c>
      <c r="AV379" s="33">
        <v>3</v>
      </c>
      <c r="AW379" s="33">
        <f>Table2[[#This Row],[final_obs_date2]]-Table2[[#This Row],[pen_obs_date]]</f>
        <v>74</v>
      </c>
      <c r="AX379" s="67">
        <v>74</v>
      </c>
      <c r="AY379" s="6">
        <f>Table2[[#This Row],[final_obs_date]]</f>
        <v>74</v>
      </c>
      <c r="AZ379" s="6"/>
      <c r="BA379" s="91" t="s">
        <v>47</v>
      </c>
      <c r="BB379" s="6" t="b">
        <f>Table2[[#This Row],[final_obs_date]]&lt;(Table2[[#This Row],[estHD]]-2)</f>
        <v>1</v>
      </c>
      <c r="BC379" s="24">
        <f>IF(Table2[[#This Row],[field_fate]]="H",1,0)</f>
        <v>0</v>
      </c>
      <c r="BD379" s="16">
        <f>IF(Table2[[#This Row],[cam_fate2]]="H",1,0)</f>
        <v>0</v>
      </c>
      <c r="BE379" s="6" t="b">
        <f>NOT(Table2[[#This Row],[HF_C]]=Table2[[#This Row],[HF]])</f>
        <v>0</v>
      </c>
      <c r="BF379" s="6" t="b">
        <f>NOT(Table2[[#This Row],[cam_fate2]]=Table2[[#This Row],[field_fate3]])</f>
        <v>1</v>
      </c>
      <c r="BG379" s="6" t="b">
        <f>OR(Table2[[#This Row],[field_fate3]]="U",Table2[[#This Row],[field_fate3]]="U-H")</f>
        <v>0</v>
      </c>
      <c r="BH379" s="8">
        <v>71</v>
      </c>
      <c r="BI379" s="8">
        <v>71</v>
      </c>
      <c r="BJ379" s="14">
        <f>IF(ISTEXT(Table2[[#This Row],[j.cam]]),Table2[[#This Row],[j]],Table2[[#This Row],[j.cam]])</f>
        <v>71</v>
      </c>
      <c r="BK379" s="9">
        <v>74</v>
      </c>
      <c r="BL379" s="15">
        <f>IF(ISTEXT(Table2[[#This Row],[k.cam]]), Table2[[#This Row],[k]], Table2[[#This Row],[k.cam]])</f>
        <v>74</v>
      </c>
      <c r="BM379" s="4" t="s">
        <v>24</v>
      </c>
      <c r="BN379" s="8" t="s">
        <v>24</v>
      </c>
      <c r="BO379" s="4">
        <v>2</v>
      </c>
      <c r="BP379" s="4">
        <f>Table2[[#This Row],[final_obs_date]]-Table2[[#This Row],[i]]</f>
        <v>3</v>
      </c>
      <c r="BQ379" s="4" t="b">
        <f>Table2[[#This Row],[final_obs_date2]]&gt;Table2[[#This Row],[estHD]]+3</f>
        <v>0</v>
      </c>
      <c r="BR379" s="4" t="s">
        <v>33</v>
      </c>
      <c r="BS379" s="4" t="s">
        <v>45</v>
      </c>
      <c r="BT379" s="79" t="s">
        <v>1246</v>
      </c>
      <c r="BU379" s="26" t="s">
        <v>87</v>
      </c>
      <c r="BV379" s="79" t="s">
        <v>1430</v>
      </c>
      <c r="BW379" s="49"/>
      <c r="BX379" s="47"/>
      <c r="BY379" s="36" t="s">
        <v>728</v>
      </c>
    </row>
    <row r="380" spans="1:77" hidden="1" x14ac:dyDescent="0.35">
      <c r="A380" s="63">
        <v>20284</v>
      </c>
      <c r="B380" s="2" t="s">
        <v>111</v>
      </c>
      <c r="C380" s="45">
        <v>2020</v>
      </c>
      <c r="D380" s="3">
        <v>29.77224</v>
      </c>
      <c r="E380" s="3">
        <v>-93.296869999999998</v>
      </c>
      <c r="F380" s="3">
        <v>0</v>
      </c>
      <c r="G380" s="3">
        <v>0</v>
      </c>
      <c r="H380" s="3" t="s">
        <v>26</v>
      </c>
      <c r="I380" s="43"/>
      <c r="J380" s="55">
        <v>85</v>
      </c>
      <c r="K380" s="4">
        <v>85</v>
      </c>
      <c r="L380" s="22">
        <f>IF(ISNUMBER(Table2[[#This Row],[estHD]]),ABS(Table2[[#This Row],[HD]]-Table2[[#This Row],[estHD]]),"NA")</f>
        <v>0</v>
      </c>
      <c r="M380" s="4" t="b">
        <f>Table2[[#This Row],[HD]]=Table2[[#This Row],[estHD]]</f>
        <v>1</v>
      </c>
      <c r="N380" s="4" t="str">
        <f>IF(ISNUMBER([1]!Table2[[#This Row],[hatch_date]]),[1]!Table2[[#This Row],[hatch_date]]-19,"NA")</f>
        <v>NA</v>
      </c>
      <c r="O380" s="31">
        <v>66</v>
      </c>
      <c r="P380" s="23">
        <f>IF(ISNUMBER(Table2[[#This Row],[nest_age1]]),ABS(Table2[[#This Row],[nest_age1]]-Table2[[#This Row],[nest_age_feb]]),"NA")</f>
        <v>1</v>
      </c>
      <c r="Q380" s="24">
        <f>IF(ISNUMBER(Table2[[#This Row],[final_obs_int2]]),ABS(Table2[[#This Row],[final_obs_int2]]-Table2[[#This Row],[final_obs_int_feb]]), "NA")</f>
        <v>0</v>
      </c>
      <c r="R380" s="24"/>
      <c r="S380" s="57" t="s">
        <v>88</v>
      </c>
      <c r="T380" s="57" t="str">
        <f>Table2[[#This Row],[camera_old]]</f>
        <v>N</v>
      </c>
      <c r="U380" s="24"/>
      <c r="V380" s="16" t="s">
        <v>24</v>
      </c>
      <c r="W380" s="16">
        <v>7</v>
      </c>
      <c r="X380" s="145">
        <v>3</v>
      </c>
      <c r="Y380" s="147" t="s">
        <v>25</v>
      </c>
      <c r="Z380" s="146" t="s">
        <v>25</v>
      </c>
      <c r="AA380" s="4" t="str">
        <f>Table2[[#This Row],[field_fate]]</f>
        <v>S</v>
      </c>
      <c r="AB380" s="4" t="str">
        <f>Table2[[#This Row],[field_fate2]]</f>
        <v>S</v>
      </c>
      <c r="AC380" s="4" t="str">
        <f>Table2[[#This Row],[field_fate3]]</f>
        <v>S</v>
      </c>
      <c r="AD380" s="4" t="str">
        <f>Table2[[#This Row],[field_fate4]]</f>
        <v>S</v>
      </c>
      <c r="AE380" s="4" t="str">
        <f>Table2[[#This Row],[field_fate5]]</f>
        <v>S</v>
      </c>
      <c r="AF380" s="4" t="str">
        <f>Table2[[#This Row],[field_fate5]]</f>
        <v>S</v>
      </c>
      <c r="AG380" s="4" t="str">
        <f>Table2[[#This Row],[field_fate5]]</f>
        <v>S</v>
      </c>
      <c r="AH380" s="4" t="str">
        <f>Table2[[#This Row],[field_fate2]]</f>
        <v>S</v>
      </c>
      <c r="AI380" s="4" t="str">
        <f>Table2[[#This Row],[field_fate8]]</f>
        <v>S</v>
      </c>
      <c r="AJ380" s="4" t="str">
        <f>Table2[[#This Row],[field_fate10]]</f>
        <v>S</v>
      </c>
      <c r="AK380" s="4" t="b">
        <f>Table2[[#This Row],[field_fate_feb]]=Table2[[#This Row],[field_fate10]]</f>
        <v>1</v>
      </c>
      <c r="AL380" s="43" t="s">
        <v>24</v>
      </c>
      <c r="AM380" s="43" t="b">
        <f>Table2[[#This Row],[cam_fate2]]="NA"</f>
        <v>1</v>
      </c>
      <c r="AN380" s="19" t="str">
        <f>Table2[[#This Row],[cam_fate1]]</f>
        <v>NA</v>
      </c>
      <c r="AO380" s="2" t="s">
        <v>25</v>
      </c>
      <c r="AP380" s="5" t="str">
        <f>Table2[[#This Row],[final_fate1]]</f>
        <v>S</v>
      </c>
      <c r="AQ380" s="6">
        <v>8</v>
      </c>
      <c r="AR380" s="7">
        <v>8</v>
      </c>
      <c r="AS380" s="7">
        <f>Table2[[#This Row],[final_obs_date]]-Table2[[#This Row],[init_date]]</f>
        <v>8</v>
      </c>
      <c r="AT380" s="7">
        <f>(Table2[[#This Row],[final_obs_date2]]-Table2[[#This Row],[estHD]])+16</f>
        <v>5</v>
      </c>
      <c r="AU380" s="38">
        <v>3</v>
      </c>
      <c r="AV380" s="33">
        <v>3</v>
      </c>
      <c r="AW380" s="33">
        <f>Table2[[#This Row],[final_obs_date2]]-Table2[[#This Row],[pen_obs_date]]</f>
        <v>74</v>
      </c>
      <c r="AX380" s="67">
        <v>74</v>
      </c>
      <c r="AY380" s="6">
        <f>Table2[[#This Row],[final_obs_date]]</f>
        <v>74</v>
      </c>
      <c r="AZ380" s="6"/>
      <c r="BA380" s="91" t="s">
        <v>47</v>
      </c>
      <c r="BB380" s="6" t="b">
        <f>Table2[[#This Row],[final_obs_date]]&lt;(Table2[[#This Row],[estHD]]-2)</f>
        <v>1</v>
      </c>
      <c r="BC380" s="24">
        <f>IF(Table2[[#This Row],[field_fate]]="H",1,0)</f>
        <v>0</v>
      </c>
      <c r="BD380" s="16">
        <f>IF(Table2[[#This Row],[cam_fate2]]="H",1,0)</f>
        <v>0</v>
      </c>
      <c r="BE380" s="6" t="b">
        <f>NOT(Table2[[#This Row],[HF_C]]=Table2[[#This Row],[HF]])</f>
        <v>0</v>
      </c>
      <c r="BF380" s="6" t="b">
        <f>NOT(Table2[[#This Row],[cam_fate2]]=Table2[[#This Row],[field_fate3]])</f>
        <v>1</v>
      </c>
      <c r="BG380" s="6" t="b">
        <f>OR(Table2[[#This Row],[field_fate3]]="U",Table2[[#This Row],[field_fate3]]="U-H")</f>
        <v>0</v>
      </c>
      <c r="BH380" s="8">
        <v>71</v>
      </c>
      <c r="BI380" s="8">
        <v>71</v>
      </c>
      <c r="BJ380" s="14">
        <f>IF(ISTEXT(Table2[[#This Row],[j.cam]]),Table2[[#This Row],[j]],Table2[[#This Row],[j.cam]])</f>
        <v>71</v>
      </c>
      <c r="BK380" s="9">
        <v>74</v>
      </c>
      <c r="BL380" s="15">
        <f>IF(ISTEXT(Table2[[#This Row],[k.cam]]), Table2[[#This Row],[k]], Table2[[#This Row],[k.cam]])</f>
        <v>74</v>
      </c>
      <c r="BM380" s="4" t="s">
        <v>24</v>
      </c>
      <c r="BN380" s="8" t="s">
        <v>24</v>
      </c>
      <c r="BO380" s="4">
        <v>2</v>
      </c>
      <c r="BP380" s="4">
        <f>Table2[[#This Row],[final_obs_date]]-Table2[[#This Row],[i]]</f>
        <v>3</v>
      </c>
      <c r="BQ380" s="4" t="b">
        <f>Table2[[#This Row],[final_obs_date2]]&gt;Table2[[#This Row],[estHD]]+3</f>
        <v>0</v>
      </c>
      <c r="BR380" s="4" t="s">
        <v>33</v>
      </c>
      <c r="BS380" s="4" t="s">
        <v>45</v>
      </c>
      <c r="BT380" s="79" t="s">
        <v>1246</v>
      </c>
      <c r="BU380" s="26" t="s">
        <v>87</v>
      </c>
      <c r="BV380" s="79" t="s">
        <v>1430</v>
      </c>
      <c r="BW380" s="49"/>
      <c r="BX380" s="47"/>
      <c r="BY380" s="36" t="s">
        <v>728</v>
      </c>
    </row>
    <row r="381" spans="1:77" hidden="1" x14ac:dyDescent="0.35">
      <c r="A381" s="63">
        <v>20285</v>
      </c>
      <c r="B381" s="2" t="s">
        <v>111</v>
      </c>
      <c r="C381" s="45">
        <v>2020</v>
      </c>
      <c r="D381" s="3">
        <v>29.77223</v>
      </c>
      <c r="E381" s="3">
        <v>-93.29701</v>
      </c>
      <c r="F381" s="3">
        <v>0</v>
      </c>
      <c r="G381" s="3">
        <v>0</v>
      </c>
      <c r="H381" s="3" t="s">
        <v>26</v>
      </c>
      <c r="I381" s="43"/>
      <c r="J381" s="55">
        <v>82</v>
      </c>
      <c r="K381" s="4">
        <v>82</v>
      </c>
      <c r="L381" s="22">
        <f>IF(ISNUMBER(Table2[[#This Row],[estHD]]),ABS(Table2[[#This Row],[HD]]-Table2[[#This Row],[estHD]]),"NA")</f>
        <v>0</v>
      </c>
      <c r="M381" s="4" t="b">
        <f>Table2[[#This Row],[HD]]=Table2[[#This Row],[estHD]]</f>
        <v>1</v>
      </c>
      <c r="N381" s="4" t="str">
        <f>IF(ISNUMBER([1]!Table2[[#This Row],[hatch_date]]),[1]!Table2[[#This Row],[hatch_date]]-19,"NA")</f>
        <v>NA</v>
      </c>
      <c r="O381" s="31">
        <v>63</v>
      </c>
      <c r="P381" s="23">
        <f>IF(ISNUMBER(Table2[[#This Row],[nest_age1]]),ABS(Table2[[#This Row],[nest_age1]]-Table2[[#This Row],[nest_age_feb]]),"NA")</f>
        <v>1</v>
      </c>
      <c r="Q381" s="24">
        <f>IF(ISNUMBER(Table2[[#This Row],[final_obs_int2]]),ABS(Table2[[#This Row],[final_obs_int2]]-Table2[[#This Row],[final_obs_int_feb]]), "NA")</f>
        <v>0</v>
      </c>
      <c r="R381" s="24"/>
      <c r="S381" s="57" t="s">
        <v>88</v>
      </c>
      <c r="T381" s="57" t="str">
        <f>Table2[[#This Row],[camera_old]]</f>
        <v>N</v>
      </c>
      <c r="U381" s="24"/>
      <c r="V381" s="16" t="s">
        <v>24</v>
      </c>
      <c r="W381" s="16">
        <v>10</v>
      </c>
      <c r="X381" s="145">
        <v>3</v>
      </c>
      <c r="Y381" s="147" t="s">
        <v>25</v>
      </c>
      <c r="Z381" s="146" t="s">
        <v>25</v>
      </c>
      <c r="AA381" s="4" t="str">
        <f>Table2[[#This Row],[field_fate]]</f>
        <v>S</v>
      </c>
      <c r="AB381" s="4" t="str">
        <f>Table2[[#This Row],[field_fate2]]</f>
        <v>S</v>
      </c>
      <c r="AC381" s="4" t="str">
        <f>Table2[[#This Row],[field_fate3]]</f>
        <v>S</v>
      </c>
      <c r="AD381" s="4" t="str">
        <f>Table2[[#This Row],[field_fate4]]</f>
        <v>S</v>
      </c>
      <c r="AE381" s="4" t="str">
        <f>Table2[[#This Row],[field_fate5]]</f>
        <v>S</v>
      </c>
      <c r="AF381" s="4" t="str">
        <f>Table2[[#This Row],[field_fate5]]</f>
        <v>S</v>
      </c>
      <c r="AG381" s="4" t="str">
        <f>Table2[[#This Row],[field_fate5]]</f>
        <v>S</v>
      </c>
      <c r="AH381" s="4" t="str">
        <f>Table2[[#This Row],[field_fate2]]</f>
        <v>S</v>
      </c>
      <c r="AI381" s="4" t="str">
        <f>Table2[[#This Row],[field_fate8]]</f>
        <v>S</v>
      </c>
      <c r="AJ381" s="4" t="str">
        <f>Table2[[#This Row],[field_fate10]]</f>
        <v>S</v>
      </c>
      <c r="AK381" s="4" t="b">
        <f>Table2[[#This Row],[field_fate_feb]]=Table2[[#This Row],[field_fate10]]</f>
        <v>1</v>
      </c>
      <c r="AL381" s="43" t="s">
        <v>24</v>
      </c>
      <c r="AM381" s="43" t="b">
        <f>Table2[[#This Row],[cam_fate2]]="NA"</f>
        <v>1</v>
      </c>
      <c r="AN381" s="19" t="str">
        <f>Table2[[#This Row],[cam_fate1]]</f>
        <v>NA</v>
      </c>
      <c r="AO381" s="2" t="s">
        <v>25</v>
      </c>
      <c r="AP381" s="5" t="str">
        <f>Table2[[#This Row],[final_fate1]]</f>
        <v>S</v>
      </c>
      <c r="AQ381" s="6">
        <v>11</v>
      </c>
      <c r="AR381" s="7">
        <v>11</v>
      </c>
      <c r="AS381" s="7">
        <f>Table2[[#This Row],[final_obs_date]]-Table2[[#This Row],[init_date]]</f>
        <v>11</v>
      </c>
      <c r="AT381" s="7">
        <f>(Table2[[#This Row],[final_obs_date2]]-Table2[[#This Row],[estHD]])+16</f>
        <v>8</v>
      </c>
      <c r="AU381" s="38">
        <v>3</v>
      </c>
      <c r="AV381" s="33">
        <v>3</v>
      </c>
      <c r="AW381" s="33">
        <f>Table2[[#This Row],[final_obs_date2]]-Table2[[#This Row],[pen_obs_date]]</f>
        <v>74</v>
      </c>
      <c r="AX381" s="67">
        <v>74</v>
      </c>
      <c r="AY381" s="6">
        <f>Table2[[#This Row],[final_obs_date]]</f>
        <v>74</v>
      </c>
      <c r="AZ381" s="6"/>
      <c r="BA381" s="91" t="s">
        <v>47</v>
      </c>
      <c r="BB381" s="6" t="b">
        <f>Table2[[#This Row],[final_obs_date]]&lt;(Table2[[#This Row],[estHD]]-2)</f>
        <v>1</v>
      </c>
      <c r="BC381" s="24">
        <f>IF(Table2[[#This Row],[field_fate]]="H",1,0)</f>
        <v>0</v>
      </c>
      <c r="BD381" s="16">
        <f>IF(Table2[[#This Row],[cam_fate2]]="H",1,0)</f>
        <v>0</v>
      </c>
      <c r="BE381" s="6" t="b">
        <f>NOT(Table2[[#This Row],[HF_C]]=Table2[[#This Row],[HF]])</f>
        <v>0</v>
      </c>
      <c r="BF381" s="6" t="b">
        <f>NOT(Table2[[#This Row],[cam_fate2]]=Table2[[#This Row],[field_fate3]])</f>
        <v>1</v>
      </c>
      <c r="BG381" s="6" t="b">
        <f>OR(Table2[[#This Row],[field_fate3]]="U",Table2[[#This Row],[field_fate3]]="U-H")</f>
        <v>0</v>
      </c>
      <c r="BH381" s="8">
        <v>71</v>
      </c>
      <c r="BI381" s="8">
        <v>71</v>
      </c>
      <c r="BJ381" s="14">
        <f>IF(ISTEXT(Table2[[#This Row],[j.cam]]),Table2[[#This Row],[j]],Table2[[#This Row],[j.cam]])</f>
        <v>71</v>
      </c>
      <c r="BK381" s="9">
        <v>74</v>
      </c>
      <c r="BL381" s="15">
        <f>IF(ISTEXT(Table2[[#This Row],[k.cam]]), Table2[[#This Row],[k]], Table2[[#This Row],[k.cam]])</f>
        <v>74</v>
      </c>
      <c r="BM381" s="4" t="s">
        <v>24</v>
      </c>
      <c r="BN381" s="8" t="s">
        <v>24</v>
      </c>
      <c r="BO381" s="4">
        <v>2</v>
      </c>
      <c r="BP381" s="4">
        <f>Table2[[#This Row],[final_obs_date]]-Table2[[#This Row],[i]]</f>
        <v>3</v>
      </c>
      <c r="BQ381" s="4" t="b">
        <f>Table2[[#This Row],[final_obs_date2]]&gt;Table2[[#This Row],[estHD]]+3</f>
        <v>0</v>
      </c>
      <c r="BR381" s="4" t="s">
        <v>33</v>
      </c>
      <c r="BS381" s="4" t="s">
        <v>45</v>
      </c>
      <c r="BT381" s="79" t="s">
        <v>1246</v>
      </c>
      <c r="BU381" s="26" t="s">
        <v>87</v>
      </c>
      <c r="BV381" s="79" t="s">
        <v>1430</v>
      </c>
      <c r="BW381" s="49"/>
      <c r="BX381" s="47"/>
      <c r="BY381" s="36" t="s">
        <v>728</v>
      </c>
    </row>
    <row r="382" spans="1:77" hidden="1" x14ac:dyDescent="0.35">
      <c r="A382" s="63">
        <v>20286</v>
      </c>
      <c r="B382" s="2" t="s">
        <v>111</v>
      </c>
      <c r="C382" s="45">
        <v>2020</v>
      </c>
      <c r="D382" s="3">
        <v>29.772189999999998</v>
      </c>
      <c r="E382" s="3">
        <v>-93.297200000000004</v>
      </c>
      <c r="F382" s="3">
        <v>0</v>
      </c>
      <c r="G382" s="3">
        <v>0</v>
      </c>
      <c r="H382" s="3" t="s">
        <v>26</v>
      </c>
      <c r="I382" s="43"/>
      <c r="J382" s="55">
        <v>87</v>
      </c>
      <c r="K382" s="4">
        <v>87</v>
      </c>
      <c r="L382" s="22">
        <f>IF(ISNUMBER(Table2[[#This Row],[estHD]]),ABS(Table2[[#This Row],[HD]]-Table2[[#This Row],[estHD]]),"NA")</f>
        <v>0</v>
      </c>
      <c r="M382" s="4" t="b">
        <f>Table2[[#This Row],[HD]]=Table2[[#This Row],[estHD]]</f>
        <v>1</v>
      </c>
      <c r="N382" s="4" t="str">
        <f>IF(ISNUMBER([1]!Table2[[#This Row],[hatch_date]]),[1]!Table2[[#This Row],[hatch_date]]-19,"NA")</f>
        <v>NA</v>
      </c>
      <c r="O382" s="31">
        <v>68</v>
      </c>
      <c r="P382" s="23">
        <f>IF(ISNUMBER(Table2[[#This Row],[nest_age1]]),ABS(Table2[[#This Row],[nest_age1]]-Table2[[#This Row],[nest_age_feb]]),"NA")</f>
        <v>1</v>
      </c>
      <c r="Q382" s="24">
        <f>IF(ISNUMBER(Table2[[#This Row],[final_obs_int2]]),ABS(Table2[[#This Row],[final_obs_int2]]-Table2[[#This Row],[final_obs_int_feb]]), "NA")</f>
        <v>0</v>
      </c>
      <c r="R382" s="24"/>
      <c r="S382" s="57" t="s">
        <v>88</v>
      </c>
      <c r="T382" s="57" t="str">
        <f>Table2[[#This Row],[camera_old]]</f>
        <v>N</v>
      </c>
      <c r="U382" s="24"/>
      <c r="V382" s="16" t="s">
        <v>24</v>
      </c>
      <c r="W382" s="16">
        <v>5</v>
      </c>
      <c r="X382" s="145">
        <v>3</v>
      </c>
      <c r="Y382" s="147" t="s">
        <v>25</v>
      </c>
      <c r="Z382" s="146" t="s">
        <v>25</v>
      </c>
      <c r="AA382" s="4" t="str">
        <f>Table2[[#This Row],[field_fate]]</f>
        <v>S</v>
      </c>
      <c r="AB382" s="4" t="str">
        <f>Table2[[#This Row],[field_fate2]]</f>
        <v>S</v>
      </c>
      <c r="AC382" s="4" t="str">
        <f>Table2[[#This Row],[field_fate3]]</f>
        <v>S</v>
      </c>
      <c r="AD382" s="4" t="str">
        <f>Table2[[#This Row],[field_fate4]]</f>
        <v>S</v>
      </c>
      <c r="AE382" s="4" t="str">
        <f>Table2[[#This Row],[field_fate5]]</f>
        <v>S</v>
      </c>
      <c r="AF382" s="4" t="str">
        <f>Table2[[#This Row],[field_fate5]]</f>
        <v>S</v>
      </c>
      <c r="AG382" s="4" t="str">
        <f>Table2[[#This Row],[field_fate5]]</f>
        <v>S</v>
      </c>
      <c r="AH382" s="4" t="str">
        <f>Table2[[#This Row],[field_fate2]]</f>
        <v>S</v>
      </c>
      <c r="AI382" s="4" t="str">
        <f>Table2[[#This Row],[field_fate8]]</f>
        <v>S</v>
      </c>
      <c r="AJ382" s="4" t="str">
        <f>Table2[[#This Row],[field_fate10]]</f>
        <v>S</v>
      </c>
      <c r="AK382" s="4" t="b">
        <f>Table2[[#This Row],[field_fate_feb]]=Table2[[#This Row],[field_fate10]]</f>
        <v>1</v>
      </c>
      <c r="AL382" s="43" t="s">
        <v>24</v>
      </c>
      <c r="AM382" s="43" t="b">
        <f>Table2[[#This Row],[cam_fate2]]="NA"</f>
        <v>1</v>
      </c>
      <c r="AN382" s="19" t="str">
        <f>Table2[[#This Row],[cam_fate1]]</f>
        <v>NA</v>
      </c>
      <c r="AO382" s="2" t="s">
        <v>25</v>
      </c>
      <c r="AP382" s="5" t="str">
        <f>Table2[[#This Row],[final_fate1]]</f>
        <v>S</v>
      </c>
      <c r="AQ382" s="6">
        <v>6</v>
      </c>
      <c r="AR382" s="7">
        <v>6</v>
      </c>
      <c r="AS382" s="7">
        <f>Table2[[#This Row],[final_obs_date]]-Table2[[#This Row],[init_date]]</f>
        <v>6</v>
      </c>
      <c r="AT382" s="7">
        <f>(Table2[[#This Row],[final_obs_date2]]-Table2[[#This Row],[estHD]])+16</f>
        <v>3</v>
      </c>
      <c r="AU382" s="38">
        <v>3</v>
      </c>
      <c r="AV382" s="33">
        <v>3</v>
      </c>
      <c r="AW382" s="33">
        <f>Table2[[#This Row],[final_obs_date2]]-Table2[[#This Row],[pen_obs_date]]</f>
        <v>74</v>
      </c>
      <c r="AX382" s="67">
        <v>74</v>
      </c>
      <c r="AY382" s="6">
        <f>Table2[[#This Row],[final_obs_date]]</f>
        <v>74</v>
      </c>
      <c r="AZ382" s="6"/>
      <c r="BA382" s="91" t="s">
        <v>47</v>
      </c>
      <c r="BB382" s="6" t="b">
        <f>Table2[[#This Row],[final_obs_date]]&lt;(Table2[[#This Row],[estHD]]-2)</f>
        <v>1</v>
      </c>
      <c r="BC382" s="24">
        <f>IF(Table2[[#This Row],[field_fate]]="H",1,0)</f>
        <v>0</v>
      </c>
      <c r="BD382" s="16">
        <f>IF(Table2[[#This Row],[cam_fate2]]="H",1,0)</f>
        <v>0</v>
      </c>
      <c r="BE382" s="6" t="b">
        <f>NOT(Table2[[#This Row],[HF_C]]=Table2[[#This Row],[HF]])</f>
        <v>0</v>
      </c>
      <c r="BF382" s="6" t="b">
        <f>NOT(Table2[[#This Row],[cam_fate2]]=Table2[[#This Row],[field_fate3]])</f>
        <v>1</v>
      </c>
      <c r="BG382" s="6" t="b">
        <f>OR(Table2[[#This Row],[field_fate3]]="U",Table2[[#This Row],[field_fate3]]="U-H")</f>
        <v>0</v>
      </c>
      <c r="BH382" s="8">
        <v>71</v>
      </c>
      <c r="BI382" s="8">
        <v>71</v>
      </c>
      <c r="BJ382" s="14">
        <f>IF(ISTEXT(Table2[[#This Row],[j.cam]]),Table2[[#This Row],[j]],Table2[[#This Row],[j.cam]])</f>
        <v>71</v>
      </c>
      <c r="BK382" s="9">
        <v>74</v>
      </c>
      <c r="BL382" s="15">
        <f>IF(ISTEXT(Table2[[#This Row],[k.cam]]), Table2[[#This Row],[k]], Table2[[#This Row],[k.cam]])</f>
        <v>74</v>
      </c>
      <c r="BM382" s="4" t="s">
        <v>24</v>
      </c>
      <c r="BN382" s="8" t="s">
        <v>24</v>
      </c>
      <c r="BO382" s="4">
        <v>2</v>
      </c>
      <c r="BP382" s="4">
        <f>Table2[[#This Row],[final_obs_date]]-Table2[[#This Row],[i]]</f>
        <v>3</v>
      </c>
      <c r="BQ382" s="4" t="b">
        <f>Table2[[#This Row],[final_obs_date2]]&gt;Table2[[#This Row],[estHD]]+3</f>
        <v>0</v>
      </c>
      <c r="BR382" s="4" t="s">
        <v>33</v>
      </c>
      <c r="BS382" s="4" t="s">
        <v>45</v>
      </c>
      <c r="BT382" s="79" t="s">
        <v>1246</v>
      </c>
      <c r="BU382" s="26" t="s">
        <v>87</v>
      </c>
      <c r="BV382" s="79" t="s">
        <v>1430</v>
      </c>
      <c r="BW382" s="49"/>
      <c r="BX382" s="47"/>
      <c r="BY382" s="36" t="s">
        <v>728</v>
      </c>
    </row>
    <row r="383" spans="1:77" hidden="1" x14ac:dyDescent="0.35">
      <c r="A383" s="63">
        <v>20287</v>
      </c>
      <c r="B383" s="2" t="s">
        <v>111</v>
      </c>
      <c r="C383" s="45">
        <v>2020</v>
      </c>
      <c r="D383" s="3">
        <v>29.77216</v>
      </c>
      <c r="E383" s="3">
        <v>-93.297420000000002</v>
      </c>
      <c r="F383" s="3">
        <v>0</v>
      </c>
      <c r="G383" s="3">
        <v>0</v>
      </c>
      <c r="H383" s="3" t="s">
        <v>26</v>
      </c>
      <c r="I383" s="43"/>
      <c r="J383" s="55">
        <v>87</v>
      </c>
      <c r="K383" s="4">
        <v>87</v>
      </c>
      <c r="L383" s="22">
        <f>IF(ISNUMBER(Table2[[#This Row],[estHD]]),ABS(Table2[[#This Row],[HD]]-Table2[[#This Row],[estHD]]),"NA")</f>
        <v>0</v>
      </c>
      <c r="M383" s="4" t="b">
        <f>Table2[[#This Row],[HD]]=Table2[[#This Row],[estHD]]</f>
        <v>1</v>
      </c>
      <c r="N383" s="4" t="str">
        <f>IF(ISNUMBER([1]!Table2[[#This Row],[hatch_date]]),[1]!Table2[[#This Row],[hatch_date]]-19,"NA")</f>
        <v>NA</v>
      </c>
      <c r="O383" s="31">
        <v>68</v>
      </c>
      <c r="P383" s="23">
        <f>IF(ISNUMBER(Table2[[#This Row],[nest_age1]]),ABS(Table2[[#This Row],[nest_age1]]-Table2[[#This Row],[nest_age_feb]]),"NA")</f>
        <v>1</v>
      </c>
      <c r="Q383" s="24">
        <f>IF(ISNUMBER(Table2[[#This Row],[final_obs_int2]]),ABS(Table2[[#This Row],[final_obs_int2]]-Table2[[#This Row],[final_obs_int_feb]]), "NA")</f>
        <v>0</v>
      </c>
      <c r="R383" s="24"/>
      <c r="S383" s="57" t="s">
        <v>88</v>
      </c>
      <c r="T383" s="57" t="str">
        <f>Table2[[#This Row],[camera_old]]</f>
        <v>N</v>
      </c>
      <c r="U383" s="24"/>
      <c r="V383" s="16" t="s">
        <v>24</v>
      </c>
      <c r="W383" s="16">
        <v>5</v>
      </c>
      <c r="X383" s="145">
        <v>3</v>
      </c>
      <c r="Y383" s="147" t="s">
        <v>25</v>
      </c>
      <c r="Z383" s="146" t="s">
        <v>25</v>
      </c>
      <c r="AA383" s="4" t="str">
        <f>Table2[[#This Row],[field_fate]]</f>
        <v>S</v>
      </c>
      <c r="AB383" s="4" t="str">
        <f>Table2[[#This Row],[field_fate2]]</f>
        <v>S</v>
      </c>
      <c r="AC383" s="4" t="str">
        <f>Table2[[#This Row],[field_fate3]]</f>
        <v>S</v>
      </c>
      <c r="AD383" s="4" t="str">
        <f>Table2[[#This Row],[field_fate4]]</f>
        <v>S</v>
      </c>
      <c r="AE383" s="4" t="str">
        <f>Table2[[#This Row],[field_fate5]]</f>
        <v>S</v>
      </c>
      <c r="AF383" s="4" t="str">
        <f>Table2[[#This Row],[field_fate5]]</f>
        <v>S</v>
      </c>
      <c r="AG383" s="4" t="str">
        <f>Table2[[#This Row],[field_fate5]]</f>
        <v>S</v>
      </c>
      <c r="AH383" s="4" t="str">
        <f>Table2[[#This Row],[field_fate2]]</f>
        <v>S</v>
      </c>
      <c r="AI383" s="4" t="str">
        <f>Table2[[#This Row],[field_fate8]]</f>
        <v>S</v>
      </c>
      <c r="AJ383" s="4" t="str">
        <f>Table2[[#This Row],[field_fate10]]</f>
        <v>S</v>
      </c>
      <c r="AK383" s="4" t="b">
        <f>Table2[[#This Row],[field_fate_feb]]=Table2[[#This Row],[field_fate10]]</f>
        <v>1</v>
      </c>
      <c r="AL383" s="43" t="s">
        <v>24</v>
      </c>
      <c r="AM383" s="43" t="b">
        <f>Table2[[#This Row],[cam_fate2]]="NA"</f>
        <v>1</v>
      </c>
      <c r="AN383" s="19" t="str">
        <f>Table2[[#This Row],[cam_fate1]]</f>
        <v>NA</v>
      </c>
      <c r="AO383" s="2" t="s">
        <v>25</v>
      </c>
      <c r="AP383" s="5" t="str">
        <f>Table2[[#This Row],[final_fate1]]</f>
        <v>S</v>
      </c>
      <c r="AQ383" s="6">
        <v>6</v>
      </c>
      <c r="AR383" s="7">
        <v>6</v>
      </c>
      <c r="AS383" s="7">
        <f>Table2[[#This Row],[final_obs_date]]-Table2[[#This Row],[init_date]]</f>
        <v>6</v>
      </c>
      <c r="AT383" s="7">
        <f>(Table2[[#This Row],[final_obs_date2]]-Table2[[#This Row],[estHD]])+16</f>
        <v>3</v>
      </c>
      <c r="AU383" s="38">
        <v>3</v>
      </c>
      <c r="AV383" s="33">
        <v>3</v>
      </c>
      <c r="AW383" s="33">
        <f>Table2[[#This Row],[final_obs_date2]]-Table2[[#This Row],[pen_obs_date]]</f>
        <v>74</v>
      </c>
      <c r="AX383" s="67">
        <v>74</v>
      </c>
      <c r="AY383" s="6">
        <f>Table2[[#This Row],[final_obs_date]]</f>
        <v>74</v>
      </c>
      <c r="AZ383" s="6"/>
      <c r="BA383" s="91" t="s">
        <v>47</v>
      </c>
      <c r="BB383" s="6" t="b">
        <f>Table2[[#This Row],[final_obs_date]]&lt;(Table2[[#This Row],[estHD]]-2)</f>
        <v>1</v>
      </c>
      <c r="BC383" s="24">
        <f>IF(Table2[[#This Row],[field_fate]]="H",1,0)</f>
        <v>0</v>
      </c>
      <c r="BD383" s="16">
        <f>IF(Table2[[#This Row],[cam_fate2]]="H",1,0)</f>
        <v>0</v>
      </c>
      <c r="BE383" s="6" t="b">
        <f>NOT(Table2[[#This Row],[HF_C]]=Table2[[#This Row],[HF]])</f>
        <v>0</v>
      </c>
      <c r="BF383" s="6" t="b">
        <f>NOT(Table2[[#This Row],[cam_fate2]]=Table2[[#This Row],[field_fate3]])</f>
        <v>1</v>
      </c>
      <c r="BG383" s="6" t="b">
        <f>OR(Table2[[#This Row],[field_fate3]]="U",Table2[[#This Row],[field_fate3]]="U-H")</f>
        <v>0</v>
      </c>
      <c r="BH383" s="8">
        <v>71</v>
      </c>
      <c r="BI383" s="8">
        <v>71</v>
      </c>
      <c r="BJ383" s="14">
        <f>IF(ISTEXT(Table2[[#This Row],[j.cam]]),Table2[[#This Row],[j]],Table2[[#This Row],[j.cam]])</f>
        <v>71</v>
      </c>
      <c r="BK383" s="9">
        <v>74</v>
      </c>
      <c r="BL383" s="15">
        <f>IF(ISTEXT(Table2[[#This Row],[k.cam]]), Table2[[#This Row],[k]], Table2[[#This Row],[k.cam]])</f>
        <v>74</v>
      </c>
      <c r="BM383" s="4" t="s">
        <v>24</v>
      </c>
      <c r="BN383" s="8" t="s">
        <v>24</v>
      </c>
      <c r="BO383" s="4">
        <v>2</v>
      </c>
      <c r="BP383" s="4">
        <f>Table2[[#This Row],[final_obs_date]]-Table2[[#This Row],[i]]</f>
        <v>3</v>
      </c>
      <c r="BQ383" s="4" t="b">
        <f>Table2[[#This Row],[final_obs_date2]]&gt;Table2[[#This Row],[estHD]]+3</f>
        <v>0</v>
      </c>
      <c r="BR383" s="4" t="s">
        <v>58</v>
      </c>
      <c r="BS383" s="4" t="s">
        <v>45</v>
      </c>
      <c r="BT383" s="79" t="s">
        <v>1246</v>
      </c>
      <c r="BU383" s="26" t="s">
        <v>117</v>
      </c>
      <c r="BV383" s="79" t="s">
        <v>1430</v>
      </c>
      <c r="BW383" s="49"/>
      <c r="BX383" s="47"/>
      <c r="BY383" s="36" t="s">
        <v>728</v>
      </c>
    </row>
    <row r="384" spans="1:77" hidden="1" x14ac:dyDescent="0.35">
      <c r="A384" s="63">
        <v>20288</v>
      </c>
      <c r="B384" s="2" t="s">
        <v>111</v>
      </c>
      <c r="C384" s="45">
        <v>2020</v>
      </c>
      <c r="D384" s="3">
        <v>29.77214</v>
      </c>
      <c r="E384" s="3">
        <v>-93.297579999999996</v>
      </c>
      <c r="F384" s="3">
        <v>0</v>
      </c>
      <c r="G384" s="3">
        <v>0</v>
      </c>
      <c r="H384" s="3" t="s">
        <v>26</v>
      </c>
      <c r="I384" s="43"/>
      <c r="J384" s="55">
        <v>85</v>
      </c>
      <c r="K384" s="4">
        <v>85</v>
      </c>
      <c r="L384" s="22">
        <f>IF(ISNUMBER(Table2[[#This Row],[estHD]]),ABS(Table2[[#This Row],[HD]]-Table2[[#This Row],[estHD]]),"NA")</f>
        <v>0</v>
      </c>
      <c r="M384" s="4" t="b">
        <f>Table2[[#This Row],[HD]]=Table2[[#This Row],[estHD]]</f>
        <v>1</v>
      </c>
      <c r="N384" s="4" t="str">
        <f>IF(ISNUMBER([1]!Table2[[#This Row],[hatch_date]]),[1]!Table2[[#This Row],[hatch_date]]-19,"NA")</f>
        <v>NA</v>
      </c>
      <c r="O384" s="31">
        <v>66</v>
      </c>
      <c r="P384" s="23">
        <f>IF(ISNUMBER(Table2[[#This Row],[nest_age1]]),ABS(Table2[[#This Row],[nest_age1]]-Table2[[#This Row],[nest_age_feb]]),"NA")</f>
        <v>1</v>
      </c>
      <c r="Q384" s="24">
        <f>IF(ISNUMBER(Table2[[#This Row],[final_obs_int2]]),ABS(Table2[[#This Row],[final_obs_int2]]-Table2[[#This Row],[final_obs_int_feb]]), "NA")</f>
        <v>0</v>
      </c>
      <c r="R384" s="24"/>
      <c r="S384" s="57" t="s">
        <v>88</v>
      </c>
      <c r="T384" s="57" t="str">
        <f>Table2[[#This Row],[camera_old]]</f>
        <v>N</v>
      </c>
      <c r="U384" s="24"/>
      <c r="V384" s="16" t="s">
        <v>24</v>
      </c>
      <c r="W384" s="16">
        <v>7</v>
      </c>
      <c r="X384" s="145">
        <v>3</v>
      </c>
      <c r="Y384" s="147" t="s">
        <v>25</v>
      </c>
      <c r="Z384" s="146" t="s">
        <v>25</v>
      </c>
      <c r="AA384" s="4" t="str">
        <f>Table2[[#This Row],[field_fate]]</f>
        <v>S</v>
      </c>
      <c r="AB384" s="4" t="str">
        <f>Table2[[#This Row],[field_fate2]]</f>
        <v>S</v>
      </c>
      <c r="AC384" s="4" t="str">
        <f>Table2[[#This Row],[field_fate3]]</f>
        <v>S</v>
      </c>
      <c r="AD384" s="4" t="str">
        <f>Table2[[#This Row],[field_fate4]]</f>
        <v>S</v>
      </c>
      <c r="AE384" s="4" t="str">
        <f>Table2[[#This Row],[field_fate5]]</f>
        <v>S</v>
      </c>
      <c r="AF384" s="4" t="str">
        <f>Table2[[#This Row],[field_fate5]]</f>
        <v>S</v>
      </c>
      <c r="AG384" s="4" t="str">
        <f>Table2[[#This Row],[field_fate5]]</f>
        <v>S</v>
      </c>
      <c r="AH384" s="4" t="str">
        <f>Table2[[#This Row],[field_fate2]]</f>
        <v>S</v>
      </c>
      <c r="AI384" s="4" t="str">
        <f>Table2[[#This Row],[field_fate8]]</f>
        <v>S</v>
      </c>
      <c r="AJ384" s="4" t="str">
        <f>Table2[[#This Row],[field_fate10]]</f>
        <v>S</v>
      </c>
      <c r="AK384" s="4" t="b">
        <f>Table2[[#This Row],[field_fate_feb]]=Table2[[#This Row],[field_fate10]]</f>
        <v>1</v>
      </c>
      <c r="AL384" s="43" t="s">
        <v>24</v>
      </c>
      <c r="AM384" s="43" t="b">
        <f>Table2[[#This Row],[cam_fate2]]="NA"</f>
        <v>1</v>
      </c>
      <c r="AN384" s="19" t="str">
        <f>Table2[[#This Row],[cam_fate1]]</f>
        <v>NA</v>
      </c>
      <c r="AO384" s="2" t="s">
        <v>25</v>
      </c>
      <c r="AP384" s="5" t="str">
        <f>Table2[[#This Row],[final_fate1]]</f>
        <v>S</v>
      </c>
      <c r="AQ384" s="6">
        <v>8</v>
      </c>
      <c r="AR384" s="7">
        <v>8</v>
      </c>
      <c r="AS384" s="7">
        <f>Table2[[#This Row],[final_obs_date]]-Table2[[#This Row],[init_date]]</f>
        <v>8</v>
      </c>
      <c r="AT384" s="7">
        <f>(Table2[[#This Row],[final_obs_date2]]-Table2[[#This Row],[estHD]])+16</f>
        <v>5</v>
      </c>
      <c r="AU384" s="38">
        <v>3</v>
      </c>
      <c r="AV384" s="33">
        <v>3</v>
      </c>
      <c r="AW384" s="33">
        <f>Table2[[#This Row],[final_obs_date2]]-Table2[[#This Row],[pen_obs_date]]</f>
        <v>74</v>
      </c>
      <c r="AX384" s="67">
        <v>74</v>
      </c>
      <c r="AY384" s="6">
        <f>Table2[[#This Row],[final_obs_date]]</f>
        <v>74</v>
      </c>
      <c r="AZ384" s="6"/>
      <c r="BA384" s="91" t="s">
        <v>47</v>
      </c>
      <c r="BB384" s="6" t="b">
        <f>Table2[[#This Row],[final_obs_date]]&lt;(Table2[[#This Row],[estHD]]-2)</f>
        <v>1</v>
      </c>
      <c r="BC384" s="24">
        <f>IF(Table2[[#This Row],[field_fate]]="H",1,0)</f>
        <v>0</v>
      </c>
      <c r="BD384" s="16">
        <f>IF(Table2[[#This Row],[cam_fate2]]="H",1,0)</f>
        <v>0</v>
      </c>
      <c r="BE384" s="6" t="b">
        <f>NOT(Table2[[#This Row],[HF_C]]=Table2[[#This Row],[HF]])</f>
        <v>0</v>
      </c>
      <c r="BF384" s="6" t="b">
        <f>NOT(Table2[[#This Row],[cam_fate2]]=Table2[[#This Row],[field_fate3]])</f>
        <v>1</v>
      </c>
      <c r="BG384" s="6" t="b">
        <f>OR(Table2[[#This Row],[field_fate3]]="U",Table2[[#This Row],[field_fate3]]="U-H")</f>
        <v>0</v>
      </c>
      <c r="BH384" s="8">
        <v>71</v>
      </c>
      <c r="BI384" s="8">
        <v>71</v>
      </c>
      <c r="BJ384" s="14">
        <f>IF(ISTEXT(Table2[[#This Row],[j.cam]]),Table2[[#This Row],[j]],Table2[[#This Row],[j.cam]])</f>
        <v>71</v>
      </c>
      <c r="BK384" s="9">
        <v>74</v>
      </c>
      <c r="BL384" s="15">
        <f>IF(ISTEXT(Table2[[#This Row],[k.cam]]), Table2[[#This Row],[k]], Table2[[#This Row],[k.cam]])</f>
        <v>74</v>
      </c>
      <c r="BM384" s="4" t="s">
        <v>24</v>
      </c>
      <c r="BN384" s="8" t="s">
        <v>24</v>
      </c>
      <c r="BO384" s="4">
        <v>2</v>
      </c>
      <c r="BP384" s="4">
        <f>Table2[[#This Row],[final_obs_date]]-Table2[[#This Row],[i]]</f>
        <v>3</v>
      </c>
      <c r="BQ384" s="4" t="b">
        <f>Table2[[#This Row],[final_obs_date2]]&gt;Table2[[#This Row],[estHD]]+3</f>
        <v>0</v>
      </c>
      <c r="BR384" s="4" t="s">
        <v>33</v>
      </c>
      <c r="BS384" s="4" t="s">
        <v>45</v>
      </c>
      <c r="BT384" s="79" t="s">
        <v>1246</v>
      </c>
      <c r="BU384" s="26" t="s">
        <v>87</v>
      </c>
      <c r="BV384" s="79" t="s">
        <v>1430</v>
      </c>
      <c r="BW384" s="49"/>
      <c r="BX384" s="47"/>
      <c r="BY384" s="36" t="s">
        <v>728</v>
      </c>
    </row>
    <row r="385" spans="1:77" hidden="1" x14ac:dyDescent="0.35">
      <c r="A385" s="63">
        <v>20289</v>
      </c>
      <c r="B385" s="2" t="s">
        <v>111</v>
      </c>
      <c r="C385" s="45">
        <v>2020</v>
      </c>
      <c r="D385" s="3">
        <v>29.772120000000001</v>
      </c>
      <c r="E385" s="3">
        <v>-93.29768</v>
      </c>
      <c r="F385" s="3">
        <v>0</v>
      </c>
      <c r="G385" s="3">
        <v>0</v>
      </c>
      <c r="H385" s="3" t="s">
        <v>26</v>
      </c>
      <c r="I385" s="43"/>
      <c r="J385" s="55">
        <v>88</v>
      </c>
      <c r="K385" s="4">
        <v>88</v>
      </c>
      <c r="L385" s="22">
        <f>IF(ISNUMBER(Table2[[#This Row],[estHD]]),ABS(Table2[[#This Row],[HD]]-Table2[[#This Row],[estHD]]),"NA")</f>
        <v>0</v>
      </c>
      <c r="M385" s="4" t="b">
        <f>Table2[[#This Row],[HD]]=Table2[[#This Row],[estHD]]</f>
        <v>1</v>
      </c>
      <c r="N385" s="4" t="str">
        <f>IF(ISNUMBER([1]!Table2[[#This Row],[hatch_date]]),[1]!Table2[[#This Row],[hatch_date]]-19,"NA")</f>
        <v>NA</v>
      </c>
      <c r="O385" s="31">
        <v>69</v>
      </c>
      <c r="P385" s="23">
        <f>IF(ISNUMBER(Table2[[#This Row],[nest_age1]]),ABS(Table2[[#This Row],[nest_age1]]-Table2[[#This Row],[nest_age_feb]]),"NA")</f>
        <v>1</v>
      </c>
      <c r="Q385" s="24">
        <f>IF(ISNUMBER(Table2[[#This Row],[final_obs_int2]]),ABS(Table2[[#This Row],[final_obs_int2]]-Table2[[#This Row],[final_obs_int_feb]]), "NA")</f>
        <v>0</v>
      </c>
      <c r="R385" s="24"/>
      <c r="S385" s="57" t="s">
        <v>88</v>
      </c>
      <c r="T385" s="57" t="str">
        <f>Table2[[#This Row],[camera_old]]</f>
        <v>N</v>
      </c>
      <c r="U385" s="24"/>
      <c r="V385" s="16" t="s">
        <v>24</v>
      </c>
      <c r="W385" s="16">
        <v>4</v>
      </c>
      <c r="X385" s="145">
        <v>3</v>
      </c>
      <c r="Y385" s="147" t="s">
        <v>25</v>
      </c>
      <c r="Z385" s="146" t="s">
        <v>25</v>
      </c>
      <c r="AA385" s="4" t="str">
        <f>Table2[[#This Row],[field_fate]]</f>
        <v>S</v>
      </c>
      <c r="AB385" s="4" t="str">
        <f>Table2[[#This Row],[field_fate2]]</f>
        <v>S</v>
      </c>
      <c r="AC385" s="4" t="str">
        <f>Table2[[#This Row],[field_fate3]]</f>
        <v>S</v>
      </c>
      <c r="AD385" s="4" t="str">
        <f>Table2[[#This Row],[field_fate4]]</f>
        <v>S</v>
      </c>
      <c r="AE385" s="4" t="str">
        <f>Table2[[#This Row],[field_fate5]]</f>
        <v>S</v>
      </c>
      <c r="AF385" s="4" t="str">
        <f>Table2[[#This Row],[field_fate5]]</f>
        <v>S</v>
      </c>
      <c r="AG385" s="4" t="str">
        <f>Table2[[#This Row],[field_fate5]]</f>
        <v>S</v>
      </c>
      <c r="AH385" s="4" t="str">
        <f>Table2[[#This Row],[field_fate2]]</f>
        <v>S</v>
      </c>
      <c r="AI385" s="4" t="str">
        <f>Table2[[#This Row],[field_fate8]]</f>
        <v>S</v>
      </c>
      <c r="AJ385" s="4" t="str">
        <f>Table2[[#This Row],[field_fate10]]</f>
        <v>S</v>
      </c>
      <c r="AK385" s="4" t="b">
        <f>Table2[[#This Row],[field_fate_feb]]=Table2[[#This Row],[field_fate10]]</f>
        <v>1</v>
      </c>
      <c r="AL385" s="43" t="s">
        <v>24</v>
      </c>
      <c r="AM385" s="43" t="b">
        <f>Table2[[#This Row],[cam_fate2]]="NA"</f>
        <v>1</v>
      </c>
      <c r="AN385" s="19" t="str">
        <f>Table2[[#This Row],[cam_fate1]]</f>
        <v>NA</v>
      </c>
      <c r="AO385" s="2" t="s">
        <v>25</v>
      </c>
      <c r="AP385" s="5" t="str">
        <f>Table2[[#This Row],[final_fate1]]</f>
        <v>S</v>
      </c>
      <c r="AQ385" s="6">
        <v>5</v>
      </c>
      <c r="AR385" s="7">
        <v>5</v>
      </c>
      <c r="AS385" s="7">
        <f>Table2[[#This Row],[final_obs_date]]-Table2[[#This Row],[init_date]]</f>
        <v>5</v>
      </c>
      <c r="AT385" s="7">
        <f>(Table2[[#This Row],[final_obs_date2]]-Table2[[#This Row],[estHD]])+16</f>
        <v>2</v>
      </c>
      <c r="AU385" s="38">
        <v>3</v>
      </c>
      <c r="AV385" s="33">
        <v>3</v>
      </c>
      <c r="AW385" s="33">
        <f>Table2[[#This Row],[final_obs_date2]]-Table2[[#This Row],[pen_obs_date]]</f>
        <v>74</v>
      </c>
      <c r="AX385" s="67">
        <v>74</v>
      </c>
      <c r="AY385" s="6">
        <f>Table2[[#This Row],[final_obs_date]]</f>
        <v>74</v>
      </c>
      <c r="AZ385" s="6"/>
      <c r="BA385" s="91" t="s">
        <v>47</v>
      </c>
      <c r="BB385" s="6" t="b">
        <f>Table2[[#This Row],[final_obs_date]]&lt;(Table2[[#This Row],[estHD]]-2)</f>
        <v>1</v>
      </c>
      <c r="BC385" s="24">
        <f>IF(Table2[[#This Row],[field_fate]]="H",1,0)</f>
        <v>0</v>
      </c>
      <c r="BD385" s="16">
        <f>IF(Table2[[#This Row],[cam_fate2]]="H",1,0)</f>
        <v>0</v>
      </c>
      <c r="BE385" s="6" t="b">
        <f>NOT(Table2[[#This Row],[HF_C]]=Table2[[#This Row],[HF]])</f>
        <v>0</v>
      </c>
      <c r="BF385" s="6" t="b">
        <f>NOT(Table2[[#This Row],[cam_fate2]]=Table2[[#This Row],[field_fate3]])</f>
        <v>1</v>
      </c>
      <c r="BG385" s="6" t="b">
        <f>OR(Table2[[#This Row],[field_fate3]]="U",Table2[[#This Row],[field_fate3]]="U-H")</f>
        <v>0</v>
      </c>
      <c r="BH385" s="8">
        <v>71</v>
      </c>
      <c r="BI385" s="8">
        <v>71</v>
      </c>
      <c r="BJ385" s="14">
        <f>IF(ISTEXT(Table2[[#This Row],[j.cam]]),Table2[[#This Row],[j]],Table2[[#This Row],[j.cam]])</f>
        <v>71</v>
      </c>
      <c r="BK385" s="9">
        <v>74</v>
      </c>
      <c r="BL385" s="15">
        <f>IF(ISTEXT(Table2[[#This Row],[k.cam]]), Table2[[#This Row],[k]], Table2[[#This Row],[k.cam]])</f>
        <v>74</v>
      </c>
      <c r="BM385" s="4" t="s">
        <v>24</v>
      </c>
      <c r="BN385" s="8" t="s">
        <v>24</v>
      </c>
      <c r="BO385" s="4">
        <v>2</v>
      </c>
      <c r="BP385" s="4">
        <f>Table2[[#This Row],[final_obs_date]]-Table2[[#This Row],[i]]</f>
        <v>3</v>
      </c>
      <c r="BQ385" s="4" t="b">
        <f>Table2[[#This Row],[final_obs_date2]]&gt;Table2[[#This Row],[estHD]]+3</f>
        <v>0</v>
      </c>
      <c r="BR385" s="4" t="s">
        <v>58</v>
      </c>
      <c r="BS385" s="4" t="s">
        <v>45</v>
      </c>
      <c r="BT385" s="79" t="s">
        <v>1246</v>
      </c>
      <c r="BU385" s="26" t="s">
        <v>117</v>
      </c>
      <c r="BV385" s="79" t="s">
        <v>1430</v>
      </c>
      <c r="BW385" s="49"/>
      <c r="BX385" s="47"/>
      <c r="BY385" s="36" t="s">
        <v>728</v>
      </c>
    </row>
    <row r="386" spans="1:77" hidden="1" x14ac:dyDescent="0.35">
      <c r="A386" s="63">
        <v>20290</v>
      </c>
      <c r="B386" s="2" t="s">
        <v>111</v>
      </c>
      <c r="C386" s="45">
        <v>2020</v>
      </c>
      <c r="D386" s="3">
        <v>29.772130000000001</v>
      </c>
      <c r="E386" s="3">
        <v>-93.297740000000005</v>
      </c>
      <c r="F386" s="3">
        <v>0</v>
      </c>
      <c r="G386" s="3">
        <v>0</v>
      </c>
      <c r="H386" s="3" t="s">
        <v>26</v>
      </c>
      <c r="I386" s="43"/>
      <c r="J386" s="55">
        <v>88</v>
      </c>
      <c r="K386" s="4">
        <v>88</v>
      </c>
      <c r="L386" s="22">
        <f>IF(ISNUMBER(Table2[[#This Row],[estHD]]),ABS(Table2[[#This Row],[HD]]-Table2[[#This Row],[estHD]]),"NA")</f>
        <v>0</v>
      </c>
      <c r="M386" s="4" t="b">
        <f>Table2[[#This Row],[HD]]=Table2[[#This Row],[estHD]]</f>
        <v>1</v>
      </c>
      <c r="N386" s="4" t="str">
        <f>IF(ISNUMBER([1]!Table2[[#This Row],[hatch_date]]),[1]!Table2[[#This Row],[hatch_date]]-19,"NA")</f>
        <v>NA</v>
      </c>
      <c r="O386" s="31">
        <v>69</v>
      </c>
      <c r="P386" s="23">
        <f>IF(ISNUMBER(Table2[[#This Row],[nest_age1]]),ABS(Table2[[#This Row],[nest_age1]]-Table2[[#This Row],[nest_age_feb]]),"NA")</f>
        <v>1</v>
      </c>
      <c r="Q386" s="24">
        <f>IF(ISNUMBER(Table2[[#This Row],[final_obs_int2]]),ABS(Table2[[#This Row],[final_obs_int2]]-Table2[[#This Row],[final_obs_int_feb]]), "NA")</f>
        <v>0</v>
      </c>
      <c r="R386" s="24"/>
      <c r="S386" s="57" t="s">
        <v>88</v>
      </c>
      <c r="T386" s="57" t="str">
        <f>Table2[[#This Row],[camera_old]]</f>
        <v>N</v>
      </c>
      <c r="U386" s="24"/>
      <c r="V386" s="16" t="s">
        <v>24</v>
      </c>
      <c r="W386" s="16">
        <v>4</v>
      </c>
      <c r="X386" s="145">
        <v>3</v>
      </c>
      <c r="Y386" s="147" t="s">
        <v>25</v>
      </c>
      <c r="Z386" s="146" t="s">
        <v>25</v>
      </c>
      <c r="AA386" s="4" t="str">
        <f>Table2[[#This Row],[field_fate]]</f>
        <v>S</v>
      </c>
      <c r="AB386" s="4" t="str">
        <f>Table2[[#This Row],[field_fate2]]</f>
        <v>S</v>
      </c>
      <c r="AC386" s="4" t="str">
        <f>Table2[[#This Row],[field_fate3]]</f>
        <v>S</v>
      </c>
      <c r="AD386" s="4" t="str">
        <f>Table2[[#This Row],[field_fate4]]</f>
        <v>S</v>
      </c>
      <c r="AE386" s="4" t="str">
        <f>Table2[[#This Row],[field_fate5]]</f>
        <v>S</v>
      </c>
      <c r="AF386" s="4" t="str">
        <f>Table2[[#This Row],[field_fate5]]</f>
        <v>S</v>
      </c>
      <c r="AG386" s="4" t="str">
        <f>Table2[[#This Row],[field_fate5]]</f>
        <v>S</v>
      </c>
      <c r="AH386" s="4" t="str">
        <f>Table2[[#This Row],[field_fate2]]</f>
        <v>S</v>
      </c>
      <c r="AI386" s="4" t="str">
        <f>Table2[[#This Row],[field_fate8]]</f>
        <v>S</v>
      </c>
      <c r="AJ386" s="4" t="str">
        <f>Table2[[#This Row],[field_fate10]]</f>
        <v>S</v>
      </c>
      <c r="AK386" s="4" t="b">
        <f>Table2[[#This Row],[field_fate_feb]]=Table2[[#This Row],[field_fate10]]</f>
        <v>1</v>
      </c>
      <c r="AL386" s="43" t="s">
        <v>24</v>
      </c>
      <c r="AM386" s="43" t="b">
        <f>Table2[[#This Row],[cam_fate2]]="NA"</f>
        <v>1</v>
      </c>
      <c r="AN386" s="19" t="str">
        <f>Table2[[#This Row],[cam_fate1]]</f>
        <v>NA</v>
      </c>
      <c r="AO386" s="2" t="s">
        <v>25</v>
      </c>
      <c r="AP386" s="5" t="str">
        <f>Table2[[#This Row],[final_fate1]]</f>
        <v>S</v>
      </c>
      <c r="AQ386" s="6">
        <v>5</v>
      </c>
      <c r="AR386" s="7">
        <v>5</v>
      </c>
      <c r="AS386" s="7">
        <f>Table2[[#This Row],[final_obs_date]]-Table2[[#This Row],[init_date]]</f>
        <v>5</v>
      </c>
      <c r="AT386" s="7">
        <f>(Table2[[#This Row],[final_obs_date2]]-Table2[[#This Row],[estHD]])+16</f>
        <v>2</v>
      </c>
      <c r="AU386" s="38">
        <v>3</v>
      </c>
      <c r="AV386" s="33">
        <v>3</v>
      </c>
      <c r="AW386" s="33">
        <f>Table2[[#This Row],[final_obs_date2]]-Table2[[#This Row],[pen_obs_date]]</f>
        <v>74</v>
      </c>
      <c r="AX386" s="67">
        <v>74</v>
      </c>
      <c r="AY386" s="6">
        <f>Table2[[#This Row],[final_obs_date]]</f>
        <v>74</v>
      </c>
      <c r="AZ386" s="6"/>
      <c r="BA386" s="91" t="s">
        <v>47</v>
      </c>
      <c r="BB386" s="6" t="b">
        <f>Table2[[#This Row],[final_obs_date]]&lt;(Table2[[#This Row],[estHD]]-2)</f>
        <v>1</v>
      </c>
      <c r="BC386" s="24">
        <f>IF(Table2[[#This Row],[field_fate]]="H",1,0)</f>
        <v>0</v>
      </c>
      <c r="BD386" s="16">
        <f>IF(Table2[[#This Row],[cam_fate2]]="H",1,0)</f>
        <v>0</v>
      </c>
      <c r="BE386" s="6" t="b">
        <f>NOT(Table2[[#This Row],[HF_C]]=Table2[[#This Row],[HF]])</f>
        <v>0</v>
      </c>
      <c r="BF386" s="6" t="b">
        <f>NOT(Table2[[#This Row],[cam_fate2]]=Table2[[#This Row],[field_fate3]])</f>
        <v>1</v>
      </c>
      <c r="BG386" s="6" t="b">
        <f>OR(Table2[[#This Row],[field_fate3]]="U",Table2[[#This Row],[field_fate3]]="U-H")</f>
        <v>0</v>
      </c>
      <c r="BH386" s="8">
        <v>71</v>
      </c>
      <c r="BI386" s="8">
        <v>71</v>
      </c>
      <c r="BJ386" s="14">
        <f>IF(ISTEXT(Table2[[#This Row],[j.cam]]),Table2[[#This Row],[j]],Table2[[#This Row],[j.cam]])</f>
        <v>71</v>
      </c>
      <c r="BK386" s="9">
        <v>74</v>
      </c>
      <c r="BL386" s="15">
        <f>IF(ISTEXT(Table2[[#This Row],[k.cam]]), Table2[[#This Row],[k]], Table2[[#This Row],[k.cam]])</f>
        <v>74</v>
      </c>
      <c r="BM386" s="4" t="s">
        <v>24</v>
      </c>
      <c r="BN386" s="8" t="s">
        <v>24</v>
      </c>
      <c r="BO386" s="4">
        <v>2</v>
      </c>
      <c r="BP386" s="4">
        <f>Table2[[#This Row],[final_obs_date]]-Table2[[#This Row],[i]]</f>
        <v>3</v>
      </c>
      <c r="BQ386" s="4" t="b">
        <f>Table2[[#This Row],[final_obs_date2]]&gt;Table2[[#This Row],[estHD]]+3</f>
        <v>0</v>
      </c>
      <c r="BR386" s="4" t="s">
        <v>58</v>
      </c>
      <c r="BS386" s="4" t="s">
        <v>45</v>
      </c>
      <c r="BT386" s="79" t="s">
        <v>1246</v>
      </c>
      <c r="BU386" s="26" t="s">
        <v>117</v>
      </c>
      <c r="BV386" s="79" t="s">
        <v>1430</v>
      </c>
      <c r="BW386" s="49"/>
      <c r="BX386" s="47"/>
      <c r="BY386" s="36" t="s">
        <v>728</v>
      </c>
    </row>
    <row r="387" spans="1:77" hidden="1" x14ac:dyDescent="0.35">
      <c r="A387" s="63">
        <v>20291</v>
      </c>
      <c r="B387" s="2" t="s">
        <v>111</v>
      </c>
      <c r="C387" s="45">
        <v>2020</v>
      </c>
      <c r="D387" s="3">
        <v>29.77214</v>
      </c>
      <c r="E387" s="3">
        <v>-93.297920000000005</v>
      </c>
      <c r="F387" s="3">
        <v>0</v>
      </c>
      <c r="G387" s="3">
        <v>0</v>
      </c>
      <c r="H387" s="3" t="s">
        <v>26</v>
      </c>
      <c r="I387" s="43"/>
      <c r="J387" s="55">
        <v>80</v>
      </c>
      <c r="K387" s="4">
        <v>80</v>
      </c>
      <c r="L387" s="22">
        <f>IF(ISNUMBER(Table2[[#This Row],[estHD]]),ABS(Table2[[#This Row],[HD]]-Table2[[#This Row],[estHD]]),"NA")</f>
        <v>0</v>
      </c>
      <c r="M387" s="4" t="b">
        <f>Table2[[#This Row],[HD]]=Table2[[#This Row],[estHD]]</f>
        <v>1</v>
      </c>
      <c r="N387" s="4" t="str">
        <f>IF(ISNUMBER([1]!Table2[[#This Row],[hatch_date]]),[1]!Table2[[#This Row],[hatch_date]]-19,"NA")</f>
        <v>NA</v>
      </c>
      <c r="O387" s="31">
        <v>61</v>
      </c>
      <c r="P387" s="23">
        <f>IF(ISNUMBER(Table2[[#This Row],[nest_age1]]),ABS(Table2[[#This Row],[nest_age1]]-Table2[[#This Row],[nest_age_feb]]),"NA")</f>
        <v>1</v>
      </c>
      <c r="Q387" s="24">
        <f>IF(ISNUMBER(Table2[[#This Row],[final_obs_int2]]),ABS(Table2[[#This Row],[final_obs_int2]]-Table2[[#This Row],[final_obs_int_feb]]), "NA")</f>
        <v>0</v>
      </c>
      <c r="R387" s="24"/>
      <c r="S387" s="57" t="s">
        <v>88</v>
      </c>
      <c r="T387" s="57" t="str">
        <f>Table2[[#This Row],[camera_old]]</f>
        <v>N</v>
      </c>
      <c r="U387" s="24"/>
      <c r="V387" s="16" t="s">
        <v>24</v>
      </c>
      <c r="W387" s="16">
        <v>12</v>
      </c>
      <c r="X387" s="145">
        <v>3</v>
      </c>
      <c r="Y387" s="147" t="s">
        <v>25</v>
      </c>
      <c r="Z387" s="146" t="s">
        <v>25</v>
      </c>
      <c r="AA387" s="4" t="str">
        <f>Table2[[#This Row],[field_fate]]</f>
        <v>S</v>
      </c>
      <c r="AB387" s="4" t="str">
        <f>Table2[[#This Row],[field_fate2]]</f>
        <v>S</v>
      </c>
      <c r="AC387" s="4" t="str">
        <f>Table2[[#This Row],[field_fate3]]</f>
        <v>S</v>
      </c>
      <c r="AD387" s="4" t="str">
        <f>Table2[[#This Row],[field_fate4]]</f>
        <v>S</v>
      </c>
      <c r="AE387" s="4" t="str">
        <f>Table2[[#This Row],[field_fate5]]</f>
        <v>S</v>
      </c>
      <c r="AF387" s="4" t="str">
        <f>Table2[[#This Row],[field_fate5]]</f>
        <v>S</v>
      </c>
      <c r="AG387" s="4" t="str">
        <f>Table2[[#This Row],[field_fate5]]</f>
        <v>S</v>
      </c>
      <c r="AH387" s="4" t="str">
        <f>Table2[[#This Row],[field_fate2]]</f>
        <v>S</v>
      </c>
      <c r="AI387" s="4" t="str">
        <f>Table2[[#This Row],[field_fate8]]</f>
        <v>S</v>
      </c>
      <c r="AJ387" s="4" t="str">
        <f>Table2[[#This Row],[field_fate10]]</f>
        <v>S</v>
      </c>
      <c r="AK387" s="4" t="b">
        <f>Table2[[#This Row],[field_fate_feb]]=Table2[[#This Row],[field_fate10]]</f>
        <v>1</v>
      </c>
      <c r="AL387" s="43" t="s">
        <v>24</v>
      </c>
      <c r="AM387" s="43" t="b">
        <f>Table2[[#This Row],[cam_fate2]]="NA"</f>
        <v>1</v>
      </c>
      <c r="AN387" s="19" t="str">
        <f>Table2[[#This Row],[cam_fate1]]</f>
        <v>NA</v>
      </c>
      <c r="AO387" s="2" t="s">
        <v>25</v>
      </c>
      <c r="AP387" s="5" t="str">
        <f>Table2[[#This Row],[final_fate1]]</f>
        <v>S</v>
      </c>
      <c r="AQ387" s="6">
        <v>13</v>
      </c>
      <c r="AR387" s="7">
        <v>13</v>
      </c>
      <c r="AS387" s="7">
        <f>Table2[[#This Row],[final_obs_date]]-Table2[[#This Row],[init_date]]</f>
        <v>13</v>
      </c>
      <c r="AT387" s="7">
        <f>(Table2[[#This Row],[final_obs_date2]]-Table2[[#This Row],[estHD]])+16</f>
        <v>10</v>
      </c>
      <c r="AU387" s="38">
        <v>3</v>
      </c>
      <c r="AV387" s="33">
        <v>3</v>
      </c>
      <c r="AW387" s="33">
        <f>Table2[[#This Row],[final_obs_date2]]-Table2[[#This Row],[pen_obs_date]]</f>
        <v>74</v>
      </c>
      <c r="AX387" s="67">
        <v>74</v>
      </c>
      <c r="AY387" s="6">
        <f>Table2[[#This Row],[final_obs_date]]</f>
        <v>74</v>
      </c>
      <c r="AZ387" s="6"/>
      <c r="BA387" s="91" t="s">
        <v>47</v>
      </c>
      <c r="BB387" s="6" t="b">
        <f>Table2[[#This Row],[final_obs_date]]&lt;(Table2[[#This Row],[estHD]]-2)</f>
        <v>1</v>
      </c>
      <c r="BC387" s="24">
        <f>IF(Table2[[#This Row],[field_fate]]="H",1,0)</f>
        <v>0</v>
      </c>
      <c r="BD387" s="16">
        <f>IF(Table2[[#This Row],[cam_fate2]]="H",1,0)</f>
        <v>0</v>
      </c>
      <c r="BE387" s="6" t="b">
        <f>NOT(Table2[[#This Row],[HF_C]]=Table2[[#This Row],[HF]])</f>
        <v>0</v>
      </c>
      <c r="BF387" s="6" t="b">
        <f>NOT(Table2[[#This Row],[cam_fate2]]=Table2[[#This Row],[field_fate3]])</f>
        <v>1</v>
      </c>
      <c r="BG387" s="6" t="b">
        <f>OR(Table2[[#This Row],[field_fate3]]="U",Table2[[#This Row],[field_fate3]]="U-H")</f>
        <v>0</v>
      </c>
      <c r="BH387" s="8">
        <v>71</v>
      </c>
      <c r="BI387" s="8">
        <v>71</v>
      </c>
      <c r="BJ387" s="14">
        <f>IF(ISTEXT(Table2[[#This Row],[j.cam]]),Table2[[#This Row],[j]],Table2[[#This Row],[j.cam]])</f>
        <v>71</v>
      </c>
      <c r="BK387" s="9">
        <v>74</v>
      </c>
      <c r="BL387" s="15">
        <f>IF(ISTEXT(Table2[[#This Row],[k.cam]]), Table2[[#This Row],[k]], Table2[[#This Row],[k.cam]])</f>
        <v>74</v>
      </c>
      <c r="BM387" s="4" t="s">
        <v>24</v>
      </c>
      <c r="BN387" s="8" t="s">
        <v>24</v>
      </c>
      <c r="BO387" s="4">
        <v>2</v>
      </c>
      <c r="BP387" s="4">
        <f>Table2[[#This Row],[final_obs_date]]-Table2[[#This Row],[i]]</f>
        <v>3</v>
      </c>
      <c r="BQ387" s="4" t="b">
        <f>Table2[[#This Row],[final_obs_date2]]&gt;Table2[[#This Row],[estHD]]+3</f>
        <v>0</v>
      </c>
      <c r="BR387" s="4" t="s">
        <v>33</v>
      </c>
      <c r="BS387" s="4" t="s">
        <v>45</v>
      </c>
      <c r="BT387" s="79" t="s">
        <v>1246</v>
      </c>
      <c r="BU387" s="26" t="s">
        <v>87</v>
      </c>
      <c r="BV387" s="79" t="s">
        <v>1430</v>
      </c>
      <c r="BW387" s="49"/>
      <c r="BX387" s="47"/>
      <c r="BY387" s="36" t="s">
        <v>729</v>
      </c>
    </row>
    <row r="388" spans="1:77" hidden="1" x14ac:dyDescent="0.35">
      <c r="A388" s="63">
        <v>20292</v>
      </c>
      <c r="B388" s="2" t="s">
        <v>111</v>
      </c>
      <c r="C388" s="45">
        <v>2020</v>
      </c>
      <c r="D388" s="3">
        <v>29.771840000000001</v>
      </c>
      <c r="E388" s="3">
        <v>-93.299300000000002</v>
      </c>
      <c r="F388" s="3">
        <v>0</v>
      </c>
      <c r="G388" s="3">
        <v>0</v>
      </c>
      <c r="H388" s="3" t="s">
        <v>26</v>
      </c>
      <c r="I388" s="43"/>
      <c r="J388" s="55">
        <v>88</v>
      </c>
      <c r="K388" s="4">
        <v>88</v>
      </c>
      <c r="L388" s="22">
        <f>IF(ISNUMBER(Table2[[#This Row],[estHD]]),ABS(Table2[[#This Row],[HD]]-Table2[[#This Row],[estHD]]),"NA")</f>
        <v>0</v>
      </c>
      <c r="M388" s="4" t="b">
        <f>Table2[[#This Row],[HD]]=Table2[[#This Row],[estHD]]</f>
        <v>1</v>
      </c>
      <c r="N388" s="4" t="str">
        <f>IF(ISNUMBER([1]!Table2[[#This Row],[hatch_date]]),[1]!Table2[[#This Row],[hatch_date]]-19,"NA")</f>
        <v>NA</v>
      </c>
      <c r="O388" s="31">
        <v>69</v>
      </c>
      <c r="P388" s="23">
        <f>IF(ISNUMBER(Table2[[#This Row],[nest_age1]]),ABS(Table2[[#This Row],[nest_age1]]-Table2[[#This Row],[nest_age_feb]]),"NA")</f>
        <v>1</v>
      </c>
      <c r="Q388" s="24">
        <f>IF(ISNUMBER(Table2[[#This Row],[final_obs_int2]]),ABS(Table2[[#This Row],[final_obs_int2]]-Table2[[#This Row],[final_obs_int_feb]]), "NA")</f>
        <v>0</v>
      </c>
      <c r="R388" s="24"/>
      <c r="S388" s="57" t="s">
        <v>88</v>
      </c>
      <c r="T388" s="57" t="str">
        <f>Table2[[#This Row],[camera_old]]</f>
        <v>N</v>
      </c>
      <c r="U388" s="24"/>
      <c r="V388" s="16" t="s">
        <v>24</v>
      </c>
      <c r="W388" s="16">
        <v>4</v>
      </c>
      <c r="X388" s="145">
        <v>3</v>
      </c>
      <c r="Y388" s="147" t="s">
        <v>25</v>
      </c>
      <c r="Z388" s="146" t="s">
        <v>25</v>
      </c>
      <c r="AA388" s="4" t="str">
        <f>Table2[[#This Row],[field_fate]]</f>
        <v>S</v>
      </c>
      <c r="AB388" s="4" t="str">
        <f>Table2[[#This Row],[field_fate2]]</f>
        <v>S</v>
      </c>
      <c r="AC388" s="4" t="str">
        <f>Table2[[#This Row],[field_fate3]]</f>
        <v>S</v>
      </c>
      <c r="AD388" s="4" t="str">
        <f>Table2[[#This Row],[field_fate4]]</f>
        <v>S</v>
      </c>
      <c r="AE388" s="4" t="str">
        <f>Table2[[#This Row],[field_fate5]]</f>
        <v>S</v>
      </c>
      <c r="AF388" s="4" t="str">
        <f>Table2[[#This Row],[field_fate5]]</f>
        <v>S</v>
      </c>
      <c r="AG388" s="4" t="str">
        <f>Table2[[#This Row],[field_fate5]]</f>
        <v>S</v>
      </c>
      <c r="AH388" s="4" t="str">
        <f>Table2[[#This Row],[field_fate2]]</f>
        <v>S</v>
      </c>
      <c r="AI388" s="4" t="str">
        <f>Table2[[#This Row],[field_fate8]]</f>
        <v>S</v>
      </c>
      <c r="AJ388" s="4" t="str">
        <f>Table2[[#This Row],[field_fate10]]</f>
        <v>S</v>
      </c>
      <c r="AK388" s="4" t="b">
        <f>Table2[[#This Row],[field_fate_feb]]=Table2[[#This Row],[field_fate10]]</f>
        <v>1</v>
      </c>
      <c r="AL388" s="43" t="s">
        <v>24</v>
      </c>
      <c r="AM388" s="43" t="b">
        <f>Table2[[#This Row],[cam_fate2]]="NA"</f>
        <v>1</v>
      </c>
      <c r="AN388" s="19" t="str">
        <f>Table2[[#This Row],[cam_fate1]]</f>
        <v>NA</v>
      </c>
      <c r="AO388" s="2" t="s">
        <v>25</v>
      </c>
      <c r="AP388" s="5" t="str">
        <f>Table2[[#This Row],[final_fate1]]</f>
        <v>S</v>
      </c>
      <c r="AQ388" s="6">
        <v>5</v>
      </c>
      <c r="AR388" s="7">
        <v>5</v>
      </c>
      <c r="AS388" s="7">
        <f>Table2[[#This Row],[final_obs_date]]-Table2[[#This Row],[init_date]]</f>
        <v>5</v>
      </c>
      <c r="AT388" s="7">
        <f>(Table2[[#This Row],[final_obs_date2]]-Table2[[#This Row],[estHD]])+16</f>
        <v>2</v>
      </c>
      <c r="AU388" s="38">
        <v>3</v>
      </c>
      <c r="AV388" s="33">
        <v>3</v>
      </c>
      <c r="AW388" s="33">
        <f>Table2[[#This Row],[final_obs_date2]]-Table2[[#This Row],[pen_obs_date]]</f>
        <v>74</v>
      </c>
      <c r="AX388" s="67">
        <v>74</v>
      </c>
      <c r="AY388" s="6">
        <f>Table2[[#This Row],[final_obs_date]]</f>
        <v>74</v>
      </c>
      <c r="AZ388" s="6"/>
      <c r="BA388" s="91" t="s">
        <v>47</v>
      </c>
      <c r="BB388" s="6" t="b">
        <f>Table2[[#This Row],[final_obs_date]]&lt;(Table2[[#This Row],[estHD]]-2)</f>
        <v>1</v>
      </c>
      <c r="BC388" s="24">
        <f>IF(Table2[[#This Row],[field_fate]]="H",1,0)</f>
        <v>0</v>
      </c>
      <c r="BD388" s="16">
        <f>IF(Table2[[#This Row],[cam_fate2]]="H",1,0)</f>
        <v>0</v>
      </c>
      <c r="BE388" s="6" t="b">
        <f>NOT(Table2[[#This Row],[HF_C]]=Table2[[#This Row],[HF]])</f>
        <v>0</v>
      </c>
      <c r="BF388" s="6" t="b">
        <f>NOT(Table2[[#This Row],[cam_fate2]]=Table2[[#This Row],[field_fate3]])</f>
        <v>1</v>
      </c>
      <c r="BG388" s="6" t="b">
        <f>OR(Table2[[#This Row],[field_fate3]]="U",Table2[[#This Row],[field_fate3]]="U-H")</f>
        <v>0</v>
      </c>
      <c r="BH388" s="8">
        <v>71</v>
      </c>
      <c r="BI388" s="8">
        <v>71</v>
      </c>
      <c r="BJ388" s="14">
        <f>IF(ISTEXT(Table2[[#This Row],[j.cam]]),Table2[[#This Row],[j]],Table2[[#This Row],[j.cam]])</f>
        <v>71</v>
      </c>
      <c r="BK388" s="9">
        <v>74</v>
      </c>
      <c r="BL388" s="15">
        <f>IF(ISTEXT(Table2[[#This Row],[k.cam]]), Table2[[#This Row],[k]], Table2[[#This Row],[k.cam]])</f>
        <v>74</v>
      </c>
      <c r="BM388" s="4" t="s">
        <v>24</v>
      </c>
      <c r="BN388" s="8" t="s">
        <v>24</v>
      </c>
      <c r="BO388" s="4">
        <v>2</v>
      </c>
      <c r="BP388" s="4">
        <f>Table2[[#This Row],[final_obs_date]]-Table2[[#This Row],[i]]</f>
        <v>3</v>
      </c>
      <c r="BQ388" s="4" t="b">
        <f>Table2[[#This Row],[final_obs_date2]]&gt;Table2[[#This Row],[estHD]]+3</f>
        <v>0</v>
      </c>
      <c r="BR388" s="4" t="s">
        <v>58</v>
      </c>
      <c r="BS388" s="4" t="s">
        <v>45</v>
      </c>
      <c r="BT388" s="79" t="s">
        <v>1246</v>
      </c>
      <c r="BU388" s="26" t="s">
        <v>117</v>
      </c>
      <c r="BV388" s="79" t="s">
        <v>1430</v>
      </c>
      <c r="BW388" s="49"/>
      <c r="BX388" s="47"/>
      <c r="BY388" s="36" t="s">
        <v>728</v>
      </c>
    </row>
    <row r="389" spans="1:77" hidden="1" x14ac:dyDescent="0.35">
      <c r="A389" s="63">
        <v>20293</v>
      </c>
      <c r="B389" s="2" t="s">
        <v>111</v>
      </c>
      <c r="C389" s="45">
        <v>2020</v>
      </c>
      <c r="D389" s="3">
        <v>29.771719999999998</v>
      </c>
      <c r="E389" s="3">
        <v>-93.300079999999994</v>
      </c>
      <c r="F389" s="3">
        <v>0</v>
      </c>
      <c r="G389" s="3">
        <v>0</v>
      </c>
      <c r="H389" s="3" t="s">
        <v>26</v>
      </c>
      <c r="I389" s="43"/>
      <c r="J389" s="55">
        <v>85</v>
      </c>
      <c r="K389" s="4">
        <v>85</v>
      </c>
      <c r="L389" s="22">
        <f>IF(ISNUMBER(Table2[[#This Row],[estHD]]),ABS(Table2[[#This Row],[HD]]-Table2[[#This Row],[estHD]]),"NA")</f>
        <v>0</v>
      </c>
      <c r="M389" s="4" t="b">
        <f>Table2[[#This Row],[HD]]=Table2[[#This Row],[estHD]]</f>
        <v>1</v>
      </c>
      <c r="N389" s="4" t="str">
        <f>IF(ISNUMBER([1]!Table2[[#This Row],[hatch_date]]),[1]!Table2[[#This Row],[hatch_date]]-19,"NA")</f>
        <v>NA</v>
      </c>
      <c r="O389" s="31">
        <v>66</v>
      </c>
      <c r="P389" s="23">
        <f>IF(ISNUMBER(Table2[[#This Row],[nest_age1]]),ABS(Table2[[#This Row],[nest_age1]]-Table2[[#This Row],[nest_age_feb]]),"NA")</f>
        <v>1</v>
      </c>
      <c r="Q389" s="24">
        <f>IF(ISNUMBER(Table2[[#This Row],[final_obs_int2]]),ABS(Table2[[#This Row],[final_obs_int2]]-Table2[[#This Row],[final_obs_int_feb]]), "NA")</f>
        <v>0</v>
      </c>
      <c r="R389" s="24"/>
      <c r="S389" s="57" t="s">
        <v>88</v>
      </c>
      <c r="T389" s="57" t="str">
        <f>Table2[[#This Row],[camera_old]]</f>
        <v>N</v>
      </c>
      <c r="U389" s="24"/>
      <c r="V389" s="16" t="s">
        <v>24</v>
      </c>
      <c r="W389" s="16">
        <v>7</v>
      </c>
      <c r="X389" s="145">
        <v>3</v>
      </c>
      <c r="Y389" s="147" t="s">
        <v>25</v>
      </c>
      <c r="Z389" s="146" t="s">
        <v>25</v>
      </c>
      <c r="AA389" s="4" t="str">
        <f>Table2[[#This Row],[field_fate]]</f>
        <v>S</v>
      </c>
      <c r="AB389" s="4" t="str">
        <f>Table2[[#This Row],[field_fate2]]</f>
        <v>S</v>
      </c>
      <c r="AC389" s="4" t="str">
        <f>Table2[[#This Row],[field_fate3]]</f>
        <v>S</v>
      </c>
      <c r="AD389" s="4" t="str">
        <f>Table2[[#This Row],[field_fate4]]</f>
        <v>S</v>
      </c>
      <c r="AE389" s="4" t="str">
        <f>Table2[[#This Row],[field_fate5]]</f>
        <v>S</v>
      </c>
      <c r="AF389" s="4" t="str">
        <f>Table2[[#This Row],[field_fate5]]</f>
        <v>S</v>
      </c>
      <c r="AG389" s="4" t="str">
        <f>Table2[[#This Row],[field_fate5]]</f>
        <v>S</v>
      </c>
      <c r="AH389" s="4" t="str">
        <f>Table2[[#This Row],[field_fate2]]</f>
        <v>S</v>
      </c>
      <c r="AI389" s="4" t="str">
        <f>Table2[[#This Row],[field_fate8]]</f>
        <v>S</v>
      </c>
      <c r="AJ389" s="4" t="str">
        <f>Table2[[#This Row],[field_fate10]]</f>
        <v>S</v>
      </c>
      <c r="AK389" s="4" t="b">
        <f>Table2[[#This Row],[field_fate_feb]]=Table2[[#This Row],[field_fate10]]</f>
        <v>1</v>
      </c>
      <c r="AL389" s="43" t="s">
        <v>24</v>
      </c>
      <c r="AM389" s="43" t="b">
        <f>Table2[[#This Row],[cam_fate2]]="NA"</f>
        <v>1</v>
      </c>
      <c r="AN389" s="19" t="str">
        <f>Table2[[#This Row],[cam_fate1]]</f>
        <v>NA</v>
      </c>
      <c r="AO389" s="2" t="s">
        <v>25</v>
      </c>
      <c r="AP389" s="5" t="str">
        <f>Table2[[#This Row],[final_fate1]]</f>
        <v>S</v>
      </c>
      <c r="AQ389" s="6">
        <v>8</v>
      </c>
      <c r="AR389" s="7">
        <v>8</v>
      </c>
      <c r="AS389" s="7">
        <f>Table2[[#This Row],[final_obs_date]]-Table2[[#This Row],[init_date]]</f>
        <v>8</v>
      </c>
      <c r="AT389" s="7">
        <f>(Table2[[#This Row],[final_obs_date2]]-Table2[[#This Row],[estHD]])+16</f>
        <v>5</v>
      </c>
      <c r="AU389" s="38">
        <v>3</v>
      </c>
      <c r="AV389" s="33">
        <v>3</v>
      </c>
      <c r="AW389" s="33">
        <f>Table2[[#This Row],[final_obs_date2]]-Table2[[#This Row],[pen_obs_date]]</f>
        <v>74</v>
      </c>
      <c r="AX389" s="67">
        <v>74</v>
      </c>
      <c r="AY389" s="6">
        <f>Table2[[#This Row],[final_obs_date]]</f>
        <v>74</v>
      </c>
      <c r="AZ389" s="6"/>
      <c r="BA389" s="91" t="s">
        <v>47</v>
      </c>
      <c r="BB389" s="6" t="b">
        <f>Table2[[#This Row],[final_obs_date]]&lt;(Table2[[#This Row],[estHD]]-2)</f>
        <v>1</v>
      </c>
      <c r="BC389" s="24">
        <f>IF(Table2[[#This Row],[field_fate]]="H",1,0)</f>
        <v>0</v>
      </c>
      <c r="BD389" s="16">
        <f>IF(Table2[[#This Row],[cam_fate2]]="H",1,0)</f>
        <v>0</v>
      </c>
      <c r="BE389" s="6" t="b">
        <f>NOT(Table2[[#This Row],[HF_C]]=Table2[[#This Row],[HF]])</f>
        <v>0</v>
      </c>
      <c r="BF389" s="6" t="b">
        <f>NOT(Table2[[#This Row],[cam_fate2]]=Table2[[#This Row],[field_fate3]])</f>
        <v>1</v>
      </c>
      <c r="BG389" s="6" t="b">
        <f>OR(Table2[[#This Row],[field_fate3]]="U",Table2[[#This Row],[field_fate3]]="U-H")</f>
        <v>0</v>
      </c>
      <c r="BH389" s="8">
        <v>71</v>
      </c>
      <c r="BI389" s="8">
        <v>71</v>
      </c>
      <c r="BJ389" s="14">
        <f>IF(ISTEXT(Table2[[#This Row],[j.cam]]),Table2[[#This Row],[j]],Table2[[#This Row],[j.cam]])</f>
        <v>71</v>
      </c>
      <c r="BK389" s="9">
        <v>74</v>
      </c>
      <c r="BL389" s="15">
        <f>IF(ISTEXT(Table2[[#This Row],[k.cam]]), Table2[[#This Row],[k]], Table2[[#This Row],[k.cam]])</f>
        <v>74</v>
      </c>
      <c r="BM389" s="4" t="s">
        <v>24</v>
      </c>
      <c r="BN389" s="8" t="s">
        <v>24</v>
      </c>
      <c r="BO389" s="4">
        <v>2</v>
      </c>
      <c r="BP389" s="4">
        <f>Table2[[#This Row],[final_obs_date]]-Table2[[#This Row],[i]]</f>
        <v>3</v>
      </c>
      <c r="BQ389" s="4" t="b">
        <f>Table2[[#This Row],[final_obs_date2]]&gt;Table2[[#This Row],[estHD]]+3</f>
        <v>0</v>
      </c>
      <c r="BR389" s="4" t="s">
        <v>33</v>
      </c>
      <c r="BS389" s="4" t="s">
        <v>45</v>
      </c>
      <c r="BT389" s="79" t="s">
        <v>1246</v>
      </c>
      <c r="BU389" s="26" t="s">
        <v>87</v>
      </c>
      <c r="BV389" s="79" t="s">
        <v>1430</v>
      </c>
      <c r="BW389" s="49"/>
      <c r="BX389" s="47"/>
      <c r="BY389" s="36" t="s">
        <v>728</v>
      </c>
    </row>
    <row r="390" spans="1:77" hidden="1" x14ac:dyDescent="0.35">
      <c r="A390" s="63">
        <v>20294</v>
      </c>
      <c r="B390" s="2" t="s">
        <v>111</v>
      </c>
      <c r="C390" s="45">
        <v>2020</v>
      </c>
      <c r="D390" s="3">
        <v>29.77168</v>
      </c>
      <c r="E390" s="3">
        <v>-93.300330000000002</v>
      </c>
      <c r="F390" s="3">
        <v>0</v>
      </c>
      <c r="G390" s="3">
        <v>0</v>
      </c>
      <c r="H390" s="3" t="s">
        <v>26</v>
      </c>
      <c r="I390" s="43"/>
      <c r="J390" s="55">
        <v>88</v>
      </c>
      <c r="K390" s="4">
        <v>88</v>
      </c>
      <c r="L390" s="22">
        <f>IF(ISNUMBER(Table2[[#This Row],[estHD]]),ABS(Table2[[#This Row],[HD]]-Table2[[#This Row],[estHD]]),"NA")</f>
        <v>0</v>
      </c>
      <c r="M390" s="4" t="b">
        <f>Table2[[#This Row],[HD]]=Table2[[#This Row],[estHD]]</f>
        <v>1</v>
      </c>
      <c r="N390" s="4" t="str">
        <f>IF(ISNUMBER([1]!Table2[[#This Row],[hatch_date]]),[1]!Table2[[#This Row],[hatch_date]]-19,"NA")</f>
        <v>NA</v>
      </c>
      <c r="O390" s="31">
        <v>69</v>
      </c>
      <c r="P390" s="23">
        <f>IF(ISNUMBER(Table2[[#This Row],[nest_age1]]),ABS(Table2[[#This Row],[nest_age1]]-Table2[[#This Row],[nest_age_feb]]),"NA")</f>
        <v>1</v>
      </c>
      <c r="Q390" s="24">
        <f>IF(ISNUMBER(Table2[[#This Row],[final_obs_int2]]),ABS(Table2[[#This Row],[final_obs_int2]]-Table2[[#This Row],[final_obs_int_feb]]), "NA")</f>
        <v>0</v>
      </c>
      <c r="R390" s="24"/>
      <c r="S390" s="57" t="s">
        <v>88</v>
      </c>
      <c r="T390" s="57" t="str">
        <f>Table2[[#This Row],[camera_old]]</f>
        <v>N</v>
      </c>
      <c r="U390" s="24"/>
      <c r="V390" s="16" t="s">
        <v>24</v>
      </c>
      <c r="W390" s="16">
        <v>4</v>
      </c>
      <c r="X390" s="145">
        <v>3</v>
      </c>
      <c r="Y390" s="147" t="s">
        <v>25</v>
      </c>
      <c r="Z390" s="146" t="s">
        <v>25</v>
      </c>
      <c r="AA390" s="4" t="str">
        <f>Table2[[#This Row],[field_fate]]</f>
        <v>S</v>
      </c>
      <c r="AB390" s="4" t="str">
        <f>Table2[[#This Row],[field_fate2]]</f>
        <v>S</v>
      </c>
      <c r="AC390" s="4" t="str">
        <f>Table2[[#This Row],[field_fate3]]</f>
        <v>S</v>
      </c>
      <c r="AD390" s="4" t="str">
        <f>Table2[[#This Row],[field_fate4]]</f>
        <v>S</v>
      </c>
      <c r="AE390" s="4" t="str">
        <f>Table2[[#This Row],[field_fate5]]</f>
        <v>S</v>
      </c>
      <c r="AF390" s="4" t="str">
        <f>Table2[[#This Row],[field_fate5]]</f>
        <v>S</v>
      </c>
      <c r="AG390" s="4" t="str">
        <f>Table2[[#This Row],[field_fate5]]</f>
        <v>S</v>
      </c>
      <c r="AH390" s="4" t="str">
        <f>Table2[[#This Row],[field_fate2]]</f>
        <v>S</v>
      </c>
      <c r="AI390" s="4" t="str">
        <f>Table2[[#This Row],[field_fate8]]</f>
        <v>S</v>
      </c>
      <c r="AJ390" s="4" t="str">
        <f>Table2[[#This Row],[field_fate10]]</f>
        <v>S</v>
      </c>
      <c r="AK390" s="4" t="b">
        <f>Table2[[#This Row],[field_fate_feb]]=Table2[[#This Row],[field_fate10]]</f>
        <v>1</v>
      </c>
      <c r="AL390" s="43" t="s">
        <v>24</v>
      </c>
      <c r="AM390" s="43" t="b">
        <f>Table2[[#This Row],[cam_fate2]]="NA"</f>
        <v>1</v>
      </c>
      <c r="AN390" s="19" t="str">
        <f>Table2[[#This Row],[cam_fate1]]</f>
        <v>NA</v>
      </c>
      <c r="AO390" s="2" t="s">
        <v>25</v>
      </c>
      <c r="AP390" s="5" t="str">
        <f>Table2[[#This Row],[final_fate1]]</f>
        <v>S</v>
      </c>
      <c r="AQ390" s="6">
        <v>5</v>
      </c>
      <c r="AR390" s="7">
        <v>5</v>
      </c>
      <c r="AS390" s="7">
        <f>Table2[[#This Row],[final_obs_date]]-Table2[[#This Row],[init_date]]</f>
        <v>5</v>
      </c>
      <c r="AT390" s="7">
        <f>(Table2[[#This Row],[final_obs_date2]]-Table2[[#This Row],[estHD]])+16</f>
        <v>2</v>
      </c>
      <c r="AU390" s="38">
        <v>3</v>
      </c>
      <c r="AV390" s="33">
        <v>3</v>
      </c>
      <c r="AW390" s="33">
        <f>Table2[[#This Row],[final_obs_date2]]-Table2[[#This Row],[pen_obs_date]]</f>
        <v>74</v>
      </c>
      <c r="AX390" s="67">
        <v>74</v>
      </c>
      <c r="AY390" s="6">
        <f>Table2[[#This Row],[final_obs_date]]</f>
        <v>74</v>
      </c>
      <c r="AZ390" s="6"/>
      <c r="BA390" s="91" t="s">
        <v>47</v>
      </c>
      <c r="BB390" s="6" t="b">
        <f>Table2[[#This Row],[final_obs_date]]&lt;(Table2[[#This Row],[estHD]]-2)</f>
        <v>1</v>
      </c>
      <c r="BC390" s="24">
        <f>IF(Table2[[#This Row],[field_fate]]="H",1,0)</f>
        <v>0</v>
      </c>
      <c r="BD390" s="16">
        <f>IF(Table2[[#This Row],[cam_fate2]]="H",1,0)</f>
        <v>0</v>
      </c>
      <c r="BE390" s="6" t="b">
        <f>NOT(Table2[[#This Row],[HF_C]]=Table2[[#This Row],[HF]])</f>
        <v>0</v>
      </c>
      <c r="BF390" s="6" t="b">
        <f>NOT(Table2[[#This Row],[cam_fate2]]=Table2[[#This Row],[field_fate3]])</f>
        <v>1</v>
      </c>
      <c r="BG390" s="6" t="b">
        <f>OR(Table2[[#This Row],[field_fate3]]="U",Table2[[#This Row],[field_fate3]]="U-H")</f>
        <v>0</v>
      </c>
      <c r="BH390" s="8">
        <v>71</v>
      </c>
      <c r="BI390" s="8">
        <v>71</v>
      </c>
      <c r="BJ390" s="14">
        <f>IF(ISTEXT(Table2[[#This Row],[j.cam]]),Table2[[#This Row],[j]],Table2[[#This Row],[j.cam]])</f>
        <v>71</v>
      </c>
      <c r="BK390" s="9">
        <v>74</v>
      </c>
      <c r="BL390" s="15">
        <f>IF(ISTEXT(Table2[[#This Row],[k.cam]]), Table2[[#This Row],[k]], Table2[[#This Row],[k.cam]])</f>
        <v>74</v>
      </c>
      <c r="BM390" s="4" t="s">
        <v>24</v>
      </c>
      <c r="BN390" s="8" t="s">
        <v>24</v>
      </c>
      <c r="BO390" s="4">
        <v>2</v>
      </c>
      <c r="BP390" s="4">
        <f>Table2[[#This Row],[final_obs_date]]-Table2[[#This Row],[i]]</f>
        <v>3</v>
      </c>
      <c r="BQ390" s="4" t="b">
        <f>Table2[[#This Row],[final_obs_date2]]&gt;Table2[[#This Row],[estHD]]+3</f>
        <v>0</v>
      </c>
      <c r="BR390" s="4" t="s">
        <v>58</v>
      </c>
      <c r="BS390" s="4" t="s">
        <v>45</v>
      </c>
      <c r="BT390" s="79" t="s">
        <v>1246</v>
      </c>
      <c r="BU390" s="26" t="s">
        <v>117</v>
      </c>
      <c r="BV390" s="79" t="s">
        <v>1430</v>
      </c>
      <c r="BW390" s="49"/>
      <c r="BX390" s="47"/>
      <c r="BY390" s="36" t="s">
        <v>728</v>
      </c>
    </row>
    <row r="391" spans="1:77" hidden="1" x14ac:dyDescent="0.35">
      <c r="A391" s="63">
        <v>20295</v>
      </c>
      <c r="B391" s="2" t="s">
        <v>111</v>
      </c>
      <c r="C391" s="45">
        <v>2020</v>
      </c>
      <c r="D391" s="3">
        <v>29.771660000000001</v>
      </c>
      <c r="E391" s="3">
        <v>-93.300510000000003</v>
      </c>
      <c r="F391" s="3">
        <v>0</v>
      </c>
      <c r="G391" s="3">
        <v>0</v>
      </c>
      <c r="H391" s="3" t="s">
        <v>26</v>
      </c>
      <c r="I391" s="43"/>
      <c r="J391" s="55">
        <v>86</v>
      </c>
      <c r="K391" s="4">
        <v>86</v>
      </c>
      <c r="L391" s="22">
        <f>IF(ISNUMBER(Table2[[#This Row],[estHD]]),ABS(Table2[[#This Row],[HD]]-Table2[[#This Row],[estHD]]),"NA")</f>
        <v>0</v>
      </c>
      <c r="M391" s="4" t="b">
        <f>Table2[[#This Row],[HD]]=Table2[[#This Row],[estHD]]</f>
        <v>1</v>
      </c>
      <c r="N391" s="4" t="str">
        <f>IF(ISNUMBER([1]!Table2[[#This Row],[hatch_date]]),[1]!Table2[[#This Row],[hatch_date]]-19,"NA")</f>
        <v>NA</v>
      </c>
      <c r="O391" s="31">
        <v>67</v>
      </c>
      <c r="P391" s="23">
        <f>IF(ISNUMBER(Table2[[#This Row],[nest_age1]]),ABS(Table2[[#This Row],[nest_age1]]-Table2[[#This Row],[nest_age_feb]]),"NA")</f>
        <v>1</v>
      </c>
      <c r="Q391" s="24">
        <f>IF(ISNUMBER(Table2[[#This Row],[final_obs_int2]]),ABS(Table2[[#This Row],[final_obs_int2]]-Table2[[#This Row],[final_obs_int_feb]]), "NA")</f>
        <v>0</v>
      </c>
      <c r="R391" s="24"/>
      <c r="S391" s="57" t="s">
        <v>88</v>
      </c>
      <c r="T391" s="57" t="str">
        <f>Table2[[#This Row],[camera_old]]</f>
        <v>N</v>
      </c>
      <c r="U391" s="24"/>
      <c r="V391" s="16" t="s">
        <v>24</v>
      </c>
      <c r="W391" s="16">
        <v>6</v>
      </c>
      <c r="X391" s="145">
        <v>3</v>
      </c>
      <c r="Y391" s="147" t="s">
        <v>25</v>
      </c>
      <c r="Z391" s="146" t="s">
        <v>25</v>
      </c>
      <c r="AA391" s="4" t="str">
        <f>Table2[[#This Row],[field_fate]]</f>
        <v>S</v>
      </c>
      <c r="AB391" s="4" t="str">
        <f>Table2[[#This Row],[field_fate2]]</f>
        <v>S</v>
      </c>
      <c r="AC391" s="4" t="str">
        <f>Table2[[#This Row],[field_fate3]]</f>
        <v>S</v>
      </c>
      <c r="AD391" s="4" t="str">
        <f>Table2[[#This Row],[field_fate4]]</f>
        <v>S</v>
      </c>
      <c r="AE391" s="4" t="str">
        <f>Table2[[#This Row],[field_fate5]]</f>
        <v>S</v>
      </c>
      <c r="AF391" s="4" t="str">
        <f>Table2[[#This Row],[field_fate5]]</f>
        <v>S</v>
      </c>
      <c r="AG391" s="4" t="str">
        <f>Table2[[#This Row],[field_fate5]]</f>
        <v>S</v>
      </c>
      <c r="AH391" s="4" t="str">
        <f>Table2[[#This Row],[field_fate2]]</f>
        <v>S</v>
      </c>
      <c r="AI391" s="4" t="str">
        <f>Table2[[#This Row],[field_fate8]]</f>
        <v>S</v>
      </c>
      <c r="AJ391" s="4" t="str">
        <f>Table2[[#This Row],[field_fate10]]</f>
        <v>S</v>
      </c>
      <c r="AK391" s="4" t="b">
        <f>Table2[[#This Row],[field_fate_feb]]=Table2[[#This Row],[field_fate10]]</f>
        <v>1</v>
      </c>
      <c r="AL391" s="43" t="s">
        <v>24</v>
      </c>
      <c r="AM391" s="43" t="b">
        <f>Table2[[#This Row],[cam_fate2]]="NA"</f>
        <v>1</v>
      </c>
      <c r="AN391" s="19" t="str">
        <f>Table2[[#This Row],[cam_fate1]]</f>
        <v>NA</v>
      </c>
      <c r="AO391" s="2" t="s">
        <v>25</v>
      </c>
      <c r="AP391" s="5" t="str">
        <f>Table2[[#This Row],[final_fate1]]</f>
        <v>S</v>
      </c>
      <c r="AQ391" s="6">
        <v>7</v>
      </c>
      <c r="AR391" s="7">
        <v>7</v>
      </c>
      <c r="AS391" s="7">
        <f>Table2[[#This Row],[final_obs_date]]-Table2[[#This Row],[init_date]]</f>
        <v>7</v>
      </c>
      <c r="AT391" s="7">
        <f>(Table2[[#This Row],[final_obs_date2]]-Table2[[#This Row],[estHD]])+16</f>
        <v>4</v>
      </c>
      <c r="AU391" s="38">
        <v>3</v>
      </c>
      <c r="AV391" s="33">
        <v>3</v>
      </c>
      <c r="AW391" s="33">
        <f>Table2[[#This Row],[final_obs_date2]]-Table2[[#This Row],[pen_obs_date]]</f>
        <v>74</v>
      </c>
      <c r="AX391" s="67">
        <v>74</v>
      </c>
      <c r="AY391" s="6">
        <f>Table2[[#This Row],[final_obs_date]]</f>
        <v>74</v>
      </c>
      <c r="AZ391" s="6"/>
      <c r="BA391" s="91" t="s">
        <v>47</v>
      </c>
      <c r="BB391" s="6" t="b">
        <f>Table2[[#This Row],[final_obs_date]]&lt;(Table2[[#This Row],[estHD]]-2)</f>
        <v>1</v>
      </c>
      <c r="BC391" s="24">
        <f>IF(Table2[[#This Row],[field_fate]]="H",1,0)</f>
        <v>0</v>
      </c>
      <c r="BD391" s="16">
        <f>IF(Table2[[#This Row],[cam_fate2]]="H",1,0)</f>
        <v>0</v>
      </c>
      <c r="BE391" s="6" t="b">
        <f>NOT(Table2[[#This Row],[HF_C]]=Table2[[#This Row],[HF]])</f>
        <v>0</v>
      </c>
      <c r="BF391" s="6" t="b">
        <f>NOT(Table2[[#This Row],[cam_fate2]]=Table2[[#This Row],[field_fate3]])</f>
        <v>1</v>
      </c>
      <c r="BG391" s="6" t="b">
        <f>OR(Table2[[#This Row],[field_fate3]]="U",Table2[[#This Row],[field_fate3]]="U-H")</f>
        <v>0</v>
      </c>
      <c r="BH391" s="8">
        <v>71</v>
      </c>
      <c r="BI391" s="8">
        <v>71</v>
      </c>
      <c r="BJ391" s="14">
        <f>IF(ISTEXT(Table2[[#This Row],[j.cam]]),Table2[[#This Row],[j]],Table2[[#This Row],[j.cam]])</f>
        <v>71</v>
      </c>
      <c r="BK391" s="9">
        <v>74</v>
      </c>
      <c r="BL391" s="15">
        <f>IF(ISTEXT(Table2[[#This Row],[k.cam]]), Table2[[#This Row],[k]], Table2[[#This Row],[k.cam]])</f>
        <v>74</v>
      </c>
      <c r="BM391" s="4" t="s">
        <v>24</v>
      </c>
      <c r="BN391" s="8" t="s">
        <v>24</v>
      </c>
      <c r="BO391" s="4">
        <v>2</v>
      </c>
      <c r="BP391" s="4">
        <f>Table2[[#This Row],[final_obs_date]]-Table2[[#This Row],[i]]</f>
        <v>3</v>
      </c>
      <c r="BQ391" s="4" t="b">
        <f>Table2[[#This Row],[final_obs_date2]]&gt;Table2[[#This Row],[estHD]]+3</f>
        <v>0</v>
      </c>
      <c r="BR391" s="4" t="s">
        <v>33</v>
      </c>
      <c r="BS391" s="4" t="s">
        <v>45</v>
      </c>
      <c r="BT391" s="79" t="s">
        <v>1246</v>
      </c>
      <c r="BU391" s="26" t="s">
        <v>87</v>
      </c>
      <c r="BV391" s="79" t="s">
        <v>1430</v>
      </c>
      <c r="BW391" s="49"/>
      <c r="BX391" s="47"/>
      <c r="BY391" s="36" t="s">
        <v>728</v>
      </c>
    </row>
    <row r="392" spans="1:77" hidden="1" x14ac:dyDescent="0.35">
      <c r="A392" s="63">
        <v>20296</v>
      </c>
      <c r="B392" s="2" t="s">
        <v>111</v>
      </c>
      <c r="C392" s="45">
        <v>2020</v>
      </c>
      <c r="D392" s="3">
        <v>29.771640000000001</v>
      </c>
      <c r="E392" s="3">
        <v>-93.300740000000005</v>
      </c>
      <c r="F392" s="3">
        <v>0</v>
      </c>
      <c r="G392" s="3">
        <v>0</v>
      </c>
      <c r="H392" s="3" t="s">
        <v>26</v>
      </c>
      <c r="I392" s="43"/>
      <c r="J392" s="55">
        <v>82</v>
      </c>
      <c r="K392" s="4">
        <v>82</v>
      </c>
      <c r="L392" s="22">
        <f>IF(ISNUMBER(Table2[[#This Row],[estHD]]),ABS(Table2[[#This Row],[HD]]-Table2[[#This Row],[estHD]]),"NA")</f>
        <v>0</v>
      </c>
      <c r="M392" s="4" t="b">
        <f>Table2[[#This Row],[HD]]=Table2[[#This Row],[estHD]]</f>
        <v>1</v>
      </c>
      <c r="N392" s="4" t="str">
        <f>IF(ISNUMBER([1]!Table2[[#This Row],[hatch_date]]),[1]!Table2[[#This Row],[hatch_date]]-19,"NA")</f>
        <v>NA</v>
      </c>
      <c r="O392" s="31">
        <v>63</v>
      </c>
      <c r="P392" s="23">
        <f>IF(ISNUMBER(Table2[[#This Row],[nest_age1]]),ABS(Table2[[#This Row],[nest_age1]]-Table2[[#This Row],[nest_age_feb]]),"NA")</f>
        <v>1</v>
      </c>
      <c r="Q392" s="24">
        <f>IF(ISNUMBER(Table2[[#This Row],[final_obs_int2]]),ABS(Table2[[#This Row],[final_obs_int2]]-Table2[[#This Row],[final_obs_int_feb]]), "NA")</f>
        <v>0</v>
      </c>
      <c r="R392" s="24"/>
      <c r="S392" s="57" t="s">
        <v>88</v>
      </c>
      <c r="T392" s="57" t="str">
        <f>Table2[[#This Row],[camera_old]]</f>
        <v>N</v>
      </c>
      <c r="U392" s="24"/>
      <c r="V392" s="16" t="s">
        <v>24</v>
      </c>
      <c r="W392" s="16">
        <v>10</v>
      </c>
      <c r="X392" s="145">
        <v>3</v>
      </c>
      <c r="Y392" s="147" t="s">
        <v>25</v>
      </c>
      <c r="Z392" s="146" t="s">
        <v>25</v>
      </c>
      <c r="AA392" s="4" t="str">
        <f>Table2[[#This Row],[field_fate]]</f>
        <v>S</v>
      </c>
      <c r="AB392" s="4" t="str">
        <f>Table2[[#This Row],[field_fate2]]</f>
        <v>S</v>
      </c>
      <c r="AC392" s="4" t="str">
        <f>Table2[[#This Row],[field_fate3]]</f>
        <v>S</v>
      </c>
      <c r="AD392" s="4" t="str">
        <f>Table2[[#This Row],[field_fate4]]</f>
        <v>S</v>
      </c>
      <c r="AE392" s="4" t="str">
        <f>Table2[[#This Row],[field_fate5]]</f>
        <v>S</v>
      </c>
      <c r="AF392" s="4" t="str">
        <f>Table2[[#This Row],[field_fate5]]</f>
        <v>S</v>
      </c>
      <c r="AG392" s="4" t="str">
        <f>Table2[[#This Row],[field_fate5]]</f>
        <v>S</v>
      </c>
      <c r="AH392" s="4" t="str">
        <f>Table2[[#This Row],[field_fate2]]</f>
        <v>S</v>
      </c>
      <c r="AI392" s="4" t="str">
        <f>Table2[[#This Row],[field_fate8]]</f>
        <v>S</v>
      </c>
      <c r="AJ392" s="4" t="str">
        <f>Table2[[#This Row],[field_fate10]]</f>
        <v>S</v>
      </c>
      <c r="AK392" s="4" t="b">
        <f>Table2[[#This Row],[field_fate_feb]]=Table2[[#This Row],[field_fate10]]</f>
        <v>1</v>
      </c>
      <c r="AL392" s="43" t="s">
        <v>24</v>
      </c>
      <c r="AM392" s="43" t="b">
        <f>Table2[[#This Row],[cam_fate2]]="NA"</f>
        <v>1</v>
      </c>
      <c r="AN392" s="19" t="str">
        <f>Table2[[#This Row],[cam_fate1]]</f>
        <v>NA</v>
      </c>
      <c r="AO392" s="2" t="s">
        <v>25</v>
      </c>
      <c r="AP392" s="5" t="str">
        <f>Table2[[#This Row],[final_fate1]]</f>
        <v>S</v>
      </c>
      <c r="AQ392" s="6">
        <v>11</v>
      </c>
      <c r="AR392" s="7">
        <v>11</v>
      </c>
      <c r="AS392" s="7">
        <f>Table2[[#This Row],[final_obs_date]]-Table2[[#This Row],[init_date]]</f>
        <v>11</v>
      </c>
      <c r="AT392" s="7">
        <f>(Table2[[#This Row],[final_obs_date2]]-Table2[[#This Row],[estHD]])+16</f>
        <v>8</v>
      </c>
      <c r="AU392" s="38">
        <v>3</v>
      </c>
      <c r="AV392" s="33">
        <v>3</v>
      </c>
      <c r="AW392" s="33">
        <f>Table2[[#This Row],[final_obs_date2]]-Table2[[#This Row],[pen_obs_date]]</f>
        <v>74</v>
      </c>
      <c r="AX392" s="67">
        <v>74</v>
      </c>
      <c r="AY392" s="6">
        <f>Table2[[#This Row],[final_obs_date]]</f>
        <v>74</v>
      </c>
      <c r="AZ392" s="6"/>
      <c r="BA392" s="91" t="s">
        <v>47</v>
      </c>
      <c r="BB392" s="6" t="b">
        <f>Table2[[#This Row],[final_obs_date]]&lt;(Table2[[#This Row],[estHD]]-2)</f>
        <v>1</v>
      </c>
      <c r="BC392" s="24">
        <f>IF(Table2[[#This Row],[field_fate]]="H",1,0)</f>
        <v>0</v>
      </c>
      <c r="BD392" s="16">
        <f>IF(Table2[[#This Row],[cam_fate2]]="H",1,0)</f>
        <v>0</v>
      </c>
      <c r="BE392" s="6" t="b">
        <f>NOT(Table2[[#This Row],[HF_C]]=Table2[[#This Row],[HF]])</f>
        <v>0</v>
      </c>
      <c r="BF392" s="6" t="b">
        <f>NOT(Table2[[#This Row],[cam_fate2]]=Table2[[#This Row],[field_fate3]])</f>
        <v>1</v>
      </c>
      <c r="BG392" s="6" t="b">
        <f>OR(Table2[[#This Row],[field_fate3]]="U",Table2[[#This Row],[field_fate3]]="U-H")</f>
        <v>0</v>
      </c>
      <c r="BH392" s="8">
        <v>71</v>
      </c>
      <c r="BI392" s="8">
        <v>71</v>
      </c>
      <c r="BJ392" s="14">
        <f>IF(ISTEXT(Table2[[#This Row],[j.cam]]),Table2[[#This Row],[j]],Table2[[#This Row],[j.cam]])</f>
        <v>71</v>
      </c>
      <c r="BK392" s="9">
        <v>74</v>
      </c>
      <c r="BL392" s="15">
        <f>IF(ISTEXT(Table2[[#This Row],[k.cam]]), Table2[[#This Row],[k]], Table2[[#This Row],[k.cam]])</f>
        <v>74</v>
      </c>
      <c r="BM392" s="4" t="s">
        <v>24</v>
      </c>
      <c r="BN392" s="8" t="s">
        <v>24</v>
      </c>
      <c r="BO392" s="4">
        <v>2</v>
      </c>
      <c r="BP392" s="4">
        <f>Table2[[#This Row],[final_obs_date]]-Table2[[#This Row],[i]]</f>
        <v>3</v>
      </c>
      <c r="BQ392" s="4" t="b">
        <f>Table2[[#This Row],[final_obs_date2]]&gt;Table2[[#This Row],[estHD]]+3</f>
        <v>0</v>
      </c>
      <c r="BR392" s="4" t="s">
        <v>33</v>
      </c>
      <c r="BS392" s="4" t="s">
        <v>45</v>
      </c>
      <c r="BT392" s="79" t="s">
        <v>1246</v>
      </c>
      <c r="BU392" s="26" t="s">
        <v>87</v>
      </c>
      <c r="BV392" s="79" t="s">
        <v>1430</v>
      </c>
      <c r="BW392" s="49"/>
      <c r="BX392" s="47"/>
      <c r="BY392" s="36" t="s">
        <v>728</v>
      </c>
    </row>
    <row r="393" spans="1:77" hidden="1" x14ac:dyDescent="0.35">
      <c r="A393" s="63">
        <v>20297</v>
      </c>
      <c r="B393" s="2" t="s">
        <v>111</v>
      </c>
      <c r="C393" s="45">
        <v>2020</v>
      </c>
      <c r="D393" s="3">
        <v>29.771609999999999</v>
      </c>
      <c r="E393" s="3">
        <v>-93.295050000000003</v>
      </c>
      <c r="F393" s="3">
        <v>0</v>
      </c>
      <c r="G393" s="3">
        <v>0</v>
      </c>
      <c r="H393" s="3" t="s">
        <v>26</v>
      </c>
      <c r="I393" s="43"/>
      <c r="J393" s="55">
        <v>88</v>
      </c>
      <c r="K393" s="4">
        <v>88</v>
      </c>
      <c r="L393" s="22">
        <f>IF(ISNUMBER(Table2[[#This Row],[estHD]]),ABS(Table2[[#This Row],[HD]]-Table2[[#This Row],[estHD]]),"NA")</f>
        <v>0</v>
      </c>
      <c r="M393" s="4" t="b">
        <f>Table2[[#This Row],[HD]]=Table2[[#This Row],[estHD]]</f>
        <v>1</v>
      </c>
      <c r="N393" s="4" t="str">
        <f>IF(ISNUMBER([1]!Table2[[#This Row],[hatch_date]]),[1]!Table2[[#This Row],[hatch_date]]-19,"NA")</f>
        <v>NA</v>
      </c>
      <c r="O393" s="31">
        <v>69</v>
      </c>
      <c r="P393" s="23">
        <f>IF(ISNUMBER(Table2[[#This Row],[nest_age1]]),ABS(Table2[[#This Row],[nest_age1]]-Table2[[#This Row],[nest_age_feb]]),"NA")</f>
        <v>1</v>
      </c>
      <c r="Q393" s="24">
        <f>IF(ISNUMBER(Table2[[#This Row],[final_obs_int2]]),ABS(Table2[[#This Row],[final_obs_int2]]-Table2[[#This Row],[final_obs_int_feb]]), "NA")</f>
        <v>0</v>
      </c>
      <c r="R393" s="24"/>
      <c r="S393" s="57" t="s">
        <v>88</v>
      </c>
      <c r="T393" s="57" t="str">
        <f>Table2[[#This Row],[camera_old]]</f>
        <v>N</v>
      </c>
      <c r="U393" s="24"/>
      <c r="V393" s="16" t="s">
        <v>24</v>
      </c>
      <c r="W393" s="16">
        <v>4</v>
      </c>
      <c r="X393" s="145">
        <v>3</v>
      </c>
      <c r="Y393" s="147" t="s">
        <v>25</v>
      </c>
      <c r="Z393" s="146" t="s">
        <v>25</v>
      </c>
      <c r="AA393" s="4" t="str">
        <f>Table2[[#This Row],[field_fate]]</f>
        <v>S</v>
      </c>
      <c r="AB393" s="4" t="str">
        <f>Table2[[#This Row],[field_fate2]]</f>
        <v>S</v>
      </c>
      <c r="AC393" s="4" t="str">
        <f>Table2[[#This Row],[field_fate3]]</f>
        <v>S</v>
      </c>
      <c r="AD393" s="4" t="str">
        <f>Table2[[#This Row],[field_fate4]]</f>
        <v>S</v>
      </c>
      <c r="AE393" s="4" t="str">
        <f>Table2[[#This Row],[field_fate5]]</f>
        <v>S</v>
      </c>
      <c r="AF393" s="4" t="str">
        <f>Table2[[#This Row],[field_fate5]]</f>
        <v>S</v>
      </c>
      <c r="AG393" s="4" t="str">
        <f>Table2[[#This Row],[field_fate5]]</f>
        <v>S</v>
      </c>
      <c r="AH393" s="4" t="str">
        <f>Table2[[#This Row],[field_fate2]]</f>
        <v>S</v>
      </c>
      <c r="AI393" s="4" t="str">
        <f>Table2[[#This Row],[field_fate8]]</f>
        <v>S</v>
      </c>
      <c r="AJ393" s="4" t="str">
        <f>Table2[[#This Row],[field_fate10]]</f>
        <v>S</v>
      </c>
      <c r="AK393" s="4" t="b">
        <f>Table2[[#This Row],[field_fate_feb]]=Table2[[#This Row],[field_fate10]]</f>
        <v>1</v>
      </c>
      <c r="AL393" s="43" t="s">
        <v>24</v>
      </c>
      <c r="AM393" s="43" t="b">
        <f>Table2[[#This Row],[cam_fate2]]="NA"</f>
        <v>1</v>
      </c>
      <c r="AN393" s="19" t="str">
        <f>Table2[[#This Row],[cam_fate1]]</f>
        <v>NA</v>
      </c>
      <c r="AO393" s="2" t="s">
        <v>25</v>
      </c>
      <c r="AP393" s="5" t="str">
        <f>Table2[[#This Row],[final_fate1]]</f>
        <v>S</v>
      </c>
      <c r="AQ393" s="6">
        <v>5</v>
      </c>
      <c r="AR393" s="7">
        <v>5</v>
      </c>
      <c r="AS393" s="7">
        <f>Table2[[#This Row],[final_obs_date]]-Table2[[#This Row],[init_date]]</f>
        <v>5</v>
      </c>
      <c r="AT393" s="7">
        <f>(Table2[[#This Row],[final_obs_date2]]-Table2[[#This Row],[estHD]])+16</f>
        <v>2</v>
      </c>
      <c r="AU393" s="38">
        <v>3</v>
      </c>
      <c r="AV393" s="33">
        <v>3</v>
      </c>
      <c r="AW393" s="33">
        <f>Table2[[#This Row],[final_obs_date2]]-Table2[[#This Row],[pen_obs_date]]</f>
        <v>74</v>
      </c>
      <c r="AX393" s="67">
        <v>74</v>
      </c>
      <c r="AY393" s="6">
        <f>Table2[[#This Row],[final_obs_date]]</f>
        <v>74</v>
      </c>
      <c r="AZ393" s="6"/>
      <c r="BA393" s="91" t="s">
        <v>47</v>
      </c>
      <c r="BB393" s="6" t="b">
        <f>Table2[[#This Row],[final_obs_date]]&lt;(Table2[[#This Row],[estHD]]-2)</f>
        <v>1</v>
      </c>
      <c r="BC393" s="24">
        <f>IF(Table2[[#This Row],[field_fate]]="H",1,0)</f>
        <v>0</v>
      </c>
      <c r="BD393" s="16">
        <f>IF(Table2[[#This Row],[cam_fate2]]="H",1,0)</f>
        <v>0</v>
      </c>
      <c r="BE393" s="6" t="b">
        <f>NOT(Table2[[#This Row],[HF_C]]=Table2[[#This Row],[HF]])</f>
        <v>0</v>
      </c>
      <c r="BF393" s="6" t="b">
        <f>NOT(Table2[[#This Row],[cam_fate2]]=Table2[[#This Row],[field_fate3]])</f>
        <v>1</v>
      </c>
      <c r="BG393" s="6" t="b">
        <f>OR(Table2[[#This Row],[field_fate3]]="U",Table2[[#This Row],[field_fate3]]="U-H")</f>
        <v>0</v>
      </c>
      <c r="BH393" s="8">
        <v>71</v>
      </c>
      <c r="BI393" s="8">
        <v>71</v>
      </c>
      <c r="BJ393" s="14">
        <f>IF(ISTEXT(Table2[[#This Row],[j.cam]]),Table2[[#This Row],[j]],Table2[[#This Row],[j.cam]])</f>
        <v>71</v>
      </c>
      <c r="BK393" s="9">
        <v>74</v>
      </c>
      <c r="BL393" s="15">
        <f>IF(ISTEXT(Table2[[#This Row],[k.cam]]), Table2[[#This Row],[k]], Table2[[#This Row],[k.cam]])</f>
        <v>74</v>
      </c>
      <c r="BM393" s="4" t="s">
        <v>24</v>
      </c>
      <c r="BN393" s="8" t="s">
        <v>24</v>
      </c>
      <c r="BO393" s="4">
        <v>2</v>
      </c>
      <c r="BP393" s="4">
        <f>Table2[[#This Row],[final_obs_date]]-Table2[[#This Row],[i]]</f>
        <v>3</v>
      </c>
      <c r="BQ393" s="4" t="b">
        <f>Table2[[#This Row],[final_obs_date2]]&gt;Table2[[#This Row],[estHD]]+3</f>
        <v>0</v>
      </c>
      <c r="BR393" s="4" t="s">
        <v>33</v>
      </c>
      <c r="BS393" s="4" t="s">
        <v>45</v>
      </c>
      <c r="BT393" s="79" t="s">
        <v>1246</v>
      </c>
      <c r="BU393" s="26" t="s">
        <v>87</v>
      </c>
      <c r="BV393" s="79" t="s">
        <v>1430</v>
      </c>
      <c r="BW393" s="49"/>
      <c r="BX393" s="47"/>
      <c r="BY393" s="36" t="s">
        <v>728</v>
      </c>
    </row>
    <row r="394" spans="1:77" hidden="1" x14ac:dyDescent="0.35">
      <c r="A394" s="63">
        <v>20298</v>
      </c>
      <c r="B394" s="2" t="s">
        <v>35</v>
      </c>
      <c r="C394" s="45">
        <v>2020</v>
      </c>
      <c r="D394" s="3">
        <v>29.7622</v>
      </c>
      <c r="E394" s="3">
        <v>-93.138319999999993</v>
      </c>
      <c r="F394" s="3">
        <v>35</v>
      </c>
      <c r="G394" s="3">
        <v>40</v>
      </c>
      <c r="H394" s="3" t="s">
        <v>26</v>
      </c>
      <c r="I394" s="43"/>
      <c r="J394" s="55">
        <v>77</v>
      </c>
      <c r="K394" s="4">
        <v>81</v>
      </c>
      <c r="L394" s="22">
        <f>IF(ISNUMBER(Table2[[#This Row],[estHD]]),ABS(Table2[[#This Row],[HD]]-Table2[[#This Row],[estHD]]),"NA")</f>
        <v>4</v>
      </c>
      <c r="M394" s="4" t="b">
        <f>Table2[[#This Row],[HD]]=Table2[[#This Row],[estHD]]</f>
        <v>0</v>
      </c>
      <c r="N394" s="4" t="str">
        <f>IF(ISNUMBER([1]!Table2[[#This Row],[hatch_date]]),[1]!Table2[[#This Row],[hatch_date]]-19,"NA")</f>
        <v>NA</v>
      </c>
      <c r="O394" s="31">
        <v>62</v>
      </c>
      <c r="P394" s="23">
        <f>IF(ISNUMBER(Table2[[#This Row],[nest_age1]]),ABS(Table2[[#This Row],[nest_age1]]-Table2[[#This Row],[nest_age_feb]]),"NA")</f>
        <v>3</v>
      </c>
      <c r="Q394" s="24">
        <f>IF(ISNUMBER(Table2[[#This Row],[final_obs_int2]]),ABS(Table2[[#This Row],[final_obs_int2]]-Table2[[#This Row],[final_obs_int_feb]]), "NA")</f>
        <v>0</v>
      </c>
      <c r="R394" s="24"/>
      <c r="S394" s="57" t="s">
        <v>88</v>
      </c>
      <c r="T394" s="57" t="str">
        <f>Table2[[#This Row],[camera_old]]</f>
        <v>N</v>
      </c>
      <c r="U394" s="24"/>
      <c r="V394" s="16" t="s">
        <v>24</v>
      </c>
      <c r="W394" s="16">
        <v>22</v>
      </c>
      <c r="X394" s="145">
        <v>1</v>
      </c>
      <c r="Y394" s="147" t="s">
        <v>37</v>
      </c>
      <c r="Z394" s="146" t="s">
        <v>37</v>
      </c>
      <c r="AA394" s="4" t="str">
        <f>Table2[[#This Row],[field_fate]]</f>
        <v>H</v>
      </c>
      <c r="AB394" s="4" t="str">
        <f>Table2[[#This Row],[field_fate2]]</f>
        <v>H</v>
      </c>
      <c r="AC394" s="4" t="str">
        <f>Table2[[#This Row],[field_fate3]]</f>
        <v>H</v>
      </c>
      <c r="AD394" s="4" t="str">
        <f>Table2[[#This Row],[field_fate4]]</f>
        <v>H</v>
      </c>
      <c r="AE394" s="4" t="str">
        <f>Table2[[#This Row],[field_fate5]]</f>
        <v>H</v>
      </c>
      <c r="AF394" s="4" t="str">
        <f>Table2[[#This Row],[field_fate5]]</f>
        <v>H</v>
      </c>
      <c r="AG394" s="4" t="str">
        <f>Table2[[#This Row],[field_fate5]]</f>
        <v>H</v>
      </c>
      <c r="AH394" s="4" t="str">
        <f>Table2[[#This Row],[field_fate2]]</f>
        <v>H</v>
      </c>
      <c r="AI394" s="4" t="str">
        <f>Table2[[#This Row],[field_fate8]]</f>
        <v>H</v>
      </c>
      <c r="AJ394" s="4" t="str">
        <f>Table2[[#This Row],[field_fate10]]</f>
        <v>H</v>
      </c>
      <c r="AK394" s="4" t="b">
        <f>Table2[[#This Row],[field_fate_feb]]=Table2[[#This Row],[field_fate10]]</f>
        <v>1</v>
      </c>
      <c r="AL394" s="43" t="s">
        <v>24</v>
      </c>
      <c r="AM394" s="43" t="b">
        <f>Table2[[#This Row],[cam_fate2]]="NA"</f>
        <v>1</v>
      </c>
      <c r="AN394" s="19" t="str">
        <f>Table2[[#This Row],[cam_fate1]]</f>
        <v>NA</v>
      </c>
      <c r="AO394" s="2" t="s">
        <v>37</v>
      </c>
      <c r="AP394" s="5" t="str">
        <f>Table2[[#This Row],[final_fate1]]</f>
        <v>H</v>
      </c>
      <c r="AQ394" s="6">
        <v>19</v>
      </c>
      <c r="AR394" s="7">
        <v>23</v>
      </c>
      <c r="AS394" s="7">
        <f>Table2[[#This Row],[final_obs_date]]-Table2[[#This Row],[init_date]]</f>
        <v>19</v>
      </c>
      <c r="AT394" s="7">
        <f>(Table2[[#This Row],[final_obs_date2]]-Table2[[#This Row],[estHD]])+16</f>
        <v>20</v>
      </c>
      <c r="AU394" s="38">
        <v>1</v>
      </c>
      <c r="AV394" s="33">
        <v>1</v>
      </c>
      <c r="AW394" s="33">
        <f>Table2[[#This Row],[final_obs_date2]]-Table2[[#This Row],[pen_obs_date]]</f>
        <v>81</v>
      </c>
      <c r="AX394" s="67">
        <v>81</v>
      </c>
      <c r="AY394" s="6">
        <f>Table2[[#This Row],[final_obs_date]]</f>
        <v>81</v>
      </c>
      <c r="AZ394" s="6"/>
      <c r="BA394" s="91" t="s">
        <v>47</v>
      </c>
      <c r="BB394" s="6" t="b">
        <f>Table2[[#This Row],[final_obs_date]]&lt;(Table2[[#This Row],[estHD]]-2)</f>
        <v>0</v>
      </c>
      <c r="BC394" s="24">
        <f>IF(Table2[[#This Row],[field_fate]]="H",1,0)</f>
        <v>1</v>
      </c>
      <c r="BD394" s="16">
        <f>IF(Table2[[#This Row],[cam_fate2]]="H",1,0)</f>
        <v>0</v>
      </c>
      <c r="BE394" s="6" t="b">
        <f>NOT(Table2[[#This Row],[HF_C]]=Table2[[#This Row],[HF]])</f>
        <v>1</v>
      </c>
      <c r="BF394" s="6" t="b">
        <f>NOT(Table2[[#This Row],[cam_fate2]]=Table2[[#This Row],[field_fate3]])</f>
        <v>1</v>
      </c>
      <c r="BG394" s="6" t="b">
        <f>OR(Table2[[#This Row],[field_fate3]]="U",Table2[[#This Row],[field_fate3]]="U-H")</f>
        <v>0</v>
      </c>
      <c r="BH394" s="8">
        <v>73</v>
      </c>
      <c r="BI394" s="8">
        <v>81</v>
      </c>
      <c r="BJ394" s="14">
        <f>IF(ISTEXT(Table2[[#This Row],[j.cam]]),Table2[[#This Row],[j]],Table2[[#This Row],[j.cam]])</f>
        <v>81</v>
      </c>
      <c r="BK394" s="9">
        <v>81</v>
      </c>
      <c r="BL394" s="15">
        <f>IF(ISTEXT(Table2[[#This Row],[k.cam]]), Table2[[#This Row],[k]], Table2[[#This Row],[k.cam]])</f>
        <v>81</v>
      </c>
      <c r="BM394" s="4" t="s">
        <v>24</v>
      </c>
      <c r="BN394" s="8" t="s">
        <v>24</v>
      </c>
      <c r="BO394" s="4">
        <v>4</v>
      </c>
      <c r="BP394" s="4">
        <f>Table2[[#This Row],[final_obs_date]]-Table2[[#This Row],[i]]</f>
        <v>8</v>
      </c>
      <c r="BQ394" s="4" t="b">
        <f>Table2[[#This Row],[final_obs_date2]]&gt;Table2[[#This Row],[estHD]]+3</f>
        <v>1</v>
      </c>
      <c r="BR394" s="4" t="s">
        <v>33</v>
      </c>
      <c r="BS394" s="4" t="s">
        <v>313</v>
      </c>
      <c r="BT394" s="79" t="s">
        <v>1247</v>
      </c>
      <c r="BU394" s="26" t="s">
        <v>314</v>
      </c>
      <c r="BV394" s="79" t="s">
        <v>1605</v>
      </c>
      <c r="BW394" s="49"/>
      <c r="BX394" s="47"/>
      <c r="BY394" s="36" t="s">
        <v>730</v>
      </c>
    </row>
    <row r="395" spans="1:77" hidden="1" x14ac:dyDescent="0.35">
      <c r="A395" s="63">
        <v>20299</v>
      </c>
      <c r="B395" s="2" t="s">
        <v>35</v>
      </c>
      <c r="C395" s="45">
        <v>2020</v>
      </c>
      <c r="D395" s="3">
        <v>29.765730000000001</v>
      </c>
      <c r="E395" s="3">
        <v>-93.15522</v>
      </c>
      <c r="F395" s="3">
        <v>20</v>
      </c>
      <c r="G395" s="3">
        <v>40</v>
      </c>
      <c r="H395" s="3" t="s">
        <v>26</v>
      </c>
      <c r="I395" s="43"/>
      <c r="J395" s="116">
        <v>92</v>
      </c>
      <c r="K395" s="4">
        <v>92</v>
      </c>
      <c r="L395" s="22">
        <f>IF(ISNUMBER(Table2[[#This Row],[estHD]]),ABS(Table2[[#This Row],[HD]]-Table2[[#This Row],[estHD]]),"NA")</f>
        <v>0</v>
      </c>
      <c r="M395" s="4" t="b">
        <f>Table2[[#This Row],[HD]]=Table2[[#This Row],[estHD]]</f>
        <v>1</v>
      </c>
      <c r="N395" s="4" t="str">
        <f>IF(ISNUMBER([1]!Table2[[#This Row],[hatch_date]]),[1]!Table2[[#This Row],[hatch_date]]-19,"NA")</f>
        <v>NA</v>
      </c>
      <c r="O395" s="31">
        <v>73</v>
      </c>
      <c r="P395" s="23">
        <f>IF(ISNUMBER(Table2[[#This Row],[nest_age1]]),ABS(Table2[[#This Row],[nest_age1]]-Table2[[#This Row],[nest_age_feb]]),"NA")</f>
        <v>1</v>
      </c>
      <c r="Q395" s="24">
        <f>IF(ISNUMBER(Table2[[#This Row],[final_obs_int2]]),ABS(Table2[[#This Row],[final_obs_int2]]-Table2[[#This Row],[final_obs_int_feb]]), "NA")</f>
        <v>0</v>
      </c>
      <c r="R395" s="24"/>
      <c r="S395" s="20" t="s">
        <v>75</v>
      </c>
      <c r="T395" s="20" t="str">
        <f>Table2[[#This Row],[camera_old]]</f>
        <v>Y</v>
      </c>
      <c r="U395" s="22" t="s">
        <v>88</v>
      </c>
      <c r="V395" s="16" t="s">
        <v>36</v>
      </c>
      <c r="W395" s="16">
        <v>12</v>
      </c>
      <c r="X395" s="145">
        <v>2</v>
      </c>
      <c r="Y395" s="147" t="s">
        <v>36</v>
      </c>
      <c r="Z395" s="146" t="s">
        <v>36</v>
      </c>
      <c r="AA395" s="4" t="str">
        <f>Table2[[#This Row],[field_fate]]</f>
        <v>A</v>
      </c>
      <c r="AB395" s="4" t="str">
        <f>Table2[[#This Row],[field_fate2]]</f>
        <v>A</v>
      </c>
      <c r="AC395" s="94" t="str">
        <f>Table2[[#This Row],[field_fate3]]</f>
        <v>A</v>
      </c>
      <c r="AD395" s="94" t="str">
        <f>Table2[[#This Row],[field_fate4]]</f>
        <v>A</v>
      </c>
      <c r="AE395" s="94" t="str">
        <f>Table2[[#This Row],[field_fate5]]</f>
        <v>A</v>
      </c>
      <c r="AF395" s="94" t="str">
        <f>Table2[[#This Row],[field_fate5]]</f>
        <v>A</v>
      </c>
      <c r="AG395" s="94" t="str">
        <f>Table2[[#This Row],[field_fate5]]</f>
        <v>A</v>
      </c>
      <c r="AH395" s="94" t="str">
        <f>Table2[[#This Row],[field_fate2]]</f>
        <v>A</v>
      </c>
      <c r="AI395" s="94" t="str">
        <f>Table2[[#This Row],[field_fate8]]</f>
        <v>A</v>
      </c>
      <c r="AJ395" s="94" t="str">
        <f>Table2[[#This Row],[field_fate10]]</f>
        <v>A</v>
      </c>
      <c r="AK395" s="94" t="b">
        <f>Table2[[#This Row],[field_fate_feb]]=Table2[[#This Row],[field_fate10]]</f>
        <v>1</v>
      </c>
      <c r="AL395" s="43" t="s">
        <v>36</v>
      </c>
      <c r="AM395" s="43" t="b">
        <f>Table2[[#This Row],[cam_fate2]]="NA"</f>
        <v>1</v>
      </c>
      <c r="AN395" s="19" t="s">
        <v>24</v>
      </c>
      <c r="AO395" s="2" t="s">
        <v>36</v>
      </c>
      <c r="AP395" s="5" t="str">
        <f>Table2[[#This Row],[final_fate1]]</f>
        <v>A</v>
      </c>
      <c r="AQ395" s="6">
        <v>13</v>
      </c>
      <c r="AR395" s="72">
        <v>13</v>
      </c>
      <c r="AS395" s="72">
        <f>Table2[[#This Row],[final_obs_date]]-Table2[[#This Row],[init_date]]</f>
        <v>13</v>
      </c>
      <c r="AT395" s="72">
        <f>(Table2[[#This Row],[final_obs_date2]]-Table2[[#This Row],[estHD]])+16</f>
        <v>10</v>
      </c>
      <c r="AU395" s="38">
        <v>2</v>
      </c>
      <c r="AV395" s="33">
        <v>2</v>
      </c>
      <c r="AW395" s="33">
        <f>Table2[[#This Row],[final_obs_date2]]-Table2[[#This Row],[pen_obs_date]]</f>
        <v>86</v>
      </c>
      <c r="AX395" s="67">
        <v>86</v>
      </c>
      <c r="AY395" s="156">
        <f>Table2[[#This Row],[final_obs_date]]</f>
        <v>86</v>
      </c>
      <c r="AZ395" s="6"/>
      <c r="BA395" s="92" t="s">
        <v>47</v>
      </c>
      <c r="BB395" s="6" t="b">
        <f>Table2[[#This Row],[final_obs_date]]&lt;(Table2[[#This Row],[estHD]]-2)</f>
        <v>1</v>
      </c>
      <c r="BC395" s="32">
        <f>IF(Table2[[#This Row],[field_fate]]="H",1,0)</f>
        <v>0</v>
      </c>
      <c r="BD395" s="16">
        <f>IF(Table2[[#This Row],[cam_fate2]]="H",1,0)</f>
        <v>0</v>
      </c>
      <c r="BE395" s="6" t="b">
        <f>NOT(Table2[[#This Row],[HF_C]]=Table2[[#This Row],[HF]])</f>
        <v>0</v>
      </c>
      <c r="BF395" s="38" t="b">
        <f>NOT(Table2[[#This Row],[cam_fate2]]=Table2[[#This Row],[field_fate3]])</f>
        <v>1</v>
      </c>
      <c r="BG395" s="38" t="b">
        <f>OR(Table2[[#This Row],[field_fate3]]="U",Table2[[#This Row],[field_fate3]]="U-H")</f>
        <v>0</v>
      </c>
      <c r="BH395" s="8">
        <v>73</v>
      </c>
      <c r="BI395" s="8">
        <v>84</v>
      </c>
      <c r="BJ395" s="14">
        <f>IF(ISTEXT(Table2[[#This Row],[j.cam]]),Table2[[#This Row],[j]],Table2[[#This Row],[j.cam]])</f>
        <v>84</v>
      </c>
      <c r="BK395" s="8">
        <v>86</v>
      </c>
      <c r="BL395" s="14">
        <f>IF(ISTEXT(Table2[[#This Row],[k.cam]]), Table2[[#This Row],[k]], Table2[[#This Row],[k.cam]])</f>
        <v>86</v>
      </c>
      <c r="BM395" s="4" t="s">
        <v>24</v>
      </c>
      <c r="BN395" s="8" t="s">
        <v>24</v>
      </c>
      <c r="BO395" s="4">
        <v>5</v>
      </c>
      <c r="BP395" s="4">
        <f>Table2[[#This Row],[final_obs_date]]-Table2[[#This Row],[i]]</f>
        <v>13</v>
      </c>
      <c r="BQ395" s="4" t="b">
        <f>Table2[[#This Row],[final_obs_date2]]&gt;Table2[[#This Row],[estHD]]+3</f>
        <v>0</v>
      </c>
      <c r="BR395" s="3" t="s">
        <v>33</v>
      </c>
      <c r="BS395" s="28" t="s">
        <v>58</v>
      </c>
      <c r="BT395" s="125" t="s">
        <v>1248</v>
      </c>
      <c r="BU395" s="4" t="s">
        <v>315</v>
      </c>
      <c r="BV395" s="79" t="s">
        <v>1606</v>
      </c>
      <c r="BW395" s="69" t="s">
        <v>985</v>
      </c>
      <c r="BX395" s="73" t="s">
        <v>941</v>
      </c>
      <c r="BY395" s="36" t="s">
        <v>731</v>
      </c>
    </row>
    <row r="396" spans="1:77" hidden="1" x14ac:dyDescent="0.35">
      <c r="A396" s="63">
        <v>20300</v>
      </c>
      <c r="B396" s="2" t="s">
        <v>35</v>
      </c>
      <c r="C396" s="45">
        <v>2020</v>
      </c>
      <c r="D396" s="3">
        <v>29.770340000000001</v>
      </c>
      <c r="E396" s="3">
        <v>-93.173730000000006</v>
      </c>
      <c r="F396" s="3">
        <v>90</v>
      </c>
      <c r="G396" s="3">
        <v>90</v>
      </c>
      <c r="H396" s="3" t="s">
        <v>26</v>
      </c>
      <c r="I396" s="43"/>
      <c r="J396" s="55" t="s">
        <v>24</v>
      </c>
      <c r="K396" s="4">
        <v>49</v>
      </c>
      <c r="L396" s="22" t="str">
        <f>IF(ISNUMBER(Table2[[#This Row],[estHD]]),ABS(Table2[[#This Row],[HD]]-Table2[[#This Row],[estHD]]),"NA")</f>
        <v>NA</v>
      </c>
      <c r="M396" s="4" t="b">
        <f>Table2[[#This Row],[HD]]=Table2[[#This Row],[estHD]]</f>
        <v>0</v>
      </c>
      <c r="N396" s="4" t="str">
        <f>IF(ISNUMBER([1]!Table2[[#This Row],[hatch_date]]), [1]!Table2[[#This Row],[hatch_date]]-16, "NA")</f>
        <v>NA</v>
      </c>
      <c r="O396" s="31">
        <v>33</v>
      </c>
      <c r="P396" s="23">
        <f>IF(ISNUMBER(Table2[[#This Row],[nest_age1]]),ABS(Table2[[#This Row],[nest_age1]]-Table2[[#This Row],[nest_age_feb]]),"NA")</f>
        <v>0</v>
      </c>
      <c r="Q396" s="24" t="str">
        <f>IF(ISNUMBER(Table2[[#This Row],[final_obs_int2]]),ABS(Table2[[#This Row],[final_obs_int2]]-Table2[[#This Row],[final_obs_int_feb]]), "NA")</f>
        <v>NA</v>
      </c>
      <c r="R396" s="24"/>
      <c r="S396" s="57" t="s">
        <v>88</v>
      </c>
      <c r="T396" s="57" t="str">
        <f>Table2[[#This Row],[camera_old]]</f>
        <v>N</v>
      </c>
      <c r="U396" s="24"/>
      <c r="V396" s="16" t="s">
        <v>37</v>
      </c>
      <c r="W396" s="16">
        <v>16</v>
      </c>
      <c r="X396" s="145">
        <v>0</v>
      </c>
      <c r="Y396" s="147" t="s">
        <v>37</v>
      </c>
      <c r="Z396" s="146" t="s">
        <v>37</v>
      </c>
      <c r="AA396" s="4" t="str">
        <f>Table2[[#This Row],[field_fate]]</f>
        <v>H</v>
      </c>
      <c r="AB396" s="4" t="str">
        <f>Table2[[#This Row],[field_fate2]]</f>
        <v>H</v>
      </c>
      <c r="AC396" s="4" t="str">
        <f>Table2[[#This Row],[field_fate3]]</f>
        <v>H</v>
      </c>
      <c r="AD396" s="4" t="str">
        <f>Table2[[#This Row],[field_fate4]]</f>
        <v>H</v>
      </c>
      <c r="AE396" s="4" t="str">
        <f>Table2[[#This Row],[field_fate5]]</f>
        <v>H</v>
      </c>
      <c r="AF396" s="4" t="str">
        <f>Table2[[#This Row],[field_fate5]]</f>
        <v>H</v>
      </c>
      <c r="AG396" s="4" t="str">
        <f>Table2[[#This Row],[field_fate5]]</f>
        <v>H</v>
      </c>
      <c r="AH396" s="4" t="str">
        <f>Table2[[#This Row],[field_fate2]]</f>
        <v>H</v>
      </c>
      <c r="AI396" s="4" t="str">
        <f>Table2[[#This Row],[field_fate8]]</f>
        <v>H</v>
      </c>
      <c r="AJ396" s="4" t="str">
        <f>Table2[[#This Row],[field_fate10]]</f>
        <v>H</v>
      </c>
      <c r="AK396" s="4" t="b">
        <f>Table2[[#This Row],[field_fate_feb]]=Table2[[#This Row],[field_fate10]]</f>
        <v>1</v>
      </c>
      <c r="AL396" s="43" t="s">
        <v>37</v>
      </c>
      <c r="AM396" s="43" t="b">
        <f>Table2[[#This Row],[cam_fate2]]="NA"</f>
        <v>0</v>
      </c>
      <c r="AN396" s="19" t="str">
        <f>Table2[[#This Row],[cam_fate1]]</f>
        <v>H</v>
      </c>
      <c r="AO396" s="2" t="s">
        <v>37</v>
      </c>
      <c r="AP396" s="5" t="str">
        <f>Table2[[#This Row],[final_fate1]]</f>
        <v>H</v>
      </c>
      <c r="AQ396" s="6">
        <v>16</v>
      </c>
      <c r="AR396" s="7">
        <v>16</v>
      </c>
      <c r="AS396" s="7">
        <f>Table2[[#This Row],[final_obs_date]]-Table2[[#This Row],[init_date]]</f>
        <v>16</v>
      </c>
      <c r="AT396" s="7" t="e">
        <f>(Table2[[#This Row],[final_obs_date2]]-Table2[[#This Row],[estHD]])+16</f>
        <v>#VALUE!</v>
      </c>
      <c r="AU396" s="41">
        <v>0</v>
      </c>
      <c r="AV396" s="33" t="s">
        <v>24</v>
      </c>
      <c r="AW396" s="33">
        <f>Table2[[#This Row],[final_obs_date2]]-Table2[[#This Row],[pen_obs_date]]</f>
        <v>49</v>
      </c>
      <c r="AX396" s="67">
        <v>49</v>
      </c>
      <c r="AY396" s="6">
        <f>Table2[[#This Row],[final_obs_date]]</f>
        <v>49</v>
      </c>
      <c r="AZ396" s="6"/>
      <c r="BA396" s="91" t="s">
        <v>60</v>
      </c>
      <c r="BB396" s="6" t="e">
        <f>Table2[[#This Row],[final_obs_date]]&lt;(Table2[[#This Row],[estHD]]-2)</f>
        <v>#VALUE!</v>
      </c>
      <c r="BC396" s="24">
        <f>IF(Table2[[#This Row],[field_fate]]="H",1,0)</f>
        <v>1</v>
      </c>
      <c r="BD396" s="16">
        <f>IF(Table2[[#This Row],[cam_fate2]]="H",1,0)</f>
        <v>1</v>
      </c>
      <c r="BE396" s="6" t="b">
        <f>NOT(Table2[[#This Row],[HF_C]]=Table2[[#This Row],[HF]])</f>
        <v>0</v>
      </c>
      <c r="BF396" s="6" t="b">
        <f>NOT(Table2[[#This Row],[cam_fate2]]=Table2[[#This Row],[field_fate3]])</f>
        <v>0</v>
      </c>
      <c r="BG396" s="6" t="b">
        <f>OR(Table2[[#This Row],[field_fate3]]="U",Table2[[#This Row],[field_fate3]]="U-H")</f>
        <v>0</v>
      </c>
      <c r="BH396" s="8">
        <v>49</v>
      </c>
      <c r="BI396" s="8">
        <v>49</v>
      </c>
      <c r="BJ396" s="14">
        <f>IF(ISTEXT(Table2[[#This Row],[j.cam]]),Table2[[#This Row],[j]],Table2[[#This Row],[j.cam]])</f>
        <v>49</v>
      </c>
      <c r="BK396" s="9">
        <v>49</v>
      </c>
      <c r="BL396" s="15">
        <f>IF(ISTEXT(Table2[[#This Row],[k.cam]]), Table2[[#This Row],[k]], Table2[[#This Row],[k.cam]])</f>
        <v>49</v>
      </c>
      <c r="BM396" s="4" t="s">
        <v>24</v>
      </c>
      <c r="BN396" s="8" t="s">
        <v>24</v>
      </c>
      <c r="BO396" s="4">
        <v>1</v>
      </c>
      <c r="BP396" s="4">
        <f>Table2[[#This Row],[final_obs_date]]-Table2[[#This Row],[i]]</f>
        <v>0</v>
      </c>
      <c r="BQ396" s="4" t="e">
        <f>Table2[[#This Row],[final_obs_date2]]&gt;Table2[[#This Row],[estHD]]+3</f>
        <v>#VALUE!</v>
      </c>
      <c r="BR396" s="12" t="s">
        <v>24</v>
      </c>
      <c r="BS396" s="4" t="s">
        <v>165</v>
      </c>
      <c r="BT396" s="79">
        <v>49</v>
      </c>
      <c r="BU396" s="26" t="s">
        <v>165</v>
      </c>
      <c r="BV396" s="79">
        <v>0</v>
      </c>
      <c r="BW396" s="49" t="s">
        <v>464</v>
      </c>
      <c r="BX396" s="47"/>
      <c r="BY396" s="36" t="s">
        <v>732</v>
      </c>
    </row>
    <row r="397" spans="1:77" ht="18.5" hidden="1" x14ac:dyDescent="0.35">
      <c r="A397" s="63">
        <v>20301</v>
      </c>
      <c r="B397" s="2" t="s">
        <v>35</v>
      </c>
      <c r="C397" s="45">
        <v>2020</v>
      </c>
      <c r="D397" s="3">
        <v>29.768370000000001</v>
      </c>
      <c r="E397" s="3">
        <v>-93.165840000000003</v>
      </c>
      <c r="F397" s="3">
        <v>80</v>
      </c>
      <c r="G397" s="3">
        <v>80</v>
      </c>
      <c r="H397" s="3" t="s">
        <v>26</v>
      </c>
      <c r="I397" s="43"/>
      <c r="J397" s="116">
        <v>61</v>
      </c>
      <c r="K397" s="4">
        <v>61</v>
      </c>
      <c r="L397" s="22">
        <f>IF(ISNUMBER(Table2[[#This Row],[estHD]]),ABS(Table2[[#This Row],[HD]]-Table2[[#This Row],[estHD]]),"NA")</f>
        <v>0</v>
      </c>
      <c r="M397" s="4" t="b">
        <f>Table2[[#This Row],[HD]]=Table2[[#This Row],[estHD]]</f>
        <v>1</v>
      </c>
      <c r="N397" s="4">
        <f>IF(ISNUMBER(Table2[[#This Row],[HD]]),Table2[[#This Row],[HD]]-16,"NA")</f>
        <v>45</v>
      </c>
      <c r="O397" s="31">
        <v>45</v>
      </c>
      <c r="P397" s="23">
        <f>IF(ISNUMBER(Table2[[#This Row],[nest_age1]]),ABS(Table2[[#This Row],[nest_age1]]-Table2[[#This Row],[nest_age_feb]]),"NA")</f>
        <v>1</v>
      </c>
      <c r="Q397" s="24">
        <f>IF(ISNUMBER(Table2[[#This Row],[final_obs_int2]]),ABS(Table2[[#This Row],[final_obs_int2]]-Table2[[#This Row],[final_obs_int_feb]]), "NA")</f>
        <v>0</v>
      </c>
      <c r="R397" s="24"/>
      <c r="S397" s="20" t="s">
        <v>75</v>
      </c>
      <c r="T397" s="20" t="str">
        <f>Table2[[#This Row],[camera_old]]</f>
        <v>Y</v>
      </c>
      <c r="U397" s="22" t="s">
        <v>88</v>
      </c>
      <c r="V397" s="16" t="s">
        <v>65</v>
      </c>
      <c r="W397" s="16">
        <v>16</v>
      </c>
      <c r="X397" s="145">
        <v>2</v>
      </c>
      <c r="Y397" s="147" t="s">
        <v>48</v>
      </c>
      <c r="Z397" s="146" t="s">
        <v>48</v>
      </c>
      <c r="AA397" s="4" t="str">
        <f>Table2[[#This Row],[field_fate]]</f>
        <v>F</v>
      </c>
      <c r="AB397" s="4" t="str">
        <f>Table2[[#This Row],[field_fate2]]</f>
        <v>F</v>
      </c>
      <c r="AC397" s="94" t="str">
        <f>Table2[[#This Row],[field_fate3]]</f>
        <v>F</v>
      </c>
      <c r="AD397" s="94" t="str">
        <f>Table2[[#This Row],[field_fate4]]</f>
        <v>F</v>
      </c>
      <c r="AE397" s="94" t="str">
        <f>Table2[[#This Row],[field_fate5]]</f>
        <v>F</v>
      </c>
      <c r="AF397" s="94" t="str">
        <f>Table2[[#This Row],[field_fate5]]</f>
        <v>F</v>
      </c>
      <c r="AG397" s="94" t="str">
        <f>Table2[[#This Row],[field_fate5]]</f>
        <v>F</v>
      </c>
      <c r="AH397" s="94" t="str">
        <f>Table2[[#This Row],[field_fate2]]</f>
        <v>F</v>
      </c>
      <c r="AI397" s="94" t="str">
        <f>Table2[[#This Row],[field_fate8]]</f>
        <v>F</v>
      </c>
      <c r="AJ397" s="94" t="str">
        <f>Table2[[#This Row],[field_fate10]]</f>
        <v>F</v>
      </c>
      <c r="AK397" s="94" t="b">
        <f>Table2[[#This Row],[field_fate_feb]]=Table2[[#This Row],[field_fate10]]</f>
        <v>1</v>
      </c>
      <c r="AL397" s="43" t="s">
        <v>65</v>
      </c>
      <c r="AM397" s="160" t="b">
        <f>Table2[[#This Row],[cam_fate2]]="NA"</f>
        <v>0</v>
      </c>
      <c r="AN397" s="19" t="str">
        <f>Table2[[#This Row],[cam_fate1]]</f>
        <v>Ca</v>
      </c>
      <c r="AO397" s="2" t="s">
        <v>65</v>
      </c>
      <c r="AP397" s="5" t="str">
        <f>Table2[[#This Row],[final_fate1]]</f>
        <v>Ca</v>
      </c>
      <c r="AQ397" s="6">
        <v>17</v>
      </c>
      <c r="AR397" s="72">
        <v>17</v>
      </c>
      <c r="AS397" s="155">
        <f>Table2[[#This Row],[final_obs_date]]-Table2[[#This Row],[init_date]]</f>
        <v>17</v>
      </c>
      <c r="AT397" s="155">
        <f>(Table2[[#This Row],[final_obs_date2]]-Table2[[#This Row],[estHD]])+16</f>
        <v>17</v>
      </c>
      <c r="AU397" s="38">
        <v>2</v>
      </c>
      <c r="AV397" s="33">
        <v>2</v>
      </c>
      <c r="AW397" s="33">
        <f>Table2[[#This Row],[final_obs_date2]]-Table2[[#This Row],[pen_obs_date]]</f>
        <v>2</v>
      </c>
      <c r="AX397" s="67">
        <v>62</v>
      </c>
      <c r="AY397" s="157">
        <f>Table2[[#This Row],[final_obs_date]]</f>
        <v>62</v>
      </c>
      <c r="AZ397" s="6">
        <v>60</v>
      </c>
      <c r="BA397" s="92" t="s">
        <v>60</v>
      </c>
      <c r="BB397" s="6" t="b">
        <f>Table2[[#This Row],[final_obs_date]]&lt;(Table2[[#This Row],[estHD]]-2)</f>
        <v>0</v>
      </c>
      <c r="BC397" s="32">
        <f>IF(Table2[[#This Row],[field_fate]]="H",1,0)</f>
        <v>0</v>
      </c>
      <c r="BD397" s="16">
        <f>IF(Table2[[#This Row],[cam_fate2]]="H",1,0)</f>
        <v>0</v>
      </c>
      <c r="BE397" s="6" t="b">
        <f>NOT(Table2[[#This Row],[HF_C]]=Table2[[#This Row],[HF]])</f>
        <v>0</v>
      </c>
      <c r="BF397" s="38" t="b">
        <f>NOT(Table2[[#This Row],[cam_fate2]]=Table2[[#This Row],[field_fate3]])</f>
        <v>1</v>
      </c>
      <c r="BG397" s="38" t="b">
        <f>OR(Table2[[#This Row],[field_fate3]]="U",Table2[[#This Row],[field_fate3]]="U-H")</f>
        <v>0</v>
      </c>
      <c r="BH397" s="8">
        <v>49</v>
      </c>
      <c r="BI397" s="8">
        <v>60</v>
      </c>
      <c r="BJ397" s="14">
        <f>IF(ISTEXT(Table2[[#This Row],[j.cam]]),Table2[[#This Row],[j]],Table2[[#This Row],[j.cam]])</f>
        <v>60</v>
      </c>
      <c r="BK397" s="8">
        <v>62</v>
      </c>
      <c r="BL397" s="14">
        <f>IF(ISTEXT(Table2[[#This Row],[k.cam]]), Table2[[#This Row],[k]], Table2[[#This Row],[k.cam]])</f>
        <v>62</v>
      </c>
      <c r="BM397" s="4" t="s">
        <v>24</v>
      </c>
      <c r="BN397" s="8" t="s">
        <v>24</v>
      </c>
      <c r="BO397" s="4">
        <v>4</v>
      </c>
      <c r="BP397" s="4">
        <f>Table2[[#This Row],[final_obs_date]]-Table2[[#This Row],[i]]</f>
        <v>13</v>
      </c>
      <c r="BQ397" s="4" t="b">
        <f>Table2[[#This Row],[final_obs_date2]]&gt;Table2[[#This Row],[estHD]]+3</f>
        <v>0</v>
      </c>
      <c r="BR397" s="3" t="s">
        <v>66</v>
      </c>
      <c r="BS397" s="3" t="s">
        <v>134</v>
      </c>
      <c r="BT397" s="125" t="s">
        <v>1249</v>
      </c>
      <c r="BU397" s="4" t="s">
        <v>316</v>
      </c>
      <c r="BV397" s="79" t="s">
        <v>1607</v>
      </c>
      <c r="BW397" s="69" t="s">
        <v>998</v>
      </c>
      <c r="BX397" s="36" t="s">
        <v>1000</v>
      </c>
      <c r="BY397" s="36" t="s">
        <v>733</v>
      </c>
    </row>
    <row r="398" spans="1:77" ht="34.5" hidden="1" x14ac:dyDescent="0.35">
      <c r="A398" s="63">
        <v>20303</v>
      </c>
      <c r="B398" s="2" t="s">
        <v>35</v>
      </c>
      <c r="C398" s="45">
        <v>2020</v>
      </c>
      <c r="D398" s="3">
        <v>29.768650000000001</v>
      </c>
      <c r="E398" s="3">
        <v>-93.169690000000003</v>
      </c>
      <c r="F398" s="3">
        <v>25</v>
      </c>
      <c r="G398" s="3">
        <v>40</v>
      </c>
      <c r="H398" s="3" t="s">
        <v>26</v>
      </c>
      <c r="I398" s="43"/>
      <c r="J398" s="116" t="s">
        <v>24</v>
      </c>
      <c r="K398" s="4">
        <v>53</v>
      </c>
      <c r="L398" s="22" t="str">
        <f>IF(ISNUMBER(Table2[[#This Row],[estHD]]),ABS(Table2[[#This Row],[HD]]-Table2[[#This Row],[estHD]]),"NA")</f>
        <v>NA</v>
      </c>
      <c r="M398" s="4" t="b">
        <f>Table2[[#This Row],[HD]]=Table2[[#This Row],[estHD]]</f>
        <v>0</v>
      </c>
      <c r="N398" s="4">
        <f>IF(ISNUMBER(Table2[[#This Row],[HD]]),Table2[[#This Row],[HD]]-19,"NA")</f>
        <v>34</v>
      </c>
      <c r="O398" s="31">
        <v>34</v>
      </c>
      <c r="P398" s="23" t="e">
        <f>IF(ISNUMBER(Table2[[#This Row],[nest_age1]]),ABS(Table2[[#This Row],[nest_age1]]-Table2[[#This Row],[nest_age_feb]]),"NA")</f>
        <v>#VALUE!</v>
      </c>
      <c r="Q398" s="24">
        <f>IF(ISNUMBER(Table2[[#This Row],[final_obs_int2]]),ABS(Table2[[#This Row],[final_obs_int2]]-Table2[[#This Row],[final_obs_int_feb]]), "NA")</f>
        <v>0</v>
      </c>
      <c r="R398" s="24" t="e">
        <f>(Table2[[#This Row],[k_adj]]-Table2[[#This Row],[estHD]])/Table2[[#This Row],[estHD]]</f>
        <v>#VALUE!</v>
      </c>
      <c r="S398" s="20" t="s">
        <v>75</v>
      </c>
      <c r="T398" s="20" t="str">
        <f>Table2[[#This Row],[camera_old]]</f>
        <v>Y</v>
      </c>
      <c r="U398" s="22" t="s">
        <v>88</v>
      </c>
      <c r="V398" s="16" t="s">
        <v>65</v>
      </c>
      <c r="W398" s="16" t="s">
        <v>24</v>
      </c>
      <c r="X398" s="145">
        <v>3</v>
      </c>
      <c r="Y398" s="147" t="s">
        <v>65</v>
      </c>
      <c r="Z398" s="146" t="s">
        <v>65</v>
      </c>
      <c r="AA398" s="4" t="str">
        <f>Table2[[#This Row],[field_fate]]</f>
        <v>Ca</v>
      </c>
      <c r="AB398" s="4" t="str">
        <f>Table2[[#This Row],[field_fate2]]</f>
        <v>Ca</v>
      </c>
      <c r="AC398" s="94" t="str">
        <f>Table2[[#This Row],[field_fate3]]</f>
        <v>Ca</v>
      </c>
      <c r="AD398" s="94" t="str">
        <f>Table2[[#This Row],[field_fate4]]</f>
        <v>Ca</v>
      </c>
      <c r="AE398" s="94" t="str">
        <f>Table2[[#This Row],[field_fate5]]</f>
        <v>Ca</v>
      </c>
      <c r="AF398" s="94" t="str">
        <f>Table2[[#This Row],[field_fate5]]</f>
        <v>Ca</v>
      </c>
      <c r="AG398" s="94" t="str">
        <f>Table2[[#This Row],[field_fate5]]</f>
        <v>Ca</v>
      </c>
      <c r="AH398" s="94" t="str">
        <f>Table2[[#This Row],[field_fate2]]</f>
        <v>Ca</v>
      </c>
      <c r="AI398" s="94" t="str">
        <f>Table2[[#This Row],[field_fate8]]</f>
        <v>Ca</v>
      </c>
      <c r="AJ398" s="94" t="str">
        <f>Table2[[#This Row],[field_fate10]]</f>
        <v>Ca</v>
      </c>
      <c r="AK398" s="94" t="b">
        <f>Table2[[#This Row],[field_fate_feb]]=Table2[[#This Row],[field_fate10]]</f>
        <v>1</v>
      </c>
      <c r="AL398" s="43" t="s">
        <v>65</v>
      </c>
      <c r="AM398" s="160" t="b">
        <f>Table2[[#This Row],[cam_fate2]]="NA"</f>
        <v>0</v>
      </c>
      <c r="AN398" s="19" t="s">
        <v>37</v>
      </c>
      <c r="AO398" s="2" t="s">
        <v>65</v>
      </c>
      <c r="AP398" s="5" t="str">
        <f>Table2[[#This Row],[final_fate1]]</f>
        <v>Ca</v>
      </c>
      <c r="AQ398" s="6">
        <v>21</v>
      </c>
      <c r="AR398" s="72">
        <v>19</v>
      </c>
      <c r="AS398" s="155">
        <f>Table2[[#This Row],[final_obs_date]]-Table2[[#This Row],[init_date]]</f>
        <v>21</v>
      </c>
      <c r="AT398" s="155" t="e">
        <f>(Table2[[#This Row],[final_obs_date2]]-Table2[[#This Row],[estHD]])+19</f>
        <v>#VALUE!</v>
      </c>
      <c r="AU398" s="38">
        <v>3</v>
      </c>
      <c r="AV398" s="33">
        <v>3</v>
      </c>
      <c r="AW398" s="33">
        <f>Table2[[#This Row],[final_obs_date2]]-Table2[[#This Row],[pen_obs_date]]</f>
        <v>3</v>
      </c>
      <c r="AX398" s="67">
        <v>55</v>
      </c>
      <c r="AY398" s="157">
        <f>Table2[[#This Row],[final_obs_date]]</f>
        <v>55</v>
      </c>
      <c r="AZ398" s="6">
        <v>52</v>
      </c>
      <c r="BA398" s="92" t="s">
        <v>47</v>
      </c>
      <c r="BB398" s="6" t="e">
        <f>Table2[[#This Row],[final_obs_date]]&lt;(Table2[[#This Row],[estHD]]-2)</f>
        <v>#VALUE!</v>
      </c>
      <c r="BC398" s="32">
        <f>IF(Table2[[#This Row],[field_fate]]="H",1,0)</f>
        <v>0</v>
      </c>
      <c r="BD398" s="16">
        <f>IF(Table2[[#This Row],[cam_fate2]]="H",1,0)</f>
        <v>1</v>
      </c>
      <c r="BE398" s="6" t="b">
        <f>NOT(Table2[[#This Row],[HF_C]]=Table2[[#This Row],[HF]])</f>
        <v>1</v>
      </c>
      <c r="BF398" s="38" t="b">
        <f>NOT(Table2[[#This Row],[cam_fate2]]=Table2[[#This Row],[field_fate3]])</f>
        <v>1</v>
      </c>
      <c r="BG398" s="38" t="b">
        <f>OR(Table2[[#This Row],[field_fate3]]="U",Table2[[#This Row],[field_fate3]]="U-H")</f>
        <v>0</v>
      </c>
      <c r="BH398" s="8">
        <v>52</v>
      </c>
      <c r="BI398" s="8">
        <v>52</v>
      </c>
      <c r="BJ398" s="14">
        <v>53</v>
      </c>
      <c r="BK398" s="8">
        <v>55</v>
      </c>
      <c r="BL398" s="14">
        <v>53</v>
      </c>
      <c r="BM398" s="4" t="s">
        <v>24</v>
      </c>
      <c r="BN398" s="8" t="s">
        <v>24</v>
      </c>
      <c r="BO398" s="4">
        <v>2</v>
      </c>
      <c r="BP398" s="4">
        <f>Table2[[#This Row],[final_obs_date]]-Table2[[#This Row],[i]]</f>
        <v>3</v>
      </c>
      <c r="BQ398" s="4" t="e">
        <f>Table2[[#This Row],[final_obs_date2]]&gt;Table2[[#This Row],[estHD]]+3</f>
        <v>#VALUE!</v>
      </c>
      <c r="BR398" s="3" t="s">
        <v>33</v>
      </c>
      <c r="BS398" s="3" t="s">
        <v>45</v>
      </c>
      <c r="BT398" s="125" t="s">
        <v>1135</v>
      </c>
      <c r="BU398" s="4" t="s">
        <v>87</v>
      </c>
      <c r="BV398" s="79" t="s">
        <v>1430</v>
      </c>
      <c r="BW398" s="69"/>
      <c r="BX398" s="90" t="s">
        <v>1001</v>
      </c>
      <c r="BY398" s="36" t="s">
        <v>24</v>
      </c>
    </row>
    <row r="399" spans="1:77" hidden="1" x14ac:dyDescent="0.35">
      <c r="A399" s="63">
        <v>20304</v>
      </c>
      <c r="B399" s="2" t="s">
        <v>35</v>
      </c>
      <c r="C399" s="45">
        <v>2020</v>
      </c>
      <c r="D399" s="3">
        <v>29.77</v>
      </c>
      <c r="E399" s="3">
        <v>-93.177120000000002</v>
      </c>
      <c r="F399" s="3">
        <v>70</v>
      </c>
      <c r="G399" s="3">
        <v>70</v>
      </c>
      <c r="H399" s="3" t="s">
        <v>26</v>
      </c>
      <c r="I399" s="43"/>
      <c r="J399" s="116" t="s">
        <v>24</v>
      </c>
      <c r="K399" s="4">
        <v>60</v>
      </c>
      <c r="L399" s="22" t="str">
        <f>IF(ISNUMBER(Table2[[#This Row],[estHD]]),ABS(Table2[[#This Row],[HD]]-Table2[[#This Row],[estHD]]),"NA")</f>
        <v>NA</v>
      </c>
      <c r="M399" s="4" t="b">
        <f>Table2[[#This Row],[HD]]=Table2[[#This Row],[estHD]]</f>
        <v>0</v>
      </c>
      <c r="N399" s="4" t="str">
        <f>IF(ISNUMBER([1]!Table2[[#This Row],[hatch_date]]),[1]!Table2[[#This Row],[hatch_date]]-19,"NA")</f>
        <v>NA</v>
      </c>
      <c r="O399" s="31">
        <v>41</v>
      </c>
      <c r="P399" s="23">
        <f>IF(ISNUMBER(Table2[[#This Row],[nest_age1]]),ABS(Table2[[#This Row],[nest_age1]]-Table2[[#This Row],[nest_age_feb]]),"NA")</f>
        <v>0</v>
      </c>
      <c r="Q399" s="24">
        <f>IF(ISNUMBER(Table2[[#This Row],[final_obs_int2]]),ABS(Table2[[#This Row],[final_obs_int2]]-Table2[[#This Row],[final_obs_int_feb]]), "NA")</f>
        <v>0</v>
      </c>
      <c r="R399" s="24" t="e">
        <f>(Table2[[#This Row],[k_adj]]-Table2[[#This Row],[estHD]])/Table2[[#This Row],[estHD]]</f>
        <v>#VALUE!</v>
      </c>
      <c r="S399" s="20" t="s">
        <v>75</v>
      </c>
      <c r="T399" s="20" t="str">
        <f>Table2[[#This Row],[camera_old]]</f>
        <v>Y</v>
      </c>
      <c r="U399" s="22" t="s">
        <v>88</v>
      </c>
      <c r="V399" s="16" t="s">
        <v>37</v>
      </c>
      <c r="W399" s="16">
        <v>19</v>
      </c>
      <c r="X399" s="145">
        <v>8</v>
      </c>
      <c r="Y399" s="147" t="s">
        <v>37</v>
      </c>
      <c r="Z399" s="146" t="s">
        <v>37</v>
      </c>
      <c r="AA399" s="4" t="str">
        <f>Table2[[#This Row],[field_fate]]</f>
        <v>H</v>
      </c>
      <c r="AB399" s="4" t="str">
        <f>Table2[[#This Row],[field_fate2]]</f>
        <v>H</v>
      </c>
      <c r="AC399" s="94" t="str">
        <f>Table2[[#This Row],[field_fate3]]</f>
        <v>H</v>
      </c>
      <c r="AD399" s="94" t="str">
        <f>Table2[[#This Row],[field_fate4]]</f>
        <v>H</v>
      </c>
      <c r="AE399" s="94" t="str">
        <f>Table2[[#This Row],[field_fate5]]</f>
        <v>H</v>
      </c>
      <c r="AF399" s="94" t="str">
        <f>Table2[[#This Row],[field_fate5]]</f>
        <v>H</v>
      </c>
      <c r="AG399" s="94" t="str">
        <f>Table2[[#This Row],[field_fate5]]</f>
        <v>H</v>
      </c>
      <c r="AH399" s="94" t="str">
        <f>Table2[[#This Row],[field_fate2]]</f>
        <v>H</v>
      </c>
      <c r="AI399" s="94" t="str">
        <f>Table2[[#This Row],[field_fate8]]</f>
        <v>H</v>
      </c>
      <c r="AJ399" s="94" t="str">
        <f>Table2[[#This Row],[field_fate10]]</f>
        <v>H</v>
      </c>
      <c r="AK399" s="94" t="b">
        <f>Table2[[#This Row],[field_fate_feb]]=Table2[[#This Row],[field_fate10]]</f>
        <v>1</v>
      </c>
      <c r="AL399" s="43" t="s">
        <v>37</v>
      </c>
      <c r="AM399" s="160" t="b">
        <f>Table2[[#This Row],[cam_fate2]]="NA"</f>
        <v>0</v>
      </c>
      <c r="AN399" s="19" t="str">
        <f>Table2[[#This Row],[cam_fate1]]</f>
        <v>H</v>
      </c>
      <c r="AO399" s="2" t="s">
        <v>37</v>
      </c>
      <c r="AP399" s="5" t="str">
        <f>Table2[[#This Row],[final_fate1]]</f>
        <v>H</v>
      </c>
      <c r="AQ399" s="6">
        <v>19</v>
      </c>
      <c r="AR399" s="72">
        <v>19</v>
      </c>
      <c r="AS399" s="155">
        <f>Table2[[#This Row],[final_obs_date]]-Table2[[#This Row],[init_date]]</f>
        <v>19</v>
      </c>
      <c r="AT399" s="155" t="e">
        <f>(Table2[[#This Row],[final_obs_date2]]-Table2[[#This Row],[estHD]])+19</f>
        <v>#VALUE!</v>
      </c>
      <c r="AU399" s="38">
        <v>8</v>
      </c>
      <c r="AV399" s="33">
        <v>8</v>
      </c>
      <c r="AW399" s="33">
        <f>Table2[[#This Row],[final_obs_date2]]-Table2[[#This Row],[pen_obs_date]]</f>
        <v>8</v>
      </c>
      <c r="AX399" s="67">
        <v>60</v>
      </c>
      <c r="AY399" s="157">
        <f>Table2[[#This Row],[final_obs_date]]</f>
        <v>60</v>
      </c>
      <c r="AZ399" s="6">
        <v>52</v>
      </c>
      <c r="BA399" s="92" t="s">
        <v>47</v>
      </c>
      <c r="BB399" s="6" t="e">
        <f>Table2[[#This Row],[final_obs_date]]&lt;(Table2[[#This Row],[estHD]]-2)</f>
        <v>#VALUE!</v>
      </c>
      <c r="BC399" s="32">
        <f>IF(Table2[[#This Row],[field_fate]]="H",1,0)</f>
        <v>1</v>
      </c>
      <c r="BD399" s="16">
        <f>IF(Table2[[#This Row],[cam_fate2]]="H",1,0)</f>
        <v>1</v>
      </c>
      <c r="BE399" s="6" t="b">
        <f>NOT(Table2[[#This Row],[HF_C]]=Table2[[#This Row],[HF]])</f>
        <v>0</v>
      </c>
      <c r="BF399" s="38" t="b">
        <f>NOT(Table2[[#This Row],[cam_fate2]]=Table2[[#This Row],[field_fate3]])</f>
        <v>0</v>
      </c>
      <c r="BG399" s="38" t="b">
        <f>OR(Table2[[#This Row],[field_fate3]]="U",Table2[[#This Row],[field_fate3]]="U-H")</f>
        <v>0</v>
      </c>
      <c r="BH399" s="8">
        <v>52</v>
      </c>
      <c r="BI399" s="8">
        <v>60</v>
      </c>
      <c r="BJ399" s="14">
        <f>IF(ISTEXT(Table2[[#This Row],[j.cam]]),Table2[[#This Row],[j]],Table2[[#This Row],[j.cam]])</f>
        <v>60</v>
      </c>
      <c r="BK399" s="8">
        <v>60</v>
      </c>
      <c r="BL399" s="14">
        <f>IF(ISTEXT(Table2[[#This Row],[k.cam]]), Table2[[#This Row],[k]], Table2[[#This Row],[k.cam]])</f>
        <v>60</v>
      </c>
      <c r="BM399" s="4" t="s">
        <v>24</v>
      </c>
      <c r="BN399" s="8" t="s">
        <v>24</v>
      </c>
      <c r="BO399" s="4">
        <v>2</v>
      </c>
      <c r="BP399" s="4">
        <f>Table2[[#This Row],[final_obs_date]]-Table2[[#This Row],[i]]</f>
        <v>8</v>
      </c>
      <c r="BQ399" s="4" t="e">
        <f>Table2[[#This Row],[final_obs_date2]]&gt;Table2[[#This Row],[estHD]]+3</f>
        <v>#VALUE!</v>
      </c>
      <c r="BR399" s="3" t="s">
        <v>58</v>
      </c>
      <c r="BS399" s="3" t="s">
        <v>127</v>
      </c>
      <c r="BT399" s="125" t="s">
        <v>1250</v>
      </c>
      <c r="BU399" s="4" t="s">
        <v>242</v>
      </c>
      <c r="BV399" s="79" t="s">
        <v>1427</v>
      </c>
      <c r="BW399" s="69"/>
      <c r="BX399" s="36"/>
      <c r="BY399" s="36" t="s">
        <v>734</v>
      </c>
    </row>
    <row r="400" spans="1:77" hidden="1" x14ac:dyDescent="0.35">
      <c r="A400" s="63">
        <v>20305</v>
      </c>
      <c r="B400" s="2" t="s">
        <v>35</v>
      </c>
      <c r="C400" s="45">
        <v>2020</v>
      </c>
      <c r="D400" s="3">
        <v>29.767720000000001</v>
      </c>
      <c r="E400" s="3">
        <v>-93.162090000000006</v>
      </c>
      <c r="F400" s="3">
        <v>80</v>
      </c>
      <c r="G400" s="3">
        <v>80</v>
      </c>
      <c r="H400" s="3" t="s">
        <v>26</v>
      </c>
      <c r="I400" s="43"/>
      <c r="J400" s="116" t="s">
        <v>24</v>
      </c>
      <c r="K400" s="4">
        <v>59</v>
      </c>
      <c r="L400" s="22" t="str">
        <f>IF(ISNUMBER(Table2[[#This Row],[estHD]]),ABS(Table2[[#This Row],[HD]]-Table2[[#This Row],[estHD]]),"NA")</f>
        <v>NA</v>
      </c>
      <c r="M400" s="4" t="b">
        <f>Table2[[#This Row],[HD]]=Table2[[#This Row],[estHD]]</f>
        <v>0</v>
      </c>
      <c r="N400" s="4">
        <f>IF(ISNUMBER(Table2[[#This Row],[HD]]),Table2[[#This Row],[HD]]-16,"NA")</f>
        <v>43</v>
      </c>
      <c r="O400" s="31">
        <v>43</v>
      </c>
      <c r="P400" s="23">
        <f>IF(ISNUMBER(Table2[[#This Row],[nest_age1]]),ABS(Table2[[#This Row],[nest_age1]]-Table2[[#This Row],[nest_age_feb]]),"NA")</f>
        <v>2</v>
      </c>
      <c r="Q400" s="24">
        <f>IF(ISNUMBER(Table2[[#This Row],[final_obs_int2]]),ABS(Table2[[#This Row],[final_obs_int2]]-Table2[[#This Row],[final_obs_int_feb]]), "NA")</f>
        <v>0</v>
      </c>
      <c r="R400" s="24" t="e">
        <f>(Table2[[#This Row],[k_adj]]-Table2[[#This Row],[estHD]])/Table2[[#This Row],[estHD]]</f>
        <v>#VALUE!</v>
      </c>
      <c r="S400" s="20" t="s">
        <v>75</v>
      </c>
      <c r="T400" s="20" t="str">
        <f>Table2[[#This Row],[camera_old]]</f>
        <v>Y</v>
      </c>
      <c r="U400" s="22" t="s">
        <v>88</v>
      </c>
      <c r="V400" s="16" t="s">
        <v>37</v>
      </c>
      <c r="W400" s="16">
        <v>16</v>
      </c>
      <c r="X400" s="145">
        <v>1</v>
      </c>
      <c r="Y400" s="147" t="s">
        <v>37</v>
      </c>
      <c r="Z400" s="146" t="s">
        <v>37</v>
      </c>
      <c r="AA400" s="4" t="str">
        <f>Table2[[#This Row],[field_fate]]</f>
        <v>H</v>
      </c>
      <c r="AB400" s="4" t="str">
        <f>Table2[[#This Row],[field_fate2]]</f>
        <v>H</v>
      </c>
      <c r="AC400" s="94" t="str">
        <f>Table2[[#This Row],[field_fate3]]</f>
        <v>H</v>
      </c>
      <c r="AD400" s="94" t="str">
        <f>Table2[[#This Row],[field_fate4]]</f>
        <v>H</v>
      </c>
      <c r="AE400" s="94" t="str">
        <f>Table2[[#This Row],[field_fate5]]</f>
        <v>H</v>
      </c>
      <c r="AF400" s="94" t="str">
        <f>Table2[[#This Row],[field_fate5]]</f>
        <v>H</v>
      </c>
      <c r="AG400" s="94" t="str">
        <f>Table2[[#This Row],[field_fate5]]</f>
        <v>H</v>
      </c>
      <c r="AH400" s="94" t="str">
        <f>Table2[[#This Row],[field_fate2]]</f>
        <v>H</v>
      </c>
      <c r="AI400" s="94" t="str">
        <f>Table2[[#This Row],[field_fate8]]</f>
        <v>H</v>
      </c>
      <c r="AJ400" s="94" t="str">
        <f>Table2[[#This Row],[field_fate10]]</f>
        <v>H</v>
      </c>
      <c r="AK400" s="94" t="b">
        <f>Table2[[#This Row],[field_fate_feb]]=Table2[[#This Row],[field_fate10]]</f>
        <v>1</v>
      </c>
      <c r="AL400" s="43" t="s">
        <v>37</v>
      </c>
      <c r="AM400" s="160" t="b">
        <f>Table2[[#This Row],[cam_fate2]]="NA"</f>
        <v>0</v>
      </c>
      <c r="AN400" s="19" t="str">
        <f>Table2[[#This Row],[cam_fate1]]</f>
        <v>H</v>
      </c>
      <c r="AO400" s="2" t="s">
        <v>37</v>
      </c>
      <c r="AP400" s="5" t="str">
        <f>Table2[[#This Row],[final_fate1]]</f>
        <v>H</v>
      </c>
      <c r="AQ400" s="6">
        <v>18</v>
      </c>
      <c r="AR400" s="72">
        <v>18</v>
      </c>
      <c r="AS400" s="155">
        <f>Table2[[#This Row],[final_obs_date]]-Table2[[#This Row],[init_date]]</f>
        <v>18</v>
      </c>
      <c r="AT400" s="155" t="e">
        <f>(Table2[[#This Row],[final_obs_date2]]-Table2[[#This Row],[estHD]])+16</f>
        <v>#VALUE!</v>
      </c>
      <c r="AU400" s="38">
        <v>1</v>
      </c>
      <c r="AV400" s="33">
        <v>1</v>
      </c>
      <c r="AW400" s="33">
        <f>Table2[[#This Row],[final_obs_date2]]-Table2[[#This Row],[pen_obs_date]]</f>
        <v>1</v>
      </c>
      <c r="AX400" s="67">
        <v>61</v>
      </c>
      <c r="AY400" s="157">
        <f>Table2[[#This Row],[final_obs_date]]</f>
        <v>61</v>
      </c>
      <c r="AZ400" s="6">
        <v>60</v>
      </c>
      <c r="BA400" s="92" t="s">
        <v>60</v>
      </c>
      <c r="BB400" s="6" t="e">
        <f>Table2[[#This Row],[final_obs_date]]&lt;(Table2[[#This Row],[estHD]]-2)</f>
        <v>#VALUE!</v>
      </c>
      <c r="BC400" s="32">
        <f>IF(Table2[[#This Row],[field_fate]]="H",1,0)</f>
        <v>1</v>
      </c>
      <c r="BD400" s="16">
        <f>IF(Table2[[#This Row],[cam_fate2]]="H",1,0)</f>
        <v>1</v>
      </c>
      <c r="BE400" s="6" t="b">
        <f>NOT(Table2[[#This Row],[HF_C]]=Table2[[#This Row],[HF]])</f>
        <v>0</v>
      </c>
      <c r="BF400" s="38" t="b">
        <f>NOT(Table2[[#This Row],[cam_fate2]]=Table2[[#This Row],[field_fate3]])</f>
        <v>0</v>
      </c>
      <c r="BG400" s="38" t="b">
        <f>OR(Table2[[#This Row],[field_fate3]]="U",Table2[[#This Row],[field_fate3]]="U-H")</f>
        <v>0</v>
      </c>
      <c r="BH400" s="8">
        <v>52</v>
      </c>
      <c r="BI400" s="8">
        <v>59</v>
      </c>
      <c r="BJ400" s="14">
        <f>IF(ISTEXT(Table2[[#This Row],[j.cam]]),Table2[[#This Row],[j]],Table2[[#This Row],[j.cam]])</f>
        <v>59</v>
      </c>
      <c r="BK400" s="8">
        <v>59</v>
      </c>
      <c r="BL400" s="14">
        <f>IF(ISTEXT(Table2[[#This Row],[k.cam]]), Table2[[#This Row],[k]], Table2[[#This Row],[k.cam]])</f>
        <v>59</v>
      </c>
      <c r="BM400" s="4" t="s">
        <v>24</v>
      </c>
      <c r="BN400" s="8" t="s">
        <v>24</v>
      </c>
      <c r="BO400" s="4">
        <v>4</v>
      </c>
      <c r="BP400" s="4">
        <f>Table2[[#This Row],[final_obs_date]]-Table2[[#This Row],[i]]</f>
        <v>9</v>
      </c>
      <c r="BQ400" s="4" t="e">
        <f>Table2[[#This Row],[final_obs_date2]]&gt;Table2[[#This Row],[estHD]]+3</f>
        <v>#VALUE!</v>
      </c>
      <c r="BR400" s="3" t="s">
        <v>66</v>
      </c>
      <c r="BS400" s="3" t="s">
        <v>145</v>
      </c>
      <c r="BT400" s="125" t="s">
        <v>1251</v>
      </c>
      <c r="BU400" s="4" t="s">
        <v>317</v>
      </c>
      <c r="BV400" s="79" t="s">
        <v>1608</v>
      </c>
      <c r="BW400" s="69"/>
      <c r="BX400" s="36"/>
      <c r="BY400" s="36" t="s">
        <v>735</v>
      </c>
    </row>
    <row r="401" spans="1:77" hidden="1" x14ac:dyDescent="0.35">
      <c r="A401" s="63">
        <v>20317</v>
      </c>
      <c r="B401" s="2" t="s">
        <v>35</v>
      </c>
      <c r="C401" s="45">
        <v>2020</v>
      </c>
      <c r="D401" s="3">
        <v>29.770859999999999</v>
      </c>
      <c r="E401" s="3">
        <v>-93.176770000000005</v>
      </c>
      <c r="F401" s="3" t="s">
        <v>24</v>
      </c>
      <c r="G401" s="3" t="s">
        <v>24</v>
      </c>
      <c r="H401" s="3" t="s">
        <v>24</v>
      </c>
      <c r="I401" s="43"/>
      <c r="J401" s="116" t="s">
        <v>24</v>
      </c>
      <c r="K401" s="4">
        <v>69</v>
      </c>
      <c r="L401" s="22" t="str">
        <f>IF(ISNUMBER(Table2[[#This Row],[estHD]]),ABS(Table2[[#This Row],[HD]]-Table2[[#This Row],[estHD]]),"NA")</f>
        <v>NA</v>
      </c>
      <c r="M401" s="4" t="b">
        <f>Table2[[#This Row],[HD]]=Table2[[#This Row],[estHD]]</f>
        <v>0</v>
      </c>
      <c r="N401" s="4">
        <f>IF(ISNUMBER(Table2[[#This Row],[HD]]),Table2[[#This Row],[HD]]-16,"NA")</f>
        <v>53</v>
      </c>
      <c r="O401" s="31">
        <v>53</v>
      </c>
      <c r="P401" s="23">
        <f>IF(ISNUMBER(Table2[[#This Row],[nest_age1]]),ABS(Table2[[#This Row],[nest_age1]]-Table2[[#This Row],[nest_age_feb]]),"NA")</f>
        <v>1</v>
      </c>
      <c r="Q401" s="24">
        <f>IF(ISNUMBER(Table2[[#This Row],[final_obs_int2]]),ABS(Table2[[#This Row],[final_obs_int2]]-Table2[[#This Row],[final_obs_int_feb]]), "NA")</f>
        <v>3</v>
      </c>
      <c r="R401" s="24" t="e">
        <f>(Table2[[#This Row],[k_adj]]-Table2[[#This Row],[estHD]])/Table2[[#This Row],[estHD]]</f>
        <v>#VALUE!</v>
      </c>
      <c r="S401" s="20" t="s">
        <v>75</v>
      </c>
      <c r="T401" s="20" t="str">
        <f>Table2[[#This Row],[camera_old]]</f>
        <v>Y</v>
      </c>
      <c r="U401" s="22" t="s">
        <v>88</v>
      </c>
      <c r="V401" s="16" t="s">
        <v>37</v>
      </c>
      <c r="W401" s="16">
        <v>16</v>
      </c>
      <c r="X401" s="145">
        <v>4</v>
      </c>
      <c r="Y401" s="147" t="s">
        <v>37</v>
      </c>
      <c r="Z401" s="146" t="s">
        <v>37</v>
      </c>
      <c r="AA401" s="4" t="str">
        <f>Table2[[#This Row],[field_fate]]</f>
        <v>H</v>
      </c>
      <c r="AB401" s="4" t="str">
        <f>Table2[[#This Row],[field_fate2]]</f>
        <v>H</v>
      </c>
      <c r="AC401" s="94" t="str">
        <f>Table2[[#This Row],[field_fate3]]</f>
        <v>H</v>
      </c>
      <c r="AD401" s="94" t="str">
        <f>Table2[[#This Row],[field_fate4]]</f>
        <v>H</v>
      </c>
      <c r="AE401" s="94" t="str">
        <f>Table2[[#This Row],[field_fate5]]</f>
        <v>H</v>
      </c>
      <c r="AF401" s="94" t="str">
        <f>Table2[[#This Row],[field_fate5]]</f>
        <v>H</v>
      </c>
      <c r="AG401" s="94" t="str">
        <f>Table2[[#This Row],[field_fate5]]</f>
        <v>H</v>
      </c>
      <c r="AH401" s="94" t="str">
        <f>Table2[[#This Row],[field_fate2]]</f>
        <v>H</v>
      </c>
      <c r="AI401" s="94" t="str">
        <f>Table2[[#This Row],[field_fate8]]</f>
        <v>H</v>
      </c>
      <c r="AJ401" s="94" t="str">
        <f>Table2[[#This Row],[field_fate10]]</f>
        <v>H</v>
      </c>
      <c r="AK401" s="94" t="b">
        <f>Table2[[#This Row],[field_fate_feb]]=Table2[[#This Row],[field_fate10]]</f>
        <v>1</v>
      </c>
      <c r="AL401" s="43" t="s">
        <v>37</v>
      </c>
      <c r="AM401" s="160" t="b">
        <f>Table2[[#This Row],[cam_fate2]]="NA"</f>
        <v>0</v>
      </c>
      <c r="AN401" s="19" t="str">
        <f>Table2[[#This Row],[cam_fate1]]</f>
        <v>H</v>
      </c>
      <c r="AO401" s="2" t="s">
        <v>37</v>
      </c>
      <c r="AP401" s="5" t="str">
        <f>Table2[[#This Row],[final_fate1]]</f>
        <v>H</v>
      </c>
      <c r="AQ401" s="6">
        <v>17</v>
      </c>
      <c r="AR401" s="72">
        <v>17</v>
      </c>
      <c r="AS401" s="155">
        <f>Table2[[#This Row],[final_obs_date]]-Table2[[#This Row],[init_date]]</f>
        <v>17</v>
      </c>
      <c r="AT401" s="155" t="e">
        <f>(Table2[[#This Row],[final_obs_date2]]-Table2[[#This Row],[estHD]])+16</f>
        <v>#VALUE!</v>
      </c>
      <c r="AU401" s="38">
        <v>1</v>
      </c>
      <c r="AV401" s="33">
        <v>1</v>
      </c>
      <c r="AW401" s="33">
        <f>Table2[[#This Row],[final_obs_date2]]-Table2[[#This Row],[pen_obs_date]]</f>
        <v>4</v>
      </c>
      <c r="AX401" s="67">
        <v>70</v>
      </c>
      <c r="AY401" s="157">
        <f>Table2[[#This Row],[final_obs_date]]</f>
        <v>70</v>
      </c>
      <c r="AZ401" s="6">
        <v>66</v>
      </c>
      <c r="BA401" s="92" t="s">
        <v>60</v>
      </c>
      <c r="BB401" s="6" t="e">
        <f>Table2[[#This Row],[final_obs_date]]&lt;(Table2[[#This Row],[estHD]]-2)</f>
        <v>#VALUE!</v>
      </c>
      <c r="BC401" s="32">
        <f>IF(Table2[[#This Row],[field_fate]]="H",1,0)</f>
        <v>1</v>
      </c>
      <c r="BD401" s="16">
        <f>IF(Table2[[#This Row],[cam_fate2]]="H",1,0)</f>
        <v>1</v>
      </c>
      <c r="BE401" s="6" t="b">
        <f>NOT(Table2[[#This Row],[HF_C]]=Table2[[#This Row],[HF]])</f>
        <v>0</v>
      </c>
      <c r="BF401" s="38" t="b">
        <f>NOT(Table2[[#This Row],[cam_fate2]]=Table2[[#This Row],[field_fate3]])</f>
        <v>0</v>
      </c>
      <c r="BG401" s="38" t="b">
        <f>OR(Table2[[#This Row],[field_fate3]]="U",Table2[[#This Row],[field_fate3]]="U-H")</f>
        <v>0</v>
      </c>
      <c r="BH401" s="8">
        <v>56</v>
      </c>
      <c r="BI401" s="8">
        <v>70</v>
      </c>
      <c r="BJ401" s="14">
        <f>IF(ISTEXT(Table2[[#This Row],[j.cam]]),Table2[[#This Row],[j]],Table2[[#This Row],[j.cam]])</f>
        <v>69</v>
      </c>
      <c r="BK401" s="8">
        <v>70</v>
      </c>
      <c r="BL401" s="14">
        <f>IF(ISTEXT(Table2[[#This Row],[k.cam]]), Table2[[#This Row],[k]], Table2[[#This Row],[k.cam]])</f>
        <v>69</v>
      </c>
      <c r="BM401" s="4">
        <v>69</v>
      </c>
      <c r="BN401" s="8">
        <v>69</v>
      </c>
      <c r="BO401" s="4">
        <v>4</v>
      </c>
      <c r="BP401" s="4">
        <f>Table2[[#This Row],[final_obs_date]]-Table2[[#This Row],[i]]</f>
        <v>14</v>
      </c>
      <c r="BQ401" s="4" t="e">
        <f>Table2[[#This Row],[final_obs_date2]]&gt;Table2[[#This Row],[estHD]]+3</f>
        <v>#VALUE!</v>
      </c>
      <c r="BR401" s="3" t="s">
        <v>33</v>
      </c>
      <c r="BS401" s="3" t="s">
        <v>53</v>
      </c>
      <c r="BT401" s="125" t="s">
        <v>1252</v>
      </c>
      <c r="BU401" s="4" t="s">
        <v>318</v>
      </c>
      <c r="BV401" s="79" t="s">
        <v>1609</v>
      </c>
      <c r="BW401" s="69"/>
      <c r="BX401" s="36"/>
      <c r="BY401" s="36" t="s">
        <v>736</v>
      </c>
    </row>
    <row r="402" spans="1:77" hidden="1" x14ac:dyDescent="0.35">
      <c r="A402" s="63">
        <v>20318</v>
      </c>
      <c r="B402" s="2" t="s">
        <v>122</v>
      </c>
      <c r="C402" s="45">
        <v>2020</v>
      </c>
      <c r="D402" s="3">
        <v>29.756589999999999</v>
      </c>
      <c r="E402" s="3">
        <v>-93.1143</v>
      </c>
      <c r="F402" s="3">
        <v>70</v>
      </c>
      <c r="G402" s="3">
        <v>70</v>
      </c>
      <c r="H402" s="3" t="s">
        <v>24</v>
      </c>
      <c r="I402" s="43"/>
      <c r="J402" s="116">
        <v>68</v>
      </c>
      <c r="K402" s="4">
        <v>71</v>
      </c>
      <c r="L402" s="22">
        <f>IF(ISNUMBER(Table2[[#This Row],[estHD]]),ABS(Table2[[#This Row],[HD]]-Table2[[#This Row],[estHD]]),"NA")</f>
        <v>3</v>
      </c>
      <c r="M402" s="4" t="b">
        <f>Table2[[#This Row],[HD]]=Table2[[#This Row],[estHD]]</f>
        <v>0</v>
      </c>
      <c r="N402" s="4">
        <f>IF(ISNUMBER(Table2[[#This Row],[HD]]),Table2[[#This Row],[HD]]-16,"NA")</f>
        <v>55</v>
      </c>
      <c r="O402" s="31">
        <v>55</v>
      </c>
      <c r="P402" s="23">
        <f>IF(ISNUMBER(Table2[[#This Row],[nest_age1]]),ABS(Table2[[#This Row],[nest_age1]]-Table2[[#This Row],[nest_age_feb]]),"NA")</f>
        <v>6</v>
      </c>
      <c r="Q402" s="24">
        <f>IF(ISNUMBER(Table2[[#This Row],[final_obs_int2]]),ABS(Table2[[#This Row],[final_obs_int2]]-Table2[[#This Row],[final_obs_int_feb]]), "NA")</f>
        <v>6</v>
      </c>
      <c r="R402" s="24">
        <f>(Table2[[#This Row],[k_adj]]-Table2[[#This Row],[estHD]])/Table2[[#This Row],[estHD]]</f>
        <v>4.4117647058823532E-2</v>
      </c>
      <c r="S402" s="20" t="s">
        <v>75</v>
      </c>
      <c r="T402" s="20" t="str">
        <f>Table2[[#This Row],[camera_old]]</f>
        <v>Y</v>
      </c>
      <c r="U402" s="22" t="s">
        <v>88</v>
      </c>
      <c r="V402" s="16" t="s">
        <v>37</v>
      </c>
      <c r="W402" s="16">
        <v>25</v>
      </c>
      <c r="X402" s="145">
        <v>9</v>
      </c>
      <c r="Y402" s="147" t="s">
        <v>37</v>
      </c>
      <c r="Z402" s="146" t="s">
        <v>37</v>
      </c>
      <c r="AA402" s="4" t="str">
        <f>Table2[[#This Row],[field_fate]]</f>
        <v>H</v>
      </c>
      <c r="AB402" s="4" t="str">
        <f>Table2[[#This Row],[field_fate2]]</f>
        <v>H</v>
      </c>
      <c r="AC402" s="94" t="str">
        <f>Table2[[#This Row],[field_fate3]]</f>
        <v>H</v>
      </c>
      <c r="AD402" s="94" t="str">
        <f>Table2[[#This Row],[field_fate4]]</f>
        <v>H</v>
      </c>
      <c r="AE402" s="94" t="str">
        <f>Table2[[#This Row],[field_fate5]]</f>
        <v>H</v>
      </c>
      <c r="AF402" s="94" t="str">
        <f>Table2[[#This Row],[field_fate5]]</f>
        <v>H</v>
      </c>
      <c r="AG402" s="94" t="str">
        <f>Table2[[#This Row],[field_fate5]]</f>
        <v>H</v>
      </c>
      <c r="AH402" s="94" t="str">
        <f>Table2[[#This Row],[field_fate2]]</f>
        <v>H</v>
      </c>
      <c r="AI402" s="94" t="str">
        <f>Table2[[#This Row],[field_fate8]]</f>
        <v>H</v>
      </c>
      <c r="AJ402" s="94" t="str">
        <f>Table2[[#This Row],[field_fate10]]</f>
        <v>H</v>
      </c>
      <c r="AK402" s="94" t="b">
        <f>Table2[[#This Row],[field_fate_feb]]=Table2[[#This Row],[field_fate10]]</f>
        <v>1</v>
      </c>
      <c r="AL402" s="43" t="s">
        <v>37</v>
      </c>
      <c r="AM402" s="160" t="b">
        <f>Table2[[#This Row],[cam_fate2]]="NA"</f>
        <v>0</v>
      </c>
      <c r="AN402" s="19" t="str">
        <f>Table2[[#This Row],[cam_fate1]]</f>
        <v>H</v>
      </c>
      <c r="AO402" s="2" t="s">
        <v>37</v>
      </c>
      <c r="AP402" s="5" t="str">
        <f>Table2[[#This Row],[final_fate1]]</f>
        <v>H</v>
      </c>
      <c r="AQ402" s="6">
        <v>19</v>
      </c>
      <c r="AR402" s="72">
        <v>22</v>
      </c>
      <c r="AS402" s="155">
        <f>Table2[[#This Row],[final_obs_date]]-Table2[[#This Row],[init_date]]</f>
        <v>19</v>
      </c>
      <c r="AT402" s="155">
        <f>(Table2[[#This Row],[final_obs_date2]]-Table2[[#This Row],[estHD]])+16</f>
        <v>22</v>
      </c>
      <c r="AU402" s="38">
        <v>3</v>
      </c>
      <c r="AV402" s="33">
        <v>3</v>
      </c>
      <c r="AW402" s="33">
        <f>Table2[[#This Row],[final_obs_date2]]-Table2[[#This Row],[pen_obs_date]]</f>
        <v>5</v>
      </c>
      <c r="AX402" s="67">
        <v>74</v>
      </c>
      <c r="AY402" s="157">
        <f>Table2[[#This Row],[final_obs_date]]</f>
        <v>74</v>
      </c>
      <c r="AZ402" s="6">
        <v>69</v>
      </c>
      <c r="BA402" s="92" t="s">
        <v>60</v>
      </c>
      <c r="BB402" s="6" t="b">
        <f>Table2[[#This Row],[final_obs_date]]&lt;(Table2[[#This Row],[estHD]]-2)</f>
        <v>0</v>
      </c>
      <c r="BC402" s="32">
        <f>IF(Table2[[#This Row],[field_fate]]="H",1,0)</f>
        <v>1</v>
      </c>
      <c r="BD402" s="16">
        <f>IF(Table2[[#This Row],[cam_fate2]]="H",1,0)</f>
        <v>1</v>
      </c>
      <c r="BE402" s="6" t="b">
        <f>NOT(Table2[[#This Row],[HF_C]]=Table2[[#This Row],[HF]])</f>
        <v>0</v>
      </c>
      <c r="BF402" s="38" t="b">
        <f>NOT(Table2[[#This Row],[cam_fate2]]=Table2[[#This Row],[field_fate3]])</f>
        <v>0</v>
      </c>
      <c r="BG402" s="38" t="b">
        <f>OR(Table2[[#This Row],[field_fate3]]="U",Table2[[#This Row],[field_fate3]]="U-H")</f>
        <v>0</v>
      </c>
      <c r="BH402" s="8">
        <v>56</v>
      </c>
      <c r="BI402" s="8">
        <v>71</v>
      </c>
      <c r="BJ402" s="14">
        <f>IF(ISTEXT(Table2[[#This Row],[j.cam]]),Table2[[#This Row],[j]],Table2[[#This Row],[j.cam]])</f>
        <v>71</v>
      </c>
      <c r="BK402" s="8">
        <v>71</v>
      </c>
      <c r="BL402" s="14">
        <f>IF(ISTEXT(Table2[[#This Row],[k.cam]]), Table2[[#This Row],[k]], Table2[[#This Row],[k.cam]])</f>
        <v>71</v>
      </c>
      <c r="BM402" s="4" t="s">
        <v>24</v>
      </c>
      <c r="BN402" s="8" t="s">
        <v>24</v>
      </c>
      <c r="BO402" s="4">
        <v>4</v>
      </c>
      <c r="BP402" s="4">
        <f>Table2[[#This Row],[final_obs_date]]-Table2[[#This Row],[i]]</f>
        <v>18</v>
      </c>
      <c r="BQ402" s="4" t="b">
        <f>Table2[[#This Row],[final_obs_date2]]&gt;Table2[[#This Row],[estHD]]+3</f>
        <v>1</v>
      </c>
      <c r="BR402" s="3" t="s">
        <v>58</v>
      </c>
      <c r="BS402" s="3" t="s">
        <v>127</v>
      </c>
      <c r="BT402" s="125" t="s">
        <v>1253</v>
      </c>
      <c r="BU402" s="4" t="s">
        <v>286</v>
      </c>
      <c r="BV402" s="79" t="s">
        <v>1590</v>
      </c>
      <c r="BW402" s="69"/>
      <c r="BX402" s="36"/>
      <c r="BY402" s="36" t="s">
        <v>737</v>
      </c>
    </row>
    <row r="403" spans="1:77" ht="29.5" hidden="1" x14ac:dyDescent="0.35">
      <c r="A403" s="63">
        <v>20320</v>
      </c>
      <c r="B403" s="2" t="s">
        <v>35</v>
      </c>
      <c r="C403" s="45">
        <v>2020</v>
      </c>
      <c r="D403" s="3">
        <v>29.761859999999999</v>
      </c>
      <c r="E403" s="3">
        <v>-93.135630000000006</v>
      </c>
      <c r="F403" s="3">
        <v>90</v>
      </c>
      <c r="G403" s="3">
        <v>90</v>
      </c>
      <c r="H403" s="3" t="s">
        <v>24</v>
      </c>
      <c r="I403" s="43"/>
      <c r="J403" s="116">
        <v>66</v>
      </c>
      <c r="K403" s="4">
        <v>66</v>
      </c>
      <c r="L403" s="22">
        <f>IF(ISNUMBER(Table2[[#This Row],[estHD]]),ABS(Table2[[#This Row],[HD]]-Table2[[#This Row],[estHD]]),"NA")</f>
        <v>0</v>
      </c>
      <c r="M403" s="4" t="b">
        <f>Table2[[#This Row],[HD]]=Table2[[#This Row],[estHD]]</f>
        <v>1</v>
      </c>
      <c r="N403" s="4">
        <f>IF(ISNUMBER(Table2[[#This Row],[HD]]),Table2[[#This Row],[HD]]-16,"NA")</f>
        <v>50</v>
      </c>
      <c r="O403" s="89">
        <v>50</v>
      </c>
      <c r="P403" s="23">
        <f>IF(ISNUMBER(Table2[[#This Row],[nest_age1]]),ABS(Table2[[#This Row],[nest_age1]]-Table2[[#This Row],[nest_age_feb]]),"NA")</f>
        <v>1</v>
      </c>
      <c r="Q403" s="24">
        <f>IF(ISNUMBER(Table2[[#This Row],[final_obs_int2]]),ABS(Table2[[#This Row],[final_obs_int2]]-Table2[[#This Row],[final_obs_int_feb]]), "NA")</f>
        <v>0</v>
      </c>
      <c r="R403" s="24"/>
      <c r="S403" s="20" t="s">
        <v>75</v>
      </c>
      <c r="T403" s="20" t="str">
        <f>Table2[[#This Row],[camera_old]]</f>
        <v>Y</v>
      </c>
      <c r="U403" s="22" t="s">
        <v>88</v>
      </c>
      <c r="V403" s="16" t="s">
        <v>36</v>
      </c>
      <c r="W403" s="16">
        <v>29</v>
      </c>
      <c r="X403" s="145">
        <v>6</v>
      </c>
      <c r="Y403" s="147" t="s">
        <v>36</v>
      </c>
      <c r="Z403" s="146" t="s">
        <v>36</v>
      </c>
      <c r="AA403" s="4" t="str">
        <f>Table2[[#This Row],[field_fate]]</f>
        <v>A</v>
      </c>
      <c r="AB403" s="4" t="str">
        <f>Table2[[#This Row],[field_fate2]]</f>
        <v>A</v>
      </c>
      <c r="AC403" s="94" t="str">
        <f>Table2[[#This Row],[field_fate3]]</f>
        <v>A</v>
      </c>
      <c r="AD403" s="94" t="str">
        <f>Table2[[#This Row],[field_fate4]]</f>
        <v>A</v>
      </c>
      <c r="AE403" s="94" t="str">
        <f>Table2[[#This Row],[field_fate5]]</f>
        <v>A</v>
      </c>
      <c r="AF403" s="94" t="str">
        <f>Table2[[#This Row],[field_fate5]]</f>
        <v>A</v>
      </c>
      <c r="AG403" s="94" t="str">
        <f>Table2[[#This Row],[field_fate5]]</f>
        <v>A</v>
      </c>
      <c r="AH403" s="94" t="str">
        <f>Table2[[#This Row],[field_fate2]]</f>
        <v>A</v>
      </c>
      <c r="AI403" s="94" t="str">
        <f>Table2[[#This Row],[field_fate8]]</f>
        <v>A</v>
      </c>
      <c r="AJ403" s="94" t="str">
        <f>Table2[[#This Row],[field_fate10]]</f>
        <v>A</v>
      </c>
      <c r="AK403" s="94" t="b">
        <f>Table2[[#This Row],[field_fate_feb]]=Table2[[#This Row],[field_fate10]]</f>
        <v>1</v>
      </c>
      <c r="AL403" s="43" t="s">
        <v>36</v>
      </c>
      <c r="AM403" s="160" t="b">
        <f>Table2[[#This Row],[cam_fate2]]="NA"</f>
        <v>0</v>
      </c>
      <c r="AN403" s="159" t="str">
        <f>Table2[[#This Row],[cam_fate1]]</f>
        <v>A</v>
      </c>
      <c r="AO403" s="2" t="s">
        <v>36</v>
      </c>
      <c r="AP403" s="5" t="str">
        <f>Table2[[#This Row],[final_fate1]]</f>
        <v>A</v>
      </c>
      <c r="AQ403" s="6">
        <v>30</v>
      </c>
      <c r="AR403" s="72">
        <v>30</v>
      </c>
      <c r="AS403" s="155">
        <f>Table2[[#This Row],[final_obs_date]]-Table2[[#This Row],[init_date]]</f>
        <v>30</v>
      </c>
      <c r="AT403" s="155">
        <f>(Table2[[#This Row],[final_obs_date2]]-Table2[[#This Row],[estHD]])+16</f>
        <v>30</v>
      </c>
      <c r="AU403" s="38">
        <v>6</v>
      </c>
      <c r="AV403" s="33">
        <v>6</v>
      </c>
      <c r="AW403" s="33">
        <f>Table2[[#This Row],[final_obs_date2]]-Table2[[#This Row],[pen_obs_date]]</f>
        <v>6</v>
      </c>
      <c r="AX403" s="67">
        <v>80</v>
      </c>
      <c r="AY403" s="158">
        <f>Table2[[#This Row],[final_obs_date]]</f>
        <v>80</v>
      </c>
      <c r="AZ403" s="6">
        <v>74</v>
      </c>
      <c r="BA403" s="92" t="s">
        <v>60</v>
      </c>
      <c r="BB403" s="86" t="b">
        <f>Table2[[#This Row],[final_obs_date]]&lt;(Table2[[#This Row],[estHD]]-2)</f>
        <v>0</v>
      </c>
      <c r="BC403" s="83">
        <f>IF(Table2[[#This Row],[field_fate]]="H",1,0)</f>
        <v>0</v>
      </c>
      <c r="BD403" s="82">
        <f>IF(Table2[[#This Row],[cam_fate2]]="H",1,0)</f>
        <v>0</v>
      </c>
      <c r="BE403" s="84" t="b">
        <f>NOT(Table2[[#This Row],[HF_C]]=Table2[[#This Row],[HF]])</f>
        <v>0</v>
      </c>
      <c r="BF403" s="85" t="b">
        <f>NOT(Table2[[#This Row],[cam_fate2]]=Table2[[#This Row],[field_fate3]])</f>
        <v>0</v>
      </c>
      <c r="BG403" s="85" t="b">
        <f>OR(Table2[[#This Row],[field_fate3]]="U",Table2[[#This Row],[field_fate3]]="U-H")</f>
        <v>0</v>
      </c>
      <c r="BH403" s="8">
        <v>56</v>
      </c>
      <c r="BI403" s="8">
        <v>74</v>
      </c>
      <c r="BJ403" s="14">
        <f>IF(ISTEXT(Table2[[#This Row],[j.cam]]),Table2[[#This Row],[j]],Table2[[#This Row],[j.cam]])</f>
        <v>74</v>
      </c>
      <c r="BK403" s="8">
        <v>80</v>
      </c>
      <c r="BL403" s="14">
        <f>IF(ISTEXT(Table2[[#This Row],[k.cam]]), Table2[[#This Row],[k]], Table2[[#This Row],[k.cam]])</f>
        <v>80</v>
      </c>
      <c r="BM403" s="87" t="s">
        <v>24</v>
      </c>
      <c r="BN403" s="87" t="s">
        <v>24</v>
      </c>
      <c r="BO403" s="4">
        <v>6</v>
      </c>
      <c r="BP403" s="4">
        <f>Table2[[#This Row],[final_obs_date]]-Table2[[#This Row],[i]]</f>
        <v>24</v>
      </c>
      <c r="BQ403" s="4" t="b">
        <f>Table2[[#This Row],[final_obs_date2]]&gt;Table2[[#This Row],[estHD]]+3</f>
        <v>1</v>
      </c>
      <c r="BR403" s="3" t="s">
        <v>58</v>
      </c>
      <c r="BS403" s="3" t="s">
        <v>45</v>
      </c>
      <c r="BT403" s="125" t="s">
        <v>1254</v>
      </c>
      <c r="BU403" s="122" t="s">
        <v>319</v>
      </c>
      <c r="BV403" s="88" t="s">
        <v>1610</v>
      </c>
      <c r="BW403" s="69"/>
      <c r="BX403" s="36"/>
      <c r="BY403" s="36" t="s">
        <v>738</v>
      </c>
    </row>
    <row r="404" spans="1:77" hidden="1" x14ac:dyDescent="0.35">
      <c r="A404" s="63">
        <v>20321</v>
      </c>
      <c r="B404" s="2" t="s">
        <v>35</v>
      </c>
      <c r="C404" s="45">
        <v>2020</v>
      </c>
      <c r="D404" s="3">
        <v>29.762899999999998</v>
      </c>
      <c r="E404" s="3">
        <v>-93.140749999999997</v>
      </c>
      <c r="F404" s="3">
        <v>60</v>
      </c>
      <c r="G404" s="3">
        <v>60</v>
      </c>
      <c r="H404" s="3" t="s">
        <v>24</v>
      </c>
      <c r="I404" s="43"/>
      <c r="J404" s="116">
        <v>67</v>
      </c>
      <c r="K404" s="4">
        <v>70</v>
      </c>
      <c r="L404" s="22">
        <f>IF(ISNUMBER(Table2[[#This Row],[estHD]]),ABS(Table2[[#This Row],[HD]]-Table2[[#This Row],[estHD]]),"NA")</f>
        <v>3</v>
      </c>
      <c r="M404" s="4" t="b">
        <f>Table2[[#This Row],[HD]]=Table2[[#This Row],[estHD]]</f>
        <v>0</v>
      </c>
      <c r="N404" s="4">
        <f>IF(ISNUMBER(Table2[[#This Row],[HD]]),Table2[[#This Row],[HD]]-16,"NA")</f>
        <v>54</v>
      </c>
      <c r="O404" s="31">
        <v>54</v>
      </c>
      <c r="P404" s="23">
        <f>IF(ISNUMBER(Table2[[#This Row],[nest_age1]]),ABS(Table2[[#This Row],[nest_age1]]-Table2[[#This Row],[nest_age_feb]]),"NA")</f>
        <v>2</v>
      </c>
      <c r="Q404" s="24">
        <f>IF(ISNUMBER(Table2[[#This Row],[final_obs_int2]]),ABS(Table2[[#This Row],[final_obs_int2]]-Table2[[#This Row],[final_obs_int_feb]]), "NA")</f>
        <v>0</v>
      </c>
      <c r="R404" s="24">
        <f>(Table2[[#This Row],[k_adj]]-Table2[[#This Row],[estHD]])/Table2[[#This Row],[estHD]]</f>
        <v>4.4776119402985072E-2</v>
      </c>
      <c r="S404" s="20" t="s">
        <v>75</v>
      </c>
      <c r="T404" s="20" t="str">
        <f>Table2[[#This Row],[camera_old]]</f>
        <v>Y</v>
      </c>
      <c r="U404" s="22" t="s">
        <v>88</v>
      </c>
      <c r="V404" s="16" t="s">
        <v>37</v>
      </c>
      <c r="W404" s="16">
        <v>18</v>
      </c>
      <c r="X404" s="145">
        <v>4</v>
      </c>
      <c r="Y404" s="147" t="s">
        <v>37</v>
      </c>
      <c r="Z404" s="146" t="s">
        <v>37</v>
      </c>
      <c r="AA404" s="4" t="str">
        <f>Table2[[#This Row],[field_fate]]</f>
        <v>H</v>
      </c>
      <c r="AB404" s="4" t="str">
        <f>Table2[[#This Row],[field_fate2]]</f>
        <v>H</v>
      </c>
      <c r="AC404" s="94" t="str">
        <f>Table2[[#This Row],[field_fate3]]</f>
        <v>H</v>
      </c>
      <c r="AD404" s="94" t="str">
        <f>Table2[[#This Row],[field_fate4]]</f>
        <v>H</v>
      </c>
      <c r="AE404" s="94" t="str">
        <f>Table2[[#This Row],[field_fate5]]</f>
        <v>H</v>
      </c>
      <c r="AF404" s="94" t="str">
        <f>Table2[[#This Row],[field_fate5]]</f>
        <v>H</v>
      </c>
      <c r="AG404" s="94" t="str">
        <f>Table2[[#This Row],[field_fate5]]</f>
        <v>H</v>
      </c>
      <c r="AH404" s="94" t="str">
        <f>Table2[[#This Row],[field_fate2]]</f>
        <v>H</v>
      </c>
      <c r="AI404" s="94" t="str">
        <f>Table2[[#This Row],[field_fate8]]</f>
        <v>H</v>
      </c>
      <c r="AJ404" s="94" t="str">
        <f>Table2[[#This Row],[field_fate10]]</f>
        <v>H</v>
      </c>
      <c r="AK404" s="94" t="b">
        <f>Table2[[#This Row],[field_fate_feb]]=Table2[[#This Row],[field_fate10]]</f>
        <v>1</v>
      </c>
      <c r="AL404" s="43" t="s">
        <v>37</v>
      </c>
      <c r="AM404" s="160" t="b">
        <f>Table2[[#This Row],[cam_fate2]]="NA"</f>
        <v>0</v>
      </c>
      <c r="AN404" s="19" t="str">
        <f>Table2[[#This Row],[cam_fate1]]</f>
        <v>H</v>
      </c>
      <c r="AO404" s="2" t="s">
        <v>37</v>
      </c>
      <c r="AP404" s="5" t="str">
        <f>Table2[[#This Row],[final_fate1]]</f>
        <v>H</v>
      </c>
      <c r="AQ404" s="6">
        <v>16</v>
      </c>
      <c r="AR404" s="72">
        <v>19</v>
      </c>
      <c r="AS404" s="155">
        <f>Table2[[#This Row],[final_obs_date]]-Table2[[#This Row],[init_date]]</f>
        <v>16</v>
      </c>
      <c r="AT404" s="155">
        <f>(Table2[[#This Row],[final_obs_date2]]-Table2[[#This Row],[estHD]])+16</f>
        <v>19</v>
      </c>
      <c r="AU404" s="38">
        <v>4</v>
      </c>
      <c r="AV404" s="33">
        <v>4</v>
      </c>
      <c r="AW404" s="33">
        <f>Table2[[#This Row],[final_obs_date2]]-Table2[[#This Row],[pen_obs_date]]</f>
        <v>4</v>
      </c>
      <c r="AX404" s="67">
        <v>70</v>
      </c>
      <c r="AY404" s="157">
        <f>Table2[[#This Row],[final_obs_date]]</f>
        <v>70</v>
      </c>
      <c r="AZ404" s="6">
        <v>66</v>
      </c>
      <c r="BA404" s="92" t="s">
        <v>60</v>
      </c>
      <c r="BB404" s="6" t="b">
        <f>Table2[[#This Row],[final_obs_date]]&lt;(Table2[[#This Row],[estHD]]-2)</f>
        <v>0</v>
      </c>
      <c r="BC404" s="32">
        <f>IF(Table2[[#This Row],[field_fate]]="H",1,0)</f>
        <v>1</v>
      </c>
      <c r="BD404" s="16">
        <f>IF(Table2[[#This Row],[cam_fate2]]="H",1,0)</f>
        <v>1</v>
      </c>
      <c r="BE404" s="6" t="b">
        <f>NOT(Table2[[#This Row],[HF_C]]=Table2[[#This Row],[HF]])</f>
        <v>0</v>
      </c>
      <c r="BF404" s="38" t="b">
        <f>NOT(Table2[[#This Row],[cam_fate2]]=Table2[[#This Row],[field_fate3]])</f>
        <v>0</v>
      </c>
      <c r="BG404" s="38" t="b">
        <f>OR(Table2[[#This Row],[field_fate3]]="U",Table2[[#This Row],[field_fate3]]="U-H")</f>
        <v>0</v>
      </c>
      <c r="BH404" s="8">
        <v>56</v>
      </c>
      <c r="BI404" s="8">
        <v>70</v>
      </c>
      <c r="BJ404" s="14">
        <f>IF(ISTEXT(Table2[[#This Row],[j.cam]]),Table2[[#This Row],[j]],Table2[[#This Row],[j.cam]])</f>
        <v>70</v>
      </c>
      <c r="BK404" s="8">
        <v>70</v>
      </c>
      <c r="BL404" s="14">
        <f>IF(ISTEXT(Table2[[#This Row],[k.cam]]), Table2[[#This Row],[k]], Table2[[#This Row],[k.cam]])</f>
        <v>70</v>
      </c>
      <c r="BM404" s="4" t="s">
        <v>24</v>
      </c>
      <c r="BN404" s="8" t="s">
        <v>24</v>
      </c>
      <c r="BO404" s="4">
        <v>4</v>
      </c>
      <c r="BP404" s="4">
        <f>Table2[[#This Row],[final_obs_date]]-Table2[[#This Row],[i]]</f>
        <v>14</v>
      </c>
      <c r="BQ404" s="4" t="b">
        <f>Table2[[#This Row],[final_obs_date2]]&gt;Table2[[#This Row],[estHD]]+3</f>
        <v>0</v>
      </c>
      <c r="BR404" s="3" t="s">
        <v>33</v>
      </c>
      <c r="BS404" s="3" t="s">
        <v>165</v>
      </c>
      <c r="BT404" s="125" t="s">
        <v>1255</v>
      </c>
      <c r="BU404" s="4" t="s">
        <v>312</v>
      </c>
      <c r="BV404" s="79" t="s">
        <v>1611</v>
      </c>
      <c r="BW404" s="69"/>
      <c r="BX404" s="36"/>
      <c r="BY404" s="36" t="s">
        <v>739</v>
      </c>
    </row>
    <row r="405" spans="1:77" ht="18.5" hidden="1" x14ac:dyDescent="0.35">
      <c r="A405" s="63">
        <v>20322</v>
      </c>
      <c r="B405" s="2" t="s">
        <v>35</v>
      </c>
      <c r="C405" s="45">
        <v>2020</v>
      </c>
      <c r="D405" s="3">
        <v>29.763909999999999</v>
      </c>
      <c r="E405" s="3">
        <v>-93.143879999999996</v>
      </c>
      <c r="F405" s="3">
        <v>50</v>
      </c>
      <c r="G405" s="3">
        <v>50</v>
      </c>
      <c r="H405" s="3" t="s">
        <v>24</v>
      </c>
      <c r="I405" s="43"/>
      <c r="J405" s="116">
        <v>64</v>
      </c>
      <c r="K405" s="4">
        <v>64</v>
      </c>
      <c r="L405" s="22">
        <f>IF(ISNUMBER(Table2[[#This Row],[estHD]]),ABS(Table2[[#This Row],[HD]]-Table2[[#This Row],[estHD]]),"NA")</f>
        <v>0</v>
      </c>
      <c r="M405" s="4" t="b">
        <f>Table2[[#This Row],[HD]]=Table2[[#This Row],[estHD]]</f>
        <v>1</v>
      </c>
      <c r="N405" s="4">
        <f>IF(ISNUMBER(Table2[[#This Row],[HD]]),Table2[[#This Row],[HD]]-16,"NA")</f>
        <v>48</v>
      </c>
      <c r="O405" s="89">
        <v>48</v>
      </c>
      <c r="P405" s="23">
        <f>IF(ISNUMBER(Table2[[#This Row],[nest_age1]]),ABS(Table2[[#This Row],[nest_age1]]-Table2[[#This Row],[nest_age_feb]]),"NA")</f>
        <v>1</v>
      </c>
      <c r="Q405" s="24">
        <f>IF(ISNUMBER(Table2[[#This Row],[final_obs_int2]]),ABS(Table2[[#This Row],[final_obs_int2]]-Table2[[#This Row],[final_obs_int_feb]]), "NA")</f>
        <v>0</v>
      </c>
      <c r="R405" s="24"/>
      <c r="S405" s="20" t="s">
        <v>75</v>
      </c>
      <c r="T405" s="20" t="str">
        <f>Table2[[#This Row],[camera_old]]</f>
        <v>Y</v>
      </c>
      <c r="U405" s="22" t="s">
        <v>88</v>
      </c>
      <c r="V405" s="16" t="s">
        <v>36</v>
      </c>
      <c r="W405" s="16">
        <v>24</v>
      </c>
      <c r="X405" s="145">
        <v>3</v>
      </c>
      <c r="Y405" s="148" t="s">
        <v>36</v>
      </c>
      <c r="Z405" s="146" t="s">
        <v>36</v>
      </c>
      <c r="AA405" s="4" t="str">
        <f>Table2[[#This Row],[field_fate]]</f>
        <v>A</v>
      </c>
      <c r="AB405" s="12" t="s">
        <v>1704</v>
      </c>
      <c r="AC405" s="133" t="s">
        <v>90</v>
      </c>
      <c r="AD405" s="144" t="str">
        <f>Table2[[#This Row],[field_fate4]]</f>
        <v>U</v>
      </c>
      <c r="AE405" s="136" t="s">
        <v>36</v>
      </c>
      <c r="AF405" s="95" t="str">
        <f>Table2[[#This Row],[field_fate5]]</f>
        <v>U</v>
      </c>
      <c r="AG405" s="95" t="s">
        <v>36</v>
      </c>
      <c r="AH405" s="95" t="str">
        <f>Table2[[#This Row],[field_fate2]]</f>
        <v>A</v>
      </c>
      <c r="AI405" s="95" t="str">
        <f>Table2[[#This Row],[field_fate8]]</f>
        <v>A</v>
      </c>
      <c r="AJ405" s="95" t="str">
        <f>Table2[[#This Row],[field_fate10]]</f>
        <v>A</v>
      </c>
      <c r="AK405" s="95" t="b">
        <f>Table2[[#This Row],[field_fate_feb]]=Table2[[#This Row],[field_fate10]]</f>
        <v>1</v>
      </c>
      <c r="AL405" s="43" t="s">
        <v>36</v>
      </c>
      <c r="AM405" s="160" t="b">
        <f>Table2[[#This Row],[cam_fate2]]="NA"</f>
        <v>0</v>
      </c>
      <c r="AN405" s="159" t="str">
        <f>Table2[[#This Row],[cam_fate1]]</f>
        <v>A</v>
      </c>
      <c r="AO405" s="2" t="s">
        <v>36</v>
      </c>
      <c r="AP405" s="5" t="str">
        <f>Table2[[#This Row],[final_fate1]]</f>
        <v>A</v>
      </c>
      <c r="AQ405" s="6">
        <v>25</v>
      </c>
      <c r="AR405" s="72">
        <v>25</v>
      </c>
      <c r="AS405" s="155">
        <f>Table2[[#This Row],[final_obs_date]]-Table2[[#This Row],[init_date]]</f>
        <v>25</v>
      </c>
      <c r="AT405" s="155">
        <f>(Table2[[#This Row],[final_obs_date2]]-Table2[[#This Row],[estHD]])+16</f>
        <v>25</v>
      </c>
      <c r="AU405" s="38">
        <v>3</v>
      </c>
      <c r="AV405" s="33">
        <v>3</v>
      </c>
      <c r="AW405" s="33">
        <f>Table2[[#This Row],[final_obs_date2]]-Table2[[#This Row],[pen_obs_date]]</f>
        <v>3</v>
      </c>
      <c r="AX405" s="67">
        <v>73</v>
      </c>
      <c r="AY405" s="158">
        <f>Table2[[#This Row],[final_obs_date]]</f>
        <v>73</v>
      </c>
      <c r="AZ405" s="6">
        <v>70</v>
      </c>
      <c r="BA405" s="92" t="s">
        <v>60</v>
      </c>
      <c r="BB405" s="86" t="b">
        <f>Table2[[#This Row],[final_obs_date]]&lt;(Table2[[#This Row],[estHD]]-2)</f>
        <v>0</v>
      </c>
      <c r="BC405" s="83">
        <f>IF(Table2[[#This Row],[field_fate]]="H",1,0)</f>
        <v>0</v>
      </c>
      <c r="BD405" s="82">
        <f>IF(Table2[[#This Row],[cam_fate2]]="H",1,0)</f>
        <v>0</v>
      </c>
      <c r="BE405" s="84" t="b">
        <f>NOT(Table2[[#This Row],[HF_C]]=Table2[[#This Row],[HF]])</f>
        <v>0</v>
      </c>
      <c r="BF405" s="85" t="b">
        <f>NOT(Table2[[#This Row],[cam_fate2]]=Table2[[#This Row],[field_fate3]])</f>
        <v>1</v>
      </c>
      <c r="BG405" s="85" t="b">
        <f>OR(Table2[[#This Row],[field_fate3]]="U",Table2[[#This Row],[field_fate3]]="U-H")</f>
        <v>0</v>
      </c>
      <c r="BH405" s="8" t="s">
        <v>24</v>
      </c>
      <c r="BI405" s="8">
        <v>73</v>
      </c>
      <c r="BJ405" s="14">
        <f>IF(ISTEXT(Table2[[#This Row],[j.cam]]),Table2[[#This Row],[j]],Table2[[#This Row],[j.cam]])</f>
        <v>73</v>
      </c>
      <c r="BK405" s="8">
        <v>73</v>
      </c>
      <c r="BL405" s="14">
        <f>IF(ISTEXT(Table2[[#This Row],[k.cam]]), Table2[[#This Row],[k]], Table2[[#This Row],[k.cam]])</f>
        <v>73</v>
      </c>
      <c r="BM405" s="87" t="s">
        <v>24</v>
      </c>
      <c r="BN405" s="87" t="s">
        <v>24</v>
      </c>
      <c r="BO405" s="4">
        <v>4</v>
      </c>
      <c r="BP405" s="4" t="e">
        <f>Table2[[#This Row],[final_obs_date]]-Table2[[#This Row],[i]]</f>
        <v>#VALUE!</v>
      </c>
      <c r="BQ405" s="4" t="b">
        <f>Table2[[#This Row],[final_obs_date2]]&gt;Table2[[#This Row],[estHD]]+3</f>
        <v>1</v>
      </c>
      <c r="BR405" s="3" t="s">
        <v>33</v>
      </c>
      <c r="BS405" s="3" t="s">
        <v>134</v>
      </c>
      <c r="BT405" s="125" t="s">
        <v>1256</v>
      </c>
      <c r="BU405" s="122" t="s">
        <v>197</v>
      </c>
      <c r="BV405" s="88" t="s">
        <v>1612</v>
      </c>
      <c r="BW405" s="69" t="s">
        <v>1720</v>
      </c>
      <c r="BX405" s="36"/>
      <c r="BY405" s="36" t="s">
        <v>740</v>
      </c>
    </row>
    <row r="406" spans="1:77" ht="15" hidden="1" x14ac:dyDescent="0.35">
      <c r="A406" s="63">
        <v>20323</v>
      </c>
      <c r="B406" s="2" t="s">
        <v>122</v>
      </c>
      <c r="C406" s="45">
        <v>2020</v>
      </c>
      <c r="D406" s="3">
        <v>29.758590000000002</v>
      </c>
      <c r="E406" s="3">
        <v>-93.121380000000002</v>
      </c>
      <c r="F406" s="3">
        <v>50</v>
      </c>
      <c r="G406" s="3">
        <v>50</v>
      </c>
      <c r="H406" s="3" t="s">
        <v>24</v>
      </c>
      <c r="I406" s="43" t="s">
        <v>25</v>
      </c>
      <c r="J406" s="116">
        <v>77</v>
      </c>
      <c r="K406" s="4">
        <v>77</v>
      </c>
      <c r="L406" s="22">
        <f>IF(ISNUMBER(Table2[[#This Row],[estHD]]),ABS(Table2[[#This Row],[HD]]-Table2[[#This Row],[estHD]]),"NA")</f>
        <v>0</v>
      </c>
      <c r="M406" s="4" t="b">
        <f>Table2[[#This Row],[HD]]=Table2[[#This Row],[estHD]]</f>
        <v>1</v>
      </c>
      <c r="N406" s="4">
        <f>IF(ISNUMBER(Table2[[#This Row],[HD]]),Table2[[#This Row],[HD]]-16,"NA")</f>
        <v>61</v>
      </c>
      <c r="O406" s="31">
        <v>61</v>
      </c>
      <c r="P406" s="23">
        <f>IF(ISNUMBER(Table2[[#This Row],[nest_age1]]),ABS(Table2[[#This Row],[nest_age1]]-Table2[[#This Row],[nest_age_feb]]),"NA")</f>
        <v>1</v>
      </c>
      <c r="Q406" s="24">
        <f>IF(ISNUMBER(Table2[[#This Row],[final_obs_int2]]),ABS(Table2[[#This Row],[final_obs_int2]]-Table2[[#This Row],[final_obs_int_feb]]), "NA")</f>
        <v>0</v>
      </c>
      <c r="R406" s="24"/>
      <c r="S406" s="20" t="s">
        <v>75</v>
      </c>
      <c r="T406" s="20" t="str">
        <f>Table2[[#This Row],[camera_old]]</f>
        <v>Y</v>
      </c>
      <c r="U406" s="22" t="s">
        <v>88</v>
      </c>
      <c r="V406" s="16" t="s">
        <v>24</v>
      </c>
      <c r="W406" s="16">
        <v>22</v>
      </c>
      <c r="X406" s="145">
        <v>11</v>
      </c>
      <c r="Y406" s="147" t="s">
        <v>90</v>
      </c>
      <c r="Z406" s="146" t="s">
        <v>90</v>
      </c>
      <c r="AA406" s="4" t="str">
        <f>Table2[[#This Row],[field_fate]]</f>
        <v>U</v>
      </c>
      <c r="AB406" s="65" t="str">
        <f>Table2[[#This Row],[field_fate2]]</f>
        <v>U</v>
      </c>
      <c r="AC406" s="106" t="str">
        <f>Table2[[#This Row],[field_fate3]]</f>
        <v>U</v>
      </c>
      <c r="AD406" s="140" t="s">
        <v>90</v>
      </c>
      <c r="AE406" s="134" t="str">
        <f>Table2[[#This Row],[field_fate5]]</f>
        <v>U</v>
      </c>
      <c r="AF406" s="93" t="str">
        <f>Table2[[#This Row],[field_fate5]]</f>
        <v>U</v>
      </c>
      <c r="AG406" s="93" t="s">
        <v>90</v>
      </c>
      <c r="AH406" s="93" t="str">
        <f>Table2[[#This Row],[field_fate2]]</f>
        <v>U</v>
      </c>
      <c r="AI406" s="93" t="s">
        <v>90</v>
      </c>
      <c r="AJ406" s="93" t="str">
        <f>Table2[[#This Row],[field_fate10]]</f>
        <v>U</v>
      </c>
      <c r="AK406" s="93" t="b">
        <f>Table2[[#This Row],[field_fate_feb]]=Table2[[#This Row],[field_fate10]]</f>
        <v>1</v>
      </c>
      <c r="AL406" s="43" t="s">
        <v>31</v>
      </c>
      <c r="AM406" s="160" t="b">
        <f>Table2[[#This Row],[cam_fate2]]="NA"</f>
        <v>0</v>
      </c>
      <c r="AN406" s="19" t="str">
        <f>Table2[[#This Row],[cam_fate1]]</f>
        <v>D</v>
      </c>
      <c r="AO406" s="2" t="s">
        <v>31</v>
      </c>
      <c r="AP406" s="5" t="str">
        <f>Table2[[#This Row],[final_fate1]]</f>
        <v>D</v>
      </c>
      <c r="AQ406" s="6">
        <v>23</v>
      </c>
      <c r="AR406" s="72">
        <v>23</v>
      </c>
      <c r="AS406" s="155">
        <f>Table2[[#This Row],[final_obs_date]]-Table2[[#This Row],[init_date]]</f>
        <v>23</v>
      </c>
      <c r="AT406" s="155">
        <f>(Table2[[#This Row],[final_obs_date2]]-Table2[[#This Row],[estHD]])+16</f>
        <v>23</v>
      </c>
      <c r="AU406" s="41">
        <v>3</v>
      </c>
      <c r="AV406" s="33">
        <v>11</v>
      </c>
      <c r="AW406" s="33">
        <f>Table2[[#This Row],[final_obs_date2]]-Table2[[#This Row],[pen_obs_date]]</f>
        <v>3</v>
      </c>
      <c r="AX406" s="67">
        <v>84</v>
      </c>
      <c r="AY406" s="157">
        <f>Table2[[#This Row],[final_obs_date]]</f>
        <v>84</v>
      </c>
      <c r="AZ406" s="6">
        <v>81</v>
      </c>
      <c r="BA406" s="92" t="s">
        <v>60</v>
      </c>
      <c r="BB406" s="6" t="b">
        <f>Table2[[#This Row],[final_obs_date]]&lt;(Table2[[#This Row],[estHD]]-2)</f>
        <v>0</v>
      </c>
      <c r="BC406" s="32">
        <v>7</v>
      </c>
      <c r="BD406" s="16">
        <f>IF(Table2[[#This Row],[cam_fate2]]="H",1,0)</f>
        <v>0</v>
      </c>
      <c r="BE406" s="6" t="b">
        <f>NOT(Table2[[#This Row],[HF_C]]=Table2[[#This Row],[HF]])</f>
        <v>1</v>
      </c>
      <c r="BF406" s="38" t="b">
        <f>NOT(Table2[[#This Row],[cam_fate2]]=Table2[[#This Row],[field_fate3]])</f>
        <v>1</v>
      </c>
      <c r="BG406" s="38" t="b">
        <f>OR(Table2[[#This Row],[field_fate3]]="U",Table2[[#This Row],[field_fate3]]="U-H")</f>
        <v>1</v>
      </c>
      <c r="BH406" s="8">
        <v>61</v>
      </c>
      <c r="BI406" s="8">
        <v>73</v>
      </c>
      <c r="BJ406" s="14">
        <f>IF(ISTEXT(Table2[[#This Row],[j.cam]]),Table2[[#This Row],[j]],Table2[[#This Row],[j.cam]])</f>
        <v>73</v>
      </c>
      <c r="BK406" s="8">
        <v>84</v>
      </c>
      <c r="BL406" s="14">
        <f>IF(ISTEXT(Table2[[#This Row],[k.cam]]), Table2[[#This Row],[k]], Table2[[#This Row],[k.cam]])</f>
        <v>84</v>
      </c>
      <c r="BM406" s="4" t="s">
        <v>24</v>
      </c>
      <c r="BN406" s="8" t="s">
        <v>24</v>
      </c>
      <c r="BO406" s="4">
        <v>7</v>
      </c>
      <c r="BP406" s="4">
        <f>Table2[[#This Row],[final_obs_date]]-Table2[[#This Row],[i]]</f>
        <v>23</v>
      </c>
      <c r="BQ406" s="4" t="b">
        <f>Table2[[#This Row],[final_obs_date2]]&gt;Table2[[#This Row],[estHD]]+3</f>
        <v>1</v>
      </c>
      <c r="BR406" s="28" t="s">
        <v>55</v>
      </c>
      <c r="BS406" s="3" t="s">
        <v>45</v>
      </c>
      <c r="BT406" s="125" t="s">
        <v>1257</v>
      </c>
      <c r="BU406" s="4" t="s">
        <v>320</v>
      </c>
      <c r="BV406" s="79" t="s">
        <v>1613</v>
      </c>
      <c r="BW406" s="69" t="s">
        <v>471</v>
      </c>
      <c r="BX406" s="36" t="s">
        <v>982</v>
      </c>
      <c r="BY406" s="47" t="s">
        <v>981</v>
      </c>
    </row>
    <row r="407" spans="1:77" hidden="1" x14ac:dyDescent="0.35">
      <c r="A407" s="63">
        <v>20324</v>
      </c>
      <c r="B407" s="2" t="s">
        <v>35</v>
      </c>
      <c r="C407" s="45">
        <v>2020</v>
      </c>
      <c r="D407" s="3">
        <v>29.7699</v>
      </c>
      <c r="E407" s="3">
        <v>-93.173699999999997</v>
      </c>
      <c r="F407" s="3">
        <v>90</v>
      </c>
      <c r="G407" s="3">
        <v>90</v>
      </c>
      <c r="H407" s="3" t="s">
        <v>24</v>
      </c>
      <c r="I407" s="43"/>
      <c r="J407" s="116">
        <v>73</v>
      </c>
      <c r="K407" s="4">
        <v>73</v>
      </c>
      <c r="L407" s="22">
        <f>IF(ISNUMBER(Table2[[#This Row],[estHD]]),ABS(Table2[[#This Row],[HD]]-Table2[[#This Row],[estHD]]),"NA")</f>
        <v>0</v>
      </c>
      <c r="M407" s="4" t="b">
        <f>Table2[[#This Row],[HD]]=Table2[[#This Row],[estHD]]</f>
        <v>1</v>
      </c>
      <c r="N407" s="4">
        <f>IF(ISNUMBER(Table2[[#This Row],[HD]]),Table2[[#This Row],[HD]]-16,"NA")</f>
        <v>57</v>
      </c>
      <c r="O407" s="31">
        <v>57</v>
      </c>
      <c r="P407" s="23">
        <f>IF(ISNUMBER(Table2[[#This Row],[nest_age1]]),ABS(Table2[[#This Row],[nest_age1]]-Table2[[#This Row],[nest_age_feb]]),"NA")</f>
        <v>1</v>
      </c>
      <c r="Q407" s="24">
        <f>IF(ISNUMBER(Table2[[#This Row],[final_obs_int2]]),ABS(Table2[[#This Row],[final_obs_int2]]-Table2[[#This Row],[final_obs_int_feb]]), "NA")</f>
        <v>0</v>
      </c>
      <c r="R407" s="24"/>
      <c r="S407" s="20" t="s">
        <v>75</v>
      </c>
      <c r="T407" s="20" t="str">
        <f>Table2[[#This Row],[camera_old]]</f>
        <v>Y</v>
      </c>
      <c r="U407" s="22" t="s">
        <v>88</v>
      </c>
      <c r="V407" s="16" t="s">
        <v>65</v>
      </c>
      <c r="W407" s="16">
        <v>8</v>
      </c>
      <c r="X407" s="145">
        <v>4</v>
      </c>
      <c r="Y407" s="149" t="s">
        <v>36</v>
      </c>
      <c r="Z407" s="146" t="s">
        <v>36</v>
      </c>
      <c r="AA407" s="4" t="str">
        <f>Table2[[#This Row],[field_fate]]</f>
        <v>A</v>
      </c>
      <c r="AB407" s="4" t="str">
        <f>Table2[[#This Row],[field_fate2]]</f>
        <v>A</v>
      </c>
      <c r="AC407" s="94" t="str">
        <f>Table2[[#This Row],[field_fate3]]</f>
        <v>A</v>
      </c>
      <c r="AD407" s="94" t="str">
        <f>Table2[[#This Row],[field_fate4]]</f>
        <v>A</v>
      </c>
      <c r="AE407" s="94" t="str">
        <f>Table2[[#This Row],[field_fate5]]</f>
        <v>A</v>
      </c>
      <c r="AF407" s="94" t="str">
        <f>Table2[[#This Row],[field_fate5]]</f>
        <v>A</v>
      </c>
      <c r="AG407" s="94" t="str">
        <f>Table2[[#This Row],[field_fate5]]</f>
        <v>A</v>
      </c>
      <c r="AH407" s="94" t="str">
        <f>Table2[[#This Row],[field_fate2]]</f>
        <v>A</v>
      </c>
      <c r="AI407" s="94" t="str">
        <f>Table2[[#This Row],[field_fate8]]</f>
        <v>A</v>
      </c>
      <c r="AJ407" s="94" t="str">
        <f>Table2[[#This Row],[field_fate10]]</f>
        <v>A</v>
      </c>
      <c r="AK407" s="94" t="b">
        <f>Table2[[#This Row],[field_fate_feb]]=Table2[[#This Row],[field_fate10]]</f>
        <v>1</v>
      </c>
      <c r="AL407" s="43" t="s">
        <v>65</v>
      </c>
      <c r="AM407" s="160" t="b">
        <f>Table2[[#This Row],[cam_fate2]]="NA"</f>
        <v>0</v>
      </c>
      <c r="AN407" s="19" t="str">
        <f>Table2[[#This Row],[cam_fate1]]</f>
        <v>Ca</v>
      </c>
      <c r="AO407" s="2" t="s">
        <v>65</v>
      </c>
      <c r="AP407" s="5" t="str">
        <f>Table2[[#This Row],[final_fate1]]</f>
        <v>Ca</v>
      </c>
      <c r="AQ407" s="6">
        <v>9</v>
      </c>
      <c r="AR407" s="72">
        <v>9</v>
      </c>
      <c r="AS407" s="155">
        <f>Table2[[#This Row],[final_obs_date]]-Table2[[#This Row],[init_date]]</f>
        <v>9</v>
      </c>
      <c r="AT407" s="155">
        <f>(Table2[[#This Row],[final_obs_date2]]-Table2[[#This Row],[estHD]])+16</f>
        <v>9</v>
      </c>
      <c r="AU407" s="38">
        <v>4</v>
      </c>
      <c r="AV407" s="33">
        <v>4</v>
      </c>
      <c r="AW407" s="33">
        <f>Table2[[#This Row],[final_obs_date2]]-Table2[[#This Row],[pen_obs_date]]</f>
        <v>4</v>
      </c>
      <c r="AX407" s="67">
        <v>66</v>
      </c>
      <c r="AY407" s="157">
        <f>Table2[[#This Row],[final_obs_date]]</f>
        <v>66</v>
      </c>
      <c r="AZ407" s="6">
        <v>62</v>
      </c>
      <c r="BA407" s="92" t="s">
        <v>60</v>
      </c>
      <c r="BB407" s="6" t="b">
        <f>Table2[[#This Row],[final_obs_date]]&lt;(Table2[[#This Row],[estHD]]-2)</f>
        <v>1</v>
      </c>
      <c r="BC407" s="32">
        <f>IF(Table2[[#This Row],[field_fate]]="H",1,0)</f>
        <v>0</v>
      </c>
      <c r="BD407" s="16">
        <f>IF(Table2[[#This Row],[cam_fate2]]="H",1,0)</f>
        <v>0</v>
      </c>
      <c r="BE407" s="6" t="b">
        <f>NOT(Table2[[#This Row],[HF_C]]=Table2[[#This Row],[HF]])</f>
        <v>0</v>
      </c>
      <c r="BF407" s="38" t="b">
        <f>NOT(Table2[[#This Row],[cam_fate2]]=Table2[[#This Row],[field_fate3]])</f>
        <v>1</v>
      </c>
      <c r="BG407" s="38" t="b">
        <f>OR(Table2[[#This Row],[field_fate3]]="U",Table2[[#This Row],[field_fate3]]="U-H")</f>
        <v>0</v>
      </c>
      <c r="BH407" s="8">
        <v>62</v>
      </c>
      <c r="BI407" s="8">
        <v>62</v>
      </c>
      <c r="BJ407" s="14">
        <f>IF(ISTEXT(Table2[[#This Row],[j.cam]]),Table2[[#This Row],[j]],Table2[[#This Row],[j.cam]])</f>
        <v>62</v>
      </c>
      <c r="BK407" s="8">
        <v>66</v>
      </c>
      <c r="BL407" s="14">
        <f>IF(ISTEXT(Table2[[#This Row],[k.cam]]), Table2[[#This Row],[k]], Table2[[#This Row],[k.cam]])</f>
        <v>66</v>
      </c>
      <c r="BM407" s="4" t="s">
        <v>24</v>
      </c>
      <c r="BN407" s="8" t="s">
        <v>24</v>
      </c>
      <c r="BO407" s="4">
        <v>2</v>
      </c>
      <c r="BP407" s="4">
        <f>Table2[[#This Row],[final_obs_date]]-Table2[[#This Row],[i]]</f>
        <v>4</v>
      </c>
      <c r="BQ407" s="4" t="b">
        <f>Table2[[#This Row],[final_obs_date2]]&gt;Table2[[#This Row],[estHD]]+3</f>
        <v>0</v>
      </c>
      <c r="BR407" s="3" t="s">
        <v>33</v>
      </c>
      <c r="BS407" s="3" t="s">
        <v>134</v>
      </c>
      <c r="BT407" s="125" t="s">
        <v>1258</v>
      </c>
      <c r="BU407" s="4" t="s">
        <v>243</v>
      </c>
      <c r="BV407" s="79" t="s">
        <v>1429</v>
      </c>
      <c r="BW407" s="69"/>
      <c r="BX407" s="36" t="s">
        <v>1002</v>
      </c>
      <c r="BY407" s="36" t="s">
        <v>741</v>
      </c>
    </row>
    <row r="408" spans="1:77" ht="32" hidden="1" x14ac:dyDescent="0.35">
      <c r="A408" s="60">
        <v>20352</v>
      </c>
      <c r="B408" s="2" t="s">
        <v>122</v>
      </c>
      <c r="C408" s="45">
        <v>2020</v>
      </c>
      <c r="D408" s="3">
        <v>29.759119999999999</v>
      </c>
      <c r="E408" s="3">
        <v>-93.123400000000004</v>
      </c>
      <c r="F408" s="3">
        <v>30</v>
      </c>
      <c r="G408" s="3">
        <v>40</v>
      </c>
      <c r="H408" s="3" t="s">
        <v>24</v>
      </c>
      <c r="I408" s="43"/>
      <c r="J408" s="116">
        <v>84</v>
      </c>
      <c r="K408" s="4">
        <v>82</v>
      </c>
      <c r="L408" s="22">
        <f>IF(ISNUMBER(Table2[[#This Row],[estHD]]),ABS(Table2[[#This Row],[HD]]-Table2[[#This Row],[estHD]]),"NA")</f>
        <v>2</v>
      </c>
      <c r="M408" s="4" t="b">
        <f>Table2[[#This Row],[HD]]=Table2[[#This Row],[estHD]]</f>
        <v>0</v>
      </c>
      <c r="N408" s="4">
        <f>IF(ISNUMBER(Table2[[#This Row],[HD]]),Table2[[#This Row],[HD]]-16,"NA")</f>
        <v>66</v>
      </c>
      <c r="O408" s="31">
        <v>66</v>
      </c>
      <c r="P408" s="23">
        <f>IF(ISNUMBER(Table2[[#This Row],[nest_age1]]),ABS(Table2[[#This Row],[nest_age1]]-Table2[[#This Row],[nest_age_feb]]),"NA")</f>
        <v>9</v>
      </c>
      <c r="Q408" s="24">
        <f>IF(ISNUMBER(Table2[[#This Row],[final_obs_int2]]),ABS(Table2[[#This Row],[final_obs_int2]]-Table2[[#This Row],[final_obs_int_feb]]), "NA")</f>
        <v>2</v>
      </c>
      <c r="R408" s="24">
        <f>(Table2[[#This Row],[k_adj]]-Table2[[#This Row],[estHD]])/Table2[[#This Row],[estHD]]</f>
        <v>-2.3809523809523808E-2</v>
      </c>
      <c r="S408" s="20" t="s">
        <v>75</v>
      </c>
      <c r="T408" s="20" t="str">
        <f>Table2[[#This Row],[camera_old]]</f>
        <v>Y</v>
      </c>
      <c r="U408" s="22" t="s">
        <v>88</v>
      </c>
      <c r="V408" s="16" t="s">
        <v>37</v>
      </c>
      <c r="W408" s="16">
        <v>27</v>
      </c>
      <c r="X408" s="145">
        <v>5</v>
      </c>
      <c r="Y408" s="147" t="s">
        <v>90</v>
      </c>
      <c r="Z408" s="146" t="s">
        <v>90</v>
      </c>
      <c r="AA408" s="4" t="str">
        <f>Table2[[#This Row],[field_fate]]</f>
        <v>U</v>
      </c>
      <c r="AB408" s="65" t="str">
        <f>Table2[[#This Row],[field_fate2]]</f>
        <v>U</v>
      </c>
      <c r="AC408" s="106" t="str">
        <f>Table2[[#This Row],[field_fate3]]</f>
        <v>U</v>
      </c>
      <c r="AD408" s="140" t="str">
        <f>Table2[[#This Row],[field_fate4]]</f>
        <v>U</v>
      </c>
      <c r="AE408" s="134" t="str">
        <f>Table2[[#This Row],[field_fate5]]</f>
        <v>U</v>
      </c>
      <c r="AF408" s="93" t="str">
        <f>Table2[[#This Row],[field_fate5]]</f>
        <v>U</v>
      </c>
      <c r="AG408" s="93" t="str">
        <f>Table2[[#This Row],[field_fate5]]</f>
        <v>U</v>
      </c>
      <c r="AH408" s="93" t="str">
        <f>Table2[[#This Row],[field_fate2]]</f>
        <v>U</v>
      </c>
      <c r="AI408" s="93" t="str">
        <f>Table2[[#This Row],[field_fate8]]</f>
        <v>U</v>
      </c>
      <c r="AJ408" s="93" t="str">
        <f>Table2[[#This Row],[field_fate10]]</f>
        <v>U</v>
      </c>
      <c r="AK408" s="93" t="b">
        <f>Table2[[#This Row],[field_fate_feb]]=Table2[[#This Row],[field_fate10]]</f>
        <v>1</v>
      </c>
      <c r="AL408" s="43" t="s">
        <v>37</v>
      </c>
      <c r="AM408" s="160" t="b">
        <f>Table2[[#This Row],[cam_fate2]]="NA"</f>
        <v>0</v>
      </c>
      <c r="AN408" s="19" t="str">
        <f>Table2[[#This Row],[cam_fate1]]</f>
        <v>H</v>
      </c>
      <c r="AO408" s="2" t="s">
        <v>37</v>
      </c>
      <c r="AP408" s="5" t="str">
        <f>Table2[[#This Row],[final_fate1]]</f>
        <v>H</v>
      </c>
      <c r="AQ408" s="6">
        <v>18</v>
      </c>
      <c r="AR408" s="72">
        <v>16</v>
      </c>
      <c r="AS408" s="155">
        <f>Table2[[#This Row],[final_obs_date]]-Table2[[#This Row],[init_date]]</f>
        <v>18</v>
      </c>
      <c r="AT408" s="155">
        <f>(Table2[[#This Row],[final_obs_date2]]-Table2[[#This Row],[estHD]])+16</f>
        <v>16</v>
      </c>
      <c r="AU408" s="38">
        <v>2</v>
      </c>
      <c r="AV408" s="33">
        <v>3</v>
      </c>
      <c r="AW408" s="33">
        <f>Table2[[#This Row],[final_obs_date2]]-Table2[[#This Row],[pen_obs_date]]</f>
        <v>3</v>
      </c>
      <c r="AX408" s="67">
        <v>84</v>
      </c>
      <c r="AY408" s="157">
        <f>Table2[[#This Row],[final_obs_date]]</f>
        <v>84</v>
      </c>
      <c r="AZ408" s="6">
        <v>81</v>
      </c>
      <c r="BA408" s="92" t="s">
        <v>60</v>
      </c>
      <c r="BB408" s="6" t="b">
        <f>Table2[[#This Row],[final_obs_date]]&lt;(Table2[[#This Row],[estHD]]-2)</f>
        <v>0</v>
      </c>
      <c r="BC408" s="32">
        <v>7</v>
      </c>
      <c r="BD408" s="16">
        <f>IF(Table2[[#This Row],[cam_fate2]]="H",1,0)</f>
        <v>1</v>
      </c>
      <c r="BE408" s="6" t="b">
        <f>NOT(Table2[[#This Row],[HF_C]]=Table2[[#This Row],[HF]])</f>
        <v>1</v>
      </c>
      <c r="BF408" s="38" t="b">
        <f>NOT(Table2[[#This Row],[cam_fate2]]=Table2[[#This Row],[field_fate3]])</f>
        <v>1</v>
      </c>
      <c r="BG408" s="38" t="b">
        <f>OR(Table2[[#This Row],[field_fate3]]="U",Table2[[#This Row],[field_fate3]]="U-H")</f>
        <v>1</v>
      </c>
      <c r="BH408" s="8">
        <v>69</v>
      </c>
      <c r="BI408" s="8">
        <v>81</v>
      </c>
      <c r="BJ408" s="14">
        <f>IF(ISTEXT(Table2[[#This Row],[j.cam]]),Table2[[#This Row],[j]],Table2[[#This Row],[j.cam]])</f>
        <v>82</v>
      </c>
      <c r="BK408" s="8">
        <v>84</v>
      </c>
      <c r="BL408" s="14">
        <f>IF(ISTEXT(Table2[[#This Row],[k.cam]]), Table2[[#This Row],[k]], Table2[[#This Row],[k.cam]])</f>
        <v>82</v>
      </c>
      <c r="BM408" s="4">
        <v>82</v>
      </c>
      <c r="BN408" s="8">
        <v>82</v>
      </c>
      <c r="BO408" s="4">
        <v>5</v>
      </c>
      <c r="BP408" s="4">
        <f>Table2[[#This Row],[final_obs_date]]-Table2[[#This Row],[i]]</f>
        <v>15</v>
      </c>
      <c r="BQ408" s="4" t="b">
        <f>Table2[[#This Row],[final_obs_date2]]&gt;Table2[[#This Row],[estHD]]+3</f>
        <v>0</v>
      </c>
      <c r="BR408" s="3" t="s">
        <v>33</v>
      </c>
      <c r="BS408" s="3" t="s">
        <v>45</v>
      </c>
      <c r="BT408" s="125" t="s">
        <v>1259</v>
      </c>
      <c r="BU408" s="4" t="s">
        <v>105</v>
      </c>
      <c r="BV408" s="79" t="s">
        <v>1614</v>
      </c>
      <c r="BW408" s="131" t="s">
        <v>1723</v>
      </c>
      <c r="BX408" s="36" t="s">
        <v>942</v>
      </c>
      <c r="BY408" s="47" t="s">
        <v>979</v>
      </c>
    </row>
    <row r="409" spans="1:77" hidden="1" x14ac:dyDescent="0.35">
      <c r="A409" s="63">
        <v>20354</v>
      </c>
      <c r="B409" s="2" t="s">
        <v>122</v>
      </c>
      <c r="C409" s="45">
        <v>2020</v>
      </c>
      <c r="D409" s="3">
        <v>29.75873</v>
      </c>
      <c r="E409" s="3">
        <v>-93.122680000000003</v>
      </c>
      <c r="F409" s="3">
        <v>80</v>
      </c>
      <c r="G409" s="3">
        <v>80</v>
      </c>
      <c r="H409" s="3" t="s">
        <v>24</v>
      </c>
      <c r="I409" s="43"/>
      <c r="J409" s="55">
        <v>70</v>
      </c>
      <c r="K409" s="4">
        <v>70</v>
      </c>
      <c r="L409" s="22">
        <f>IF(ISNUMBER(Table2[[#This Row],[estHD]]),ABS(Table2[[#This Row],[HD]]-Table2[[#This Row],[estHD]]),"NA")</f>
        <v>0</v>
      </c>
      <c r="M409" s="4" t="b">
        <f>Table2[[#This Row],[HD]]=Table2[[#This Row],[estHD]]</f>
        <v>1</v>
      </c>
      <c r="N409" s="4" t="str">
        <f>IF(ISNUMBER([1]!Table2[[#This Row],[hatch_date]]), [1]!Table2[[#This Row],[hatch_date]]-16, "NA")</f>
        <v>NA</v>
      </c>
      <c r="O409" s="31">
        <v>54</v>
      </c>
      <c r="P409" s="23" t="e">
        <f>IF(ISNUMBER(Table2[[#This Row],[nest_age1]]),ABS(Table2[[#This Row],[nest_age1]]-Table2[[#This Row],[nest_age_feb]]),"NA")</f>
        <v>#VALUE!</v>
      </c>
      <c r="Q409" s="24">
        <f>IF(ISNUMBER(Table2[[#This Row],[final_obs_int2]]),ABS(Table2[[#This Row],[final_obs_int2]]-Table2[[#This Row],[final_obs_int_feb]]), "NA")</f>
        <v>0</v>
      </c>
      <c r="R409" s="24"/>
      <c r="S409" s="57" t="s">
        <v>88</v>
      </c>
      <c r="T409" s="57" t="str">
        <f>Table2[[#This Row],[camera_old]]</f>
        <v>N</v>
      </c>
      <c r="U409" s="24"/>
      <c r="V409" s="16" t="s">
        <v>24</v>
      </c>
      <c r="W409" s="16" t="s">
        <v>24</v>
      </c>
      <c r="X409" s="145">
        <v>4</v>
      </c>
      <c r="Y409" s="147" t="s">
        <v>36</v>
      </c>
      <c r="Z409" s="146" t="s">
        <v>36</v>
      </c>
      <c r="AA409" s="4" t="str">
        <f>Table2[[#This Row],[field_fate]]</f>
        <v>A</v>
      </c>
      <c r="AB409" s="4" t="str">
        <f>Table2[[#This Row],[field_fate2]]</f>
        <v>A</v>
      </c>
      <c r="AC409" s="4" t="str">
        <f>Table2[[#This Row],[field_fate3]]</f>
        <v>A</v>
      </c>
      <c r="AD409" s="4" t="str">
        <f>Table2[[#This Row],[field_fate4]]</f>
        <v>A</v>
      </c>
      <c r="AE409" s="4" t="str">
        <f>Table2[[#This Row],[field_fate5]]</f>
        <v>A</v>
      </c>
      <c r="AF409" s="4" t="str">
        <f>Table2[[#This Row],[field_fate5]]</f>
        <v>A</v>
      </c>
      <c r="AG409" s="4" t="str">
        <f>Table2[[#This Row],[field_fate5]]</f>
        <v>A</v>
      </c>
      <c r="AH409" s="4" t="str">
        <f>Table2[[#This Row],[field_fate2]]</f>
        <v>A</v>
      </c>
      <c r="AI409" s="4" t="str">
        <f>Table2[[#This Row],[field_fate8]]</f>
        <v>A</v>
      </c>
      <c r="AJ409" s="4" t="str">
        <f>Table2[[#This Row],[field_fate10]]</f>
        <v>A</v>
      </c>
      <c r="AK409" s="4" t="b">
        <f>Table2[[#This Row],[field_fate_feb]]=Table2[[#This Row],[field_fate10]]</f>
        <v>1</v>
      </c>
      <c r="AL409" s="43" t="s">
        <v>24</v>
      </c>
      <c r="AM409" s="43" t="b">
        <f>Table2[[#This Row],[cam_fate2]]="NA"</f>
        <v>1</v>
      </c>
      <c r="AN409" s="19" t="str">
        <f>Table2[[#This Row],[cam_fate1]]</f>
        <v>NA</v>
      </c>
      <c r="AO409" s="2" t="s">
        <v>36</v>
      </c>
      <c r="AP409" s="5" t="str">
        <f>Table2[[#This Row],[final_fate1]]</f>
        <v>A</v>
      </c>
      <c r="AQ409" s="6">
        <v>19</v>
      </c>
      <c r="AR409" s="7">
        <v>19</v>
      </c>
      <c r="AS409" s="7">
        <f>Table2[[#This Row],[final_obs_date]]-Table2[[#This Row],[init_date]]</f>
        <v>19</v>
      </c>
      <c r="AT409" s="7">
        <f>(Table2[[#This Row],[final_obs_date2]]-Table2[[#This Row],[estHD]])+16</f>
        <v>19</v>
      </c>
      <c r="AU409" s="38">
        <v>4</v>
      </c>
      <c r="AV409" s="33">
        <v>4</v>
      </c>
      <c r="AW409" s="33">
        <f>Table2[[#This Row],[final_obs_date2]]-Table2[[#This Row],[pen_obs_date]]</f>
        <v>73</v>
      </c>
      <c r="AX409" s="67">
        <v>73</v>
      </c>
      <c r="AY409" s="6">
        <f>Table2[[#This Row],[final_obs_date]]</f>
        <v>73</v>
      </c>
      <c r="AZ409" s="6"/>
      <c r="BA409" s="91" t="s">
        <v>60</v>
      </c>
      <c r="BB409" s="6" t="b">
        <f>Table2[[#This Row],[final_obs_date]]&lt;(Table2[[#This Row],[estHD]]-2)</f>
        <v>0</v>
      </c>
      <c r="BC409" s="24">
        <f>IF(Table2[[#This Row],[field_fate]]="H",1,0)</f>
        <v>0</v>
      </c>
      <c r="BD409" s="16">
        <f>IF(Table2[[#This Row],[cam_fate2]]="H",1,0)</f>
        <v>0</v>
      </c>
      <c r="BE409" s="6" t="b">
        <f>NOT(Table2[[#This Row],[HF_C]]=Table2[[#This Row],[HF]])</f>
        <v>0</v>
      </c>
      <c r="BF409" s="6" t="b">
        <f>NOT(Table2[[#This Row],[cam_fate2]]=Table2[[#This Row],[field_fate3]])</f>
        <v>1</v>
      </c>
      <c r="BG409" s="6" t="b">
        <f>OR(Table2[[#This Row],[field_fate3]]="U",Table2[[#This Row],[field_fate3]]="U-H")</f>
        <v>0</v>
      </c>
      <c r="BH409" s="8">
        <v>69</v>
      </c>
      <c r="BI409" s="8">
        <v>69</v>
      </c>
      <c r="BJ409" s="14">
        <f>IF(ISTEXT(Table2[[#This Row],[j.cam]]),Table2[[#This Row],[j]],Table2[[#This Row],[j.cam]])</f>
        <v>69</v>
      </c>
      <c r="BK409" s="9">
        <v>73</v>
      </c>
      <c r="BL409" s="15">
        <f>IF(ISTEXT(Table2[[#This Row],[k.cam]]), Table2[[#This Row],[k]], Table2[[#This Row],[k.cam]])</f>
        <v>73</v>
      </c>
      <c r="BM409" s="4" t="s">
        <v>24</v>
      </c>
      <c r="BN409" s="8" t="s">
        <v>24</v>
      </c>
      <c r="BO409" s="4">
        <v>2</v>
      </c>
      <c r="BP409" s="4">
        <f>Table2[[#This Row],[final_obs_date]]-Table2[[#This Row],[i]]</f>
        <v>4</v>
      </c>
      <c r="BQ409" s="4" t="b">
        <f>Table2[[#This Row],[final_obs_date2]]&gt;Table2[[#This Row],[estHD]]+3</f>
        <v>0</v>
      </c>
      <c r="BR409" s="4" t="s">
        <v>58</v>
      </c>
      <c r="BS409" s="4" t="s">
        <v>45</v>
      </c>
      <c r="BT409" s="79" t="s">
        <v>1075</v>
      </c>
      <c r="BU409" s="26" t="s">
        <v>117</v>
      </c>
      <c r="BV409" s="79" t="s">
        <v>1429</v>
      </c>
      <c r="BW409" s="49"/>
      <c r="BX409" s="47"/>
      <c r="BY409" s="36" t="s">
        <v>24</v>
      </c>
    </row>
    <row r="410" spans="1:77" ht="18.5" hidden="1" x14ac:dyDescent="0.35">
      <c r="A410" s="60">
        <v>20355</v>
      </c>
      <c r="B410" s="2" t="s">
        <v>122</v>
      </c>
      <c r="C410" s="45">
        <v>2020</v>
      </c>
      <c r="D410" s="3">
        <v>29.75854</v>
      </c>
      <c r="E410" s="3">
        <v>-93.120930000000001</v>
      </c>
      <c r="F410" s="3">
        <v>40</v>
      </c>
      <c r="G410" s="3">
        <v>30</v>
      </c>
      <c r="H410" s="3" t="s">
        <v>24</v>
      </c>
      <c r="I410" s="43"/>
      <c r="J410" s="116" t="s">
        <v>24</v>
      </c>
      <c r="K410" s="4" t="s">
        <v>24</v>
      </c>
      <c r="L410" s="22" t="str">
        <f>IF(ISNUMBER(Table2[[#This Row],[estHD]]),ABS(Table2[[#This Row],[HD]]-Table2[[#This Row],[estHD]]),"NA")</f>
        <v>NA</v>
      </c>
      <c r="M410" s="4" t="b">
        <f>Table2[[#This Row],[HD]]=Table2[[#This Row],[estHD]]</f>
        <v>1</v>
      </c>
      <c r="N410" s="4" t="str">
        <f>IF(ISNUMBER([1]!Table2[[#This Row],[hatch_date]]), [1]!Table2[[#This Row],[hatch_date]]-16, "NA")</f>
        <v>NA</v>
      </c>
      <c r="O410" s="89" t="s">
        <v>24</v>
      </c>
      <c r="P410" s="23" t="str">
        <f>IF(ISNUMBER(Table2[[#This Row],[nest_age1]]),ABS(Table2[[#This Row],[nest_age1]]-Table2[[#This Row],[nest_age_feb]]),"NA")</f>
        <v>NA</v>
      </c>
      <c r="Q410" s="24">
        <f>IF(ISNUMBER(Table2[[#This Row],[final_obs_int2]]),ABS(Table2[[#This Row],[final_obs_int2]]-Table2[[#This Row],[final_obs_int_feb]]), "NA")</f>
        <v>0</v>
      </c>
      <c r="R410" s="24"/>
      <c r="S410" s="20" t="s">
        <v>75</v>
      </c>
      <c r="T410" s="20" t="str">
        <f>Table2[[#This Row],[camera_old]]</f>
        <v>Y</v>
      </c>
      <c r="U410" s="22" t="s">
        <v>88</v>
      </c>
      <c r="V410" s="16" t="s">
        <v>48</v>
      </c>
      <c r="W410" s="16" t="s">
        <v>24</v>
      </c>
      <c r="X410" s="145">
        <v>1</v>
      </c>
      <c r="Y410" s="148" t="s">
        <v>90</v>
      </c>
      <c r="Z410" s="146" t="s">
        <v>90</v>
      </c>
      <c r="AA410" s="4" t="str">
        <f>Table2[[#This Row],[field_fate]]</f>
        <v>U</v>
      </c>
      <c r="AB410" s="65" t="str">
        <f>Table2[[#This Row],[field_fate2]]</f>
        <v>U</v>
      </c>
      <c r="AC410" s="106" t="str">
        <f>Table2[[#This Row],[field_fate3]]</f>
        <v>U</v>
      </c>
      <c r="AD410" s="140" t="str">
        <f>Table2[[#This Row],[field_fate4]]</f>
        <v>U</v>
      </c>
      <c r="AE410" s="134" t="str">
        <f>Table2[[#This Row],[field_fate5]]</f>
        <v>U</v>
      </c>
      <c r="AF410" s="93" t="str">
        <f>Table2[[#This Row],[field_fate5]]</f>
        <v>U</v>
      </c>
      <c r="AG410" s="93" t="str">
        <f>Table2[[#This Row],[field_fate5]]</f>
        <v>U</v>
      </c>
      <c r="AH410" s="93" t="str">
        <f>Table2[[#This Row],[field_fate2]]</f>
        <v>U</v>
      </c>
      <c r="AI410" s="93" t="s">
        <v>90</v>
      </c>
      <c r="AJ410" s="93" t="str">
        <f>Table2[[#This Row],[field_fate10]]</f>
        <v>U</v>
      </c>
      <c r="AK410" s="93" t="b">
        <f>Table2[[#This Row],[field_fate_feb]]=Table2[[#This Row],[field_fate10]]</f>
        <v>1</v>
      </c>
      <c r="AL410" s="43" t="s">
        <v>36</v>
      </c>
      <c r="AM410" s="160" t="b">
        <f>Table2[[#This Row],[cam_fate2]]="NA"</f>
        <v>0</v>
      </c>
      <c r="AN410" s="159" t="str">
        <f>Table2[[#This Row],[cam_fate1]]</f>
        <v>A</v>
      </c>
      <c r="AO410" s="2" t="s">
        <v>36</v>
      </c>
      <c r="AP410" s="5" t="str">
        <f>Table2[[#This Row],[final_fate1]]</f>
        <v>A</v>
      </c>
      <c r="AQ410" s="6" t="s">
        <v>24</v>
      </c>
      <c r="AR410" s="72" t="s">
        <v>24</v>
      </c>
      <c r="AS410" s="155" t="e">
        <f>Table2[[#This Row],[final_obs_date]]-Table2[[#This Row],[init_date]]</f>
        <v>#VALUE!</v>
      </c>
      <c r="AT410" s="155" t="e">
        <f>(Table2[[#This Row],[final_obs_date2]]-Table2[[#This Row],[estHD]])+16</f>
        <v>#VALUE!</v>
      </c>
      <c r="AU410" s="38">
        <v>1</v>
      </c>
      <c r="AV410" s="33">
        <v>1</v>
      </c>
      <c r="AW410" s="33">
        <f>Table2[[#This Row],[final_obs_date2]]-Table2[[#This Row],[pen_obs_date]]</f>
        <v>1</v>
      </c>
      <c r="AX410" s="67">
        <v>73</v>
      </c>
      <c r="AY410" s="158">
        <f>Table2[[#This Row],[final_obs_date]]</f>
        <v>73</v>
      </c>
      <c r="AZ410" s="6">
        <v>72</v>
      </c>
      <c r="BA410" s="92" t="s">
        <v>60</v>
      </c>
      <c r="BB410" s="86" t="e">
        <f>Table2[[#This Row],[final_obs_date]]&lt;(Table2[[#This Row],[estHD]]-2)</f>
        <v>#VALUE!</v>
      </c>
      <c r="BC410" s="83">
        <v>7</v>
      </c>
      <c r="BD410" s="82">
        <f>IF(Table2[[#This Row],[cam_fate2]]="H",1,0)</f>
        <v>0</v>
      </c>
      <c r="BE410" s="84" t="b">
        <f>NOT(Table2[[#This Row],[HF_C]]=Table2[[#This Row],[HF]])</f>
        <v>1</v>
      </c>
      <c r="BF410" s="85" t="b">
        <f>NOT(Table2[[#This Row],[cam_fate2]]=Table2[[#This Row],[field_fate3]])</f>
        <v>1</v>
      </c>
      <c r="BG410" s="85" t="b">
        <f>OR(Table2[[#This Row],[field_fate3]]="U",Table2[[#This Row],[field_fate3]]="U-H")</f>
        <v>1</v>
      </c>
      <c r="BH410" s="8">
        <v>69</v>
      </c>
      <c r="BI410" s="8">
        <v>72</v>
      </c>
      <c r="BJ410" s="14">
        <f>IF(ISTEXT(Table2[[#This Row],[j.cam]]),Table2[[#This Row],[j]],Table2[[#This Row],[j.cam]])</f>
        <v>72</v>
      </c>
      <c r="BK410" s="8">
        <v>73</v>
      </c>
      <c r="BL410" s="14">
        <f>IF(ISTEXT(Table2[[#This Row],[k.cam]]), Table2[[#This Row],[k]], Table2[[#This Row],[k.cam]])</f>
        <v>73</v>
      </c>
      <c r="BM410" s="87" t="s">
        <v>24</v>
      </c>
      <c r="BN410" s="87" t="s">
        <v>24</v>
      </c>
      <c r="BO410" s="4">
        <v>3</v>
      </c>
      <c r="BP410" s="4">
        <f>Table2[[#This Row],[final_obs_date]]-Table2[[#This Row],[i]]</f>
        <v>4</v>
      </c>
      <c r="BQ410" s="4" t="e">
        <f>Table2[[#This Row],[final_obs_date2]]&gt;Table2[[#This Row],[estHD]]+3</f>
        <v>#VALUE!</v>
      </c>
      <c r="BR410" s="3" t="s">
        <v>66</v>
      </c>
      <c r="BS410" s="3" t="s">
        <v>45</v>
      </c>
      <c r="BT410" s="125" t="s">
        <v>1260</v>
      </c>
      <c r="BU410" s="122" t="s">
        <v>273</v>
      </c>
      <c r="BV410" s="88" t="s">
        <v>1615</v>
      </c>
      <c r="BW410" s="69"/>
      <c r="BX410" s="54" t="s">
        <v>980</v>
      </c>
      <c r="BY410" s="53" t="s">
        <v>976</v>
      </c>
    </row>
    <row r="411" spans="1:77" x14ac:dyDescent="0.35">
      <c r="A411" s="109">
        <v>20356</v>
      </c>
      <c r="B411" s="2" t="s">
        <v>35</v>
      </c>
      <c r="C411" s="45">
        <v>2020</v>
      </c>
      <c r="D411" s="3" t="s">
        <v>24</v>
      </c>
      <c r="E411" s="3" t="s">
        <v>24</v>
      </c>
      <c r="F411" s="3" t="s">
        <v>24</v>
      </c>
      <c r="G411" s="3" t="s">
        <v>24</v>
      </c>
      <c r="H411" s="3" t="s">
        <v>24</v>
      </c>
      <c r="I411" s="43"/>
      <c r="J411" s="116">
        <v>93</v>
      </c>
      <c r="K411" s="4">
        <v>93</v>
      </c>
      <c r="L411" s="22">
        <f>IF(ISNUMBER(Table2[[#This Row],[estHD]]),ABS(Table2[[#This Row],[HD]]-Table2[[#This Row],[estHD]]),"NA")</f>
        <v>0</v>
      </c>
      <c r="M411" s="4" t="b">
        <f>Table2[[#This Row],[HD]]=Table2[[#This Row],[estHD]]</f>
        <v>1</v>
      </c>
      <c r="N411" s="4">
        <f>IF(ISNUMBER(Table2[[#This Row],[HD]]),Table2[[#This Row],[HD]]-16,"NA")</f>
        <v>77</v>
      </c>
      <c r="O411" s="31">
        <v>77</v>
      </c>
      <c r="P411" s="23">
        <f>IF(ISNUMBER(Table2[[#This Row],[nest_age1]]),ABS(Table2[[#This Row],[nest_age1]]-Table2[[#This Row],[nest_age_feb]]),"NA")</f>
        <v>1</v>
      </c>
      <c r="Q411" s="24">
        <f>IF(ISNUMBER(Table2[[#This Row],[final_obs_int2]]),ABS(Table2[[#This Row],[final_obs_int2]]-Table2[[#This Row],[final_obs_int_feb]]), "NA")</f>
        <v>5</v>
      </c>
      <c r="R411" s="24"/>
      <c r="S411" s="20" t="s">
        <v>75</v>
      </c>
      <c r="T411" s="20" t="str">
        <f>Table2[[#This Row],[camera_old]]</f>
        <v>Y</v>
      </c>
      <c r="U411" s="22" t="s">
        <v>88</v>
      </c>
      <c r="V411" s="16" t="s">
        <v>65</v>
      </c>
      <c r="W411" s="16">
        <v>6</v>
      </c>
      <c r="X411" s="145">
        <v>1</v>
      </c>
      <c r="Y411" s="153" t="s">
        <v>48</v>
      </c>
      <c r="Z411" s="146" t="s">
        <v>65</v>
      </c>
      <c r="AA411" s="4" t="str">
        <f>Table2[[#This Row],[field_fate]]</f>
        <v>Ca</v>
      </c>
      <c r="AB411" s="4" t="str">
        <f>Table2[[#This Row],[field_fate2]]</f>
        <v>Ca</v>
      </c>
      <c r="AC411" s="94" t="str">
        <f>Table2[[#This Row],[field_fate3]]</f>
        <v>Ca</v>
      </c>
      <c r="AD411" s="94" t="str">
        <f>Table2[[#This Row],[field_fate4]]</f>
        <v>Ca</v>
      </c>
      <c r="AE411" s="94" t="str">
        <f>Table2[[#This Row],[field_fate5]]</f>
        <v>Ca</v>
      </c>
      <c r="AF411" s="94" t="str">
        <f>Table2[[#This Row],[field_fate5]]</f>
        <v>Ca</v>
      </c>
      <c r="AG411" s="94" t="str">
        <f>Table2[[#This Row],[field_fate5]]</f>
        <v>Ca</v>
      </c>
      <c r="AH411" s="94" t="str">
        <f>Table2[[#This Row],[field_fate2]]</f>
        <v>Ca</v>
      </c>
      <c r="AI411" s="94" t="str">
        <f>Table2[[#This Row],[field_fate8]]</f>
        <v>Ca</v>
      </c>
      <c r="AJ411" s="94" t="str">
        <f>Table2[[#This Row],[field_fate10]]</f>
        <v>Ca</v>
      </c>
      <c r="AK411" s="94" t="b">
        <f>Table2[[#This Row],[field_fate_feb]]=Table2[[#This Row],[field_fate10]]</f>
        <v>0</v>
      </c>
      <c r="AL411" s="43" t="s">
        <v>65</v>
      </c>
      <c r="AM411" s="160" t="b">
        <f>Table2[[#This Row],[cam_fate2]]="NA"</f>
        <v>0</v>
      </c>
      <c r="AN411" s="19" t="str">
        <f>Table2[[#This Row],[cam_fate1]]</f>
        <v>Ca</v>
      </c>
      <c r="AO411" s="2" t="s">
        <v>65</v>
      </c>
      <c r="AP411" s="5" t="str">
        <f>Table2[[#This Row],[final_fate1]]</f>
        <v>Ca</v>
      </c>
      <c r="AQ411" s="6">
        <v>7</v>
      </c>
      <c r="AR411" s="72">
        <v>7</v>
      </c>
      <c r="AS411" s="155">
        <f>Table2[[#This Row],[final_obs_date]]-Table2[[#This Row],[init_date]]</f>
        <v>13</v>
      </c>
      <c r="AT411" s="155">
        <f>(Table2[[#This Row],[final_obs_date2]]-Table2[[#This Row],[estHD]])+16</f>
        <v>13</v>
      </c>
      <c r="AU411" s="38">
        <v>1</v>
      </c>
      <c r="AV411" s="77">
        <v>6</v>
      </c>
      <c r="AW411" s="77">
        <f>Table2[[#This Row],[final_obs_date2]]-Table2[[#This Row],[pen_obs_date]]</f>
        <v>6</v>
      </c>
      <c r="AX411" s="74">
        <v>90</v>
      </c>
      <c r="AY411" s="157">
        <f>Table2[[#This Row],[final_obs_date]]</f>
        <v>90</v>
      </c>
      <c r="AZ411" s="6">
        <v>84</v>
      </c>
      <c r="BA411" s="92" t="s">
        <v>60</v>
      </c>
      <c r="BB411" s="6" t="b">
        <f>Table2[[#This Row],[final_obs_date]]&lt;(Table2[[#This Row],[estHD]]-2)</f>
        <v>1</v>
      </c>
      <c r="BC411" s="32">
        <f>IF(Table2[[#This Row],[field_fate]]="H",1,0)</f>
        <v>0</v>
      </c>
      <c r="BD411" s="16">
        <f>IF(Table2[[#This Row],[cam_fate2]]="H",1,0)</f>
        <v>0</v>
      </c>
      <c r="BE411" s="6" t="b">
        <f>NOT(Table2[[#This Row],[HF_C]]=Table2[[#This Row],[HF]])</f>
        <v>0</v>
      </c>
      <c r="BF411" s="38" t="b">
        <f>NOT(Table2[[#This Row],[cam_fate2]]=Table2[[#This Row],[field_fate3]])</f>
        <v>0</v>
      </c>
      <c r="BG411" s="38" t="b">
        <f>OR(Table2[[#This Row],[field_fate3]]="U",Table2[[#This Row],[field_fate3]]="U-H")</f>
        <v>0</v>
      </c>
      <c r="BH411" s="8">
        <v>74</v>
      </c>
      <c r="BI411" s="75">
        <v>84</v>
      </c>
      <c r="BJ411" s="76">
        <v>84</v>
      </c>
      <c r="BK411" s="75">
        <v>90</v>
      </c>
      <c r="BL411" s="76">
        <v>90</v>
      </c>
      <c r="BM411" s="4" t="s">
        <v>24</v>
      </c>
      <c r="BN411" s="8" t="s">
        <v>24</v>
      </c>
      <c r="BO411" s="4">
        <v>4</v>
      </c>
      <c r="BP411" s="4">
        <f>Table2[[#This Row],[final_obs_date]]-Table2[[#This Row],[i]]</f>
        <v>16</v>
      </c>
      <c r="BQ411" s="4" t="b">
        <f>Table2[[#This Row],[final_obs_date2]]&gt;Table2[[#This Row],[estHD]]+3</f>
        <v>0</v>
      </c>
      <c r="BR411" s="3" t="s">
        <v>66</v>
      </c>
      <c r="BS411" s="28" t="s">
        <v>66</v>
      </c>
      <c r="BT411" s="125" t="s">
        <v>1261</v>
      </c>
      <c r="BU411" s="4" t="s">
        <v>321</v>
      </c>
      <c r="BV411" s="79" t="s">
        <v>1616</v>
      </c>
      <c r="BW411" s="69" t="s">
        <v>986</v>
      </c>
      <c r="BX411" s="36" t="s">
        <v>1003</v>
      </c>
      <c r="BY411" s="36" t="s">
        <v>742</v>
      </c>
    </row>
    <row r="412" spans="1:77" hidden="1" x14ac:dyDescent="0.35">
      <c r="A412" s="63">
        <v>20357</v>
      </c>
      <c r="B412" s="2" t="s">
        <v>35</v>
      </c>
      <c r="C412" s="45">
        <v>2020</v>
      </c>
      <c r="D412" s="3">
        <v>29.761991999999999</v>
      </c>
      <c r="E412" s="3">
        <v>-93.137649999999994</v>
      </c>
      <c r="F412" s="3" t="s">
        <v>24</v>
      </c>
      <c r="G412" s="3" t="s">
        <v>24</v>
      </c>
      <c r="H412" s="3" t="s">
        <v>24</v>
      </c>
      <c r="I412" s="43"/>
      <c r="J412" s="55" t="s">
        <v>24</v>
      </c>
      <c r="K412" s="4" t="s">
        <v>24</v>
      </c>
      <c r="L412" s="22" t="str">
        <f>IF(ISNUMBER(Table2[[#This Row],[estHD]]),ABS(Table2[[#This Row],[HD]]-Table2[[#This Row],[estHD]]),"NA")</f>
        <v>NA</v>
      </c>
      <c r="M412" s="4" t="b">
        <f>Table2[[#This Row],[HD]]=Table2[[#This Row],[estHD]]</f>
        <v>1</v>
      </c>
      <c r="N412" s="4" t="str">
        <f>IF(ISNUMBER([1]!Table2[[#This Row],[hatch_date]]), [1]!Table2[[#This Row],[hatch_date]]-16, "NA")</f>
        <v>NA</v>
      </c>
      <c r="O412" s="31" t="s">
        <v>24</v>
      </c>
      <c r="P412" s="23" t="str">
        <f>IF(ISNUMBER(Table2[[#This Row],[nest_age1]]),ABS(Table2[[#This Row],[nest_age1]]-Table2[[#This Row],[nest_age_feb]]),"NA")</f>
        <v>NA</v>
      </c>
      <c r="Q412" s="24" t="e">
        <f>IF(ISNUMBER(Table2[[#This Row],[final_obs_int2]]),ABS(Table2[[#This Row],[final_obs_int2]]-Table2[[#This Row],[final_obs_int_feb]]), "NA")</f>
        <v>#VALUE!</v>
      </c>
      <c r="R412" s="24"/>
      <c r="S412" s="57" t="s">
        <v>88</v>
      </c>
      <c r="T412" s="57" t="str">
        <f>Table2[[#This Row],[camera_old]]</f>
        <v>N</v>
      </c>
      <c r="U412" s="24"/>
      <c r="V412" s="16" t="s">
        <v>24</v>
      </c>
      <c r="W412" s="16" t="s">
        <v>24</v>
      </c>
      <c r="X412" s="145" t="s">
        <v>24</v>
      </c>
      <c r="Y412" s="147" t="s">
        <v>24</v>
      </c>
      <c r="Z412" s="146" t="s">
        <v>65</v>
      </c>
      <c r="AA412" s="4" t="str">
        <f>Table2[[#This Row],[field_fate]]</f>
        <v>Ca</v>
      </c>
      <c r="AB412" s="4" t="str">
        <f>Table2[[#This Row],[field_fate2]]</f>
        <v>Ca</v>
      </c>
      <c r="AC412" s="4" t="str">
        <f>Table2[[#This Row],[field_fate3]]</f>
        <v>Ca</v>
      </c>
      <c r="AD412" s="4" t="str">
        <f>Table2[[#This Row],[field_fate4]]</f>
        <v>Ca</v>
      </c>
      <c r="AE412" s="4" t="str">
        <f>Table2[[#This Row],[field_fate5]]</f>
        <v>Ca</v>
      </c>
      <c r="AF412" s="4" t="str">
        <f>Table2[[#This Row],[field_fate5]]</f>
        <v>Ca</v>
      </c>
      <c r="AG412" s="4" t="str">
        <f>Table2[[#This Row],[field_fate5]]</f>
        <v>Ca</v>
      </c>
      <c r="AH412" s="4" t="str">
        <f>Table2[[#This Row],[field_fate2]]</f>
        <v>Ca</v>
      </c>
      <c r="AI412" s="4" t="str">
        <f>Table2[[#This Row],[field_fate8]]</f>
        <v>Ca</v>
      </c>
      <c r="AJ412" s="4" t="str">
        <f>Table2[[#This Row],[field_fate10]]</f>
        <v>Ca</v>
      </c>
      <c r="AK412" s="4" t="b">
        <f>Table2[[#This Row],[field_fate_feb]]=Table2[[#This Row],[field_fate10]]</f>
        <v>0</v>
      </c>
      <c r="AL412" s="43" t="s">
        <v>24</v>
      </c>
      <c r="AM412" s="43" t="b">
        <f>Table2[[#This Row],[cam_fate2]]="NA"</f>
        <v>1</v>
      </c>
      <c r="AN412" s="19" t="str">
        <f>Table2[[#This Row],[cam_fate1]]</f>
        <v>NA</v>
      </c>
      <c r="AO412" s="2" t="s">
        <v>65</v>
      </c>
      <c r="AP412" s="5" t="str">
        <f>Table2[[#This Row],[final_fate1]]</f>
        <v>Ca</v>
      </c>
      <c r="AQ412" s="6" t="s">
        <v>24</v>
      </c>
      <c r="AR412" s="7" t="s">
        <v>24</v>
      </c>
      <c r="AS412" s="7" t="e">
        <f>Table2[[#This Row],[final_obs_date]]-Table2[[#This Row],[init_date]]</f>
        <v>#VALUE!</v>
      </c>
      <c r="AT412" s="7" t="e">
        <f>(Table2[[#This Row],[final_obs_date2]]-Table2[[#This Row],[estHD]])+16</f>
        <v>#VALUE!</v>
      </c>
      <c r="AU412" s="38">
        <v>1</v>
      </c>
      <c r="AV412" s="33">
        <v>1</v>
      </c>
      <c r="AW412" s="33">
        <f>Table2[[#This Row],[final_obs_date2]]-Table2[[#This Row],[pen_obs_date]]</f>
        <v>84</v>
      </c>
      <c r="AX412" s="67">
        <v>84</v>
      </c>
      <c r="AY412" s="6">
        <f>Table2[[#This Row],[final_obs_date]]</f>
        <v>84</v>
      </c>
      <c r="AZ412" s="6"/>
      <c r="BA412" s="91" t="s">
        <v>60</v>
      </c>
      <c r="BB412" s="6" t="e">
        <f>Table2[[#This Row],[final_obs_date]]&lt;(Table2[[#This Row],[estHD]]-2)</f>
        <v>#VALUE!</v>
      </c>
      <c r="BC412" s="24">
        <f>IF(Table2[[#This Row],[field_fate]]="H",1,0)</f>
        <v>0</v>
      </c>
      <c r="BD412" s="16">
        <f>IF(Table2[[#This Row],[cam_fate2]]="H",1,0)</f>
        <v>0</v>
      </c>
      <c r="BE412" s="6" t="b">
        <f>NOT(Table2[[#This Row],[HF_C]]=Table2[[#This Row],[HF]])</f>
        <v>0</v>
      </c>
      <c r="BF412" s="6" t="b">
        <f>NOT(Table2[[#This Row],[cam_fate2]]=Table2[[#This Row],[field_fate3]])</f>
        <v>1</v>
      </c>
      <c r="BG412" s="6" t="b">
        <f>OR(Table2[[#This Row],[field_fate3]]="U",Table2[[#This Row],[field_fate3]]="U-H")</f>
        <v>0</v>
      </c>
      <c r="BH412" s="8">
        <v>79</v>
      </c>
      <c r="BI412" s="8">
        <v>82</v>
      </c>
      <c r="BJ412" s="14">
        <f>IF(ISTEXT(Table2[[#This Row],[j.cam]]),Table2[[#This Row],[j]],Table2[[#This Row],[j.cam]])</f>
        <v>82</v>
      </c>
      <c r="BK412" s="9">
        <v>84</v>
      </c>
      <c r="BL412" s="15">
        <f>IF(ISTEXT(Table2[[#This Row],[k.cam]]), Table2[[#This Row],[k]], Table2[[#This Row],[k.cam]])</f>
        <v>84</v>
      </c>
      <c r="BM412" s="4" t="s">
        <v>24</v>
      </c>
      <c r="BN412" s="8" t="s">
        <v>24</v>
      </c>
      <c r="BO412" s="4">
        <v>3</v>
      </c>
      <c r="BP412" s="4">
        <f>Table2[[#This Row],[final_obs_date]]-Table2[[#This Row],[i]]</f>
        <v>5</v>
      </c>
      <c r="BQ412" s="4" t="e">
        <f>Table2[[#This Row],[final_obs_date2]]&gt;Table2[[#This Row],[estHD]]+3</f>
        <v>#VALUE!</v>
      </c>
      <c r="BR412" s="4" t="s">
        <v>33</v>
      </c>
      <c r="BS412" s="4" t="s">
        <v>45</v>
      </c>
      <c r="BT412" s="79" t="s">
        <v>1262</v>
      </c>
      <c r="BU412" s="26" t="s">
        <v>132</v>
      </c>
      <c r="BV412" s="79" t="s">
        <v>1617</v>
      </c>
      <c r="BW412" s="49"/>
      <c r="BX412" s="47"/>
      <c r="BY412" s="36" t="s">
        <v>743</v>
      </c>
    </row>
    <row r="413" spans="1:77" x14ac:dyDescent="0.35">
      <c r="A413" s="109">
        <v>20358</v>
      </c>
      <c r="B413" s="2" t="s">
        <v>35</v>
      </c>
      <c r="C413" s="45">
        <v>2020</v>
      </c>
      <c r="D413" s="3">
        <v>29.760444</v>
      </c>
      <c r="E413" s="3">
        <v>-93.130216000000004</v>
      </c>
      <c r="F413" s="3" t="s">
        <v>24</v>
      </c>
      <c r="G413" s="3" t="s">
        <v>24</v>
      </c>
      <c r="H413" s="3" t="s">
        <v>24</v>
      </c>
      <c r="I413" s="43"/>
      <c r="J413" s="116" t="s">
        <v>24</v>
      </c>
      <c r="K413" s="4">
        <v>96</v>
      </c>
      <c r="L413" s="22" t="str">
        <f>IF(ISNUMBER(Table2[[#This Row],[estHD]]),ABS(Table2[[#This Row],[HD]]-Table2[[#This Row],[estHD]]),"NA")</f>
        <v>NA</v>
      </c>
      <c r="M413" s="4" t="b">
        <f>Table2[[#This Row],[HD]]=Table2[[#This Row],[estHD]]</f>
        <v>0</v>
      </c>
      <c r="N413" s="4">
        <f>IF(ISNUMBER(Table2[[#This Row],[HD]]),Table2[[#This Row],[HD]]-16,"NA")</f>
        <v>80</v>
      </c>
      <c r="O413" s="31">
        <v>80</v>
      </c>
      <c r="P413" s="23" t="e">
        <f>IF(ISNUMBER(Table2[[#This Row],[nest_age1]]),ABS(Table2[[#This Row],[nest_age1]]-Table2[[#This Row],[nest_age_feb]]),"NA")</f>
        <v>#VALUE!</v>
      </c>
      <c r="Q413" s="24" t="e">
        <f>IF(ISNUMBER(Table2[[#This Row],[final_obs_int2]]),ABS(Table2[[#This Row],[final_obs_int2]]-Table2[[#This Row],[final_obs_int_feb]]), "NA")</f>
        <v>#VALUE!</v>
      </c>
      <c r="R413" s="24" t="e">
        <f>(Table2[[#This Row],[k_adj]]-Table2[[#This Row],[estHD]])/Table2[[#This Row],[estHD]]</f>
        <v>#VALUE!</v>
      </c>
      <c r="S413" s="20" t="s">
        <v>75</v>
      </c>
      <c r="T413" s="20" t="str">
        <f>Table2[[#This Row],[camera_old]]</f>
        <v>Y</v>
      </c>
      <c r="U413" s="22" t="s">
        <v>88</v>
      </c>
      <c r="V413" s="16" t="s">
        <v>24</v>
      </c>
      <c r="W413" s="16" t="s">
        <v>24</v>
      </c>
      <c r="X413" s="145" t="s">
        <v>24</v>
      </c>
      <c r="Y413" s="147" t="s">
        <v>24</v>
      </c>
      <c r="Z413" s="146" t="s">
        <v>37</v>
      </c>
      <c r="AA413" s="4" t="str">
        <f>Table2[[#This Row],[field_fate]]</f>
        <v>H</v>
      </c>
      <c r="AB413" s="4" t="str">
        <f>Table2[[#This Row],[field_fate2]]</f>
        <v>H</v>
      </c>
      <c r="AC413" s="94" t="str">
        <f>Table2[[#This Row],[field_fate3]]</f>
        <v>H</v>
      </c>
      <c r="AD413" s="94" t="str">
        <f>Table2[[#This Row],[field_fate4]]</f>
        <v>H</v>
      </c>
      <c r="AE413" s="94" t="str">
        <f>Table2[[#This Row],[field_fate5]]</f>
        <v>H</v>
      </c>
      <c r="AF413" s="94" t="str">
        <f>Table2[[#This Row],[field_fate5]]</f>
        <v>H</v>
      </c>
      <c r="AG413" s="94" t="str">
        <f>Table2[[#This Row],[field_fate5]]</f>
        <v>H</v>
      </c>
      <c r="AH413" s="94" t="str">
        <f>Table2[[#This Row],[field_fate2]]</f>
        <v>H</v>
      </c>
      <c r="AI413" s="94" t="str">
        <f>Table2[[#This Row],[field_fate8]]</f>
        <v>H</v>
      </c>
      <c r="AJ413" s="94" t="str">
        <f>Table2[[#This Row],[field_fate10]]</f>
        <v>H</v>
      </c>
      <c r="AK413" s="94" t="b">
        <f>Table2[[#This Row],[field_fate_feb]]=Table2[[#This Row],[field_fate10]]</f>
        <v>0</v>
      </c>
      <c r="AL413" s="43" t="s">
        <v>37</v>
      </c>
      <c r="AM413" s="160" t="b">
        <f>Table2[[#This Row],[cam_fate2]]="NA"</f>
        <v>0</v>
      </c>
      <c r="AN413" s="19" t="str">
        <f>Table2[[#This Row],[cam_fate1]]</f>
        <v>H</v>
      </c>
      <c r="AO413" s="2" t="s">
        <v>37</v>
      </c>
      <c r="AP413" s="5" t="str">
        <f>Table2[[#This Row],[final_fate1]]</f>
        <v>H</v>
      </c>
      <c r="AQ413" s="6">
        <v>16</v>
      </c>
      <c r="AR413" s="72">
        <v>16</v>
      </c>
      <c r="AS413" s="155">
        <f>Table2[[#This Row],[final_obs_date]]-Table2[[#This Row],[init_date]]</f>
        <v>16</v>
      </c>
      <c r="AT413" s="155" t="e">
        <f>(Table2[[#This Row],[final_obs_date2]]-Table2[[#This Row],[estHD]])+16</f>
        <v>#VALUE!</v>
      </c>
      <c r="AU413" s="38">
        <v>4</v>
      </c>
      <c r="AV413" s="33">
        <v>4</v>
      </c>
      <c r="AW413" s="33">
        <f>Table2[[#This Row],[final_obs_date2]]-Table2[[#This Row],[pen_obs_date]]</f>
        <v>4</v>
      </c>
      <c r="AX413" s="67">
        <v>96</v>
      </c>
      <c r="AY413" s="157">
        <f>Table2[[#This Row],[final_obs_date]]</f>
        <v>96</v>
      </c>
      <c r="AZ413" s="6">
        <v>92</v>
      </c>
      <c r="BA413" s="92" t="s">
        <v>60</v>
      </c>
      <c r="BB413" s="6" t="e">
        <f>Table2[[#This Row],[final_obs_date]]&lt;(Table2[[#This Row],[estHD]]-2)</f>
        <v>#VALUE!</v>
      </c>
      <c r="BC413" s="32">
        <f>IF(Table2[[#This Row],[field_fate]]="H",1,0)</f>
        <v>1</v>
      </c>
      <c r="BD413" s="16">
        <f>IF(Table2[[#This Row],[cam_fate2]]="H",1,0)</f>
        <v>1</v>
      </c>
      <c r="BE413" s="6" t="b">
        <f>NOT(Table2[[#This Row],[HF_C]]=Table2[[#This Row],[HF]])</f>
        <v>0</v>
      </c>
      <c r="BF413" s="38" t="b">
        <f>NOT(Table2[[#This Row],[cam_fate2]]=Table2[[#This Row],[field_fate3]])</f>
        <v>0</v>
      </c>
      <c r="BG413" s="38" t="b">
        <f>OR(Table2[[#This Row],[field_fate3]]="U",Table2[[#This Row],[field_fate3]]="U-H")</f>
        <v>0</v>
      </c>
      <c r="BH413" s="8">
        <v>83</v>
      </c>
      <c r="BI413" s="8">
        <v>96</v>
      </c>
      <c r="BJ413" s="14">
        <f>IF(ISTEXT(Table2[[#This Row],[j.cam]]),Table2[[#This Row],[j]],Table2[[#This Row],[j.cam]])</f>
        <v>96</v>
      </c>
      <c r="BK413" s="8">
        <v>96</v>
      </c>
      <c r="BL413" s="14">
        <f>IF(ISTEXT(Table2[[#This Row],[k.cam]]), Table2[[#This Row],[k]], Table2[[#This Row],[k.cam]])</f>
        <v>96</v>
      </c>
      <c r="BM413" s="4" t="s">
        <v>24</v>
      </c>
      <c r="BN413" s="8" t="s">
        <v>24</v>
      </c>
      <c r="BO413" s="4">
        <v>4</v>
      </c>
      <c r="BP413" s="4">
        <f>Table2[[#This Row],[final_obs_date]]-Table2[[#This Row],[i]]</f>
        <v>13</v>
      </c>
      <c r="BQ413" s="4" t="e">
        <f>Table2[[#This Row],[final_obs_date2]]&gt;Table2[[#This Row],[estHD]]+3</f>
        <v>#VALUE!</v>
      </c>
      <c r="BR413" s="3" t="s">
        <v>33</v>
      </c>
      <c r="BS413" s="3" t="s">
        <v>165</v>
      </c>
      <c r="BT413" s="125" t="s">
        <v>1263</v>
      </c>
      <c r="BU413" s="4" t="s">
        <v>312</v>
      </c>
      <c r="BV413" s="79" t="s">
        <v>1618</v>
      </c>
      <c r="BW413" s="69"/>
      <c r="BX413" s="36"/>
      <c r="BY413" s="36" t="s">
        <v>744</v>
      </c>
    </row>
    <row r="414" spans="1:77" ht="24" hidden="1" x14ac:dyDescent="0.35">
      <c r="A414" s="63">
        <v>20360</v>
      </c>
      <c r="B414" s="2" t="s">
        <v>35</v>
      </c>
      <c r="C414" s="45">
        <v>2020</v>
      </c>
      <c r="D414" s="3">
        <v>29.763936999999999</v>
      </c>
      <c r="E414" s="3">
        <v>-93.143835999999993</v>
      </c>
      <c r="F414" s="3" t="s">
        <v>24</v>
      </c>
      <c r="G414" s="3" t="s">
        <v>24</v>
      </c>
      <c r="H414" s="3" t="s">
        <v>24</v>
      </c>
      <c r="I414" s="43"/>
      <c r="J414" s="55" t="s">
        <v>24</v>
      </c>
      <c r="K414" s="4" t="s">
        <v>24</v>
      </c>
      <c r="L414" s="22" t="str">
        <f>IF(ISNUMBER(Table2[[#This Row],[estHD]]),ABS(Table2[[#This Row],[HD]]-Table2[[#This Row],[estHD]]),"NA")</f>
        <v>NA</v>
      </c>
      <c r="M414" s="4" t="b">
        <f>Table2[[#This Row],[HD]]=Table2[[#This Row],[estHD]]</f>
        <v>1</v>
      </c>
      <c r="N414" s="4" t="str">
        <f>IF(ISNUMBER([1]!Table2[[#This Row],[hatch_date]]), [1]!Table2[[#This Row],[hatch_date]]-16, "NA")</f>
        <v>NA</v>
      </c>
      <c r="O414" s="31" t="s">
        <v>24</v>
      </c>
      <c r="P414" s="23" t="str">
        <f>IF(ISNUMBER(Table2[[#This Row],[nest_age1]]),ABS(Table2[[#This Row],[nest_age1]]-Table2[[#This Row],[nest_age_feb]]),"NA")</f>
        <v>NA</v>
      </c>
      <c r="Q414" s="24" t="e">
        <f>IF(ISNUMBER(Table2[[#This Row],[final_obs_int2]]),ABS(Table2[[#This Row],[final_obs_int2]]-Table2[[#This Row],[final_obs_int_feb]]), "NA")</f>
        <v>#VALUE!</v>
      </c>
      <c r="R414" s="24"/>
      <c r="S414" s="57" t="s">
        <v>88</v>
      </c>
      <c r="T414" s="57" t="str">
        <f>Table2[[#This Row],[camera_old]]</f>
        <v>N</v>
      </c>
      <c r="U414" s="24"/>
      <c r="V414" s="16" t="s">
        <v>24</v>
      </c>
      <c r="W414" s="16" t="s">
        <v>24</v>
      </c>
      <c r="X414" s="145" t="s">
        <v>24</v>
      </c>
      <c r="Y414" s="147" t="s">
        <v>24</v>
      </c>
      <c r="Z414" s="146" t="s">
        <v>36</v>
      </c>
      <c r="AA414" s="4" t="str">
        <f>Table2[[#This Row],[field_fate]]</f>
        <v>A</v>
      </c>
      <c r="AB414" s="4" t="str">
        <f>Table2[[#This Row],[field_fate2]]</f>
        <v>A</v>
      </c>
      <c r="AC414" s="4" t="str">
        <f>Table2[[#This Row],[field_fate3]]</f>
        <v>A</v>
      </c>
      <c r="AD414" s="4" t="str">
        <f>Table2[[#This Row],[field_fate4]]</f>
        <v>A</v>
      </c>
      <c r="AE414" s="4" t="str">
        <f>Table2[[#This Row],[field_fate5]]</f>
        <v>A</v>
      </c>
      <c r="AF414" s="4" t="str">
        <f>Table2[[#This Row],[field_fate5]]</f>
        <v>A</v>
      </c>
      <c r="AG414" s="4" t="str">
        <f>Table2[[#This Row],[field_fate5]]</f>
        <v>A</v>
      </c>
      <c r="AH414" s="4" t="str">
        <f>Table2[[#This Row],[field_fate2]]</f>
        <v>A</v>
      </c>
      <c r="AI414" s="4" t="str">
        <f>Table2[[#This Row],[field_fate8]]</f>
        <v>A</v>
      </c>
      <c r="AJ414" s="4" t="str">
        <f>Table2[[#This Row],[field_fate10]]</f>
        <v>A</v>
      </c>
      <c r="AK414" s="4" t="b">
        <f>Table2[[#This Row],[field_fate_feb]]=Table2[[#This Row],[field_fate10]]</f>
        <v>0</v>
      </c>
      <c r="AL414" s="43" t="s">
        <v>24</v>
      </c>
      <c r="AM414" s="43" t="b">
        <f>Table2[[#This Row],[cam_fate2]]="NA"</f>
        <v>1</v>
      </c>
      <c r="AN414" s="19" t="str">
        <f>Table2[[#This Row],[cam_fate1]]</f>
        <v>NA</v>
      </c>
      <c r="AO414" s="2" t="s">
        <v>36</v>
      </c>
      <c r="AP414" s="5" t="str">
        <f>Table2[[#This Row],[final_fate1]]</f>
        <v>A</v>
      </c>
      <c r="AQ414" s="6" t="s">
        <v>24</v>
      </c>
      <c r="AR414" s="7" t="s">
        <v>24</v>
      </c>
      <c r="AS414" s="7" t="e">
        <f>Table2[[#This Row],[final_obs_date]]-Table2[[#This Row],[init_date]]</f>
        <v>#VALUE!</v>
      </c>
      <c r="AT414" s="7" t="e">
        <f>(Table2[[#This Row],[final_obs_date2]]-Table2[[#This Row],[estHD]])+16</f>
        <v>#VALUE!</v>
      </c>
      <c r="AU414" s="38">
        <v>6</v>
      </c>
      <c r="AV414" s="33">
        <v>6</v>
      </c>
      <c r="AW414" s="33">
        <f>Table2[[#This Row],[final_obs_date2]]-Table2[[#This Row],[pen_obs_date]]</f>
        <v>96</v>
      </c>
      <c r="AX414" s="67">
        <v>96</v>
      </c>
      <c r="AY414" s="6">
        <f>Table2[[#This Row],[final_obs_date]]</f>
        <v>96</v>
      </c>
      <c r="AZ414" s="6"/>
      <c r="BA414" s="91" t="s">
        <v>60</v>
      </c>
      <c r="BB414" s="6" t="e">
        <f>Table2[[#This Row],[final_obs_date]]&lt;(Table2[[#This Row],[estHD]]-2)</f>
        <v>#VALUE!</v>
      </c>
      <c r="BC414" s="24">
        <f>IF(Table2[[#This Row],[field_fate]]="H",1,0)</f>
        <v>0</v>
      </c>
      <c r="BD414" s="16">
        <f>IF(Table2[[#This Row],[cam_fate2]]="H",1,0)</f>
        <v>0</v>
      </c>
      <c r="BE414" s="6" t="b">
        <f>NOT(Table2[[#This Row],[HF_C]]=Table2[[#This Row],[HF]])</f>
        <v>0</v>
      </c>
      <c r="BF414" s="6" t="b">
        <f>NOT(Table2[[#This Row],[cam_fate2]]=Table2[[#This Row],[field_fate3]])</f>
        <v>1</v>
      </c>
      <c r="BG414" s="6" t="b">
        <f>OR(Table2[[#This Row],[field_fate3]]="U",Table2[[#This Row],[field_fate3]]="U-H")</f>
        <v>0</v>
      </c>
      <c r="BH414" s="8">
        <v>83</v>
      </c>
      <c r="BI414" s="8">
        <v>90</v>
      </c>
      <c r="BJ414" s="14">
        <f>IF(ISTEXT(Table2[[#This Row],[j.cam]]),Table2[[#This Row],[j]],Table2[[#This Row],[j.cam]])</f>
        <v>90</v>
      </c>
      <c r="BK414" s="9">
        <v>96</v>
      </c>
      <c r="BL414" s="15">
        <f>IF(ISTEXT(Table2[[#This Row],[k.cam]]), Table2[[#This Row],[k]], Table2[[#This Row],[k.cam]])</f>
        <v>96</v>
      </c>
      <c r="BM414" s="4" t="s">
        <v>24</v>
      </c>
      <c r="BN414" s="8" t="s">
        <v>24</v>
      </c>
      <c r="BO414" s="4">
        <v>4</v>
      </c>
      <c r="BP414" s="4">
        <f>Table2[[#This Row],[final_obs_date]]-Table2[[#This Row],[i]]</f>
        <v>13</v>
      </c>
      <c r="BQ414" s="4" t="e">
        <f>Table2[[#This Row],[final_obs_date2]]&gt;Table2[[#This Row],[estHD]]+3</f>
        <v>#VALUE!</v>
      </c>
      <c r="BR414" s="4" t="s">
        <v>58</v>
      </c>
      <c r="BS414" s="4" t="s">
        <v>45</v>
      </c>
      <c r="BT414" s="79" t="s">
        <v>1264</v>
      </c>
      <c r="BU414" s="26" t="s">
        <v>322</v>
      </c>
      <c r="BV414" s="79" t="s">
        <v>1619</v>
      </c>
      <c r="BW414" s="49"/>
      <c r="BX414" s="47"/>
      <c r="BY414" s="36" t="s">
        <v>745</v>
      </c>
    </row>
    <row r="415" spans="1:77" x14ac:dyDescent="0.35">
      <c r="A415" s="109">
        <v>20361</v>
      </c>
      <c r="B415" s="2" t="s">
        <v>35</v>
      </c>
      <c r="C415" s="45">
        <v>2020</v>
      </c>
      <c r="D415" s="3">
        <v>29.771129999999999</v>
      </c>
      <c r="E415" s="3">
        <v>-93.179997999999998</v>
      </c>
      <c r="F415" s="3" t="s">
        <v>24</v>
      </c>
      <c r="G415" s="3" t="s">
        <v>24</v>
      </c>
      <c r="H415" s="3" t="s">
        <v>24</v>
      </c>
      <c r="I415" s="43"/>
      <c r="J415" s="116">
        <v>91</v>
      </c>
      <c r="K415" s="4">
        <v>92</v>
      </c>
      <c r="L415" s="22">
        <f>IF(ISNUMBER(Table2[[#This Row],[estHD]]),ABS(Table2[[#This Row],[HD]]-Table2[[#This Row],[estHD]]),"NA")</f>
        <v>1</v>
      </c>
      <c r="M415" s="4" t="b">
        <f>Table2[[#This Row],[HD]]=Table2[[#This Row],[estHD]]</f>
        <v>0</v>
      </c>
      <c r="N415" s="4">
        <f>IF(ISNUMBER(Table2[[#This Row],[HD]]),Table2[[#This Row],[HD]]-16,"NA")</f>
        <v>76</v>
      </c>
      <c r="O415" s="31">
        <v>76</v>
      </c>
      <c r="P415" s="23" t="e">
        <f>IF(ISNUMBER(Table2[[#This Row],[nest_age1]]),ABS(Table2[[#This Row],[nest_age1]]-Table2[[#This Row],[nest_age_feb]]),"NA")</f>
        <v>#VALUE!</v>
      </c>
      <c r="Q415" s="24" t="e">
        <f>IF(ISNUMBER(Table2[[#This Row],[final_obs_int2]]),ABS(Table2[[#This Row],[final_obs_int2]]-Table2[[#This Row],[final_obs_int_feb]]), "NA")</f>
        <v>#VALUE!</v>
      </c>
      <c r="R415" s="24">
        <f>(Table2[[#This Row],[k_adj]]-Table2[[#This Row],[estHD]])/Table2[[#This Row],[estHD]]</f>
        <v>1.098901098901099E-2</v>
      </c>
      <c r="S415" s="20" t="s">
        <v>75</v>
      </c>
      <c r="T415" s="20" t="str">
        <f>Table2[[#This Row],[camera_old]]</f>
        <v>Y</v>
      </c>
      <c r="U415" s="22" t="s">
        <v>88</v>
      </c>
      <c r="V415" s="16" t="s">
        <v>24</v>
      </c>
      <c r="W415" s="16" t="s">
        <v>24</v>
      </c>
      <c r="X415" s="145" t="s">
        <v>24</v>
      </c>
      <c r="Y415" s="147" t="s">
        <v>24</v>
      </c>
      <c r="Z415" s="146" t="s">
        <v>37</v>
      </c>
      <c r="AA415" s="4" t="str">
        <f>Table2[[#This Row],[field_fate]]</f>
        <v>H</v>
      </c>
      <c r="AB415" s="4" t="str">
        <f>Table2[[#This Row],[field_fate2]]</f>
        <v>H</v>
      </c>
      <c r="AC415" s="94" t="str">
        <f>Table2[[#This Row],[field_fate3]]</f>
        <v>H</v>
      </c>
      <c r="AD415" s="94" t="str">
        <f>Table2[[#This Row],[field_fate4]]</f>
        <v>H</v>
      </c>
      <c r="AE415" s="94" t="str">
        <f>Table2[[#This Row],[field_fate5]]</f>
        <v>H</v>
      </c>
      <c r="AF415" s="94" t="str">
        <f>Table2[[#This Row],[field_fate5]]</f>
        <v>H</v>
      </c>
      <c r="AG415" s="94" t="str">
        <f>Table2[[#This Row],[field_fate5]]</f>
        <v>H</v>
      </c>
      <c r="AH415" s="94" t="str">
        <f>Table2[[#This Row],[field_fate2]]</f>
        <v>H</v>
      </c>
      <c r="AI415" s="94" t="str">
        <f>Table2[[#This Row],[field_fate8]]</f>
        <v>H</v>
      </c>
      <c r="AJ415" s="94" t="str">
        <f>Table2[[#This Row],[field_fate10]]</f>
        <v>H</v>
      </c>
      <c r="AK415" s="94" t="b">
        <f>Table2[[#This Row],[field_fate_feb]]=Table2[[#This Row],[field_fate10]]</f>
        <v>0</v>
      </c>
      <c r="AL415" s="43" t="s">
        <v>37</v>
      </c>
      <c r="AM415" s="160" t="b">
        <f>Table2[[#This Row],[cam_fate2]]="NA"</f>
        <v>0</v>
      </c>
      <c r="AN415" s="19" t="str">
        <f>Table2[[#This Row],[cam_fate1]]</f>
        <v>H</v>
      </c>
      <c r="AO415" s="2" t="s">
        <v>37</v>
      </c>
      <c r="AP415" s="5" t="str">
        <f>Table2[[#This Row],[final_fate1]]</f>
        <v>H</v>
      </c>
      <c r="AQ415" s="6">
        <v>20</v>
      </c>
      <c r="AR415" s="72">
        <v>21</v>
      </c>
      <c r="AS415" s="155">
        <f>Table2[[#This Row],[final_obs_date]]-Table2[[#This Row],[init_date]]</f>
        <v>20</v>
      </c>
      <c r="AT415" s="155">
        <f>(Table2[[#This Row],[final_obs_date2]]-Table2[[#This Row],[estHD]])+16</f>
        <v>21</v>
      </c>
      <c r="AU415" s="38">
        <v>5</v>
      </c>
      <c r="AV415" s="33">
        <v>5</v>
      </c>
      <c r="AW415" s="33">
        <f>Table2[[#This Row],[final_obs_date2]]-Table2[[#This Row],[pen_obs_date]]</f>
        <v>5</v>
      </c>
      <c r="AX415" s="67">
        <v>96</v>
      </c>
      <c r="AY415" s="157">
        <f>Table2[[#This Row],[final_obs_date]]</f>
        <v>96</v>
      </c>
      <c r="AZ415" s="6">
        <v>91</v>
      </c>
      <c r="BA415" s="92" t="s">
        <v>60</v>
      </c>
      <c r="BB415" s="6" t="b">
        <f>Table2[[#This Row],[final_obs_date]]&lt;(Table2[[#This Row],[estHD]]-2)</f>
        <v>0</v>
      </c>
      <c r="BC415" s="32">
        <f>IF(Table2[[#This Row],[field_fate]]="H",1,0)</f>
        <v>1</v>
      </c>
      <c r="BD415" s="16">
        <f>IF(Table2[[#This Row],[cam_fate2]]="H",1,0)</f>
        <v>1</v>
      </c>
      <c r="BE415" s="6" t="b">
        <f>NOT(Table2[[#This Row],[HF_C]]=Table2[[#This Row],[HF]])</f>
        <v>0</v>
      </c>
      <c r="BF415" s="38" t="b">
        <f>NOT(Table2[[#This Row],[cam_fate2]]=Table2[[#This Row],[field_fate3]])</f>
        <v>0</v>
      </c>
      <c r="BG415" s="38" t="b">
        <f>OR(Table2[[#This Row],[field_fate3]]="U",Table2[[#This Row],[field_fate3]]="U-H")</f>
        <v>0</v>
      </c>
      <c r="BH415" s="8">
        <v>88</v>
      </c>
      <c r="BI415" s="8">
        <v>92</v>
      </c>
      <c r="BJ415" s="14">
        <f>IF(ISTEXT(Table2[[#This Row],[j.cam]]),Table2[[#This Row],[j]],Table2[[#This Row],[j.cam]])</f>
        <v>92</v>
      </c>
      <c r="BK415" s="8">
        <v>92</v>
      </c>
      <c r="BL415" s="14">
        <f>IF(ISTEXT(Table2[[#This Row],[k.cam]]), Table2[[#This Row],[k]], Table2[[#This Row],[k.cam]])</f>
        <v>92</v>
      </c>
      <c r="BM415" s="4" t="s">
        <v>24</v>
      </c>
      <c r="BN415" s="8" t="s">
        <v>24</v>
      </c>
      <c r="BO415" s="4">
        <v>3</v>
      </c>
      <c r="BP415" s="4">
        <f>Table2[[#This Row],[final_obs_date]]-Table2[[#This Row],[i]]</f>
        <v>8</v>
      </c>
      <c r="BQ415" s="4" t="b">
        <f>Table2[[#This Row],[final_obs_date2]]&gt;Table2[[#This Row],[estHD]]+3</f>
        <v>1</v>
      </c>
      <c r="BR415" s="3" t="s">
        <v>33</v>
      </c>
      <c r="BS415" s="3" t="s">
        <v>53</v>
      </c>
      <c r="BT415" s="125" t="s">
        <v>1265</v>
      </c>
      <c r="BU415" s="4" t="s">
        <v>226</v>
      </c>
      <c r="BV415" s="79" t="s">
        <v>1620</v>
      </c>
      <c r="BW415" s="69"/>
      <c r="BX415" s="36"/>
      <c r="BY415" s="36" t="s">
        <v>746</v>
      </c>
    </row>
    <row r="416" spans="1:77" hidden="1" x14ac:dyDescent="0.35">
      <c r="A416" s="63">
        <v>20365</v>
      </c>
      <c r="B416" s="2" t="s">
        <v>35</v>
      </c>
      <c r="C416" s="45">
        <v>2020</v>
      </c>
      <c r="D416" s="3">
        <v>29.769302</v>
      </c>
      <c r="E416" s="3">
        <v>-93.169725999999997</v>
      </c>
      <c r="F416" s="3" t="s">
        <v>24</v>
      </c>
      <c r="G416" s="3" t="s">
        <v>24</v>
      </c>
      <c r="H416" s="3" t="s">
        <v>24</v>
      </c>
      <c r="I416" s="43"/>
      <c r="J416" s="55" t="s">
        <v>24</v>
      </c>
      <c r="K416" s="4" t="s">
        <v>24</v>
      </c>
      <c r="L416" s="22" t="str">
        <f>IF(ISNUMBER(Table2[[#This Row],[estHD]]),ABS(Table2[[#This Row],[HD]]-Table2[[#This Row],[estHD]]),"NA")</f>
        <v>NA</v>
      </c>
      <c r="M416" s="4" t="b">
        <f>Table2[[#This Row],[HD]]=Table2[[#This Row],[estHD]]</f>
        <v>1</v>
      </c>
      <c r="N416" s="4" t="str">
        <f>IF(ISNUMBER([1]!Table2[[#This Row],[hatch_date]]), [1]!Table2[[#This Row],[hatch_date]]-16, "NA")</f>
        <v>NA</v>
      </c>
      <c r="O416" s="31" t="s">
        <v>24</v>
      </c>
      <c r="P416" s="23" t="str">
        <f>IF(ISNUMBER(Table2[[#This Row],[nest_age1]]),ABS(Table2[[#This Row],[nest_age1]]-Table2[[#This Row],[nest_age_feb]]),"NA")</f>
        <v>NA</v>
      </c>
      <c r="Q416" s="24" t="e">
        <f>IF(ISNUMBER(Table2[[#This Row],[final_obs_int2]]),ABS(Table2[[#This Row],[final_obs_int2]]-Table2[[#This Row],[final_obs_int_feb]]), "NA")</f>
        <v>#VALUE!</v>
      </c>
      <c r="R416" s="24"/>
      <c r="S416" s="21" t="s">
        <v>983</v>
      </c>
      <c r="T416" s="21" t="str">
        <f>Table2[[#This Row],[camera_old]]</f>
        <v>Y-but</v>
      </c>
      <c r="U416" s="25"/>
      <c r="V416" s="16" t="s">
        <v>24</v>
      </c>
      <c r="W416" s="16" t="s">
        <v>24</v>
      </c>
      <c r="X416" s="145" t="s">
        <v>24</v>
      </c>
      <c r="Y416" s="147" t="s">
        <v>24</v>
      </c>
      <c r="Z416" s="146" t="s">
        <v>36</v>
      </c>
      <c r="AA416" s="4" t="str">
        <f>Table2[[#This Row],[field_fate]]</f>
        <v>A</v>
      </c>
      <c r="AB416" s="4" t="str">
        <f>Table2[[#This Row],[field_fate2]]</f>
        <v>A</v>
      </c>
      <c r="AC416" s="4" t="str">
        <f>Table2[[#This Row],[field_fate3]]</f>
        <v>A</v>
      </c>
      <c r="AD416" s="4" t="str">
        <f>Table2[[#This Row],[field_fate4]]</f>
        <v>A</v>
      </c>
      <c r="AE416" s="4" t="str">
        <f>Table2[[#This Row],[field_fate5]]</f>
        <v>A</v>
      </c>
      <c r="AF416" s="4" t="str">
        <f>Table2[[#This Row],[field_fate5]]</f>
        <v>A</v>
      </c>
      <c r="AG416" s="4" t="str">
        <f>Table2[[#This Row],[field_fate5]]</f>
        <v>A</v>
      </c>
      <c r="AH416" s="4" t="str">
        <f>Table2[[#This Row],[field_fate2]]</f>
        <v>A</v>
      </c>
      <c r="AI416" s="4" t="str">
        <f>Table2[[#This Row],[field_fate8]]</f>
        <v>A</v>
      </c>
      <c r="AJ416" s="4" t="str">
        <f>Table2[[#This Row],[field_fate10]]</f>
        <v>A</v>
      </c>
      <c r="AK416" s="4" t="b">
        <f>Table2[[#This Row],[field_fate_feb]]=Table2[[#This Row],[field_fate10]]</f>
        <v>0</v>
      </c>
      <c r="AL416" s="43" t="s">
        <v>36</v>
      </c>
      <c r="AM416" s="43" t="b">
        <f>Table2[[#This Row],[cam_fate2]]="NA"</f>
        <v>0</v>
      </c>
      <c r="AN416" s="19" t="str">
        <f>Table2[[#This Row],[cam_fate1]]</f>
        <v>A</v>
      </c>
      <c r="AO416" s="2" t="s">
        <v>36</v>
      </c>
      <c r="AP416" s="5" t="str">
        <f>Table2[[#This Row],[final_fate1]]</f>
        <v>A</v>
      </c>
      <c r="AQ416" s="6" t="s">
        <v>24</v>
      </c>
      <c r="AR416" s="7" t="s">
        <v>24</v>
      </c>
      <c r="AS416" s="7" t="e">
        <f>Table2[[#This Row],[final_obs_date]]-Table2[[#This Row],[init_date]]</f>
        <v>#VALUE!</v>
      </c>
      <c r="AT416" s="7" t="e">
        <f>(Table2[[#This Row],[final_obs_date2]]-Table2[[#This Row],[estHD]])+16</f>
        <v>#VALUE!</v>
      </c>
      <c r="AU416" s="38">
        <v>6</v>
      </c>
      <c r="AV416" s="33">
        <v>6</v>
      </c>
      <c r="AW416" s="33">
        <f>Table2[[#This Row],[final_obs_date2]]-Table2[[#This Row],[pen_obs_date]]</f>
        <v>96</v>
      </c>
      <c r="AX416" s="67">
        <v>96</v>
      </c>
      <c r="AY416" s="6">
        <f>Table2[[#This Row],[final_obs_date]]</f>
        <v>96</v>
      </c>
      <c r="AZ416" s="6"/>
      <c r="BA416" s="91" t="s">
        <v>60</v>
      </c>
      <c r="BB416" s="6" t="e">
        <f>Table2[[#This Row],[final_obs_date]]&lt;(Table2[[#This Row],[estHD]]-2)</f>
        <v>#VALUE!</v>
      </c>
      <c r="BC416" s="25">
        <f>IF(Table2[[#This Row],[field_fate]]="H",1,0)</f>
        <v>0</v>
      </c>
      <c r="BD416" s="16">
        <f>IF(Table2[[#This Row],[cam_fate2]]="H",1,0)</f>
        <v>0</v>
      </c>
      <c r="BE416" s="6" t="b">
        <f>NOT(Table2[[#This Row],[HF_C]]=Table2[[#This Row],[HF]])</f>
        <v>0</v>
      </c>
      <c r="BF416" s="6" t="b">
        <f>NOT(Table2[[#This Row],[cam_fate2]]=Table2[[#This Row],[field_fate3]])</f>
        <v>0</v>
      </c>
      <c r="BG416" s="6" t="b">
        <f>OR(Table2[[#This Row],[field_fate3]]="U",Table2[[#This Row],[field_fate3]]="U-H")</f>
        <v>0</v>
      </c>
      <c r="BH416" s="8">
        <v>90</v>
      </c>
      <c r="BI416" s="8">
        <v>90</v>
      </c>
      <c r="BJ416" s="14">
        <f>IF(ISTEXT(Table2[[#This Row],[j.cam]]),Table2[[#This Row],[j]],Table2[[#This Row],[j.cam]])</f>
        <v>90</v>
      </c>
      <c r="BK416" s="8">
        <v>96</v>
      </c>
      <c r="BL416" s="14">
        <f>IF(ISTEXT(Table2[[#This Row],[k.cam]]), Table2[[#This Row],[k]], Table2[[#This Row],[k.cam]])</f>
        <v>96</v>
      </c>
      <c r="BM416" s="4" t="s">
        <v>24</v>
      </c>
      <c r="BN416" s="8" t="s">
        <v>24</v>
      </c>
      <c r="BO416" s="4">
        <v>2</v>
      </c>
      <c r="BP416" s="4">
        <f>Table2[[#This Row],[final_obs_date]]-Table2[[#This Row],[i]]</f>
        <v>6</v>
      </c>
      <c r="BQ416" s="4" t="e">
        <f>Table2[[#This Row],[final_obs_date2]]&gt;Table2[[#This Row],[estHD]]+3</f>
        <v>#VALUE!</v>
      </c>
      <c r="BR416" s="3" t="s">
        <v>58</v>
      </c>
      <c r="BS416" s="3" t="s">
        <v>134</v>
      </c>
      <c r="BT416" s="79" t="s">
        <v>1266</v>
      </c>
      <c r="BU416" s="26" t="s">
        <v>205</v>
      </c>
      <c r="BV416" s="79" t="s">
        <v>1437</v>
      </c>
      <c r="BW416" s="49"/>
      <c r="BX416" s="47" t="s">
        <v>958</v>
      </c>
      <c r="BY416" s="36" t="s">
        <v>747</v>
      </c>
    </row>
    <row r="417" spans="1:77" hidden="1" x14ac:dyDescent="0.35">
      <c r="A417" s="63">
        <v>20366</v>
      </c>
      <c r="B417" s="2" t="s">
        <v>35</v>
      </c>
      <c r="C417" s="45">
        <v>2020</v>
      </c>
      <c r="D417" s="3">
        <v>29.762537999999999</v>
      </c>
      <c r="E417" s="3">
        <v>-93.137940999999998</v>
      </c>
      <c r="F417" s="3" t="s">
        <v>24</v>
      </c>
      <c r="G417" s="3" t="s">
        <v>24</v>
      </c>
      <c r="H417" s="3" t="s">
        <v>24</v>
      </c>
      <c r="I417" s="43"/>
      <c r="J417" s="55">
        <v>109</v>
      </c>
      <c r="K417" s="4">
        <v>109</v>
      </c>
      <c r="L417" s="22">
        <f>IF(ISNUMBER(Table2[[#This Row],[estHD]]),ABS(Table2[[#This Row],[HD]]-Table2[[#This Row],[estHD]]),"NA")</f>
        <v>0</v>
      </c>
      <c r="M417" s="4" t="b">
        <f>Table2[[#This Row],[HD]]=Table2[[#This Row],[estHD]]</f>
        <v>1</v>
      </c>
      <c r="N417" s="4" t="str">
        <f>IF(ISNUMBER([1]!Table2[[#This Row],[hatch_date]]), [1]!Table2[[#This Row],[hatch_date]]-16, "NA")</f>
        <v>NA</v>
      </c>
      <c r="O417" s="31">
        <v>93</v>
      </c>
      <c r="P417" s="23" t="e">
        <f>IF(ISNUMBER(Table2[[#This Row],[nest_age1]]),ABS(Table2[[#This Row],[nest_age1]]-Table2[[#This Row],[nest_age_feb]]),"NA")</f>
        <v>#VALUE!</v>
      </c>
      <c r="Q417" s="24" t="e">
        <f>IF(ISNUMBER(Table2[[#This Row],[final_obs_int2]]),ABS(Table2[[#This Row],[final_obs_int2]]-Table2[[#This Row],[final_obs_int_feb]]), "NA")</f>
        <v>#VALUE!</v>
      </c>
      <c r="R417" s="24"/>
      <c r="S417" s="57" t="s">
        <v>88</v>
      </c>
      <c r="T417" s="57" t="str">
        <f>Table2[[#This Row],[camera_old]]</f>
        <v>N</v>
      </c>
      <c r="U417" s="24"/>
      <c r="V417" s="16" t="s">
        <v>24</v>
      </c>
      <c r="W417" s="16" t="s">
        <v>24</v>
      </c>
      <c r="X417" s="145" t="s">
        <v>24</v>
      </c>
      <c r="Y417" s="147" t="s">
        <v>24</v>
      </c>
      <c r="Z417" s="146" t="s">
        <v>65</v>
      </c>
      <c r="AA417" s="4" t="str">
        <f>Table2[[#This Row],[field_fate]]</f>
        <v>Ca</v>
      </c>
      <c r="AB417" s="4" t="str">
        <f>Table2[[#This Row],[field_fate2]]</f>
        <v>Ca</v>
      </c>
      <c r="AC417" s="4" t="str">
        <f>Table2[[#This Row],[field_fate3]]</f>
        <v>Ca</v>
      </c>
      <c r="AD417" s="4" t="str">
        <f>Table2[[#This Row],[field_fate4]]</f>
        <v>Ca</v>
      </c>
      <c r="AE417" s="4" t="str">
        <f>Table2[[#This Row],[field_fate5]]</f>
        <v>Ca</v>
      </c>
      <c r="AF417" s="4" t="str">
        <f>Table2[[#This Row],[field_fate5]]</f>
        <v>Ca</v>
      </c>
      <c r="AG417" s="4" t="str">
        <f>Table2[[#This Row],[field_fate5]]</f>
        <v>Ca</v>
      </c>
      <c r="AH417" s="4" t="str">
        <f>Table2[[#This Row],[field_fate2]]</f>
        <v>Ca</v>
      </c>
      <c r="AI417" s="4" t="str">
        <f>Table2[[#This Row],[field_fate8]]</f>
        <v>Ca</v>
      </c>
      <c r="AJ417" s="4" t="str">
        <f>Table2[[#This Row],[field_fate10]]</f>
        <v>Ca</v>
      </c>
      <c r="AK417" s="4" t="b">
        <f>Table2[[#This Row],[field_fate_feb]]=Table2[[#This Row],[field_fate10]]</f>
        <v>0</v>
      </c>
      <c r="AL417" s="43" t="s">
        <v>65</v>
      </c>
      <c r="AM417" s="43" t="b">
        <f>Table2[[#This Row],[cam_fate2]]="NA"</f>
        <v>0</v>
      </c>
      <c r="AN417" s="19" t="str">
        <f>Table2[[#This Row],[cam_fate1]]</f>
        <v>Ca</v>
      </c>
      <c r="AO417" s="2" t="s">
        <v>65</v>
      </c>
      <c r="AP417" s="5" t="str">
        <f>Table2[[#This Row],[final_fate1]]</f>
        <v>Ca</v>
      </c>
      <c r="AQ417" s="6">
        <v>10</v>
      </c>
      <c r="AR417" s="7">
        <v>10</v>
      </c>
      <c r="AS417" s="7">
        <f>Table2[[#This Row],[final_obs_date]]-Table2[[#This Row],[init_date]]</f>
        <v>10</v>
      </c>
      <c r="AT417" s="7">
        <f>(Table2[[#This Row],[final_obs_date2]]-Table2[[#This Row],[estHD]])+16</f>
        <v>10</v>
      </c>
      <c r="AU417" s="38">
        <v>3</v>
      </c>
      <c r="AV417" s="33">
        <v>3</v>
      </c>
      <c r="AW417" s="33">
        <f>Table2[[#This Row],[final_obs_date2]]-Table2[[#This Row],[pen_obs_date]]</f>
        <v>103</v>
      </c>
      <c r="AX417" s="67">
        <v>103</v>
      </c>
      <c r="AY417" s="6">
        <f>Table2[[#This Row],[final_obs_date]]</f>
        <v>103</v>
      </c>
      <c r="AZ417" s="6"/>
      <c r="BA417" s="91" t="s">
        <v>60</v>
      </c>
      <c r="BB417" s="6" t="b">
        <f>Table2[[#This Row],[final_obs_date]]&lt;(Table2[[#This Row],[estHD]]-2)</f>
        <v>1</v>
      </c>
      <c r="BC417" s="24">
        <f>IF(Table2[[#This Row],[field_fate]]="H",1,0)</f>
        <v>0</v>
      </c>
      <c r="BD417" s="16">
        <f>IF(Table2[[#This Row],[cam_fate2]]="H",1,0)</f>
        <v>0</v>
      </c>
      <c r="BE417" s="6" t="b">
        <f>NOT(Table2[[#This Row],[HF_C]]=Table2[[#This Row],[HF]])</f>
        <v>0</v>
      </c>
      <c r="BF417" s="6" t="b">
        <f>NOT(Table2[[#This Row],[cam_fate2]]=Table2[[#This Row],[field_fate3]])</f>
        <v>0</v>
      </c>
      <c r="BG417" s="6" t="b">
        <f>OR(Table2[[#This Row],[field_fate3]]="U",Table2[[#This Row],[field_fate3]]="U-H")</f>
        <v>0</v>
      </c>
      <c r="BH417" s="8">
        <v>96</v>
      </c>
      <c r="BI417" s="8">
        <v>100</v>
      </c>
      <c r="BJ417" s="14">
        <f>IF(ISTEXT(Table2[[#This Row],[j.cam]]),Table2[[#This Row],[j]],Table2[[#This Row],[j.cam]])</f>
        <v>100</v>
      </c>
      <c r="BK417" s="9">
        <v>103</v>
      </c>
      <c r="BL417" s="15">
        <f>IF(ISTEXT(Table2[[#This Row],[k.cam]]), Table2[[#This Row],[k]], Table2[[#This Row],[k.cam]])</f>
        <v>103</v>
      </c>
      <c r="BM417" s="4" t="s">
        <v>24</v>
      </c>
      <c r="BN417" s="8" t="s">
        <v>24</v>
      </c>
      <c r="BO417" s="4">
        <v>3</v>
      </c>
      <c r="BP417" s="4">
        <f>Table2[[#This Row],[final_obs_date]]-Table2[[#This Row],[i]]</f>
        <v>7</v>
      </c>
      <c r="BQ417" s="4" t="b">
        <f>Table2[[#This Row],[final_obs_date2]]&gt;Table2[[#This Row],[estHD]]+3</f>
        <v>0</v>
      </c>
      <c r="BR417" s="4" t="s">
        <v>33</v>
      </c>
      <c r="BS417" s="4" t="s">
        <v>45</v>
      </c>
      <c r="BT417" s="79" t="s">
        <v>1267</v>
      </c>
      <c r="BU417" s="26" t="s">
        <v>132</v>
      </c>
      <c r="BV417" s="79" t="s">
        <v>1450</v>
      </c>
      <c r="BW417" s="49"/>
      <c r="BX417" s="47"/>
      <c r="BY417" s="36" t="s">
        <v>748</v>
      </c>
    </row>
    <row r="418" spans="1:77" ht="15" x14ac:dyDescent="0.35">
      <c r="A418" s="63">
        <v>20400</v>
      </c>
      <c r="B418" s="2" t="s">
        <v>35</v>
      </c>
      <c r="C418" s="45">
        <v>2020</v>
      </c>
      <c r="D418" s="3">
        <v>29.766999999999999</v>
      </c>
      <c r="E418" s="3">
        <v>-93.161580000000001</v>
      </c>
      <c r="F418" s="3">
        <v>10</v>
      </c>
      <c r="G418" s="3">
        <v>10</v>
      </c>
      <c r="H418" s="3" t="s">
        <v>26</v>
      </c>
      <c r="I418" s="43"/>
      <c r="J418" s="116">
        <v>84</v>
      </c>
      <c r="K418" s="4">
        <v>86</v>
      </c>
      <c r="L418" s="22">
        <f>IF(ISNUMBER(Table2[[#This Row],[estHD]]),ABS(Table2[[#This Row],[HD]]-Table2[[#This Row],[estHD]]),"NA")</f>
        <v>2</v>
      </c>
      <c r="M418" s="4" t="b">
        <f>Table2[[#This Row],[HD]]=Table2[[#This Row],[estHD]]</f>
        <v>0</v>
      </c>
      <c r="N418" s="4">
        <f>IF(ISNUMBER(Table2[[#This Row],[HD]]),Table2[[#This Row],[HD]]-19,"NA")</f>
        <v>67</v>
      </c>
      <c r="O418" s="31">
        <v>67</v>
      </c>
      <c r="P418" s="23">
        <f>IF(ISNUMBER(Table2[[#This Row],[nest_age1]]),ABS(Table2[[#This Row],[nest_age1]]-Table2[[#This Row],[nest_age_feb]]),"NA")</f>
        <v>1</v>
      </c>
      <c r="Q418" s="24">
        <f>IF(ISNUMBER(Table2[[#This Row],[final_obs_int2]]),ABS(Table2[[#This Row],[final_obs_int2]]-Table2[[#This Row],[final_obs_int_feb]]), "NA")</f>
        <v>0</v>
      </c>
      <c r="R418" s="24">
        <f>(Table2[[#This Row],[k_adj]]-Table2[[#This Row],[estHD]])/Table2[[#This Row],[estHD]]</f>
        <v>2.3809523809523808E-2</v>
      </c>
      <c r="S418" s="20" t="s">
        <v>75</v>
      </c>
      <c r="T418" s="20" t="str">
        <f>Table2[[#This Row],[camera_old]]</f>
        <v>Y</v>
      </c>
      <c r="U418" s="22" t="s">
        <v>88</v>
      </c>
      <c r="V418" s="16" t="s">
        <v>37</v>
      </c>
      <c r="W418" s="16">
        <v>22</v>
      </c>
      <c r="X418" s="145">
        <v>2</v>
      </c>
      <c r="Y418" s="153" t="s">
        <v>104</v>
      </c>
      <c r="Z418" s="146" t="s">
        <v>104</v>
      </c>
      <c r="AA418" s="5" t="s">
        <v>37</v>
      </c>
      <c r="AB418" s="5" t="s">
        <v>37</v>
      </c>
      <c r="AC418" s="94" t="str">
        <f>Table2[[#This Row],[field_fate3]]</f>
        <v>H</v>
      </c>
      <c r="AD418" s="94" t="str">
        <f>Table2[[#This Row],[field_fate4]]</f>
        <v>H</v>
      </c>
      <c r="AE418" s="94" t="str">
        <f>Table2[[#This Row],[field_fate5]]</f>
        <v>H</v>
      </c>
      <c r="AF418" s="94" t="str">
        <f>Table2[[#This Row],[field_fate5]]</f>
        <v>H</v>
      </c>
      <c r="AG418" s="94" t="str">
        <f>Table2[[#This Row],[field_fate5]]</f>
        <v>H</v>
      </c>
      <c r="AH418" s="94" t="str">
        <f>Table2[[#This Row],[field_fate2]]</f>
        <v>H</v>
      </c>
      <c r="AI418" s="94" t="str">
        <f>Table2[[#This Row],[field_fate8]]</f>
        <v>H</v>
      </c>
      <c r="AJ418" s="94" t="str">
        <f>Table2[[#This Row],[field_fate10]]</f>
        <v>H</v>
      </c>
      <c r="AK418" s="94" t="b">
        <f>Table2[[#This Row],[field_fate_feb]]=Table2[[#This Row],[field_fate10]]</f>
        <v>0</v>
      </c>
      <c r="AL418" s="43" t="s">
        <v>37</v>
      </c>
      <c r="AM418" s="160" t="b">
        <f>Table2[[#This Row],[cam_fate2]]="NA"</f>
        <v>0</v>
      </c>
      <c r="AN418" s="19" t="str">
        <f>Table2[[#This Row],[cam_fate1]]</f>
        <v>H</v>
      </c>
      <c r="AO418" s="2" t="s">
        <v>37</v>
      </c>
      <c r="AP418" s="5" t="str">
        <f>Table2[[#This Row],[final_fate1]]</f>
        <v>H</v>
      </c>
      <c r="AQ418" s="6">
        <v>21</v>
      </c>
      <c r="AR418" s="72">
        <v>23</v>
      </c>
      <c r="AS418" s="155">
        <f>Table2[[#This Row],[final_obs_date]]-Table2[[#This Row],[init_date]]</f>
        <v>21</v>
      </c>
      <c r="AT418" s="155">
        <f>(Table2[[#This Row],[final_obs_date2]]-Table2[[#This Row],[estHD]])+19</f>
        <v>23</v>
      </c>
      <c r="AU418" s="38">
        <v>2</v>
      </c>
      <c r="AV418" s="33">
        <v>2</v>
      </c>
      <c r="AW418" s="33">
        <f>Table2[[#This Row],[final_obs_date2]]-Table2[[#This Row],[pen_obs_date]]</f>
        <v>2</v>
      </c>
      <c r="AX418" s="67">
        <v>88</v>
      </c>
      <c r="AY418" s="157">
        <f>Table2[[#This Row],[final_obs_date]]</f>
        <v>88</v>
      </c>
      <c r="AZ418" s="6">
        <v>86</v>
      </c>
      <c r="BA418" s="92" t="s">
        <v>47</v>
      </c>
      <c r="BB418" s="6" t="b">
        <f>Table2[[#This Row],[final_obs_date]]&lt;(Table2[[#This Row],[estHD]]-2)</f>
        <v>0</v>
      </c>
      <c r="BC418" s="32">
        <f>IF(Table2[[#This Row],[field_fate2]]="H",1,0)</f>
        <v>1</v>
      </c>
      <c r="BD418" s="16">
        <f>IF(Table2[[#This Row],[cam_fate2]]="H",1,0)</f>
        <v>1</v>
      </c>
      <c r="BE418" s="6" t="b">
        <f>NOT(Table2[[#This Row],[HF_C]]=Table2[[#This Row],[HF]])</f>
        <v>0</v>
      </c>
      <c r="BF418" s="38" t="b">
        <f>NOT(Table2[[#This Row],[cam_fate2]]=Table2[[#This Row],[field_fate3]])</f>
        <v>0</v>
      </c>
      <c r="BG418" s="38" t="b">
        <f>OR(Table2[[#This Row],[field_fate3]]="U",Table2[[#This Row],[field_fate3]]="U-H")</f>
        <v>0</v>
      </c>
      <c r="BH418" s="8">
        <v>73</v>
      </c>
      <c r="BI418" s="8">
        <v>88</v>
      </c>
      <c r="BJ418" s="14">
        <f>IF(ISTEXT(Table2[[#This Row],[j.cam]]),Table2[[#This Row],[j]],Table2[[#This Row],[j.cam]])</f>
        <v>86</v>
      </c>
      <c r="BK418" s="8">
        <v>88</v>
      </c>
      <c r="BL418" s="14">
        <f>IF(ISTEXT(Table2[[#This Row],[k.cam]]), Table2[[#This Row],[k]], Table2[[#This Row],[k.cam]])</f>
        <v>86</v>
      </c>
      <c r="BM418" s="4">
        <v>86</v>
      </c>
      <c r="BN418" s="8">
        <v>86</v>
      </c>
      <c r="BO418" s="4">
        <v>6</v>
      </c>
      <c r="BP418" s="4">
        <f>Table2[[#This Row],[final_obs_date]]-Table2[[#This Row],[i]]</f>
        <v>15</v>
      </c>
      <c r="BQ418" s="4" t="b">
        <f>Table2[[#This Row],[final_obs_date2]]&gt;Table2[[#This Row],[estHD]]+3</f>
        <v>1</v>
      </c>
      <c r="BR418" s="3" t="s">
        <v>66</v>
      </c>
      <c r="BS418" s="3" t="s">
        <v>127</v>
      </c>
      <c r="BT418" s="125" t="s">
        <v>1268</v>
      </c>
      <c r="BU418" s="4" t="s">
        <v>323</v>
      </c>
      <c r="BV418" s="79" t="s">
        <v>1621</v>
      </c>
      <c r="BW418" s="69"/>
      <c r="BX418" s="36"/>
      <c r="BY418" s="36" t="s">
        <v>749</v>
      </c>
    </row>
    <row r="419" spans="1:77" hidden="1" x14ac:dyDescent="0.35">
      <c r="A419" s="63">
        <v>20401</v>
      </c>
      <c r="B419" s="2" t="s">
        <v>35</v>
      </c>
      <c r="C419" s="45">
        <v>2020</v>
      </c>
      <c r="D419" s="3">
        <v>29.76698</v>
      </c>
      <c r="E419" s="3">
        <v>-93.161230000000003</v>
      </c>
      <c r="F419" s="3">
        <v>10</v>
      </c>
      <c r="G419" s="3">
        <v>10</v>
      </c>
      <c r="H419" s="3" t="s">
        <v>26</v>
      </c>
      <c r="I419" s="43"/>
      <c r="J419" s="55">
        <v>82</v>
      </c>
      <c r="K419" s="4">
        <v>87</v>
      </c>
      <c r="L419" s="22">
        <f>IF(ISNUMBER(Table2[[#This Row],[estHD]]),ABS(Table2[[#This Row],[HD]]-Table2[[#This Row],[estHD]]),"NA")</f>
        <v>5</v>
      </c>
      <c r="M419" s="4" t="b">
        <f>Table2[[#This Row],[HD]]=Table2[[#This Row],[estHD]]</f>
        <v>0</v>
      </c>
      <c r="N419" s="4" t="str">
        <f>IF(ISNUMBER([1]!Table2[[#This Row],[hatch_date]]),[1]!Table2[[#This Row],[hatch_date]]-19,"NA")</f>
        <v>NA</v>
      </c>
      <c r="O419" s="31">
        <v>68</v>
      </c>
      <c r="P419" s="23">
        <f>IF(ISNUMBER(Table2[[#This Row],[nest_age1]]),ABS(Table2[[#This Row],[nest_age1]]-Table2[[#This Row],[nest_age_feb]]),"NA")</f>
        <v>4</v>
      </c>
      <c r="Q419" s="24">
        <f>IF(ISNUMBER(Table2[[#This Row],[final_obs_int2]]),ABS(Table2[[#This Row],[final_obs_int2]]-Table2[[#This Row],[final_obs_int_feb]]), "NA")</f>
        <v>0</v>
      </c>
      <c r="R419" s="24"/>
      <c r="S419" s="57" t="s">
        <v>88</v>
      </c>
      <c r="T419" s="57" t="str">
        <f>Table2[[#This Row],[camera_old]]</f>
        <v>N</v>
      </c>
      <c r="U419" s="24"/>
      <c r="V419" s="16" t="s">
        <v>24</v>
      </c>
      <c r="W419" s="16">
        <v>24</v>
      </c>
      <c r="X419" s="145">
        <v>2</v>
      </c>
      <c r="Y419" s="149" t="s">
        <v>37</v>
      </c>
      <c r="Z419" s="146" t="s">
        <v>37</v>
      </c>
      <c r="AA419" s="4" t="str">
        <f>Table2[[#This Row],[field_fate]]</f>
        <v>H</v>
      </c>
      <c r="AB419" s="4" t="str">
        <f>Table2[[#This Row],[field_fate2]]</f>
        <v>H</v>
      </c>
      <c r="AC419" s="4" t="str">
        <f>Table2[[#This Row],[field_fate3]]</f>
        <v>H</v>
      </c>
      <c r="AD419" s="4" t="str">
        <f>Table2[[#This Row],[field_fate4]]</f>
        <v>H</v>
      </c>
      <c r="AE419" s="4" t="str">
        <f>Table2[[#This Row],[field_fate5]]</f>
        <v>H</v>
      </c>
      <c r="AF419" s="4" t="str">
        <f>Table2[[#This Row],[field_fate5]]</f>
        <v>H</v>
      </c>
      <c r="AG419" s="4" t="str">
        <f>Table2[[#This Row],[field_fate5]]</f>
        <v>H</v>
      </c>
      <c r="AH419" s="4" t="str">
        <f>Table2[[#This Row],[field_fate2]]</f>
        <v>H</v>
      </c>
      <c r="AI419" s="4" t="str">
        <f>Table2[[#This Row],[field_fate8]]</f>
        <v>H</v>
      </c>
      <c r="AJ419" s="4" t="str">
        <f>Table2[[#This Row],[field_fate10]]</f>
        <v>H</v>
      </c>
      <c r="AK419" s="4" t="b">
        <f>Table2[[#This Row],[field_fate_feb]]=Table2[[#This Row],[field_fate10]]</f>
        <v>1</v>
      </c>
      <c r="AL419" s="43" t="s">
        <v>24</v>
      </c>
      <c r="AM419" s="43" t="b">
        <f>Table2[[#This Row],[cam_fate2]]="NA"</f>
        <v>1</v>
      </c>
      <c r="AN419" s="19" t="str">
        <f>Table2[[#This Row],[cam_fate1]]</f>
        <v>NA</v>
      </c>
      <c r="AO419" s="2" t="s">
        <v>37</v>
      </c>
      <c r="AP419" s="5" t="str">
        <f>Table2[[#This Row],[final_fate1]]</f>
        <v>H</v>
      </c>
      <c r="AQ419" s="6">
        <v>20</v>
      </c>
      <c r="AR419" s="7">
        <v>25</v>
      </c>
      <c r="AS419" s="7">
        <f>Table2[[#This Row],[final_obs_date]]-Table2[[#This Row],[init_date]]</f>
        <v>20</v>
      </c>
      <c r="AT419" s="7">
        <f>(Table2[[#This Row],[final_obs_date2]]-Table2[[#This Row],[estHD]])+16</f>
        <v>22</v>
      </c>
      <c r="AU419" s="38">
        <v>2</v>
      </c>
      <c r="AV419" s="33">
        <v>2</v>
      </c>
      <c r="AW419" s="33">
        <f>Table2[[#This Row],[final_obs_date2]]-Table2[[#This Row],[pen_obs_date]]</f>
        <v>88</v>
      </c>
      <c r="AX419" s="67">
        <v>88</v>
      </c>
      <c r="AY419" s="6">
        <f>Table2[[#This Row],[final_obs_date]]</f>
        <v>88</v>
      </c>
      <c r="AZ419" s="6"/>
      <c r="BA419" s="91" t="s">
        <v>47</v>
      </c>
      <c r="BB419" s="6" t="b">
        <f>Table2[[#This Row],[final_obs_date]]&lt;(Table2[[#This Row],[estHD]]-2)</f>
        <v>0</v>
      </c>
      <c r="BC419" s="24">
        <f>IF(Table2[[#This Row],[field_fate]]="H",1,0)</f>
        <v>1</v>
      </c>
      <c r="BD419" s="16">
        <f>IF(Table2[[#This Row],[cam_fate2]]="H",1,0)</f>
        <v>0</v>
      </c>
      <c r="BE419" s="6" t="b">
        <f>NOT(Table2[[#This Row],[HF_C]]=Table2[[#This Row],[HF]])</f>
        <v>1</v>
      </c>
      <c r="BF419" s="6" t="b">
        <f>NOT(Table2[[#This Row],[cam_fate2]]=Table2[[#This Row],[field_fate3]])</f>
        <v>1</v>
      </c>
      <c r="BG419" s="6" t="b">
        <f>OR(Table2[[#This Row],[field_fate3]]="U",Table2[[#This Row],[field_fate3]]="U-H")</f>
        <v>0</v>
      </c>
      <c r="BH419" s="8">
        <v>73</v>
      </c>
      <c r="BI419" s="8">
        <v>87</v>
      </c>
      <c r="BJ419" s="14">
        <f>IF(ISTEXT(Table2[[#This Row],[j.cam]]),Table2[[#This Row],[j]],Table2[[#This Row],[j.cam]])</f>
        <v>87</v>
      </c>
      <c r="BK419" s="9">
        <v>87</v>
      </c>
      <c r="BL419" s="15">
        <f>IF(ISTEXT(Table2[[#This Row],[k.cam]]), Table2[[#This Row],[k]], Table2[[#This Row],[k.cam]])</f>
        <v>87</v>
      </c>
      <c r="BM419" s="4" t="s">
        <v>24</v>
      </c>
      <c r="BN419" s="8" t="s">
        <v>24</v>
      </c>
      <c r="BO419" s="4">
        <v>6</v>
      </c>
      <c r="BP419" s="4">
        <f>Table2[[#This Row],[final_obs_date]]-Table2[[#This Row],[i]]</f>
        <v>15</v>
      </c>
      <c r="BQ419" s="4" t="b">
        <f>Table2[[#This Row],[final_obs_date2]]&gt;Table2[[#This Row],[estHD]]+3</f>
        <v>1</v>
      </c>
      <c r="BR419" s="4" t="s">
        <v>66</v>
      </c>
      <c r="BS419" s="4" t="s">
        <v>45</v>
      </c>
      <c r="BT419" s="79" t="s">
        <v>1268</v>
      </c>
      <c r="BU419" s="26" t="s">
        <v>324</v>
      </c>
      <c r="BV419" s="79" t="s">
        <v>1621</v>
      </c>
      <c r="BW419" s="49"/>
      <c r="BX419" s="47"/>
      <c r="BY419" s="36" t="s">
        <v>750</v>
      </c>
    </row>
    <row r="420" spans="1:77" ht="15" hidden="1" x14ac:dyDescent="0.35">
      <c r="A420" s="63">
        <v>20402</v>
      </c>
      <c r="B420" s="2" t="s">
        <v>35</v>
      </c>
      <c r="C420" s="45">
        <v>2020</v>
      </c>
      <c r="D420" s="3">
        <v>29.766950000000001</v>
      </c>
      <c r="E420" s="3">
        <v>-93.161230000000003</v>
      </c>
      <c r="F420" s="3">
        <v>5</v>
      </c>
      <c r="G420" s="3">
        <v>10</v>
      </c>
      <c r="H420" s="3" t="s">
        <v>26</v>
      </c>
      <c r="I420" s="43"/>
      <c r="J420" s="116">
        <v>88</v>
      </c>
      <c r="K420" s="4">
        <v>90</v>
      </c>
      <c r="L420" s="22">
        <f>IF(ISNUMBER(Table2[[#This Row],[estHD]]),ABS(Table2[[#This Row],[HD]]-Table2[[#This Row],[estHD]]),"NA")</f>
        <v>2</v>
      </c>
      <c r="M420" s="4" t="b">
        <f>Table2[[#This Row],[HD]]=Table2[[#This Row],[estHD]]</f>
        <v>0</v>
      </c>
      <c r="N420" s="4">
        <f>IF(ISNUMBER(Table2[[#This Row],[HD]]),Table2[[#This Row],[HD]]-19,"NA")</f>
        <v>71</v>
      </c>
      <c r="O420" s="31">
        <v>71</v>
      </c>
      <c r="P420" s="23">
        <f>IF(ISNUMBER(Table2[[#This Row],[nest_age1]]),ABS(Table2[[#This Row],[nest_age1]]-Table2[[#This Row],[nest_age_feb]]),"NA")</f>
        <v>1</v>
      </c>
      <c r="Q420" s="24">
        <f>IF(ISNUMBER(Table2[[#This Row],[final_obs_int2]]),ABS(Table2[[#This Row],[final_obs_int2]]-Table2[[#This Row],[final_obs_int_feb]]), "NA")</f>
        <v>0</v>
      </c>
      <c r="R420" s="24">
        <f>(Table2[[#This Row],[k_adj]]-Table2[[#This Row],[estHD]])/Table2[[#This Row],[estHD]]</f>
        <v>2.2727272727272728E-2</v>
      </c>
      <c r="S420" s="20" t="s">
        <v>75</v>
      </c>
      <c r="T420" s="20" t="str">
        <f>Table2[[#This Row],[camera_old]]</f>
        <v>Y</v>
      </c>
      <c r="U420" s="22" t="s">
        <v>88</v>
      </c>
      <c r="V420" s="16" t="s">
        <v>37</v>
      </c>
      <c r="W420" s="16">
        <v>22</v>
      </c>
      <c r="X420" s="145">
        <v>4</v>
      </c>
      <c r="Y420" s="147" t="s">
        <v>37</v>
      </c>
      <c r="Z420" s="146" t="s">
        <v>37</v>
      </c>
      <c r="AA420" s="4" t="str">
        <f>Table2[[#This Row],[field_fate]]</f>
        <v>H</v>
      </c>
      <c r="AB420" s="4" t="str">
        <f>Table2[[#This Row],[field_fate2]]</f>
        <v>H</v>
      </c>
      <c r="AC420" s="94" t="str">
        <f>Table2[[#This Row],[field_fate3]]</f>
        <v>H</v>
      </c>
      <c r="AD420" s="94" t="str">
        <f>Table2[[#This Row],[field_fate4]]</f>
        <v>H</v>
      </c>
      <c r="AE420" s="94" t="str">
        <f>Table2[[#This Row],[field_fate5]]</f>
        <v>H</v>
      </c>
      <c r="AF420" s="94" t="str">
        <f>Table2[[#This Row],[field_fate5]]</f>
        <v>H</v>
      </c>
      <c r="AG420" s="94" t="str">
        <f>Table2[[#This Row],[field_fate5]]</f>
        <v>H</v>
      </c>
      <c r="AH420" s="94" t="str">
        <f>Table2[[#This Row],[field_fate2]]</f>
        <v>H</v>
      </c>
      <c r="AI420" s="94" t="str">
        <f>Table2[[#This Row],[field_fate8]]</f>
        <v>H</v>
      </c>
      <c r="AJ420" s="94" t="str">
        <f>Table2[[#This Row],[field_fate10]]</f>
        <v>H</v>
      </c>
      <c r="AK420" s="94" t="b">
        <f>Table2[[#This Row],[field_fate_feb]]=Table2[[#This Row],[field_fate10]]</f>
        <v>1</v>
      </c>
      <c r="AL420" s="43" t="s">
        <v>37</v>
      </c>
      <c r="AM420" s="160" t="b">
        <f>Table2[[#This Row],[cam_fate2]]="NA"</f>
        <v>0</v>
      </c>
      <c r="AN420" s="19" t="str">
        <f>Table2[[#This Row],[cam_fate1]]</f>
        <v>H</v>
      </c>
      <c r="AO420" s="2" t="s">
        <v>37</v>
      </c>
      <c r="AP420" s="5" t="str">
        <f>Table2[[#This Row],[final_fate1]]</f>
        <v>H</v>
      </c>
      <c r="AQ420" s="6">
        <v>21</v>
      </c>
      <c r="AR420" s="72">
        <v>23</v>
      </c>
      <c r="AS420" s="155">
        <f>Table2[[#This Row],[final_obs_date]]-Table2[[#This Row],[init_date]]</f>
        <v>21</v>
      </c>
      <c r="AT420" s="155">
        <f>(Table2[[#This Row],[final_obs_date2]]-Table2[[#This Row],[estHD]])+19</f>
        <v>23</v>
      </c>
      <c r="AU420" s="38">
        <v>4</v>
      </c>
      <c r="AV420" s="33">
        <v>4</v>
      </c>
      <c r="AW420" s="33">
        <f>Table2[[#This Row],[final_obs_date2]]-Table2[[#This Row],[pen_obs_date]]</f>
        <v>4</v>
      </c>
      <c r="AX420" s="67">
        <v>92</v>
      </c>
      <c r="AY420" s="157">
        <f>Table2[[#This Row],[final_obs_date]]</f>
        <v>92</v>
      </c>
      <c r="AZ420" s="6">
        <v>88</v>
      </c>
      <c r="BA420" s="92" t="s">
        <v>47</v>
      </c>
      <c r="BB420" s="6" t="b">
        <f>Table2[[#This Row],[final_obs_date]]&lt;(Table2[[#This Row],[estHD]]-2)</f>
        <v>0</v>
      </c>
      <c r="BC420" s="32">
        <f>IF(Table2[[#This Row],[field_fate]]="H",1,0)</f>
        <v>1</v>
      </c>
      <c r="BD420" s="16">
        <f>IF(Table2[[#This Row],[cam_fate2]]="H",1,0)</f>
        <v>1</v>
      </c>
      <c r="BE420" s="6" t="b">
        <f>NOT(Table2[[#This Row],[HF_C]]=Table2[[#This Row],[HF]])</f>
        <v>0</v>
      </c>
      <c r="BF420" s="38" t="b">
        <f>NOT(Table2[[#This Row],[cam_fate2]]=Table2[[#This Row],[field_fate3]])</f>
        <v>0</v>
      </c>
      <c r="BG420" s="38" t="b">
        <f>OR(Table2[[#This Row],[field_fate3]]="U",Table2[[#This Row],[field_fate3]]="U-H")</f>
        <v>0</v>
      </c>
      <c r="BH420" s="8">
        <v>73</v>
      </c>
      <c r="BI420" s="8">
        <v>90</v>
      </c>
      <c r="BJ420" s="14">
        <f>IF(ISTEXT(Table2[[#This Row],[j.cam]]),Table2[[#This Row],[j]],Table2[[#This Row],[j.cam]])</f>
        <v>90</v>
      </c>
      <c r="BK420" s="8">
        <v>90</v>
      </c>
      <c r="BL420" s="14">
        <f>IF(ISTEXT(Table2[[#This Row],[k.cam]]), Table2[[#This Row],[k]], Table2[[#This Row],[k.cam]])</f>
        <v>90</v>
      </c>
      <c r="BM420" s="4" t="s">
        <v>24</v>
      </c>
      <c r="BN420" s="8" t="s">
        <v>24</v>
      </c>
      <c r="BO420" s="4">
        <v>7</v>
      </c>
      <c r="BP420" s="4">
        <f>Table2[[#This Row],[final_obs_date]]-Table2[[#This Row],[i]]</f>
        <v>19</v>
      </c>
      <c r="BQ420" s="4" t="b">
        <f>Table2[[#This Row],[final_obs_date2]]&gt;Table2[[#This Row],[estHD]]+3</f>
        <v>1</v>
      </c>
      <c r="BR420" s="3" t="s">
        <v>33</v>
      </c>
      <c r="BS420" s="3" t="s">
        <v>127</v>
      </c>
      <c r="BT420" s="125" t="s">
        <v>1269</v>
      </c>
      <c r="BU420" s="4" t="s">
        <v>325</v>
      </c>
      <c r="BV420" s="79" t="s">
        <v>1622</v>
      </c>
      <c r="BW420" s="69"/>
      <c r="BX420" s="36"/>
      <c r="BY420" s="36" t="s">
        <v>751</v>
      </c>
    </row>
    <row r="421" spans="1:77" hidden="1" x14ac:dyDescent="0.35">
      <c r="A421" s="63">
        <v>20403</v>
      </c>
      <c r="B421" s="2" t="s">
        <v>35</v>
      </c>
      <c r="C421" s="45">
        <v>2020</v>
      </c>
      <c r="D421" s="3">
        <v>29.76698</v>
      </c>
      <c r="E421" s="3">
        <v>-93.161609999999996</v>
      </c>
      <c r="F421" s="3">
        <v>10</v>
      </c>
      <c r="G421" s="3">
        <v>10</v>
      </c>
      <c r="H421" s="3" t="s">
        <v>26</v>
      </c>
      <c r="I421" s="43"/>
      <c r="J421" s="55">
        <v>92</v>
      </c>
      <c r="K421" s="4">
        <v>92</v>
      </c>
      <c r="L421" s="22">
        <f>IF(ISNUMBER(Table2[[#This Row],[estHD]]),ABS(Table2[[#This Row],[HD]]-Table2[[#This Row],[estHD]]),"NA")</f>
        <v>0</v>
      </c>
      <c r="M421" s="4" t="b">
        <f>Table2[[#This Row],[HD]]=Table2[[#This Row],[estHD]]</f>
        <v>1</v>
      </c>
      <c r="N421" s="4" t="str">
        <f>IF(ISNUMBER([1]!Table2[[#This Row],[hatch_date]]),[1]!Table2[[#This Row],[hatch_date]]-19,"NA")</f>
        <v>NA</v>
      </c>
      <c r="O421" s="31">
        <v>73</v>
      </c>
      <c r="P421" s="23">
        <f>IF(ISNUMBER(Table2[[#This Row],[nest_age1]]),ABS(Table2[[#This Row],[nest_age1]]-Table2[[#This Row],[nest_age_feb]]),"NA")</f>
        <v>1</v>
      </c>
      <c r="Q421" s="24">
        <f>IF(ISNUMBER(Table2[[#This Row],[final_obs_int2]]),ABS(Table2[[#This Row],[final_obs_int2]]-Table2[[#This Row],[final_obs_int_feb]]), "NA")</f>
        <v>0</v>
      </c>
      <c r="R421" s="24"/>
      <c r="S421" s="57" t="s">
        <v>88</v>
      </c>
      <c r="T421" s="57" t="str">
        <f>Table2[[#This Row],[camera_old]]</f>
        <v>N</v>
      </c>
      <c r="U421" s="24"/>
      <c r="V421" s="16" t="s">
        <v>24</v>
      </c>
      <c r="W421" s="16">
        <v>10</v>
      </c>
      <c r="X421" s="145">
        <v>4</v>
      </c>
      <c r="Y421" s="147" t="s">
        <v>65</v>
      </c>
      <c r="Z421" s="146" t="s">
        <v>65</v>
      </c>
      <c r="AA421" s="4" t="str">
        <f>Table2[[#This Row],[field_fate]]</f>
        <v>Ca</v>
      </c>
      <c r="AB421" s="4" t="str">
        <f>Table2[[#This Row],[field_fate2]]</f>
        <v>Ca</v>
      </c>
      <c r="AC421" s="4" t="str">
        <f>Table2[[#This Row],[field_fate3]]</f>
        <v>Ca</v>
      </c>
      <c r="AD421" s="4" t="str">
        <f>Table2[[#This Row],[field_fate4]]</f>
        <v>Ca</v>
      </c>
      <c r="AE421" s="4" t="str">
        <f>Table2[[#This Row],[field_fate5]]</f>
        <v>Ca</v>
      </c>
      <c r="AF421" s="4" t="str">
        <f>Table2[[#This Row],[field_fate5]]</f>
        <v>Ca</v>
      </c>
      <c r="AG421" s="4" t="str">
        <f>Table2[[#This Row],[field_fate5]]</f>
        <v>Ca</v>
      </c>
      <c r="AH421" s="4" t="str">
        <f>Table2[[#This Row],[field_fate2]]</f>
        <v>Ca</v>
      </c>
      <c r="AI421" s="4" t="str">
        <f>Table2[[#This Row],[field_fate8]]</f>
        <v>Ca</v>
      </c>
      <c r="AJ421" s="4" t="str">
        <f>Table2[[#This Row],[field_fate10]]</f>
        <v>Ca</v>
      </c>
      <c r="AK421" s="4" t="b">
        <f>Table2[[#This Row],[field_fate_feb]]=Table2[[#This Row],[field_fate10]]</f>
        <v>1</v>
      </c>
      <c r="AL421" s="43" t="s">
        <v>24</v>
      </c>
      <c r="AM421" s="43" t="b">
        <f>Table2[[#This Row],[cam_fate2]]="NA"</f>
        <v>1</v>
      </c>
      <c r="AN421" s="19" t="str">
        <f>Table2[[#This Row],[cam_fate1]]</f>
        <v>NA</v>
      </c>
      <c r="AO421" s="2" t="s">
        <v>65</v>
      </c>
      <c r="AP421" s="5" t="str">
        <f>Table2[[#This Row],[final_fate1]]</f>
        <v>Ca</v>
      </c>
      <c r="AQ421" s="6">
        <v>11</v>
      </c>
      <c r="AR421" s="7">
        <v>11</v>
      </c>
      <c r="AS421" s="7">
        <f>Table2[[#This Row],[final_obs_date]]-Table2[[#This Row],[init_date]]</f>
        <v>11</v>
      </c>
      <c r="AT421" s="7">
        <f>(Table2[[#This Row],[final_obs_date2]]-Table2[[#This Row],[estHD]])+16</f>
        <v>8</v>
      </c>
      <c r="AU421" s="38">
        <v>4</v>
      </c>
      <c r="AV421" s="33">
        <v>4</v>
      </c>
      <c r="AW421" s="33">
        <f>Table2[[#This Row],[final_obs_date2]]-Table2[[#This Row],[pen_obs_date]]</f>
        <v>84</v>
      </c>
      <c r="AX421" s="67">
        <v>84</v>
      </c>
      <c r="AY421" s="6">
        <f>Table2[[#This Row],[final_obs_date]]</f>
        <v>84</v>
      </c>
      <c r="AZ421" s="6"/>
      <c r="BA421" s="91" t="s">
        <v>47</v>
      </c>
      <c r="BB421" s="6" t="b">
        <f>Table2[[#This Row],[final_obs_date]]&lt;(Table2[[#This Row],[estHD]]-2)</f>
        <v>1</v>
      </c>
      <c r="BC421" s="24">
        <f>IF(Table2[[#This Row],[field_fate]]="H",1,0)</f>
        <v>0</v>
      </c>
      <c r="BD421" s="16">
        <f>IF(Table2[[#This Row],[cam_fate2]]="H",1,0)</f>
        <v>0</v>
      </c>
      <c r="BE421" s="6" t="b">
        <f>NOT(Table2[[#This Row],[HF_C]]=Table2[[#This Row],[HF]])</f>
        <v>0</v>
      </c>
      <c r="BF421" s="6" t="b">
        <f>NOT(Table2[[#This Row],[cam_fate2]]=Table2[[#This Row],[field_fate3]])</f>
        <v>1</v>
      </c>
      <c r="BG421" s="6" t="b">
        <f>OR(Table2[[#This Row],[field_fate3]]="U",Table2[[#This Row],[field_fate3]]="U-H")</f>
        <v>0</v>
      </c>
      <c r="BH421" s="8">
        <v>73</v>
      </c>
      <c r="BI421" s="8">
        <v>80</v>
      </c>
      <c r="BJ421" s="14">
        <f>IF(ISTEXT(Table2[[#This Row],[j.cam]]),Table2[[#This Row],[j]],Table2[[#This Row],[j.cam]])</f>
        <v>80</v>
      </c>
      <c r="BK421" s="9">
        <v>84</v>
      </c>
      <c r="BL421" s="15">
        <f>IF(ISTEXT(Table2[[#This Row],[k.cam]]), Table2[[#This Row],[k]], Table2[[#This Row],[k.cam]])</f>
        <v>84</v>
      </c>
      <c r="BM421" s="4" t="s">
        <v>24</v>
      </c>
      <c r="BN421" s="8" t="s">
        <v>24</v>
      </c>
      <c r="BO421" s="4">
        <v>4</v>
      </c>
      <c r="BP421" s="4">
        <f>Table2[[#This Row],[final_obs_date]]-Table2[[#This Row],[i]]</f>
        <v>11</v>
      </c>
      <c r="BQ421" s="4" t="b">
        <f>Table2[[#This Row],[final_obs_date2]]&gt;Table2[[#This Row],[estHD]]+3</f>
        <v>0</v>
      </c>
      <c r="BR421" s="4" t="s">
        <v>66</v>
      </c>
      <c r="BS421" s="4" t="s">
        <v>45</v>
      </c>
      <c r="BT421" s="79" t="s">
        <v>1270</v>
      </c>
      <c r="BU421" s="26" t="s">
        <v>326</v>
      </c>
      <c r="BV421" s="79" t="s">
        <v>1623</v>
      </c>
      <c r="BW421" s="49"/>
      <c r="BX421" s="47"/>
      <c r="BY421" s="36" t="s">
        <v>752</v>
      </c>
    </row>
    <row r="422" spans="1:77" hidden="1" x14ac:dyDescent="0.35">
      <c r="A422" s="63">
        <v>20404</v>
      </c>
      <c r="B422" s="2" t="s">
        <v>35</v>
      </c>
      <c r="C422" s="45">
        <v>2020</v>
      </c>
      <c r="D422" s="3">
        <v>29.768920000000001</v>
      </c>
      <c r="E422" s="3">
        <v>-93.168940000000006</v>
      </c>
      <c r="F422" s="3">
        <v>90</v>
      </c>
      <c r="G422" s="3">
        <v>90</v>
      </c>
      <c r="H422" s="3" t="s">
        <v>26</v>
      </c>
      <c r="I422" s="43"/>
      <c r="J422" s="55">
        <v>88</v>
      </c>
      <c r="K422" s="4">
        <v>88</v>
      </c>
      <c r="L422" s="22">
        <f>IF(ISNUMBER(Table2[[#This Row],[estHD]]),ABS(Table2[[#This Row],[HD]]-Table2[[#This Row],[estHD]]),"NA")</f>
        <v>0</v>
      </c>
      <c r="M422" s="4" t="b">
        <f>Table2[[#This Row],[HD]]=Table2[[#This Row],[estHD]]</f>
        <v>1</v>
      </c>
      <c r="N422" s="4" t="str">
        <f>IF(ISNUMBER([1]!Table2[[#This Row],[hatch_date]]), [1]!Table2[[#This Row],[hatch_date]]-16, "NA")</f>
        <v>NA</v>
      </c>
      <c r="O422" s="31">
        <v>72</v>
      </c>
      <c r="P422" s="23">
        <f>IF(ISNUMBER(Table2[[#This Row],[nest_age1]]),ABS(Table2[[#This Row],[nest_age1]]-Table2[[#This Row],[nest_age_feb]]),"NA")</f>
        <v>1</v>
      </c>
      <c r="Q422" s="24">
        <f>IF(ISNUMBER(Table2[[#This Row],[final_obs_int2]]),ABS(Table2[[#This Row],[final_obs_int2]]-Table2[[#This Row],[final_obs_int_feb]]), "NA")</f>
        <v>0</v>
      </c>
      <c r="R422" s="24"/>
      <c r="S422" s="57" t="s">
        <v>88</v>
      </c>
      <c r="T422" s="57" t="str">
        <f>Table2[[#This Row],[camera_old]]</f>
        <v>N</v>
      </c>
      <c r="U422" s="24"/>
      <c r="V422" s="16" t="s">
        <v>24</v>
      </c>
      <c r="W422" s="16">
        <v>7</v>
      </c>
      <c r="X422" s="145">
        <v>4</v>
      </c>
      <c r="Y422" s="148" t="s">
        <v>65</v>
      </c>
      <c r="Z422" s="146" t="s">
        <v>65</v>
      </c>
      <c r="AA422" s="4" t="str">
        <f>Table2[[#This Row],[field_fate]]</f>
        <v>Ca</v>
      </c>
      <c r="AB422" s="4" t="str">
        <f>Table2[[#This Row],[field_fate2]]</f>
        <v>Ca</v>
      </c>
      <c r="AC422" s="4" t="str">
        <f>Table2[[#This Row],[field_fate3]]</f>
        <v>Ca</v>
      </c>
      <c r="AD422" s="4" t="str">
        <f>Table2[[#This Row],[field_fate4]]</f>
        <v>Ca</v>
      </c>
      <c r="AE422" s="4" t="str">
        <f>Table2[[#This Row],[field_fate5]]</f>
        <v>Ca</v>
      </c>
      <c r="AF422" s="4" t="str">
        <f>Table2[[#This Row],[field_fate5]]</f>
        <v>Ca</v>
      </c>
      <c r="AG422" s="4" t="str">
        <f>Table2[[#This Row],[field_fate5]]</f>
        <v>Ca</v>
      </c>
      <c r="AH422" s="4" t="str">
        <f>Table2[[#This Row],[field_fate2]]</f>
        <v>Ca</v>
      </c>
      <c r="AI422" s="4" t="str">
        <f>Table2[[#This Row],[field_fate8]]</f>
        <v>Ca</v>
      </c>
      <c r="AJ422" s="4" t="str">
        <f>Table2[[#This Row],[field_fate10]]</f>
        <v>Ca</v>
      </c>
      <c r="AK422" s="4" t="b">
        <f>Table2[[#This Row],[field_fate_feb]]=Table2[[#This Row],[field_fate10]]</f>
        <v>1</v>
      </c>
      <c r="AL422" s="43" t="s">
        <v>24</v>
      </c>
      <c r="AM422" s="43" t="b">
        <f>Table2[[#This Row],[cam_fate2]]="NA"</f>
        <v>1</v>
      </c>
      <c r="AN422" s="19" t="str">
        <f>Table2[[#This Row],[cam_fate1]]</f>
        <v>NA</v>
      </c>
      <c r="AO422" s="2" t="s">
        <v>65</v>
      </c>
      <c r="AP422" s="5" t="str">
        <f>Table2[[#This Row],[final_fate1]]</f>
        <v>Ca</v>
      </c>
      <c r="AQ422" s="6">
        <v>8</v>
      </c>
      <c r="AR422" s="7">
        <v>8</v>
      </c>
      <c r="AS422" s="7">
        <f>Table2[[#This Row],[final_obs_date]]-Table2[[#This Row],[init_date]]</f>
        <v>8</v>
      </c>
      <c r="AT422" s="7">
        <f>(Table2[[#This Row],[final_obs_date2]]-Table2[[#This Row],[estHD]])+16</f>
        <v>8</v>
      </c>
      <c r="AU422" s="38">
        <v>4</v>
      </c>
      <c r="AV422" s="33">
        <v>4</v>
      </c>
      <c r="AW422" s="33">
        <f>Table2[[#This Row],[final_obs_date2]]-Table2[[#This Row],[pen_obs_date]]</f>
        <v>80</v>
      </c>
      <c r="AX422" s="67">
        <v>80</v>
      </c>
      <c r="AY422" s="6">
        <f>Table2[[#This Row],[final_obs_date]]</f>
        <v>80</v>
      </c>
      <c r="AZ422" s="6"/>
      <c r="BA422" s="91" t="s">
        <v>60</v>
      </c>
      <c r="BB422" s="6" t="b">
        <f>Table2[[#This Row],[final_obs_date]]&lt;(Table2[[#This Row],[estHD]]-2)</f>
        <v>1</v>
      </c>
      <c r="BC422" s="24">
        <f>IF(Table2[[#This Row],[field_fate]]="H",1,0)</f>
        <v>0</v>
      </c>
      <c r="BD422" s="16">
        <f>IF(Table2[[#This Row],[cam_fate2]]="H",1,0)</f>
        <v>0</v>
      </c>
      <c r="BE422" s="6" t="b">
        <f>NOT(Table2[[#This Row],[HF_C]]=Table2[[#This Row],[HF]])</f>
        <v>0</v>
      </c>
      <c r="BF422" s="6" t="b">
        <f>NOT(Table2[[#This Row],[cam_fate2]]=Table2[[#This Row],[field_fate3]])</f>
        <v>1</v>
      </c>
      <c r="BG422" s="6" t="b">
        <f>OR(Table2[[#This Row],[field_fate3]]="U",Table2[[#This Row],[field_fate3]]="U-H")</f>
        <v>0</v>
      </c>
      <c r="BH422" s="8">
        <v>73</v>
      </c>
      <c r="BI422" s="8">
        <v>76</v>
      </c>
      <c r="BJ422" s="14">
        <f>IF(ISTEXT(Table2[[#This Row],[j.cam]]),Table2[[#This Row],[j]],Table2[[#This Row],[j.cam]])</f>
        <v>76</v>
      </c>
      <c r="BK422" s="9">
        <v>80</v>
      </c>
      <c r="BL422" s="15">
        <f>IF(ISTEXT(Table2[[#This Row],[k.cam]]), Table2[[#This Row],[k]], Table2[[#This Row],[k.cam]])</f>
        <v>80</v>
      </c>
      <c r="BM422" s="4" t="s">
        <v>24</v>
      </c>
      <c r="BN422" s="8" t="s">
        <v>24</v>
      </c>
      <c r="BO422" s="4">
        <v>3</v>
      </c>
      <c r="BP422" s="4">
        <f>Table2[[#This Row],[final_obs_date]]-Table2[[#This Row],[i]]</f>
        <v>7</v>
      </c>
      <c r="BQ422" s="4" t="b">
        <f>Table2[[#This Row],[final_obs_date2]]&gt;Table2[[#This Row],[estHD]]+3</f>
        <v>0</v>
      </c>
      <c r="BR422" s="4" t="s">
        <v>58</v>
      </c>
      <c r="BS422" s="4" t="s">
        <v>45</v>
      </c>
      <c r="BT422" s="79" t="s">
        <v>1271</v>
      </c>
      <c r="BU422" s="26" t="s">
        <v>133</v>
      </c>
      <c r="BV422" s="79" t="s">
        <v>1624</v>
      </c>
      <c r="BW422" s="49"/>
      <c r="BX422" s="47"/>
      <c r="BY422" s="36" t="s">
        <v>753</v>
      </c>
    </row>
    <row r="423" spans="1:77" ht="15" x14ac:dyDescent="0.35">
      <c r="A423" s="60">
        <v>20405</v>
      </c>
      <c r="B423" s="2" t="s">
        <v>35</v>
      </c>
      <c r="C423" s="45">
        <v>2020</v>
      </c>
      <c r="D423" s="3">
        <v>29.76446</v>
      </c>
      <c r="E423" s="3">
        <v>-93.148880000000005</v>
      </c>
      <c r="F423" s="3">
        <v>50</v>
      </c>
      <c r="G423" s="3">
        <v>50</v>
      </c>
      <c r="H423" s="3" t="s">
        <v>462</v>
      </c>
      <c r="I423" s="43"/>
      <c r="J423" s="116">
        <v>92</v>
      </c>
      <c r="K423" s="4">
        <v>94</v>
      </c>
      <c r="L423" s="22">
        <f>IF(ISNUMBER(Table2[[#This Row],[estHD]]),ABS(Table2[[#This Row],[HD]]-Table2[[#This Row],[estHD]]),"NA")</f>
        <v>2</v>
      </c>
      <c r="M423" s="4" t="b">
        <f>Table2[[#This Row],[HD]]=Table2[[#This Row],[estHD]]</f>
        <v>0</v>
      </c>
      <c r="N423" s="4">
        <f>IF(ISNUMBER(Table2[[#This Row],[HD]]),Table2[[#This Row],[HD]]-19,"NA")</f>
        <v>75</v>
      </c>
      <c r="O423" s="31">
        <v>75</v>
      </c>
      <c r="P423" s="23">
        <f>IF(ISNUMBER(Table2[[#This Row],[nest_age1]]),ABS(Table2[[#This Row],[nest_age1]]-Table2[[#This Row],[nest_age_feb]]),"NA")</f>
        <v>1</v>
      </c>
      <c r="Q423" s="24">
        <f>IF(ISNUMBER(Table2[[#This Row],[final_obs_int2]]),ABS(Table2[[#This Row],[final_obs_int2]]-Table2[[#This Row],[final_obs_int_feb]]), "NA")</f>
        <v>0</v>
      </c>
      <c r="R423" s="24">
        <f>(Table2[[#This Row],[k_adj]]-Table2[[#This Row],[estHD]])/Table2[[#This Row],[estHD]]</f>
        <v>2.1739130434782608E-2</v>
      </c>
      <c r="S423" s="20" t="s">
        <v>75</v>
      </c>
      <c r="T423" s="20" t="str">
        <f>Table2[[#This Row],[camera_old]]</f>
        <v>Y</v>
      </c>
      <c r="U423" s="22" t="s">
        <v>88</v>
      </c>
      <c r="V423" s="16" t="s">
        <v>37</v>
      </c>
      <c r="W423" s="16">
        <v>21</v>
      </c>
      <c r="X423" s="145">
        <v>3</v>
      </c>
      <c r="Y423" s="153" t="s">
        <v>104</v>
      </c>
      <c r="Z423" s="146" t="s">
        <v>104</v>
      </c>
      <c r="AA423" s="5" t="s">
        <v>37</v>
      </c>
      <c r="AB423" s="2" t="str">
        <f>Table2[[#This Row],[field_fate]]</f>
        <v>U-H</v>
      </c>
      <c r="AC423" s="128" t="str">
        <f>Table2[[#This Row],[field_fate3]]</f>
        <v>U-H</v>
      </c>
      <c r="AD423" s="94" t="s">
        <v>37</v>
      </c>
      <c r="AE423" s="94" t="s">
        <v>104</v>
      </c>
      <c r="AF423" s="94" t="str">
        <f>Table2[[#This Row],[field_fate5]]</f>
        <v>H</v>
      </c>
      <c r="AG423" s="94" t="str">
        <f>Table2[[#This Row],[field_fate5]]</f>
        <v>H</v>
      </c>
      <c r="AH423" s="94" t="str">
        <f>Table2[[#This Row],[field_fate2]]</f>
        <v>H</v>
      </c>
      <c r="AI423" s="163" t="str">
        <f>Table2[[#This Row],[field_fate8]]</f>
        <v>H</v>
      </c>
      <c r="AJ423" s="94" t="s">
        <v>37</v>
      </c>
      <c r="AK423" s="94" t="b">
        <f>Table2[[#This Row],[field_fate_feb]]=Table2[[#This Row],[field_fate10]]</f>
        <v>0</v>
      </c>
      <c r="AL423" s="43" t="s">
        <v>37</v>
      </c>
      <c r="AM423" s="160" t="b">
        <f>Table2[[#This Row],[cam_fate2]]="NA"</f>
        <v>0</v>
      </c>
      <c r="AN423" s="19" t="str">
        <f>Table2[[#This Row],[cam_fate1]]</f>
        <v>H</v>
      </c>
      <c r="AO423" s="2" t="s">
        <v>37</v>
      </c>
      <c r="AP423" s="5" t="str">
        <f>Table2[[#This Row],[final_fate1]]</f>
        <v>H</v>
      </c>
      <c r="AQ423" s="6">
        <v>20</v>
      </c>
      <c r="AR423" s="72">
        <v>22</v>
      </c>
      <c r="AS423" s="155">
        <f>Table2[[#This Row],[final_obs_date]]-Table2[[#This Row],[init_date]]</f>
        <v>20</v>
      </c>
      <c r="AT423" s="155">
        <f>(Table2[[#This Row],[final_obs_date2]]-Table2[[#This Row],[estHD]])+19</f>
        <v>22</v>
      </c>
      <c r="AU423" s="38">
        <v>3</v>
      </c>
      <c r="AV423" s="33">
        <v>3</v>
      </c>
      <c r="AW423" s="33">
        <f>Table2[[#This Row],[final_obs_date2]]-Table2[[#This Row],[pen_obs_date]]</f>
        <v>3</v>
      </c>
      <c r="AX423" s="67">
        <v>95</v>
      </c>
      <c r="AY423" s="157">
        <f>Table2[[#This Row],[final_obs_date]]</f>
        <v>95</v>
      </c>
      <c r="AZ423" s="6">
        <v>92</v>
      </c>
      <c r="BA423" s="92" t="s">
        <v>47</v>
      </c>
      <c r="BB423" s="6" t="b">
        <f>Table2[[#This Row],[final_obs_date]]&lt;(Table2[[#This Row],[estHD]]-2)</f>
        <v>0</v>
      </c>
      <c r="BC423" s="32">
        <f>IF(Table2[[#This Row],[field_fate2]]="H",1,0)</f>
        <v>1</v>
      </c>
      <c r="BD423" s="16">
        <f>IF(Table2[[#This Row],[cam_fate2]]="H",1,0)</f>
        <v>1</v>
      </c>
      <c r="BE423" s="6" t="b">
        <f>NOT(Table2[[#This Row],[HF_C]]=Table2[[#This Row],[HF]])</f>
        <v>0</v>
      </c>
      <c r="BF423" s="38" t="b">
        <f>NOT(Table2[[#This Row],[cam_fate2]]=Table2[[#This Row],[field_fate3]])</f>
        <v>1</v>
      </c>
      <c r="BG423" s="38" t="b">
        <f>OR(Table2[[#This Row],[field_fate3]]="U",Table2[[#This Row],[field_fate3]]="U-H")</f>
        <v>1</v>
      </c>
      <c r="BH423" s="8">
        <v>76</v>
      </c>
      <c r="BI423" s="80">
        <v>95</v>
      </c>
      <c r="BJ423" s="81">
        <v>94</v>
      </c>
      <c r="BK423" s="8">
        <v>95</v>
      </c>
      <c r="BL423" s="14">
        <f>IF(ISTEXT(Table2[[#This Row],[k.cam]]), Table2[[#This Row],[k]], Table2[[#This Row],[k.cam]])</f>
        <v>94</v>
      </c>
      <c r="BM423" s="4">
        <v>93</v>
      </c>
      <c r="BN423" s="8">
        <v>94</v>
      </c>
      <c r="BO423" s="4">
        <v>7</v>
      </c>
      <c r="BP423" s="4">
        <f>Table2[[#This Row],[final_obs_date]]-Table2[[#This Row],[i]]</f>
        <v>19</v>
      </c>
      <c r="BQ423" s="4" t="b">
        <f>Table2[[#This Row],[final_obs_date2]]&gt;Table2[[#This Row],[estHD]]+3</f>
        <v>0</v>
      </c>
      <c r="BR423" s="3" t="s">
        <v>33</v>
      </c>
      <c r="BS423" s="3" t="s">
        <v>45</v>
      </c>
      <c r="BT423" s="125" t="s">
        <v>1272</v>
      </c>
      <c r="BU423" s="4" t="s">
        <v>327</v>
      </c>
      <c r="BV423" s="79" t="s">
        <v>1625</v>
      </c>
      <c r="BW423" s="69" t="s">
        <v>970</v>
      </c>
      <c r="BX423" s="54" t="s">
        <v>967</v>
      </c>
      <c r="BY423" s="54" t="s">
        <v>754</v>
      </c>
    </row>
    <row r="424" spans="1:77" ht="15" hidden="1" x14ac:dyDescent="0.35">
      <c r="A424" s="63">
        <v>20406</v>
      </c>
      <c r="B424" s="2" t="s">
        <v>35</v>
      </c>
      <c r="C424" s="45">
        <v>2020</v>
      </c>
      <c r="D424" s="3">
        <v>29.764330000000001</v>
      </c>
      <c r="E424" s="3">
        <v>-93.148319999999998</v>
      </c>
      <c r="F424" s="3">
        <v>50</v>
      </c>
      <c r="G424" s="3">
        <v>50</v>
      </c>
      <c r="H424" s="3" t="s">
        <v>462</v>
      </c>
      <c r="I424" s="43"/>
      <c r="J424" s="116">
        <v>92</v>
      </c>
      <c r="K424" s="4">
        <v>94</v>
      </c>
      <c r="L424" s="22">
        <f>IF(ISNUMBER(Table2[[#This Row],[estHD]]),ABS(Table2[[#This Row],[HD]]-Table2[[#This Row],[estHD]]),"NA")</f>
        <v>2</v>
      </c>
      <c r="M424" s="4" t="b">
        <f>Table2[[#This Row],[HD]]=Table2[[#This Row],[estHD]]</f>
        <v>0</v>
      </c>
      <c r="N424" s="4">
        <f>IF(ISNUMBER(Table2[[#This Row],[HD]]),Table2[[#This Row],[HD]]-19,"NA")</f>
        <v>75</v>
      </c>
      <c r="O424" s="31">
        <v>75</v>
      </c>
      <c r="P424" s="23">
        <f>IF(ISNUMBER(Table2[[#This Row],[nest_age1]]),ABS(Table2[[#This Row],[nest_age1]]-Table2[[#This Row],[nest_age_feb]]),"NA")</f>
        <v>1</v>
      </c>
      <c r="Q424" s="24">
        <f>IF(ISNUMBER(Table2[[#This Row],[final_obs_int2]]),ABS(Table2[[#This Row],[final_obs_int2]]-Table2[[#This Row],[final_obs_int_feb]]), "NA")</f>
        <v>0</v>
      </c>
      <c r="R424" s="24">
        <f>(Table2[[#This Row],[k_adj]]-Table2[[#This Row],[estHD]])/Table2[[#This Row],[estHD]]</f>
        <v>2.1739130434782608E-2</v>
      </c>
      <c r="S424" s="20" t="s">
        <v>75</v>
      </c>
      <c r="T424" s="20" t="str">
        <f>Table2[[#This Row],[camera_old]]</f>
        <v>Y</v>
      </c>
      <c r="U424" s="22" t="s">
        <v>88</v>
      </c>
      <c r="V424" s="16" t="s">
        <v>37</v>
      </c>
      <c r="W424" s="16">
        <v>21</v>
      </c>
      <c r="X424" s="145">
        <v>3</v>
      </c>
      <c r="Y424" s="149" t="s">
        <v>37</v>
      </c>
      <c r="Z424" s="146" t="s">
        <v>37</v>
      </c>
      <c r="AA424" s="4" t="str">
        <f>Table2[[#This Row],[field_fate]]</f>
        <v>H</v>
      </c>
      <c r="AB424" s="4" t="str">
        <f>Table2[[#This Row],[field_fate2]]</f>
        <v>H</v>
      </c>
      <c r="AC424" s="94" t="str">
        <f>Table2[[#This Row],[field_fate3]]</f>
        <v>H</v>
      </c>
      <c r="AD424" s="94" t="str">
        <f>Table2[[#This Row],[field_fate4]]</f>
        <v>H</v>
      </c>
      <c r="AE424" s="94" t="str">
        <f>Table2[[#This Row],[field_fate5]]</f>
        <v>H</v>
      </c>
      <c r="AF424" s="94" t="str">
        <f>Table2[[#This Row],[field_fate5]]</f>
        <v>H</v>
      </c>
      <c r="AG424" s="94" t="str">
        <f>Table2[[#This Row],[field_fate5]]</f>
        <v>H</v>
      </c>
      <c r="AH424" s="94" t="str">
        <f>Table2[[#This Row],[field_fate2]]</f>
        <v>H</v>
      </c>
      <c r="AI424" s="94" t="str">
        <f>Table2[[#This Row],[field_fate8]]</f>
        <v>H</v>
      </c>
      <c r="AJ424" s="94" t="str">
        <f>Table2[[#This Row],[field_fate10]]</f>
        <v>H</v>
      </c>
      <c r="AK424" s="94" t="b">
        <f>Table2[[#This Row],[field_fate_feb]]=Table2[[#This Row],[field_fate10]]</f>
        <v>1</v>
      </c>
      <c r="AL424" s="43" t="s">
        <v>37</v>
      </c>
      <c r="AM424" s="160" t="b">
        <f>Table2[[#This Row],[cam_fate2]]="NA"</f>
        <v>0</v>
      </c>
      <c r="AN424" s="19" t="str">
        <f>Table2[[#This Row],[cam_fate1]]</f>
        <v>H</v>
      </c>
      <c r="AO424" s="2" t="s">
        <v>37</v>
      </c>
      <c r="AP424" s="5" t="str">
        <f>Table2[[#This Row],[final_fate1]]</f>
        <v>H</v>
      </c>
      <c r="AQ424" s="6">
        <v>20</v>
      </c>
      <c r="AR424" s="72">
        <v>22</v>
      </c>
      <c r="AS424" s="155">
        <f>Table2[[#This Row],[final_obs_date]]-Table2[[#This Row],[init_date]]</f>
        <v>20</v>
      </c>
      <c r="AT424" s="155">
        <f>(Table2[[#This Row],[final_obs_date2]]-Table2[[#This Row],[estHD]])+19</f>
        <v>22</v>
      </c>
      <c r="AU424" s="38">
        <v>3</v>
      </c>
      <c r="AV424" s="33">
        <v>3</v>
      </c>
      <c r="AW424" s="33">
        <f>Table2[[#This Row],[final_obs_date2]]-Table2[[#This Row],[pen_obs_date]]</f>
        <v>3</v>
      </c>
      <c r="AX424" s="67">
        <v>95</v>
      </c>
      <c r="AY424" s="157">
        <f>Table2[[#This Row],[final_obs_date]]</f>
        <v>95</v>
      </c>
      <c r="AZ424" s="6">
        <v>92</v>
      </c>
      <c r="BA424" s="92" t="s">
        <v>47</v>
      </c>
      <c r="BB424" s="6" t="b">
        <f>Table2[[#This Row],[final_obs_date]]&lt;(Table2[[#This Row],[estHD]]-2)</f>
        <v>0</v>
      </c>
      <c r="BC424" s="32">
        <f>IF(Table2[[#This Row],[field_fate]]="H",1,0)</f>
        <v>1</v>
      </c>
      <c r="BD424" s="16">
        <f>IF(Table2[[#This Row],[cam_fate2]]="H",1,0)</f>
        <v>1</v>
      </c>
      <c r="BE424" s="6" t="b">
        <f>NOT(Table2[[#This Row],[HF_C]]=Table2[[#This Row],[HF]])</f>
        <v>0</v>
      </c>
      <c r="BF424" s="38" t="b">
        <f>NOT(Table2[[#This Row],[cam_fate2]]=Table2[[#This Row],[field_fate3]])</f>
        <v>0</v>
      </c>
      <c r="BG424" s="38" t="b">
        <f>OR(Table2[[#This Row],[field_fate3]]="U",Table2[[#This Row],[field_fate3]]="U-H")</f>
        <v>0</v>
      </c>
      <c r="BH424" s="8">
        <v>76</v>
      </c>
      <c r="BI424" s="8">
        <v>94</v>
      </c>
      <c r="BJ424" s="14">
        <f>IF(ISTEXT(Table2[[#This Row],[j.cam]]),Table2[[#This Row],[j]],Table2[[#This Row],[j.cam]])</f>
        <v>94</v>
      </c>
      <c r="BK424" s="8">
        <v>94</v>
      </c>
      <c r="BL424" s="14">
        <f>IF(ISTEXT(Table2[[#This Row],[k.cam]]), Table2[[#This Row],[k]], Table2[[#This Row],[k.cam]])</f>
        <v>94</v>
      </c>
      <c r="BM424" s="4" t="s">
        <v>24</v>
      </c>
      <c r="BN424" s="8" t="s">
        <v>24</v>
      </c>
      <c r="BO424" s="4">
        <v>7</v>
      </c>
      <c r="BP424" s="4">
        <f>Table2[[#This Row],[final_obs_date]]-Table2[[#This Row],[i]]</f>
        <v>19</v>
      </c>
      <c r="BQ424" s="4" t="b">
        <f>Table2[[#This Row],[final_obs_date2]]&gt;Table2[[#This Row],[estHD]]+3</f>
        <v>0</v>
      </c>
      <c r="BR424" s="3" t="s">
        <v>33</v>
      </c>
      <c r="BS424" s="3" t="s">
        <v>45</v>
      </c>
      <c r="BT424" s="125" t="s">
        <v>1272</v>
      </c>
      <c r="BU424" s="4" t="s">
        <v>327</v>
      </c>
      <c r="BV424" s="79" t="s">
        <v>1625</v>
      </c>
      <c r="BW424" s="69"/>
      <c r="BX424" s="36"/>
      <c r="BY424" s="36" t="s">
        <v>755</v>
      </c>
    </row>
    <row r="425" spans="1:77" hidden="1" x14ac:dyDescent="0.35">
      <c r="A425" s="63">
        <v>20407</v>
      </c>
      <c r="B425" s="2" t="s">
        <v>35</v>
      </c>
      <c r="C425" s="45">
        <v>2020</v>
      </c>
      <c r="D425" s="3">
        <v>29.764240000000001</v>
      </c>
      <c r="E425" s="3">
        <v>-93.148160000000004</v>
      </c>
      <c r="F425" s="3">
        <v>40</v>
      </c>
      <c r="G425" s="3">
        <v>50</v>
      </c>
      <c r="H425" s="3" t="s">
        <v>462</v>
      </c>
      <c r="I425" s="43"/>
      <c r="J425" s="55">
        <v>82</v>
      </c>
      <c r="K425" s="4">
        <v>90</v>
      </c>
      <c r="L425" s="22">
        <f>IF(ISNUMBER(Table2[[#This Row],[estHD]]),ABS(Table2[[#This Row],[HD]]-Table2[[#This Row],[estHD]]),"NA")</f>
        <v>8</v>
      </c>
      <c r="M425" s="4" t="b">
        <f>Table2[[#This Row],[HD]]=Table2[[#This Row],[estHD]]</f>
        <v>0</v>
      </c>
      <c r="N425" s="4" t="str">
        <f>IF(ISNUMBER([1]!Table2[[#This Row],[hatch_date]]),[1]!Table2[[#This Row],[hatch_date]]-19,"NA")</f>
        <v>NA</v>
      </c>
      <c r="O425" s="31">
        <v>71</v>
      </c>
      <c r="P425" s="23">
        <f>IF(ISNUMBER(Table2[[#This Row],[nest_age1]]),ABS(Table2[[#This Row],[nest_age1]]-Table2[[#This Row],[nest_age_feb]]),"NA")</f>
        <v>7</v>
      </c>
      <c r="Q425" s="24">
        <f>IF(ISNUMBER(Table2[[#This Row],[final_obs_int2]]),ABS(Table2[[#This Row],[final_obs_int2]]-Table2[[#This Row],[final_obs_int_feb]]), "NA")</f>
        <v>0</v>
      </c>
      <c r="R425" s="24"/>
      <c r="S425" s="57" t="s">
        <v>88</v>
      </c>
      <c r="T425" s="57" t="str">
        <f>Table2[[#This Row],[camera_old]]</f>
        <v>N</v>
      </c>
      <c r="U425" s="24"/>
      <c r="V425" s="16" t="s">
        <v>24</v>
      </c>
      <c r="W425" s="16">
        <v>28</v>
      </c>
      <c r="X425" s="145">
        <v>4</v>
      </c>
      <c r="Y425" s="147" t="s">
        <v>37</v>
      </c>
      <c r="Z425" s="146" t="s">
        <v>37</v>
      </c>
      <c r="AA425" s="4" t="str">
        <f>Table2[[#This Row],[field_fate]]</f>
        <v>H</v>
      </c>
      <c r="AB425" s="4" t="str">
        <f>Table2[[#This Row],[field_fate2]]</f>
        <v>H</v>
      </c>
      <c r="AC425" s="4" t="str">
        <f>Table2[[#This Row],[field_fate3]]</f>
        <v>H</v>
      </c>
      <c r="AD425" s="4" t="str">
        <f>Table2[[#This Row],[field_fate4]]</f>
        <v>H</v>
      </c>
      <c r="AE425" s="4" t="str">
        <f>Table2[[#This Row],[field_fate5]]</f>
        <v>H</v>
      </c>
      <c r="AF425" s="4" t="str">
        <f>Table2[[#This Row],[field_fate5]]</f>
        <v>H</v>
      </c>
      <c r="AG425" s="4" t="str">
        <f>Table2[[#This Row],[field_fate5]]</f>
        <v>H</v>
      </c>
      <c r="AH425" s="4" t="str">
        <f>Table2[[#This Row],[field_fate2]]</f>
        <v>H</v>
      </c>
      <c r="AI425" s="4" t="str">
        <f>Table2[[#This Row],[field_fate8]]</f>
        <v>H</v>
      </c>
      <c r="AJ425" s="4" t="str">
        <f>Table2[[#This Row],[field_fate10]]</f>
        <v>H</v>
      </c>
      <c r="AK425" s="4" t="b">
        <f>Table2[[#This Row],[field_fate_feb]]=Table2[[#This Row],[field_fate10]]</f>
        <v>1</v>
      </c>
      <c r="AL425" s="43" t="s">
        <v>24</v>
      </c>
      <c r="AM425" s="43" t="b">
        <f>Table2[[#This Row],[cam_fate2]]="NA"</f>
        <v>1</v>
      </c>
      <c r="AN425" s="19" t="str">
        <f>Table2[[#This Row],[cam_fate1]]</f>
        <v>NA</v>
      </c>
      <c r="AO425" s="2" t="s">
        <v>37</v>
      </c>
      <c r="AP425" s="5" t="str">
        <f>Table2[[#This Row],[final_fate1]]</f>
        <v>H</v>
      </c>
      <c r="AQ425" s="6">
        <v>21</v>
      </c>
      <c r="AR425" s="7">
        <v>29</v>
      </c>
      <c r="AS425" s="7">
        <f>Table2[[#This Row],[final_obs_date]]-Table2[[#This Row],[init_date]]</f>
        <v>21</v>
      </c>
      <c r="AT425" s="7">
        <f>(Table2[[#This Row],[final_obs_date2]]-Table2[[#This Row],[estHD]])+16</f>
        <v>26</v>
      </c>
      <c r="AU425" s="38">
        <v>4</v>
      </c>
      <c r="AV425" s="33">
        <v>4</v>
      </c>
      <c r="AW425" s="33">
        <f>Table2[[#This Row],[final_obs_date2]]-Table2[[#This Row],[pen_obs_date]]</f>
        <v>92</v>
      </c>
      <c r="AX425" s="67">
        <v>92</v>
      </c>
      <c r="AY425" s="6">
        <f>Table2[[#This Row],[final_obs_date]]</f>
        <v>92</v>
      </c>
      <c r="AZ425" s="6"/>
      <c r="BA425" s="91" t="s">
        <v>47</v>
      </c>
      <c r="BB425" s="6" t="b">
        <f>Table2[[#This Row],[final_obs_date]]&lt;(Table2[[#This Row],[estHD]]-2)</f>
        <v>0</v>
      </c>
      <c r="BC425" s="24">
        <f>IF(Table2[[#This Row],[field_fate]]="H",1,0)</f>
        <v>1</v>
      </c>
      <c r="BD425" s="16">
        <f>IF(Table2[[#This Row],[cam_fate2]]="H",1,0)</f>
        <v>0</v>
      </c>
      <c r="BE425" s="6" t="b">
        <f>NOT(Table2[[#This Row],[HF_C]]=Table2[[#This Row],[HF]])</f>
        <v>1</v>
      </c>
      <c r="BF425" s="6" t="b">
        <f>NOT(Table2[[#This Row],[cam_fate2]]=Table2[[#This Row],[field_fate3]])</f>
        <v>1</v>
      </c>
      <c r="BG425" s="6" t="b">
        <f>OR(Table2[[#This Row],[field_fate3]]="U",Table2[[#This Row],[field_fate3]]="U-H")</f>
        <v>0</v>
      </c>
      <c r="BH425" s="8">
        <v>76</v>
      </c>
      <c r="BI425" s="8">
        <v>90</v>
      </c>
      <c r="BJ425" s="14">
        <f>IF(ISTEXT(Table2[[#This Row],[j.cam]]),Table2[[#This Row],[j]],Table2[[#This Row],[j.cam]])</f>
        <v>90</v>
      </c>
      <c r="BK425" s="9">
        <v>90</v>
      </c>
      <c r="BL425" s="15">
        <f>IF(ISTEXT(Table2[[#This Row],[k.cam]]), Table2[[#This Row],[k]], Table2[[#This Row],[k.cam]])</f>
        <v>90</v>
      </c>
      <c r="BM425" s="4" t="s">
        <v>24</v>
      </c>
      <c r="BN425" s="8" t="s">
        <v>24</v>
      </c>
      <c r="BO425" s="4">
        <v>6</v>
      </c>
      <c r="BP425" s="4">
        <f>Table2[[#This Row],[final_obs_date]]-Table2[[#This Row],[i]]</f>
        <v>16</v>
      </c>
      <c r="BQ425" s="4" t="b">
        <f>Table2[[#This Row],[final_obs_date2]]&gt;Table2[[#This Row],[estHD]]+3</f>
        <v>1</v>
      </c>
      <c r="BR425" s="4" t="s">
        <v>58</v>
      </c>
      <c r="BS425" s="4" t="s">
        <v>45</v>
      </c>
      <c r="BT425" s="79" t="s">
        <v>1273</v>
      </c>
      <c r="BU425" s="26" t="s">
        <v>328</v>
      </c>
      <c r="BV425" s="79" t="s">
        <v>1626</v>
      </c>
      <c r="BW425" s="49"/>
      <c r="BX425" s="47"/>
      <c r="BY425" s="36" t="s">
        <v>756</v>
      </c>
    </row>
    <row r="426" spans="1:77" hidden="1" x14ac:dyDescent="0.35">
      <c r="A426" s="63">
        <v>20408</v>
      </c>
      <c r="B426" s="2" t="s">
        <v>35</v>
      </c>
      <c r="C426" s="45">
        <v>2020</v>
      </c>
      <c r="D426" s="3">
        <v>29.76427</v>
      </c>
      <c r="E426" s="3">
        <v>-93.147999999999996</v>
      </c>
      <c r="F426" s="3">
        <v>60</v>
      </c>
      <c r="G426" s="3">
        <v>50</v>
      </c>
      <c r="H426" s="3" t="s">
        <v>462</v>
      </c>
      <c r="I426" s="43"/>
      <c r="J426" s="116">
        <v>83</v>
      </c>
      <c r="K426" s="4">
        <v>88</v>
      </c>
      <c r="L426" s="22">
        <f>IF(ISNUMBER(Table2[[#This Row],[estHD]]),ABS(Table2[[#This Row],[HD]]-Table2[[#This Row],[estHD]]),"NA")</f>
        <v>5</v>
      </c>
      <c r="M426" s="4" t="b">
        <f>Table2[[#This Row],[HD]]=Table2[[#This Row],[estHD]]</f>
        <v>0</v>
      </c>
      <c r="N426" s="4">
        <f>IF(ISNUMBER(Table2[[#This Row],[HD]]),Table2[[#This Row],[HD]]-19,"NA")</f>
        <v>69</v>
      </c>
      <c r="O426" s="31">
        <v>69</v>
      </c>
      <c r="P426" s="23">
        <f>IF(ISNUMBER(Table2[[#This Row],[nest_age1]]),ABS(Table2[[#This Row],[nest_age1]]-Table2[[#This Row],[nest_age_feb]]),"NA")</f>
        <v>4</v>
      </c>
      <c r="Q426" s="24">
        <f>IF(ISNUMBER(Table2[[#This Row],[final_obs_int2]]),ABS(Table2[[#This Row],[final_obs_int2]]-Table2[[#This Row],[final_obs_int_feb]]), "NA")</f>
        <v>0</v>
      </c>
      <c r="R426" s="24">
        <f>(Table2[[#This Row],[k_adj]]-Table2[[#This Row],[estHD]])/Table2[[#This Row],[estHD]]</f>
        <v>6.0240963855421686E-2</v>
      </c>
      <c r="S426" s="20" t="s">
        <v>75</v>
      </c>
      <c r="T426" s="20" t="str">
        <f>Table2[[#This Row],[camera_old]]</f>
        <v>Y</v>
      </c>
      <c r="U426" s="22" t="s">
        <v>88</v>
      </c>
      <c r="V426" s="16" t="s">
        <v>37</v>
      </c>
      <c r="W426" s="16">
        <v>23</v>
      </c>
      <c r="X426" s="145">
        <v>2</v>
      </c>
      <c r="Y426" s="147" t="s">
        <v>37</v>
      </c>
      <c r="Z426" s="146" t="s">
        <v>37</v>
      </c>
      <c r="AA426" s="4" t="str">
        <f>Table2[[#This Row],[field_fate]]</f>
        <v>H</v>
      </c>
      <c r="AB426" s="4" t="str">
        <f>Table2[[#This Row],[field_fate2]]</f>
        <v>H</v>
      </c>
      <c r="AC426" s="94" t="str">
        <f>Table2[[#This Row],[field_fate3]]</f>
        <v>H</v>
      </c>
      <c r="AD426" s="94" t="str">
        <f>Table2[[#This Row],[field_fate4]]</f>
        <v>H</v>
      </c>
      <c r="AE426" s="94" t="str">
        <f>Table2[[#This Row],[field_fate5]]</f>
        <v>H</v>
      </c>
      <c r="AF426" s="94" t="str">
        <f>Table2[[#This Row],[field_fate5]]</f>
        <v>H</v>
      </c>
      <c r="AG426" s="94" t="str">
        <f>Table2[[#This Row],[field_fate5]]</f>
        <v>H</v>
      </c>
      <c r="AH426" s="94" t="str">
        <f>Table2[[#This Row],[field_fate2]]</f>
        <v>H</v>
      </c>
      <c r="AI426" s="94" t="str">
        <f>Table2[[#This Row],[field_fate8]]</f>
        <v>H</v>
      </c>
      <c r="AJ426" s="94" t="str">
        <f>Table2[[#This Row],[field_fate10]]</f>
        <v>H</v>
      </c>
      <c r="AK426" s="94" t="b">
        <f>Table2[[#This Row],[field_fate_feb]]=Table2[[#This Row],[field_fate10]]</f>
        <v>1</v>
      </c>
      <c r="AL426" s="43" t="s">
        <v>37</v>
      </c>
      <c r="AM426" s="160" t="b">
        <f>Table2[[#This Row],[cam_fate2]]="NA"</f>
        <v>0</v>
      </c>
      <c r="AN426" s="19" t="str">
        <f>Table2[[#This Row],[cam_fate1]]</f>
        <v>H</v>
      </c>
      <c r="AO426" s="2" t="s">
        <v>37</v>
      </c>
      <c r="AP426" s="5" t="str">
        <f>Table2[[#This Row],[final_fate1]]</f>
        <v>H</v>
      </c>
      <c r="AQ426" s="6">
        <v>19</v>
      </c>
      <c r="AR426" s="72">
        <v>24</v>
      </c>
      <c r="AS426" s="155">
        <f>Table2[[#This Row],[final_obs_date]]-Table2[[#This Row],[init_date]]</f>
        <v>19</v>
      </c>
      <c r="AT426" s="155">
        <f>(Table2[[#This Row],[final_obs_date2]]-Table2[[#This Row],[estHD]])+19</f>
        <v>24</v>
      </c>
      <c r="AU426" s="38">
        <v>2</v>
      </c>
      <c r="AV426" s="33">
        <v>2</v>
      </c>
      <c r="AW426" s="33">
        <f>Table2[[#This Row],[final_obs_date2]]-Table2[[#This Row],[pen_obs_date]]</f>
        <v>2</v>
      </c>
      <c r="AX426" s="67">
        <v>88</v>
      </c>
      <c r="AY426" s="157">
        <f>Table2[[#This Row],[final_obs_date]]</f>
        <v>88</v>
      </c>
      <c r="AZ426" s="6">
        <v>86</v>
      </c>
      <c r="BA426" s="92" t="s">
        <v>47</v>
      </c>
      <c r="BB426" s="6" t="b">
        <f>Table2[[#This Row],[final_obs_date]]&lt;(Table2[[#This Row],[estHD]]-2)</f>
        <v>0</v>
      </c>
      <c r="BC426" s="32">
        <f>IF(Table2[[#This Row],[field_fate]]="H",1,0)</f>
        <v>1</v>
      </c>
      <c r="BD426" s="16">
        <f>IF(Table2[[#This Row],[cam_fate2]]="H",1,0)</f>
        <v>1</v>
      </c>
      <c r="BE426" s="6" t="b">
        <f>NOT(Table2[[#This Row],[HF_C]]=Table2[[#This Row],[HF]])</f>
        <v>0</v>
      </c>
      <c r="BF426" s="38" t="b">
        <f>NOT(Table2[[#This Row],[cam_fate2]]=Table2[[#This Row],[field_fate3]])</f>
        <v>0</v>
      </c>
      <c r="BG426" s="38" t="b">
        <f>OR(Table2[[#This Row],[field_fate3]]="U",Table2[[#This Row],[field_fate3]]="U-H")</f>
        <v>0</v>
      </c>
      <c r="BH426" s="8">
        <v>76</v>
      </c>
      <c r="BI426" s="8">
        <v>88</v>
      </c>
      <c r="BJ426" s="14">
        <f>IF(ISTEXT(Table2[[#This Row],[j.cam]]),Table2[[#This Row],[j]],Table2[[#This Row],[j.cam]])</f>
        <v>88</v>
      </c>
      <c r="BK426" s="8">
        <v>88</v>
      </c>
      <c r="BL426" s="14">
        <f>IF(ISTEXT(Table2[[#This Row],[k.cam]]), Table2[[#This Row],[k]], Table2[[#This Row],[k.cam]])</f>
        <v>88</v>
      </c>
      <c r="BM426" s="4" t="s">
        <v>24</v>
      </c>
      <c r="BN426" s="8" t="s">
        <v>24</v>
      </c>
      <c r="BO426" s="4">
        <v>5</v>
      </c>
      <c r="BP426" s="4">
        <f>Table2[[#This Row],[final_obs_date]]-Table2[[#This Row],[i]]</f>
        <v>12</v>
      </c>
      <c r="BQ426" s="4" t="b">
        <f>Table2[[#This Row],[final_obs_date2]]&gt;Table2[[#This Row],[estHD]]+3</f>
        <v>1</v>
      </c>
      <c r="BR426" s="3" t="s">
        <v>33</v>
      </c>
      <c r="BS426" s="3" t="s">
        <v>53</v>
      </c>
      <c r="BT426" s="125" t="s">
        <v>1274</v>
      </c>
      <c r="BU426" s="4" t="s">
        <v>54</v>
      </c>
      <c r="BV426" s="79" t="s">
        <v>1627</v>
      </c>
      <c r="BW426" s="69"/>
      <c r="BX426" s="36"/>
      <c r="BY426" s="36" t="s">
        <v>757</v>
      </c>
    </row>
    <row r="427" spans="1:77" hidden="1" x14ac:dyDescent="0.35">
      <c r="A427" s="63">
        <v>20409</v>
      </c>
      <c r="B427" s="2" t="s">
        <v>35</v>
      </c>
      <c r="C427" s="45">
        <v>2020</v>
      </c>
      <c r="D427" s="3">
        <v>29.764250000000001</v>
      </c>
      <c r="E427" s="3">
        <v>-93.147710000000004</v>
      </c>
      <c r="F427" s="3">
        <v>50</v>
      </c>
      <c r="G427" s="3">
        <v>50</v>
      </c>
      <c r="H427" s="3" t="s">
        <v>462</v>
      </c>
      <c r="I427" s="43"/>
      <c r="J427" s="55">
        <v>95</v>
      </c>
      <c r="K427" s="4">
        <v>95</v>
      </c>
      <c r="L427" s="22">
        <f>IF(ISNUMBER(Table2[[#This Row],[estHD]]),ABS(Table2[[#This Row],[HD]]-Table2[[#This Row],[estHD]]),"NA")</f>
        <v>0</v>
      </c>
      <c r="M427" s="4" t="b">
        <f>Table2[[#This Row],[HD]]=Table2[[#This Row],[estHD]]</f>
        <v>1</v>
      </c>
      <c r="N427" s="4" t="str">
        <f>IF(ISNUMBER([1]!Table2[[#This Row],[hatch_date]]),[1]!Table2[[#This Row],[hatch_date]]-19,"NA")</f>
        <v>NA</v>
      </c>
      <c r="O427" s="31">
        <v>76</v>
      </c>
      <c r="P427" s="23">
        <f>IF(ISNUMBER(Table2[[#This Row],[nest_age1]]),ABS(Table2[[#This Row],[nest_age1]]-Table2[[#This Row],[nest_age_feb]]),"NA")</f>
        <v>1</v>
      </c>
      <c r="Q427" s="24">
        <f>IF(ISNUMBER(Table2[[#This Row],[final_obs_int2]]),ABS(Table2[[#This Row],[final_obs_int2]]-Table2[[#This Row],[final_obs_int_feb]]), "NA")</f>
        <v>0</v>
      </c>
      <c r="R427" s="24"/>
      <c r="S427" s="57" t="s">
        <v>88</v>
      </c>
      <c r="T427" s="57" t="str">
        <f>Table2[[#This Row],[camera_old]]</f>
        <v>N</v>
      </c>
      <c r="U427" s="24"/>
      <c r="V427" s="16" t="s">
        <v>24</v>
      </c>
      <c r="W427" s="16">
        <v>7</v>
      </c>
      <c r="X427" s="145">
        <v>4</v>
      </c>
      <c r="Y427" s="147" t="s">
        <v>36</v>
      </c>
      <c r="Z427" s="146" t="s">
        <v>36</v>
      </c>
      <c r="AA427" s="4" t="str">
        <f>Table2[[#This Row],[field_fate]]</f>
        <v>A</v>
      </c>
      <c r="AB427" s="4" t="str">
        <f>Table2[[#This Row],[field_fate2]]</f>
        <v>A</v>
      </c>
      <c r="AC427" s="4" t="str">
        <f>Table2[[#This Row],[field_fate3]]</f>
        <v>A</v>
      </c>
      <c r="AD427" s="4" t="str">
        <f>Table2[[#This Row],[field_fate4]]</f>
        <v>A</v>
      </c>
      <c r="AE427" s="4" t="str">
        <f>Table2[[#This Row],[field_fate5]]</f>
        <v>A</v>
      </c>
      <c r="AF427" s="4" t="str">
        <f>Table2[[#This Row],[field_fate5]]</f>
        <v>A</v>
      </c>
      <c r="AG427" s="4" t="str">
        <f>Table2[[#This Row],[field_fate5]]</f>
        <v>A</v>
      </c>
      <c r="AH427" s="4" t="str">
        <f>Table2[[#This Row],[field_fate2]]</f>
        <v>A</v>
      </c>
      <c r="AI427" s="4" t="str">
        <f>Table2[[#This Row],[field_fate8]]</f>
        <v>A</v>
      </c>
      <c r="AJ427" s="4" t="str">
        <f>Table2[[#This Row],[field_fate10]]</f>
        <v>A</v>
      </c>
      <c r="AK427" s="4" t="b">
        <f>Table2[[#This Row],[field_fate_feb]]=Table2[[#This Row],[field_fate10]]</f>
        <v>1</v>
      </c>
      <c r="AL427" s="43" t="s">
        <v>24</v>
      </c>
      <c r="AM427" s="43" t="b">
        <f>Table2[[#This Row],[cam_fate2]]="NA"</f>
        <v>1</v>
      </c>
      <c r="AN427" s="19" t="str">
        <f>Table2[[#This Row],[cam_fate1]]</f>
        <v>NA</v>
      </c>
      <c r="AO427" s="2" t="s">
        <v>36</v>
      </c>
      <c r="AP427" s="5" t="str">
        <f>Table2[[#This Row],[final_fate1]]</f>
        <v>A</v>
      </c>
      <c r="AQ427" s="6">
        <v>8</v>
      </c>
      <c r="AR427" s="7">
        <v>8</v>
      </c>
      <c r="AS427" s="7">
        <f>Table2[[#This Row],[final_obs_date]]-Table2[[#This Row],[init_date]]</f>
        <v>8</v>
      </c>
      <c r="AT427" s="7">
        <f>(Table2[[#This Row],[final_obs_date2]]-Table2[[#This Row],[estHD]])+16</f>
        <v>5</v>
      </c>
      <c r="AU427" s="38">
        <v>4</v>
      </c>
      <c r="AV427" s="33">
        <v>4</v>
      </c>
      <c r="AW427" s="33">
        <f>Table2[[#This Row],[final_obs_date2]]-Table2[[#This Row],[pen_obs_date]]</f>
        <v>84</v>
      </c>
      <c r="AX427" s="67">
        <v>84</v>
      </c>
      <c r="AY427" s="6">
        <f>Table2[[#This Row],[final_obs_date]]</f>
        <v>84</v>
      </c>
      <c r="AZ427" s="6"/>
      <c r="BA427" s="91" t="s">
        <v>47</v>
      </c>
      <c r="BB427" s="6" t="b">
        <f>Table2[[#This Row],[final_obs_date]]&lt;(Table2[[#This Row],[estHD]]-2)</f>
        <v>1</v>
      </c>
      <c r="BC427" s="24">
        <f>IF(Table2[[#This Row],[field_fate]]="H",1,0)</f>
        <v>0</v>
      </c>
      <c r="BD427" s="16">
        <f>IF(Table2[[#This Row],[cam_fate2]]="H",1,0)</f>
        <v>0</v>
      </c>
      <c r="BE427" s="6" t="b">
        <f>NOT(Table2[[#This Row],[HF_C]]=Table2[[#This Row],[HF]])</f>
        <v>0</v>
      </c>
      <c r="BF427" s="6" t="b">
        <f>NOT(Table2[[#This Row],[cam_fate2]]=Table2[[#This Row],[field_fate3]])</f>
        <v>1</v>
      </c>
      <c r="BG427" s="6" t="b">
        <f>OR(Table2[[#This Row],[field_fate3]]="U",Table2[[#This Row],[field_fate3]]="U-H")</f>
        <v>0</v>
      </c>
      <c r="BH427" s="8">
        <v>76</v>
      </c>
      <c r="BI427" s="8">
        <v>80</v>
      </c>
      <c r="BJ427" s="14">
        <f>IF(ISTEXT(Table2[[#This Row],[j.cam]]),Table2[[#This Row],[j]],Table2[[#This Row],[j.cam]])</f>
        <v>80</v>
      </c>
      <c r="BK427" s="9">
        <v>84</v>
      </c>
      <c r="BL427" s="15">
        <f>IF(ISTEXT(Table2[[#This Row],[k.cam]]), Table2[[#This Row],[k]], Table2[[#This Row],[k.cam]])</f>
        <v>84</v>
      </c>
      <c r="BM427" s="4" t="s">
        <v>24</v>
      </c>
      <c r="BN427" s="8" t="s">
        <v>24</v>
      </c>
      <c r="BO427" s="4">
        <v>3</v>
      </c>
      <c r="BP427" s="4">
        <f>Table2[[#This Row],[final_obs_date]]-Table2[[#This Row],[i]]</f>
        <v>8</v>
      </c>
      <c r="BQ427" s="4" t="b">
        <f>Table2[[#This Row],[final_obs_date2]]&gt;Table2[[#This Row],[estHD]]+3</f>
        <v>0</v>
      </c>
      <c r="BR427" s="4" t="s">
        <v>33</v>
      </c>
      <c r="BS427" s="4" t="s">
        <v>58</v>
      </c>
      <c r="BT427" s="79" t="s">
        <v>1275</v>
      </c>
      <c r="BU427" s="26" t="s">
        <v>329</v>
      </c>
      <c r="BV427" s="79" t="s">
        <v>1454</v>
      </c>
      <c r="BW427" s="49"/>
      <c r="BX427" s="47"/>
      <c r="BY427" s="36" t="s">
        <v>758</v>
      </c>
    </row>
    <row r="428" spans="1:77" hidden="1" x14ac:dyDescent="0.35">
      <c r="A428" s="63">
        <v>20410</v>
      </c>
      <c r="B428" s="2" t="s">
        <v>35</v>
      </c>
      <c r="C428" s="45">
        <v>2020</v>
      </c>
      <c r="D428" s="3">
        <v>29.764089999999999</v>
      </c>
      <c r="E428" s="3">
        <v>-93.146839999999997</v>
      </c>
      <c r="F428" s="3">
        <v>20</v>
      </c>
      <c r="G428" s="3">
        <v>50</v>
      </c>
      <c r="H428" s="3" t="s">
        <v>26</v>
      </c>
      <c r="I428" s="43"/>
      <c r="J428" s="55">
        <v>96</v>
      </c>
      <c r="K428" s="4">
        <v>98</v>
      </c>
      <c r="L428" s="22">
        <f>IF(ISNUMBER(Table2[[#This Row],[estHD]]),ABS(Table2[[#This Row],[HD]]-Table2[[#This Row],[estHD]]),"NA")</f>
        <v>2</v>
      </c>
      <c r="M428" s="4" t="b">
        <f>Table2[[#This Row],[HD]]=Table2[[#This Row],[estHD]]</f>
        <v>0</v>
      </c>
      <c r="N428" s="4" t="str">
        <f>IF(ISNUMBER([1]!Table2[[#This Row],[hatch_date]]),[1]!Table2[[#This Row],[hatch_date]]-19,"NA")</f>
        <v>NA</v>
      </c>
      <c r="O428" s="31">
        <v>79</v>
      </c>
      <c r="P428" s="23">
        <f>IF(ISNUMBER(Table2[[#This Row],[nest_age1]]),ABS(Table2[[#This Row],[nest_age1]]-Table2[[#This Row],[nest_age_feb]]),"NA")</f>
        <v>1</v>
      </c>
      <c r="Q428" s="24">
        <f>IF(ISNUMBER(Table2[[#This Row],[final_obs_int2]]),ABS(Table2[[#This Row],[final_obs_int2]]-Table2[[#This Row],[final_obs_int_feb]]), "NA")</f>
        <v>0</v>
      </c>
      <c r="R428" s="24"/>
      <c r="S428" s="57" t="s">
        <v>88</v>
      </c>
      <c r="T428" s="57" t="str">
        <f>Table2[[#This Row],[camera_old]]</f>
        <v>N</v>
      </c>
      <c r="U428" s="24"/>
      <c r="V428" s="16" t="s">
        <v>24</v>
      </c>
      <c r="W428" s="16">
        <v>20</v>
      </c>
      <c r="X428" s="145">
        <v>3</v>
      </c>
      <c r="Y428" s="147" t="s">
        <v>37</v>
      </c>
      <c r="Z428" s="146" t="s">
        <v>37</v>
      </c>
      <c r="AA428" s="4" t="str">
        <f>Table2[[#This Row],[field_fate]]</f>
        <v>H</v>
      </c>
      <c r="AB428" s="4" t="str">
        <f>Table2[[#This Row],[field_fate2]]</f>
        <v>H</v>
      </c>
      <c r="AC428" s="4" t="str">
        <f>Table2[[#This Row],[field_fate3]]</f>
        <v>H</v>
      </c>
      <c r="AD428" s="4" t="str">
        <f>Table2[[#This Row],[field_fate4]]</f>
        <v>H</v>
      </c>
      <c r="AE428" s="4" t="str">
        <f>Table2[[#This Row],[field_fate5]]</f>
        <v>H</v>
      </c>
      <c r="AF428" s="4" t="str">
        <f>Table2[[#This Row],[field_fate5]]</f>
        <v>H</v>
      </c>
      <c r="AG428" s="4" t="str">
        <f>Table2[[#This Row],[field_fate5]]</f>
        <v>H</v>
      </c>
      <c r="AH428" s="4" t="str">
        <f>Table2[[#This Row],[field_fate2]]</f>
        <v>H</v>
      </c>
      <c r="AI428" s="4" t="str">
        <f>Table2[[#This Row],[field_fate8]]</f>
        <v>H</v>
      </c>
      <c r="AJ428" s="4" t="str">
        <f>Table2[[#This Row],[field_fate10]]</f>
        <v>H</v>
      </c>
      <c r="AK428" s="4" t="b">
        <f>Table2[[#This Row],[field_fate_feb]]=Table2[[#This Row],[field_fate10]]</f>
        <v>1</v>
      </c>
      <c r="AL428" s="43" t="s">
        <v>24</v>
      </c>
      <c r="AM428" s="43" t="b">
        <f>Table2[[#This Row],[cam_fate2]]="NA"</f>
        <v>1</v>
      </c>
      <c r="AN428" s="19" t="str">
        <f>Table2[[#This Row],[cam_fate1]]</f>
        <v>NA</v>
      </c>
      <c r="AO428" s="2" t="s">
        <v>37</v>
      </c>
      <c r="AP428" s="5" t="str">
        <f>Table2[[#This Row],[final_fate1]]</f>
        <v>H</v>
      </c>
      <c r="AQ428" s="6">
        <v>19</v>
      </c>
      <c r="AR428" s="7">
        <v>21</v>
      </c>
      <c r="AS428" s="7">
        <f>Table2[[#This Row],[final_obs_date]]-Table2[[#This Row],[init_date]]</f>
        <v>19</v>
      </c>
      <c r="AT428" s="7">
        <f>(Table2[[#This Row],[final_obs_date2]]-Table2[[#This Row],[estHD]])+16</f>
        <v>18</v>
      </c>
      <c r="AU428" s="38">
        <v>3</v>
      </c>
      <c r="AV428" s="33">
        <v>3</v>
      </c>
      <c r="AW428" s="33">
        <f>Table2[[#This Row],[final_obs_date2]]-Table2[[#This Row],[pen_obs_date]]</f>
        <v>98</v>
      </c>
      <c r="AX428" s="67">
        <v>98</v>
      </c>
      <c r="AY428" s="6">
        <f>Table2[[#This Row],[final_obs_date]]</f>
        <v>98</v>
      </c>
      <c r="AZ428" s="6"/>
      <c r="BA428" s="91" t="s">
        <v>47</v>
      </c>
      <c r="BB428" s="6" t="b">
        <f>Table2[[#This Row],[final_obs_date]]&lt;(Table2[[#This Row],[estHD]]-2)</f>
        <v>0</v>
      </c>
      <c r="BC428" s="24">
        <f>IF(Table2[[#This Row],[field_fate]]="H",1,0)</f>
        <v>1</v>
      </c>
      <c r="BD428" s="16">
        <f>IF(Table2[[#This Row],[cam_fate2]]="H",1,0)</f>
        <v>0</v>
      </c>
      <c r="BE428" s="6" t="b">
        <f>NOT(Table2[[#This Row],[HF_C]]=Table2[[#This Row],[HF]])</f>
        <v>1</v>
      </c>
      <c r="BF428" s="6" t="b">
        <f>NOT(Table2[[#This Row],[cam_fate2]]=Table2[[#This Row],[field_fate3]])</f>
        <v>1</v>
      </c>
      <c r="BG428" s="6" t="b">
        <f>OR(Table2[[#This Row],[field_fate3]]="U",Table2[[#This Row],[field_fate3]]="U-H")</f>
        <v>0</v>
      </c>
      <c r="BH428" s="8">
        <v>76</v>
      </c>
      <c r="BI428" s="8">
        <v>98</v>
      </c>
      <c r="BJ428" s="14">
        <f>IF(ISTEXT(Table2[[#This Row],[j.cam]]),Table2[[#This Row],[j]],Table2[[#This Row],[j.cam]])</f>
        <v>98</v>
      </c>
      <c r="BK428" s="9">
        <v>98</v>
      </c>
      <c r="BL428" s="15">
        <f>IF(ISTEXT(Table2[[#This Row],[k.cam]]), Table2[[#This Row],[k]], Table2[[#This Row],[k.cam]])</f>
        <v>98</v>
      </c>
      <c r="BM428" s="4" t="s">
        <v>24</v>
      </c>
      <c r="BN428" s="8" t="s">
        <v>24</v>
      </c>
      <c r="BO428" s="4">
        <v>8</v>
      </c>
      <c r="BP428" s="4">
        <f>Table2[[#This Row],[final_obs_date]]-Table2[[#This Row],[i]]</f>
        <v>22</v>
      </c>
      <c r="BQ428" s="4" t="b">
        <f>Table2[[#This Row],[final_obs_date2]]&gt;Table2[[#This Row],[estHD]]+3</f>
        <v>0</v>
      </c>
      <c r="BR428" s="4" t="s">
        <v>33</v>
      </c>
      <c r="BS428" s="4" t="s">
        <v>58</v>
      </c>
      <c r="BT428" s="79" t="s">
        <v>1276</v>
      </c>
      <c r="BU428" s="26" t="s">
        <v>330</v>
      </c>
      <c r="BV428" s="79" t="s">
        <v>1628</v>
      </c>
      <c r="BW428" s="49"/>
      <c r="BX428" s="47"/>
      <c r="BY428" s="36" t="s">
        <v>759</v>
      </c>
    </row>
    <row r="429" spans="1:77" hidden="1" x14ac:dyDescent="0.35">
      <c r="A429" s="63">
        <v>20411</v>
      </c>
      <c r="B429" s="2" t="s">
        <v>35</v>
      </c>
      <c r="C429" s="45">
        <v>2020</v>
      </c>
      <c r="D429" s="3">
        <v>29.76567</v>
      </c>
      <c r="E429" s="3">
        <v>-93.155270000000002</v>
      </c>
      <c r="F429" s="3">
        <v>50</v>
      </c>
      <c r="G429" s="3">
        <v>50</v>
      </c>
      <c r="H429" s="3" t="s">
        <v>26</v>
      </c>
      <c r="I429" s="43"/>
      <c r="J429" s="55">
        <v>96</v>
      </c>
      <c r="K429" s="4">
        <v>96</v>
      </c>
      <c r="L429" s="22">
        <f>IF(ISNUMBER(Table2[[#This Row],[estHD]]),ABS(Table2[[#This Row],[HD]]-Table2[[#This Row],[estHD]]),"NA")</f>
        <v>0</v>
      </c>
      <c r="M429" s="4" t="b">
        <f>Table2[[#This Row],[HD]]=Table2[[#This Row],[estHD]]</f>
        <v>1</v>
      </c>
      <c r="N429" s="4" t="str">
        <f>IF(ISNUMBER([1]!Table2[[#This Row],[hatch_date]]),[1]!Table2[[#This Row],[hatch_date]]-19,"NA")</f>
        <v>NA</v>
      </c>
      <c r="O429" s="31">
        <v>77</v>
      </c>
      <c r="P429" s="23">
        <f>IF(ISNUMBER(Table2[[#This Row],[nest_age1]]),ABS(Table2[[#This Row],[nest_age1]]-Table2[[#This Row],[nest_age_feb]]),"NA")</f>
        <v>1</v>
      </c>
      <c r="Q429" s="24">
        <f>IF(ISNUMBER(Table2[[#This Row],[final_obs_int2]]),ABS(Table2[[#This Row],[final_obs_int2]]-Table2[[#This Row],[final_obs_int_feb]]), "NA")</f>
        <v>0</v>
      </c>
      <c r="R429" s="24"/>
      <c r="S429" s="57" t="s">
        <v>88</v>
      </c>
      <c r="T429" s="57" t="str">
        <f>Table2[[#This Row],[camera_old]]</f>
        <v>N</v>
      </c>
      <c r="U429" s="24"/>
      <c r="V429" s="16" t="s">
        <v>24</v>
      </c>
      <c r="W429" s="16">
        <v>2</v>
      </c>
      <c r="X429" s="145">
        <v>4</v>
      </c>
      <c r="Y429" s="148" t="s">
        <v>91</v>
      </c>
      <c r="Z429" s="146" t="s">
        <v>91</v>
      </c>
      <c r="AA429" s="4" t="str">
        <f>Table2[[#This Row],[field_fate]]</f>
        <v>Hu</v>
      </c>
      <c r="AB429" s="4" t="str">
        <f>Table2[[#This Row],[field_fate2]]</f>
        <v>Hu</v>
      </c>
      <c r="AC429" s="4" t="str">
        <f>Table2[[#This Row],[field_fate3]]</f>
        <v>Hu</v>
      </c>
      <c r="AD429" s="4" t="str">
        <f>Table2[[#This Row],[field_fate4]]</f>
        <v>Hu</v>
      </c>
      <c r="AE429" s="4" t="str">
        <f>Table2[[#This Row],[field_fate5]]</f>
        <v>Hu</v>
      </c>
      <c r="AF429" s="4" t="str">
        <f>Table2[[#This Row],[field_fate5]]</f>
        <v>Hu</v>
      </c>
      <c r="AG429" s="4" t="str">
        <f>Table2[[#This Row],[field_fate5]]</f>
        <v>Hu</v>
      </c>
      <c r="AH429" s="4" t="str">
        <f>Table2[[#This Row],[field_fate2]]</f>
        <v>Hu</v>
      </c>
      <c r="AI429" s="4" t="str">
        <f>Table2[[#This Row],[field_fate8]]</f>
        <v>Hu</v>
      </c>
      <c r="AJ429" s="4" t="str">
        <f>Table2[[#This Row],[field_fate10]]</f>
        <v>Hu</v>
      </c>
      <c r="AK429" s="4" t="b">
        <f>Table2[[#This Row],[field_fate_feb]]=Table2[[#This Row],[field_fate10]]</f>
        <v>1</v>
      </c>
      <c r="AL429" s="43" t="s">
        <v>24</v>
      </c>
      <c r="AM429" s="43" t="b">
        <f>Table2[[#This Row],[cam_fate2]]="NA"</f>
        <v>1</v>
      </c>
      <c r="AN429" s="19" t="str">
        <f>Table2[[#This Row],[cam_fate1]]</f>
        <v>NA</v>
      </c>
      <c r="AO429" s="2" t="s">
        <v>91</v>
      </c>
      <c r="AP429" s="5" t="str">
        <f>Table2[[#This Row],[final_fate1]]</f>
        <v>Hu</v>
      </c>
      <c r="AQ429" s="6">
        <v>3</v>
      </c>
      <c r="AR429" s="7">
        <v>3</v>
      </c>
      <c r="AS429" s="7">
        <f>Table2[[#This Row],[final_obs_date]]-Table2[[#This Row],[init_date]]</f>
        <v>3</v>
      </c>
      <c r="AT429" s="7">
        <f>(Table2[[#This Row],[final_obs_date2]]-Table2[[#This Row],[estHD]])+16</f>
        <v>0</v>
      </c>
      <c r="AU429" s="38">
        <v>4</v>
      </c>
      <c r="AV429" s="33">
        <v>4</v>
      </c>
      <c r="AW429" s="33">
        <f>Table2[[#This Row],[final_obs_date2]]-Table2[[#This Row],[pen_obs_date]]</f>
        <v>80</v>
      </c>
      <c r="AX429" s="67">
        <v>80</v>
      </c>
      <c r="AY429" s="6">
        <f>Table2[[#This Row],[final_obs_date]]</f>
        <v>80</v>
      </c>
      <c r="AZ429" s="6"/>
      <c r="BA429" s="91" t="s">
        <v>47</v>
      </c>
      <c r="BB429" s="6" t="b">
        <f>Table2[[#This Row],[final_obs_date]]&lt;(Table2[[#This Row],[estHD]]-2)</f>
        <v>1</v>
      </c>
      <c r="BC429" s="24">
        <f>IF(Table2[[#This Row],[field_fate]]="H",1,0)</f>
        <v>0</v>
      </c>
      <c r="BD429" s="16">
        <f>IF(Table2[[#This Row],[cam_fate2]]="H",1,0)</f>
        <v>0</v>
      </c>
      <c r="BE429" s="6" t="b">
        <f>NOT(Table2[[#This Row],[HF_C]]=Table2[[#This Row],[HF]])</f>
        <v>0</v>
      </c>
      <c r="BF429" s="6" t="b">
        <f>NOT(Table2[[#This Row],[cam_fate2]]=Table2[[#This Row],[field_fate3]])</f>
        <v>1</v>
      </c>
      <c r="BG429" s="6" t="b">
        <f>OR(Table2[[#This Row],[field_fate3]]="U",Table2[[#This Row],[field_fate3]]="U-H")</f>
        <v>0</v>
      </c>
      <c r="BH429" s="8">
        <v>76</v>
      </c>
      <c r="BI429" s="8">
        <v>76</v>
      </c>
      <c r="BJ429" s="14">
        <f>IF(ISTEXT(Table2[[#This Row],[j.cam]]),Table2[[#This Row],[j]],Table2[[#This Row],[j.cam]])</f>
        <v>76</v>
      </c>
      <c r="BK429" s="9">
        <v>80</v>
      </c>
      <c r="BL429" s="15">
        <f>IF(ISTEXT(Table2[[#This Row],[k.cam]]), Table2[[#This Row],[k]], Table2[[#This Row],[k.cam]])</f>
        <v>80</v>
      </c>
      <c r="BM429" s="4" t="s">
        <v>24</v>
      </c>
      <c r="BN429" s="8" t="s">
        <v>24</v>
      </c>
      <c r="BO429" s="4">
        <v>2</v>
      </c>
      <c r="BP429" s="4">
        <f>Table2[[#This Row],[final_obs_date]]-Table2[[#This Row],[i]]</f>
        <v>4</v>
      </c>
      <c r="BQ429" s="4" t="b">
        <f>Table2[[#This Row],[final_obs_date2]]&gt;Table2[[#This Row],[estHD]]+3</f>
        <v>0</v>
      </c>
      <c r="BR429" s="4" t="s">
        <v>58</v>
      </c>
      <c r="BS429" s="4" t="s">
        <v>45</v>
      </c>
      <c r="BT429" s="79" t="s">
        <v>1277</v>
      </c>
      <c r="BU429" s="26" t="s">
        <v>117</v>
      </c>
      <c r="BV429" s="79" t="s">
        <v>1429</v>
      </c>
      <c r="BW429" s="49"/>
      <c r="BX429" s="47"/>
      <c r="BY429" s="36" t="s">
        <v>760</v>
      </c>
    </row>
    <row r="430" spans="1:77" ht="18.5" hidden="1" x14ac:dyDescent="0.35">
      <c r="A430" s="63">
        <v>20412</v>
      </c>
      <c r="B430" s="2" t="s">
        <v>35</v>
      </c>
      <c r="C430" s="45">
        <v>2020</v>
      </c>
      <c r="D430" s="3">
        <v>29.767060000000001</v>
      </c>
      <c r="E430" s="3">
        <v>-93.161640000000006</v>
      </c>
      <c r="F430" s="3">
        <v>40</v>
      </c>
      <c r="G430" s="3">
        <v>30</v>
      </c>
      <c r="H430" s="3" t="s">
        <v>462</v>
      </c>
      <c r="I430" s="43"/>
      <c r="J430" s="55">
        <v>96</v>
      </c>
      <c r="K430" s="4">
        <v>96</v>
      </c>
      <c r="L430" s="22">
        <f>IF(ISNUMBER(Table2[[#This Row],[estHD]]),ABS(Table2[[#This Row],[HD]]-Table2[[#This Row],[estHD]]),"NA")</f>
        <v>0</v>
      </c>
      <c r="M430" s="4" t="b">
        <f>Table2[[#This Row],[HD]]=Table2[[#This Row],[estHD]]</f>
        <v>1</v>
      </c>
      <c r="N430" s="4" t="str">
        <f>IF(ISNUMBER([1]!Table2[[#This Row],[hatch_date]]),[1]!Table2[[#This Row],[hatch_date]]-19,"NA")</f>
        <v>NA</v>
      </c>
      <c r="O430" s="31">
        <v>77</v>
      </c>
      <c r="P430" s="23">
        <f>IF(ISNUMBER(Table2[[#This Row],[nest_age1]]),ABS(Table2[[#This Row],[nest_age1]]-Table2[[#This Row],[nest_age_feb]]),"NA")</f>
        <v>0</v>
      </c>
      <c r="Q430" s="24">
        <f>IF(ISNUMBER(Table2[[#This Row],[final_obs_int2]]),ABS(Table2[[#This Row],[final_obs_int2]]-Table2[[#This Row],[final_obs_int_feb]]), "NA")</f>
        <v>1</v>
      </c>
      <c r="R430" s="24"/>
      <c r="S430" s="57" t="s">
        <v>88</v>
      </c>
      <c r="T430" s="57" t="str">
        <f>Table2[[#This Row],[camera_old]]</f>
        <v>N</v>
      </c>
      <c r="U430" s="24"/>
      <c r="V430" s="16" t="s">
        <v>24</v>
      </c>
      <c r="W430" s="16">
        <v>20</v>
      </c>
      <c r="X430" s="145">
        <v>3</v>
      </c>
      <c r="Y430" s="147" t="s">
        <v>90</v>
      </c>
      <c r="Z430" s="146" t="s">
        <v>37</v>
      </c>
      <c r="AA430" s="4" t="str">
        <f>Table2[[#This Row],[field_fate]]</f>
        <v>H</v>
      </c>
      <c r="AB430" s="4" t="str">
        <f>Table2[[#This Row],[field_fate2]]</f>
        <v>H</v>
      </c>
      <c r="AC430" s="4" t="str">
        <f>Table2[[#This Row],[field_fate3]]</f>
        <v>H</v>
      </c>
      <c r="AD430" s="4" t="str">
        <f>Table2[[#This Row],[field_fate4]]</f>
        <v>H</v>
      </c>
      <c r="AE430" s="4" t="str">
        <f>Table2[[#This Row],[field_fate5]]</f>
        <v>H</v>
      </c>
      <c r="AF430" s="4" t="str">
        <f>Table2[[#This Row],[field_fate5]]</f>
        <v>H</v>
      </c>
      <c r="AG430" s="4" t="str">
        <f>Table2[[#This Row],[field_fate5]]</f>
        <v>H</v>
      </c>
      <c r="AH430" s="4" t="str">
        <f>Table2[[#This Row],[field_fate2]]</f>
        <v>H</v>
      </c>
      <c r="AI430" s="4" t="str">
        <f>Table2[[#This Row],[field_fate8]]</f>
        <v>H</v>
      </c>
      <c r="AJ430" s="4" t="str">
        <f>Table2[[#This Row],[field_fate10]]</f>
        <v>H</v>
      </c>
      <c r="AK430" s="4" t="b">
        <f>Table2[[#This Row],[field_fate_feb]]=Table2[[#This Row],[field_fate10]]</f>
        <v>0</v>
      </c>
      <c r="AL430" s="43" t="s">
        <v>24</v>
      </c>
      <c r="AM430" s="43" t="b">
        <f>Table2[[#This Row],[cam_fate2]]="NA"</f>
        <v>1</v>
      </c>
      <c r="AN430" s="19" t="str">
        <f>Table2[[#This Row],[cam_fate1]]</f>
        <v>NA</v>
      </c>
      <c r="AO430" s="2" t="s">
        <v>37</v>
      </c>
      <c r="AP430" s="5" t="str">
        <f>Table2[[#This Row],[final_fate1]]</f>
        <v>H</v>
      </c>
      <c r="AQ430" s="6">
        <v>20</v>
      </c>
      <c r="AR430" s="7">
        <v>20</v>
      </c>
      <c r="AS430" s="7">
        <f>Table2[[#This Row],[final_obs_date]]-Table2[[#This Row],[init_date]]</f>
        <v>20</v>
      </c>
      <c r="AT430" s="7">
        <f>(Table2[[#This Row],[final_obs_date2]]-Table2[[#This Row],[estHD]])+16</f>
        <v>17</v>
      </c>
      <c r="AU430" s="38">
        <v>2</v>
      </c>
      <c r="AV430" s="33">
        <v>2</v>
      </c>
      <c r="AW430" s="33">
        <f>Table2[[#This Row],[final_obs_date2]]-Table2[[#This Row],[pen_obs_date]]</f>
        <v>97</v>
      </c>
      <c r="AX430" s="67">
        <v>97</v>
      </c>
      <c r="AY430" s="6">
        <f>Table2[[#This Row],[final_obs_date]]</f>
        <v>97</v>
      </c>
      <c r="AZ430" s="6"/>
      <c r="BA430" s="91" t="s">
        <v>47</v>
      </c>
      <c r="BB430" s="6" t="b">
        <f>Table2[[#This Row],[final_obs_date]]&lt;(Table2[[#This Row],[estHD]]-2)</f>
        <v>0</v>
      </c>
      <c r="BC430" s="24">
        <f>IF(Table2[[#This Row],[field_fate]]="H",1,0)</f>
        <v>1</v>
      </c>
      <c r="BD430" s="16">
        <f>IF(Table2[[#This Row],[cam_fate2]]="H",1,0)</f>
        <v>0</v>
      </c>
      <c r="BE430" s="6" t="b">
        <f>NOT(Table2[[#This Row],[HF_C]]=Table2[[#This Row],[HF]])</f>
        <v>1</v>
      </c>
      <c r="BF430" s="6" t="b">
        <f>NOT(Table2[[#This Row],[cam_fate2]]=Table2[[#This Row],[field_fate3]])</f>
        <v>1</v>
      </c>
      <c r="BG430" s="6" t="b">
        <f>OR(Table2[[#This Row],[field_fate3]]="U",Table2[[#This Row],[field_fate3]]="U-H")</f>
        <v>0</v>
      </c>
      <c r="BH430" s="8">
        <v>76</v>
      </c>
      <c r="BI430" s="8">
        <v>96</v>
      </c>
      <c r="BJ430" s="14">
        <f>IF(ISTEXT(Table2[[#This Row],[j.cam]]),Table2[[#This Row],[j]],Table2[[#This Row],[j.cam]])</f>
        <v>96</v>
      </c>
      <c r="BK430" s="9">
        <v>96</v>
      </c>
      <c r="BL430" s="15">
        <f>IF(ISTEXT(Table2[[#This Row],[k.cam]]), Table2[[#This Row],[k]], Table2[[#This Row],[k.cam]])</f>
        <v>96</v>
      </c>
      <c r="BM430" s="4" t="s">
        <v>24</v>
      </c>
      <c r="BN430" s="8" t="s">
        <v>24</v>
      </c>
      <c r="BO430" s="4">
        <v>8</v>
      </c>
      <c r="BP430" s="4">
        <f>Table2[[#This Row],[final_obs_date]]-Table2[[#This Row],[i]]</f>
        <v>21</v>
      </c>
      <c r="BQ430" s="4" t="b">
        <f>Table2[[#This Row],[final_obs_date2]]&gt;Table2[[#This Row],[estHD]]+3</f>
        <v>0</v>
      </c>
      <c r="BR430" s="4" t="s">
        <v>33</v>
      </c>
      <c r="BS430" s="4" t="s">
        <v>109</v>
      </c>
      <c r="BT430" s="79" t="s">
        <v>1278</v>
      </c>
      <c r="BU430" s="26" t="s">
        <v>331</v>
      </c>
      <c r="BV430" s="79" t="s">
        <v>1629</v>
      </c>
      <c r="BW430" s="49"/>
      <c r="BX430" s="47"/>
      <c r="BY430" s="36" t="s">
        <v>761</v>
      </c>
    </row>
    <row r="431" spans="1:77" hidden="1" x14ac:dyDescent="0.35">
      <c r="A431" s="63">
        <v>20413</v>
      </c>
      <c r="B431" s="2" t="s">
        <v>157</v>
      </c>
      <c r="C431" s="45">
        <v>2020</v>
      </c>
      <c r="D431" s="3">
        <v>29.764939999999999</v>
      </c>
      <c r="E431" s="3">
        <v>-93.372860000000003</v>
      </c>
      <c r="F431" s="3">
        <v>0</v>
      </c>
      <c r="G431" s="3">
        <v>0</v>
      </c>
      <c r="H431" s="3" t="s">
        <v>26</v>
      </c>
      <c r="I431" s="43"/>
      <c r="J431" s="55" t="s">
        <v>24</v>
      </c>
      <c r="K431" s="4">
        <v>90</v>
      </c>
      <c r="L431" s="22" t="str">
        <f>IF(ISNUMBER(Table2[[#This Row],[estHD]]),ABS(Table2[[#This Row],[HD]]-Table2[[#This Row],[estHD]]),"NA")</f>
        <v>NA</v>
      </c>
      <c r="M431" s="4" t="b">
        <f>Table2[[#This Row],[HD]]=Table2[[#This Row],[estHD]]</f>
        <v>0</v>
      </c>
      <c r="N431" s="4" t="str">
        <f>IF(ISNUMBER([1]!Table2[[#This Row],[hatch_date]]),[1]!Table2[[#This Row],[hatch_date]]-19,"NA")</f>
        <v>NA</v>
      </c>
      <c r="O431" s="31">
        <v>71</v>
      </c>
      <c r="P431" s="23" t="e">
        <f>IF(ISNUMBER(Table2[[#This Row],[nest_age1]]),ABS(Table2[[#This Row],[nest_age1]]-Table2[[#This Row],[nest_age_feb]]),"NA")</f>
        <v>#VALUE!</v>
      </c>
      <c r="Q431" s="24">
        <f>IF(ISNUMBER(Table2[[#This Row],[final_obs_int2]]),ABS(Table2[[#This Row],[final_obs_int2]]-Table2[[#This Row],[final_obs_int_feb]]), "NA")</f>
        <v>0</v>
      </c>
      <c r="R431" s="24"/>
      <c r="S431" s="20" t="s">
        <v>75</v>
      </c>
      <c r="T431" s="20" t="str">
        <f>Table2[[#This Row],[camera_old]]</f>
        <v>Y</v>
      </c>
      <c r="U431" s="22" t="s">
        <v>88</v>
      </c>
      <c r="V431" s="16" t="s">
        <v>37</v>
      </c>
      <c r="W431" s="16" t="s">
        <v>24</v>
      </c>
      <c r="X431" s="145">
        <v>1</v>
      </c>
      <c r="Y431" s="149" t="s">
        <v>90</v>
      </c>
      <c r="Z431" s="146" t="s">
        <v>90</v>
      </c>
      <c r="AA431" s="4" t="str">
        <f>Table2[[#This Row],[field_fate]]</f>
        <v>U</v>
      </c>
      <c r="AB431" s="4" t="str">
        <f>Table2[[#This Row],[field_fate2]]</f>
        <v>U</v>
      </c>
      <c r="AC431" s="94" t="str">
        <f>Table2[[#This Row],[field_fate3]]</f>
        <v>U</v>
      </c>
      <c r="AD431" s="94" t="str">
        <f>Table2[[#This Row],[field_fate4]]</f>
        <v>U</v>
      </c>
      <c r="AE431" s="94" t="str">
        <f>Table2[[#This Row],[field_fate5]]</f>
        <v>U</v>
      </c>
      <c r="AF431" s="94" t="str">
        <f>Table2[[#This Row],[field_fate5]]</f>
        <v>U</v>
      </c>
      <c r="AG431" s="94" t="str">
        <f>Table2[[#This Row],[field_fate5]]</f>
        <v>U</v>
      </c>
      <c r="AH431" s="94" t="str">
        <f>Table2[[#This Row],[field_fate2]]</f>
        <v>U</v>
      </c>
      <c r="AI431" s="94" t="str">
        <f>Table2[[#This Row],[field_fate8]]</f>
        <v>U</v>
      </c>
      <c r="AJ431" s="94" t="str">
        <f>Table2[[#This Row],[field_fate10]]</f>
        <v>U</v>
      </c>
      <c r="AK431" s="94" t="b">
        <f>Table2[[#This Row],[field_fate_feb]]=Table2[[#This Row],[field_fate10]]</f>
        <v>1</v>
      </c>
      <c r="AL431" s="43" t="s">
        <v>37</v>
      </c>
      <c r="AM431" s="43" t="b">
        <f>Table2[[#This Row],[cam_fate2]]="NA"</f>
        <v>0</v>
      </c>
      <c r="AN431" s="19" t="str">
        <f>Table2[[#This Row],[cam_fate1]]</f>
        <v>H</v>
      </c>
      <c r="AO431" s="2" t="s">
        <v>37</v>
      </c>
      <c r="AP431" s="5" t="str">
        <f>Table2[[#This Row],[final_fate1]]</f>
        <v>H</v>
      </c>
      <c r="AQ431" s="6">
        <v>20</v>
      </c>
      <c r="AR431" s="7">
        <v>20</v>
      </c>
      <c r="AS431" s="155">
        <f>Table2[[#This Row],[final_obs_date]]-Table2[[#This Row],[init_date]]</f>
        <v>20</v>
      </c>
      <c r="AT431" s="155" t="e">
        <f>(Table2[[#This Row],[final_obs_date2]]-Table2[[#This Row],[estHD]])+16</f>
        <v>#VALUE!</v>
      </c>
      <c r="AU431" s="38">
        <v>1</v>
      </c>
      <c r="AV431" s="33">
        <v>1</v>
      </c>
      <c r="AW431" s="33">
        <f>Table2[[#This Row],[final_obs_date2]]-Table2[[#This Row],[pen_obs_date]]</f>
        <v>4</v>
      </c>
      <c r="AX431" s="67">
        <v>91</v>
      </c>
      <c r="AY431" s="6">
        <f>Table2[[#This Row],[final_obs_date]]</f>
        <v>91</v>
      </c>
      <c r="AZ431" s="6">
        <v>87</v>
      </c>
      <c r="BA431" s="91" t="s">
        <v>47</v>
      </c>
      <c r="BB431" s="6" t="e">
        <f>Table2[[#This Row],[final_obs_date]]&lt;(Table2[[#This Row],[estHD]]-2)</f>
        <v>#VALUE!</v>
      </c>
      <c r="BC431" s="32">
        <f>IF(Table2[[#This Row],[field_fate]]="H",1,0)</f>
        <v>0</v>
      </c>
      <c r="BD431" s="16">
        <f>IF(Table2[[#This Row],[cam_fate2]]="H",1,0)</f>
        <v>1</v>
      </c>
      <c r="BE431" s="6" t="b">
        <f>NOT(Table2[[#This Row],[HF_C]]=Table2[[#This Row],[HF]])</f>
        <v>1</v>
      </c>
      <c r="BF431" s="6" t="b">
        <f>NOT(Table2[[#This Row],[cam_fate2]]=Table2[[#This Row],[field_fate3]])</f>
        <v>1</v>
      </c>
      <c r="BG431" s="6" t="b">
        <f>OR(Table2[[#This Row],[field_fate3]]="U",Table2[[#This Row],[field_fate3]]="U-H")</f>
        <v>1</v>
      </c>
      <c r="BH431" s="8">
        <v>79</v>
      </c>
      <c r="BI431" s="8">
        <v>91</v>
      </c>
      <c r="BJ431" s="14">
        <f>IF(ISTEXT(Table2[[#This Row],[j.cam]]),Table2[[#This Row],[j]],Table2[[#This Row],[j.cam]])</f>
        <v>90</v>
      </c>
      <c r="BK431" s="8">
        <v>91</v>
      </c>
      <c r="BL431" s="14">
        <f>IF(ISTEXT(Table2[[#This Row],[k.cam]]), Table2[[#This Row],[k]], Table2[[#This Row],[k.cam]])</f>
        <v>90</v>
      </c>
      <c r="BM431" s="4">
        <v>90</v>
      </c>
      <c r="BN431" s="8">
        <v>90</v>
      </c>
      <c r="BO431" s="4">
        <v>4</v>
      </c>
      <c r="BP431" s="4">
        <f>Table2[[#This Row],[final_obs_date]]-Table2[[#This Row],[i]]</f>
        <v>12</v>
      </c>
      <c r="BQ431" s="4" t="e">
        <f>Table2[[#This Row],[final_obs_date2]]&gt;Table2[[#This Row],[estHD]]+3</f>
        <v>#VALUE!</v>
      </c>
      <c r="BR431" s="3" t="s">
        <v>267</v>
      </c>
      <c r="BS431" s="3" t="s">
        <v>45</v>
      </c>
      <c r="BT431" s="88" t="s">
        <v>1279</v>
      </c>
      <c r="BU431" s="26" t="s">
        <v>332</v>
      </c>
      <c r="BV431" s="79" t="s">
        <v>1630</v>
      </c>
      <c r="BW431" s="49"/>
      <c r="BX431" s="47" t="s">
        <v>943</v>
      </c>
      <c r="BY431" s="36" t="s">
        <v>762</v>
      </c>
    </row>
    <row r="432" spans="1:77" ht="18.5" hidden="1" x14ac:dyDescent="0.35">
      <c r="A432" s="63">
        <v>20414</v>
      </c>
      <c r="B432" s="2" t="s">
        <v>35</v>
      </c>
      <c r="C432" s="45">
        <v>2020</v>
      </c>
      <c r="D432" s="3">
        <v>29.765720000000002</v>
      </c>
      <c r="E432" s="3">
        <v>-93.155410000000003</v>
      </c>
      <c r="F432" s="3">
        <v>70</v>
      </c>
      <c r="G432" s="3">
        <v>70</v>
      </c>
      <c r="H432" s="3" t="s">
        <v>462</v>
      </c>
      <c r="I432" s="43"/>
      <c r="J432" s="55">
        <v>97</v>
      </c>
      <c r="K432" s="4">
        <v>97</v>
      </c>
      <c r="L432" s="22">
        <f>IF(ISNUMBER(Table2[[#This Row],[estHD]]),ABS(Table2[[#This Row],[HD]]-Table2[[#This Row],[estHD]]),"NA")</f>
        <v>0</v>
      </c>
      <c r="M432" s="4" t="b">
        <f>Table2[[#This Row],[HD]]=Table2[[#This Row],[estHD]]</f>
        <v>1</v>
      </c>
      <c r="N432" s="4" t="str">
        <f>IF(ISNUMBER([1]!Table2[[#This Row],[hatch_date]]),[1]!Table2[[#This Row],[hatch_date]]-19,"NA")</f>
        <v>NA</v>
      </c>
      <c r="O432" s="31">
        <v>78</v>
      </c>
      <c r="P432" s="23">
        <f>IF(ISNUMBER(Table2[[#This Row],[nest_age1]]),ABS(Table2[[#This Row],[nest_age1]]-Table2[[#This Row],[nest_age_feb]]),"NA")</f>
        <v>1</v>
      </c>
      <c r="Q432" s="24">
        <f>IF(ISNUMBER(Table2[[#This Row],[final_obs_int2]]),ABS(Table2[[#This Row],[final_obs_int2]]-Table2[[#This Row],[final_obs_int_feb]]), "NA")</f>
        <v>0</v>
      </c>
      <c r="R432" s="24"/>
      <c r="S432" s="57" t="s">
        <v>88</v>
      </c>
      <c r="T432" s="57" t="str">
        <f>Table2[[#This Row],[camera_old]]</f>
        <v>N</v>
      </c>
      <c r="U432" s="24"/>
      <c r="V432" s="16" t="s">
        <v>24</v>
      </c>
      <c r="W432" s="16">
        <v>22</v>
      </c>
      <c r="X432" s="145">
        <v>3</v>
      </c>
      <c r="Y432" s="147" t="s">
        <v>36</v>
      </c>
      <c r="Z432" s="146" t="s">
        <v>36</v>
      </c>
      <c r="AA432" s="4" t="str">
        <f>Table2[[#This Row],[field_fate]]</f>
        <v>A</v>
      </c>
      <c r="AB432" s="4" t="str">
        <f>Table2[[#This Row],[field_fate2]]</f>
        <v>A</v>
      </c>
      <c r="AC432" s="4" t="str">
        <f>Table2[[#This Row],[field_fate3]]</f>
        <v>A</v>
      </c>
      <c r="AD432" s="4" t="str">
        <f>Table2[[#This Row],[field_fate4]]</f>
        <v>A</v>
      </c>
      <c r="AE432" s="4" t="str">
        <f>Table2[[#This Row],[field_fate5]]</f>
        <v>A</v>
      </c>
      <c r="AF432" s="4" t="str">
        <f>Table2[[#This Row],[field_fate5]]</f>
        <v>A</v>
      </c>
      <c r="AG432" s="4" t="str">
        <f>Table2[[#This Row],[field_fate5]]</f>
        <v>A</v>
      </c>
      <c r="AH432" s="4" t="str">
        <f>Table2[[#This Row],[field_fate2]]</f>
        <v>A</v>
      </c>
      <c r="AI432" s="4" t="str">
        <f>Table2[[#This Row],[field_fate8]]</f>
        <v>A</v>
      </c>
      <c r="AJ432" s="4" t="str">
        <f>Table2[[#This Row],[field_fate10]]</f>
        <v>A</v>
      </c>
      <c r="AK432" s="4" t="b">
        <f>Table2[[#This Row],[field_fate_feb]]=Table2[[#This Row],[field_fate10]]</f>
        <v>1</v>
      </c>
      <c r="AL432" s="43" t="s">
        <v>24</v>
      </c>
      <c r="AM432" s="43" t="b">
        <f>Table2[[#This Row],[cam_fate2]]="NA"</f>
        <v>1</v>
      </c>
      <c r="AN432" s="19" t="str">
        <f>Table2[[#This Row],[cam_fate1]]</f>
        <v>NA</v>
      </c>
      <c r="AO432" s="2" t="s">
        <v>36</v>
      </c>
      <c r="AP432" s="5" t="str">
        <f>Table2[[#This Row],[final_fate1]]</f>
        <v>A</v>
      </c>
      <c r="AQ432" s="6">
        <v>23</v>
      </c>
      <c r="AR432" s="7">
        <v>23</v>
      </c>
      <c r="AS432" s="7">
        <f>Table2[[#This Row],[final_obs_date]]-Table2[[#This Row],[init_date]]</f>
        <v>23</v>
      </c>
      <c r="AT432" s="7">
        <f>(Table2[[#This Row],[final_obs_date2]]-Table2[[#This Row],[estHD]])+16</f>
        <v>20</v>
      </c>
      <c r="AU432" s="38">
        <v>3</v>
      </c>
      <c r="AV432" s="33">
        <v>3</v>
      </c>
      <c r="AW432" s="33">
        <f>Table2[[#This Row],[final_obs_date2]]-Table2[[#This Row],[pen_obs_date]]</f>
        <v>101</v>
      </c>
      <c r="AX432" s="67">
        <v>101</v>
      </c>
      <c r="AY432" s="6">
        <f>Table2[[#This Row],[final_obs_date]]</f>
        <v>101</v>
      </c>
      <c r="AZ432" s="6"/>
      <c r="BA432" s="91" t="s">
        <v>47</v>
      </c>
      <c r="BB432" s="6" t="b">
        <f>Table2[[#This Row],[final_obs_date]]&lt;(Table2[[#This Row],[estHD]]-2)</f>
        <v>0</v>
      </c>
      <c r="BC432" s="24">
        <f>IF(Table2[[#This Row],[field_fate]]="H",1,0)</f>
        <v>0</v>
      </c>
      <c r="BD432" s="16">
        <f>IF(Table2[[#This Row],[cam_fate2]]="H",1,0)</f>
        <v>0</v>
      </c>
      <c r="BE432" s="6" t="b">
        <f>NOT(Table2[[#This Row],[HF_C]]=Table2[[#This Row],[HF]])</f>
        <v>0</v>
      </c>
      <c r="BF432" s="6" t="b">
        <f>NOT(Table2[[#This Row],[cam_fate2]]=Table2[[#This Row],[field_fate3]])</f>
        <v>1</v>
      </c>
      <c r="BG432" s="6" t="b">
        <f>OR(Table2[[#This Row],[field_fate3]]="U",Table2[[#This Row],[field_fate3]]="U-H")</f>
        <v>0</v>
      </c>
      <c r="BH432" s="8">
        <v>80</v>
      </c>
      <c r="BI432" s="8">
        <v>84</v>
      </c>
      <c r="BJ432" s="14">
        <f>IF(ISTEXT(Table2[[#This Row],[j.cam]]),Table2[[#This Row],[j]],Table2[[#This Row],[j.cam]])</f>
        <v>84</v>
      </c>
      <c r="BK432" s="9">
        <v>101</v>
      </c>
      <c r="BL432" s="15">
        <f>IF(ISTEXT(Table2[[#This Row],[k.cam]]), Table2[[#This Row],[k]], Table2[[#This Row],[k.cam]])</f>
        <v>101</v>
      </c>
      <c r="BM432" s="4" t="s">
        <v>24</v>
      </c>
      <c r="BN432" s="8" t="s">
        <v>24</v>
      </c>
      <c r="BO432" s="4">
        <v>8</v>
      </c>
      <c r="BP432" s="4">
        <f>Table2[[#This Row],[final_obs_date]]-Table2[[#This Row],[i]]</f>
        <v>21</v>
      </c>
      <c r="BQ432" s="4" t="b">
        <f>Table2[[#This Row],[final_obs_date2]]&gt;Table2[[#This Row],[estHD]]+3</f>
        <v>1</v>
      </c>
      <c r="BR432" s="4" t="s">
        <v>58</v>
      </c>
      <c r="BS432" s="4" t="s">
        <v>58</v>
      </c>
      <c r="BT432" s="79" t="s">
        <v>1280</v>
      </c>
      <c r="BU432" s="26" t="s">
        <v>333</v>
      </c>
      <c r="BV432" s="79" t="s">
        <v>1631</v>
      </c>
      <c r="BW432" s="49"/>
      <c r="BX432" s="47"/>
      <c r="BY432" s="36" t="s">
        <v>763</v>
      </c>
    </row>
    <row r="433" spans="1:77" ht="15" hidden="1" x14ac:dyDescent="0.35">
      <c r="A433" s="63">
        <v>20415</v>
      </c>
      <c r="B433" s="2" t="s">
        <v>35</v>
      </c>
      <c r="C433" s="45">
        <v>2020</v>
      </c>
      <c r="D433" s="3">
        <v>29.765650000000001</v>
      </c>
      <c r="E433" s="3">
        <v>-93.155529999999999</v>
      </c>
      <c r="F433" s="3">
        <v>0</v>
      </c>
      <c r="G433" s="3">
        <v>40</v>
      </c>
      <c r="H433" s="3" t="s">
        <v>462</v>
      </c>
      <c r="I433" s="43"/>
      <c r="J433" s="116">
        <v>96</v>
      </c>
      <c r="K433" s="4">
        <v>101</v>
      </c>
      <c r="L433" s="22">
        <f>IF(ISNUMBER(Table2[[#This Row],[estHD]]),ABS(Table2[[#This Row],[HD]]-Table2[[#This Row],[estHD]]),"NA")</f>
        <v>5</v>
      </c>
      <c r="M433" s="4" t="b">
        <f>Table2[[#This Row],[HD]]=Table2[[#This Row],[estHD]]</f>
        <v>0</v>
      </c>
      <c r="N433" s="4">
        <f>IF(ISNUMBER(Table2[[#This Row],[HD]]),Table2[[#This Row],[HD]]-19,"NA")</f>
        <v>82</v>
      </c>
      <c r="O433" s="31">
        <v>82</v>
      </c>
      <c r="P433" s="23">
        <f>IF(ISNUMBER(Table2[[#This Row],[nest_age1]]),ABS(Table2[[#This Row],[nest_age1]]-Table2[[#This Row],[nest_age_feb]]),"NA")</f>
        <v>4</v>
      </c>
      <c r="Q433" s="24">
        <f>IF(ISNUMBER(Table2[[#This Row],[final_obs_int2]]),ABS(Table2[[#This Row],[final_obs_int2]]-Table2[[#This Row],[final_obs_int_feb]]), "NA")</f>
        <v>0</v>
      </c>
      <c r="R433" s="24">
        <f>(Table2[[#This Row],[k_adj]]-Table2[[#This Row],[estHD]])/Table2[[#This Row],[estHD]]</f>
        <v>5.2083333333333336E-2</v>
      </c>
      <c r="S433" s="20" t="s">
        <v>75</v>
      </c>
      <c r="T433" s="20" t="str">
        <f>Table2[[#This Row],[camera_old]]</f>
        <v>Y</v>
      </c>
      <c r="U433" s="58" t="s">
        <v>909</v>
      </c>
      <c r="V433" s="16" t="s">
        <v>37</v>
      </c>
      <c r="W433" s="16">
        <v>23</v>
      </c>
      <c r="X433" s="145">
        <v>3</v>
      </c>
      <c r="Y433" s="147" t="s">
        <v>37</v>
      </c>
      <c r="Z433" s="146" t="s">
        <v>37</v>
      </c>
      <c r="AA433" s="4" t="str">
        <f>Table2[[#This Row],[field_fate]]</f>
        <v>H</v>
      </c>
      <c r="AB433" s="4" t="str">
        <f>Table2[[#This Row],[field_fate2]]</f>
        <v>H</v>
      </c>
      <c r="AC433" s="94" t="str">
        <f>Table2[[#This Row],[field_fate3]]</f>
        <v>H</v>
      </c>
      <c r="AD433" s="94" t="str">
        <f>Table2[[#This Row],[field_fate4]]</f>
        <v>H</v>
      </c>
      <c r="AE433" s="94" t="str">
        <f>Table2[[#This Row],[field_fate5]]</f>
        <v>H</v>
      </c>
      <c r="AF433" s="94" t="str">
        <f>Table2[[#This Row],[field_fate5]]</f>
        <v>H</v>
      </c>
      <c r="AG433" s="94" t="str">
        <f>Table2[[#This Row],[field_fate5]]</f>
        <v>H</v>
      </c>
      <c r="AH433" s="94" t="str">
        <f>Table2[[#This Row],[field_fate2]]</f>
        <v>H</v>
      </c>
      <c r="AI433" s="94" t="str">
        <f>Table2[[#This Row],[field_fate8]]</f>
        <v>H</v>
      </c>
      <c r="AJ433" s="94" t="str">
        <f>Table2[[#This Row],[field_fate10]]</f>
        <v>H</v>
      </c>
      <c r="AK433" s="94" t="b">
        <f>Table2[[#This Row],[field_fate_feb]]=Table2[[#This Row],[field_fate10]]</f>
        <v>1</v>
      </c>
      <c r="AL433" s="43" t="s">
        <v>37</v>
      </c>
      <c r="AM433" s="160" t="b">
        <f>Table2[[#This Row],[cam_fate2]]="NA"</f>
        <v>0</v>
      </c>
      <c r="AN433" s="19" t="str">
        <f>Table2[[#This Row],[cam_fate1]]</f>
        <v>H</v>
      </c>
      <c r="AO433" s="2" t="s">
        <v>37</v>
      </c>
      <c r="AP433" s="5" t="str">
        <f>Table2[[#This Row],[final_fate1]]</f>
        <v>H</v>
      </c>
      <c r="AQ433" s="6">
        <v>19</v>
      </c>
      <c r="AR433" s="72">
        <v>24</v>
      </c>
      <c r="AS433" s="155">
        <f>Table2[[#This Row],[final_obs_date]]-Table2[[#This Row],[init_date]]</f>
        <v>19</v>
      </c>
      <c r="AT433" s="155">
        <f>(Table2[[#This Row],[final_obs_date2]]-Table2[[#This Row],[estHD]])+19</f>
        <v>24</v>
      </c>
      <c r="AU433" s="38">
        <v>3</v>
      </c>
      <c r="AV433" s="33">
        <v>3</v>
      </c>
      <c r="AW433" s="33">
        <f>Table2[[#This Row],[final_obs_date2]]-Table2[[#This Row],[pen_obs_date]]</f>
        <v>3</v>
      </c>
      <c r="AX433" s="67">
        <v>101</v>
      </c>
      <c r="AY433" s="157">
        <f>Table2[[#This Row],[final_obs_date]]</f>
        <v>101</v>
      </c>
      <c r="AZ433" s="6">
        <v>98</v>
      </c>
      <c r="BA433" s="92" t="s">
        <v>47</v>
      </c>
      <c r="BB433" s="6" t="b">
        <f>Table2[[#This Row],[final_obs_date]]&lt;(Table2[[#This Row],[estHD]]-2)</f>
        <v>0</v>
      </c>
      <c r="BC433" s="32">
        <f>IF(Table2[[#This Row],[field_fate]]="H",1,0)</f>
        <v>1</v>
      </c>
      <c r="BD433" s="16">
        <f>IF(Table2[[#This Row],[cam_fate2]]="H",1,0)</f>
        <v>1</v>
      </c>
      <c r="BE433" s="6" t="b">
        <f>NOT(Table2[[#This Row],[HF_C]]=Table2[[#This Row],[HF]])</f>
        <v>0</v>
      </c>
      <c r="BF433" s="38" t="b">
        <f>NOT(Table2[[#This Row],[cam_fate2]]=Table2[[#This Row],[field_fate3]])</f>
        <v>0</v>
      </c>
      <c r="BG433" s="38" t="b">
        <f>OR(Table2[[#This Row],[field_fate3]]="U",Table2[[#This Row],[field_fate3]]="U-H")</f>
        <v>0</v>
      </c>
      <c r="BH433" s="8">
        <v>81</v>
      </c>
      <c r="BI433" s="8">
        <v>101</v>
      </c>
      <c r="BJ433" s="14">
        <f>IF(ISTEXT(Table2[[#This Row],[j.cam]]),Table2[[#This Row],[j]],Table2[[#This Row],[j.cam]])</f>
        <v>101</v>
      </c>
      <c r="BK433" s="8">
        <v>101</v>
      </c>
      <c r="BL433" s="14">
        <f>IF(ISTEXT(Table2[[#This Row],[k.cam]]), Table2[[#This Row],[k]], Table2[[#This Row],[k.cam]])</f>
        <v>101</v>
      </c>
      <c r="BM433" s="4" t="s">
        <v>24</v>
      </c>
      <c r="BN433" s="8" t="s">
        <v>24</v>
      </c>
      <c r="BO433" s="4">
        <v>8</v>
      </c>
      <c r="BP433" s="4">
        <f>Table2[[#This Row],[final_obs_date]]-Table2[[#This Row],[i]]</f>
        <v>20</v>
      </c>
      <c r="BQ433" s="4" t="b">
        <f>Table2[[#This Row],[final_obs_date2]]&gt;Table2[[#This Row],[estHD]]+3</f>
        <v>1</v>
      </c>
      <c r="BR433" s="3" t="s">
        <v>33</v>
      </c>
      <c r="BS433" s="3" t="s">
        <v>127</v>
      </c>
      <c r="BT433" s="125" t="s">
        <v>1281</v>
      </c>
      <c r="BU433" s="4" t="s">
        <v>334</v>
      </c>
      <c r="BV433" s="79" t="s">
        <v>1632</v>
      </c>
      <c r="BW433" s="69"/>
      <c r="BX433" s="36"/>
      <c r="BY433" s="36" t="s">
        <v>764</v>
      </c>
    </row>
    <row r="434" spans="1:77" hidden="1" x14ac:dyDescent="0.35">
      <c r="A434" s="63">
        <v>20416</v>
      </c>
      <c r="B434" s="2" t="s">
        <v>35</v>
      </c>
      <c r="C434" s="45">
        <v>2020</v>
      </c>
      <c r="D434" s="3">
        <v>29.76568</v>
      </c>
      <c r="E434" s="3">
        <v>-93.155169999999998</v>
      </c>
      <c r="F434" s="3">
        <v>20</v>
      </c>
      <c r="G434" s="3">
        <v>40</v>
      </c>
      <c r="H434" s="3" t="s">
        <v>462</v>
      </c>
      <c r="I434" s="43"/>
      <c r="J434" s="55">
        <v>93</v>
      </c>
      <c r="K434" s="4">
        <v>94</v>
      </c>
      <c r="L434" s="22">
        <f>IF(ISNUMBER(Table2[[#This Row],[estHD]]),ABS(Table2[[#This Row],[HD]]-Table2[[#This Row],[estHD]]),"NA")</f>
        <v>1</v>
      </c>
      <c r="M434" s="4" t="b">
        <f>Table2[[#This Row],[HD]]=Table2[[#This Row],[estHD]]</f>
        <v>0</v>
      </c>
      <c r="N434" s="4" t="str">
        <f>IF(ISNUMBER([1]!Table2[[#This Row],[hatch_date]]),[1]!Table2[[#This Row],[hatch_date]]-19,"NA")</f>
        <v>NA</v>
      </c>
      <c r="O434" s="31">
        <v>75</v>
      </c>
      <c r="P434" s="23">
        <f>IF(ISNUMBER(Table2[[#This Row],[nest_age1]]),ABS(Table2[[#This Row],[nest_age1]]-Table2[[#This Row],[nest_age_feb]]),"NA")</f>
        <v>0</v>
      </c>
      <c r="Q434" s="24">
        <f>IF(ISNUMBER(Table2[[#This Row],[final_obs_int2]]),ABS(Table2[[#This Row],[final_obs_int2]]-Table2[[#This Row],[final_obs_int_feb]]), "NA")</f>
        <v>0</v>
      </c>
      <c r="R434" s="24"/>
      <c r="S434" s="57" t="s">
        <v>88</v>
      </c>
      <c r="T434" s="57" t="str">
        <f>Table2[[#This Row],[camera_old]]</f>
        <v>N</v>
      </c>
      <c r="U434" s="24"/>
      <c r="V434" s="16" t="s">
        <v>24</v>
      </c>
      <c r="W434" s="16">
        <v>20</v>
      </c>
      <c r="X434" s="145">
        <v>3</v>
      </c>
      <c r="Y434" s="147" t="s">
        <v>37</v>
      </c>
      <c r="Z434" s="146" t="s">
        <v>37</v>
      </c>
      <c r="AA434" s="4" t="str">
        <f>Table2[[#This Row],[field_fate]]</f>
        <v>H</v>
      </c>
      <c r="AB434" s="4" t="str">
        <f>Table2[[#This Row],[field_fate2]]</f>
        <v>H</v>
      </c>
      <c r="AC434" s="4" t="str">
        <f>Table2[[#This Row],[field_fate3]]</f>
        <v>H</v>
      </c>
      <c r="AD434" s="4" t="str">
        <f>Table2[[#This Row],[field_fate4]]</f>
        <v>H</v>
      </c>
      <c r="AE434" s="4" t="str">
        <f>Table2[[#This Row],[field_fate5]]</f>
        <v>H</v>
      </c>
      <c r="AF434" s="4" t="str">
        <f>Table2[[#This Row],[field_fate5]]</f>
        <v>H</v>
      </c>
      <c r="AG434" s="4" t="str">
        <f>Table2[[#This Row],[field_fate5]]</f>
        <v>H</v>
      </c>
      <c r="AH434" s="4" t="str">
        <f>Table2[[#This Row],[field_fate2]]</f>
        <v>H</v>
      </c>
      <c r="AI434" s="4" t="str">
        <f>Table2[[#This Row],[field_fate8]]</f>
        <v>H</v>
      </c>
      <c r="AJ434" s="4" t="str">
        <f>Table2[[#This Row],[field_fate10]]</f>
        <v>H</v>
      </c>
      <c r="AK434" s="4" t="b">
        <f>Table2[[#This Row],[field_fate_feb]]=Table2[[#This Row],[field_fate10]]</f>
        <v>1</v>
      </c>
      <c r="AL434" s="43" t="s">
        <v>24</v>
      </c>
      <c r="AM434" s="43" t="b">
        <f>Table2[[#This Row],[cam_fate2]]="NA"</f>
        <v>1</v>
      </c>
      <c r="AN434" s="19" t="str">
        <f>Table2[[#This Row],[cam_fate1]]</f>
        <v>NA</v>
      </c>
      <c r="AO434" s="2" t="s">
        <v>37</v>
      </c>
      <c r="AP434" s="5" t="str">
        <f>Table2[[#This Row],[final_fate1]]</f>
        <v>H</v>
      </c>
      <c r="AQ434" s="6">
        <v>20</v>
      </c>
      <c r="AR434" s="7">
        <v>21</v>
      </c>
      <c r="AS434" s="7">
        <f>Table2[[#This Row],[final_obs_date]]-Table2[[#This Row],[init_date]]</f>
        <v>20</v>
      </c>
      <c r="AT434" s="7">
        <f>(Table2[[#This Row],[final_obs_date2]]-Table2[[#This Row],[estHD]])+16</f>
        <v>18</v>
      </c>
      <c r="AU434" s="38">
        <v>3</v>
      </c>
      <c r="AV434" s="33">
        <v>3</v>
      </c>
      <c r="AW434" s="33">
        <f>Table2[[#This Row],[final_obs_date2]]-Table2[[#This Row],[pen_obs_date]]</f>
        <v>95</v>
      </c>
      <c r="AX434" s="67">
        <v>95</v>
      </c>
      <c r="AY434" s="6">
        <f>Table2[[#This Row],[final_obs_date]]</f>
        <v>95</v>
      </c>
      <c r="AZ434" s="6"/>
      <c r="BA434" s="91" t="s">
        <v>47</v>
      </c>
      <c r="BB434" s="6" t="b">
        <f>Table2[[#This Row],[final_obs_date]]&lt;(Table2[[#This Row],[estHD]]-2)</f>
        <v>0</v>
      </c>
      <c r="BC434" s="24">
        <f>IF(Table2[[#This Row],[field_fate]]="H",1,0)</f>
        <v>1</v>
      </c>
      <c r="BD434" s="16">
        <f>IF(Table2[[#This Row],[cam_fate2]]="H",1,0)</f>
        <v>0</v>
      </c>
      <c r="BE434" s="6" t="b">
        <f>NOT(Table2[[#This Row],[HF_C]]=Table2[[#This Row],[HF]])</f>
        <v>1</v>
      </c>
      <c r="BF434" s="6" t="b">
        <f>NOT(Table2[[#This Row],[cam_fate2]]=Table2[[#This Row],[field_fate3]])</f>
        <v>1</v>
      </c>
      <c r="BG434" s="6" t="b">
        <f>OR(Table2[[#This Row],[field_fate3]]="U",Table2[[#This Row],[field_fate3]]="U-H")</f>
        <v>0</v>
      </c>
      <c r="BH434" s="8">
        <v>81</v>
      </c>
      <c r="BI434" s="8">
        <v>94</v>
      </c>
      <c r="BJ434" s="14">
        <f>IF(ISTEXT(Table2[[#This Row],[j.cam]]),Table2[[#This Row],[j]],Table2[[#This Row],[j.cam]])</f>
        <v>94</v>
      </c>
      <c r="BK434" s="9">
        <v>94</v>
      </c>
      <c r="BL434" s="15">
        <f>IF(ISTEXT(Table2[[#This Row],[k.cam]]), Table2[[#This Row],[k]], Table2[[#This Row],[k.cam]])</f>
        <v>94</v>
      </c>
      <c r="BM434" s="4" t="s">
        <v>24</v>
      </c>
      <c r="BN434" s="8" t="s">
        <v>24</v>
      </c>
      <c r="BO434" s="4">
        <v>6</v>
      </c>
      <c r="BP434" s="4">
        <f>Table2[[#This Row],[final_obs_date]]-Table2[[#This Row],[i]]</f>
        <v>14</v>
      </c>
      <c r="BQ434" s="4" t="b">
        <f>Table2[[#This Row],[final_obs_date2]]&gt;Table2[[#This Row],[estHD]]+3</f>
        <v>0</v>
      </c>
      <c r="BR434" s="4" t="s">
        <v>33</v>
      </c>
      <c r="BS434" s="4" t="s">
        <v>45</v>
      </c>
      <c r="BT434" s="79" t="s">
        <v>1282</v>
      </c>
      <c r="BU434" s="26" t="s">
        <v>304</v>
      </c>
      <c r="BV434" s="79" t="s">
        <v>1633</v>
      </c>
      <c r="BW434" s="49"/>
      <c r="BX434" s="47"/>
      <c r="BY434" s="36" t="s">
        <v>765</v>
      </c>
    </row>
    <row r="435" spans="1:77" hidden="1" x14ac:dyDescent="0.35">
      <c r="A435" s="63">
        <v>20417</v>
      </c>
      <c r="B435" s="2" t="s">
        <v>35</v>
      </c>
      <c r="C435" s="45">
        <v>2020</v>
      </c>
      <c r="D435" s="3">
        <v>29.76154</v>
      </c>
      <c r="E435" s="3">
        <v>-93.13561</v>
      </c>
      <c r="F435" s="3">
        <v>10</v>
      </c>
      <c r="G435" s="3">
        <v>20</v>
      </c>
      <c r="H435" s="3" t="s">
        <v>26</v>
      </c>
      <c r="I435" s="43"/>
      <c r="J435" s="55" t="s">
        <v>24</v>
      </c>
      <c r="K435" s="4" t="s">
        <v>24</v>
      </c>
      <c r="L435" s="22" t="str">
        <f>IF(ISNUMBER(Table2[[#This Row],[estHD]]),ABS(Table2[[#This Row],[HD]]-Table2[[#This Row],[estHD]]),"NA")</f>
        <v>NA</v>
      </c>
      <c r="M435" s="4" t="b">
        <f>Table2[[#This Row],[HD]]=Table2[[#This Row],[estHD]]</f>
        <v>1</v>
      </c>
      <c r="N435" s="4" t="str">
        <f>IF(ISNUMBER([1]!Table2[[#This Row],[hatch_date]]),[1]!Table2[[#This Row],[hatch_date]]-19,"NA")</f>
        <v>NA</v>
      </c>
      <c r="O435" s="31" t="s">
        <v>24</v>
      </c>
      <c r="P435" s="23" t="str">
        <f>IF(ISNUMBER(Table2[[#This Row],[nest_age1]]),ABS(Table2[[#This Row],[nest_age1]]-Table2[[#This Row],[nest_age_feb]]),"NA")</f>
        <v>NA</v>
      </c>
      <c r="Q435" s="24">
        <f>IF(ISNUMBER(Table2[[#This Row],[final_obs_int2]]),ABS(Table2[[#This Row],[final_obs_int2]]-Table2[[#This Row],[final_obs_int_feb]]), "NA")</f>
        <v>0</v>
      </c>
      <c r="R435" s="24"/>
      <c r="S435" s="57" t="s">
        <v>88</v>
      </c>
      <c r="T435" s="57" t="str">
        <f>Table2[[#This Row],[camera_old]]</f>
        <v>N</v>
      </c>
      <c r="U435" s="24"/>
      <c r="V435" s="16" t="s">
        <v>24</v>
      </c>
      <c r="W435" s="16" t="s">
        <v>24</v>
      </c>
      <c r="X435" s="145">
        <v>2</v>
      </c>
      <c r="Y435" s="147" t="s">
        <v>91</v>
      </c>
      <c r="Z435" s="146" t="s">
        <v>91</v>
      </c>
      <c r="AA435" s="4" t="str">
        <f>Table2[[#This Row],[field_fate]]</f>
        <v>Hu</v>
      </c>
      <c r="AB435" s="4" t="str">
        <f>Table2[[#This Row],[field_fate2]]</f>
        <v>Hu</v>
      </c>
      <c r="AC435" s="4" t="str">
        <f>Table2[[#This Row],[field_fate3]]</f>
        <v>Hu</v>
      </c>
      <c r="AD435" s="4" t="str">
        <f>Table2[[#This Row],[field_fate4]]</f>
        <v>Hu</v>
      </c>
      <c r="AE435" s="4" t="str">
        <f>Table2[[#This Row],[field_fate5]]</f>
        <v>Hu</v>
      </c>
      <c r="AF435" s="4" t="str">
        <f>Table2[[#This Row],[field_fate5]]</f>
        <v>Hu</v>
      </c>
      <c r="AG435" s="4" t="str">
        <f>Table2[[#This Row],[field_fate5]]</f>
        <v>Hu</v>
      </c>
      <c r="AH435" s="4" t="str">
        <f>Table2[[#This Row],[field_fate2]]</f>
        <v>Hu</v>
      </c>
      <c r="AI435" s="4" t="str">
        <f>Table2[[#This Row],[field_fate8]]</f>
        <v>Hu</v>
      </c>
      <c r="AJ435" s="4" t="str">
        <f>Table2[[#This Row],[field_fate10]]</f>
        <v>Hu</v>
      </c>
      <c r="AK435" s="4" t="b">
        <f>Table2[[#This Row],[field_fate_feb]]=Table2[[#This Row],[field_fate10]]</f>
        <v>1</v>
      </c>
      <c r="AL435" s="43" t="s">
        <v>24</v>
      </c>
      <c r="AM435" s="43" t="b">
        <f>Table2[[#This Row],[cam_fate2]]="NA"</f>
        <v>1</v>
      </c>
      <c r="AN435" s="19" t="str">
        <f>Table2[[#This Row],[cam_fate1]]</f>
        <v>NA</v>
      </c>
      <c r="AO435" s="2" t="s">
        <v>91</v>
      </c>
      <c r="AP435" s="5" t="str">
        <f>Table2[[#This Row],[final_fate1]]</f>
        <v>Hu</v>
      </c>
      <c r="AQ435" s="6" t="s">
        <v>24</v>
      </c>
      <c r="AR435" s="7" t="s">
        <v>24</v>
      </c>
      <c r="AS435" s="7" t="e">
        <f>Table2[[#This Row],[final_obs_date]]-Table2[[#This Row],[init_date]]</f>
        <v>#VALUE!</v>
      </c>
      <c r="AT435" s="7" t="e">
        <f>(Table2[[#This Row],[final_obs_date2]]-Table2[[#This Row],[estHD]])+16</f>
        <v>#VALUE!</v>
      </c>
      <c r="AU435" s="38">
        <v>2</v>
      </c>
      <c r="AV435" s="33">
        <v>2</v>
      </c>
      <c r="AW435" s="33">
        <f>Table2[[#This Row],[final_obs_date2]]-Table2[[#This Row],[pen_obs_date]]</f>
        <v>88</v>
      </c>
      <c r="AX435" s="67">
        <v>88</v>
      </c>
      <c r="AY435" s="6">
        <f>Table2[[#This Row],[final_obs_date]]</f>
        <v>88</v>
      </c>
      <c r="AZ435" s="6"/>
      <c r="BA435" s="91" t="s">
        <v>47</v>
      </c>
      <c r="BB435" s="6" t="e">
        <f>Table2[[#This Row],[final_obs_date]]&lt;(Table2[[#This Row],[estHD]]-2)</f>
        <v>#VALUE!</v>
      </c>
      <c r="BC435" s="24">
        <f>IF(Table2[[#This Row],[field_fate]]="H",1,0)</f>
        <v>0</v>
      </c>
      <c r="BD435" s="16">
        <f>IF(Table2[[#This Row],[cam_fate2]]="H",1,0)</f>
        <v>0</v>
      </c>
      <c r="BE435" s="6" t="b">
        <f>NOT(Table2[[#This Row],[HF_C]]=Table2[[#This Row],[HF]])</f>
        <v>0</v>
      </c>
      <c r="BF435" s="6" t="b">
        <f>NOT(Table2[[#This Row],[cam_fate2]]=Table2[[#This Row],[field_fate3]])</f>
        <v>1</v>
      </c>
      <c r="BG435" s="6" t="b">
        <f>OR(Table2[[#This Row],[field_fate3]]="U",Table2[[#This Row],[field_fate3]]="U-H")</f>
        <v>0</v>
      </c>
      <c r="BH435" s="8">
        <v>81</v>
      </c>
      <c r="BI435" s="8">
        <v>81</v>
      </c>
      <c r="BJ435" s="14">
        <f>IF(ISTEXT(Table2[[#This Row],[j.cam]]),Table2[[#This Row],[j]],Table2[[#This Row],[j.cam]])</f>
        <v>81</v>
      </c>
      <c r="BK435" s="9">
        <v>88</v>
      </c>
      <c r="BL435" s="15">
        <f>IF(ISTEXT(Table2[[#This Row],[k.cam]]), Table2[[#This Row],[k]], Table2[[#This Row],[k.cam]])</f>
        <v>88</v>
      </c>
      <c r="BM435" s="4" t="s">
        <v>24</v>
      </c>
      <c r="BN435" s="8" t="s">
        <v>24</v>
      </c>
      <c r="BO435" s="4">
        <v>4</v>
      </c>
      <c r="BP435" s="4">
        <f>Table2[[#This Row],[final_obs_date]]-Table2[[#This Row],[i]]</f>
        <v>7</v>
      </c>
      <c r="BQ435" s="4" t="e">
        <f>Table2[[#This Row],[final_obs_date2]]&gt;Table2[[#This Row],[estHD]]+3</f>
        <v>#VALUE!</v>
      </c>
      <c r="BR435" s="4" t="s">
        <v>31</v>
      </c>
      <c r="BS435" s="4" t="s">
        <v>45</v>
      </c>
      <c r="BT435" s="79" t="s">
        <v>1283</v>
      </c>
      <c r="BU435" s="26" t="s">
        <v>335</v>
      </c>
      <c r="BV435" s="79" t="s">
        <v>1634</v>
      </c>
      <c r="BW435" s="49"/>
      <c r="BX435" s="47"/>
      <c r="BY435" s="36" t="s">
        <v>24</v>
      </c>
    </row>
    <row r="436" spans="1:77" hidden="1" x14ac:dyDescent="0.35">
      <c r="A436" s="63">
        <v>20418</v>
      </c>
      <c r="B436" s="2" t="s">
        <v>35</v>
      </c>
      <c r="C436" s="45">
        <v>2020</v>
      </c>
      <c r="D436" s="3">
        <v>29.764469999999999</v>
      </c>
      <c r="E436" s="3">
        <v>-93.148790000000005</v>
      </c>
      <c r="F436" s="3">
        <v>40</v>
      </c>
      <c r="G436" s="3">
        <v>40</v>
      </c>
      <c r="H436" s="3" t="s">
        <v>462</v>
      </c>
      <c r="I436" s="43"/>
      <c r="J436" s="55">
        <v>92</v>
      </c>
      <c r="K436" s="4">
        <v>90</v>
      </c>
      <c r="L436" s="22">
        <f>IF(ISNUMBER(Table2[[#This Row],[estHD]]),ABS(Table2[[#This Row],[HD]]-Table2[[#This Row],[estHD]]),"NA")</f>
        <v>2</v>
      </c>
      <c r="M436" s="4" t="b">
        <f>Table2[[#This Row],[HD]]=Table2[[#This Row],[estHD]]</f>
        <v>0</v>
      </c>
      <c r="N436" s="4" t="str">
        <f>IF(ISNUMBER([1]!Table2[[#This Row],[hatch_date]]), [1]!Table2[[#This Row],[hatch_date]]-16, "NA")</f>
        <v>NA</v>
      </c>
      <c r="O436" s="31">
        <v>74</v>
      </c>
      <c r="P436" s="23">
        <f>IF(ISNUMBER(Table2[[#This Row],[nest_age1]]),ABS(Table2[[#This Row],[nest_age1]]-Table2[[#This Row],[nest_age_feb]]),"NA")</f>
        <v>3</v>
      </c>
      <c r="Q436" s="24">
        <f>IF(ISNUMBER(Table2[[#This Row],[final_obs_int2]]),ABS(Table2[[#This Row],[final_obs_int2]]-Table2[[#This Row],[final_obs_int_feb]]), "NA")</f>
        <v>0</v>
      </c>
      <c r="R436" s="24"/>
      <c r="S436" s="57" t="s">
        <v>88</v>
      </c>
      <c r="T436" s="57" t="str">
        <f>Table2[[#This Row],[camera_old]]</f>
        <v>N</v>
      </c>
      <c r="U436" s="24"/>
      <c r="V436" s="16" t="s">
        <v>24</v>
      </c>
      <c r="W436" s="16">
        <v>15</v>
      </c>
      <c r="X436" s="145">
        <v>4</v>
      </c>
      <c r="Y436" s="147" t="s">
        <v>37</v>
      </c>
      <c r="Z436" s="146" t="s">
        <v>37</v>
      </c>
      <c r="AA436" s="4" t="str">
        <f>Table2[[#This Row],[field_fate]]</f>
        <v>H</v>
      </c>
      <c r="AB436" s="4" t="str">
        <f>Table2[[#This Row],[field_fate2]]</f>
        <v>H</v>
      </c>
      <c r="AC436" s="4" t="str">
        <f>Table2[[#This Row],[field_fate3]]</f>
        <v>H</v>
      </c>
      <c r="AD436" s="4" t="str">
        <f>Table2[[#This Row],[field_fate4]]</f>
        <v>H</v>
      </c>
      <c r="AE436" s="4" t="str">
        <f>Table2[[#This Row],[field_fate5]]</f>
        <v>H</v>
      </c>
      <c r="AF436" s="4" t="str">
        <f>Table2[[#This Row],[field_fate5]]</f>
        <v>H</v>
      </c>
      <c r="AG436" s="4" t="str">
        <f>Table2[[#This Row],[field_fate5]]</f>
        <v>H</v>
      </c>
      <c r="AH436" s="4" t="str">
        <f>Table2[[#This Row],[field_fate2]]</f>
        <v>H</v>
      </c>
      <c r="AI436" s="4" t="str">
        <f>Table2[[#This Row],[field_fate8]]</f>
        <v>H</v>
      </c>
      <c r="AJ436" s="4" t="str">
        <f>Table2[[#This Row],[field_fate10]]</f>
        <v>H</v>
      </c>
      <c r="AK436" s="4" t="b">
        <f>Table2[[#This Row],[field_fate_feb]]=Table2[[#This Row],[field_fate10]]</f>
        <v>1</v>
      </c>
      <c r="AL436" s="43" t="s">
        <v>24</v>
      </c>
      <c r="AM436" s="43" t="b">
        <f>Table2[[#This Row],[cam_fate2]]="NA"</f>
        <v>1</v>
      </c>
      <c r="AN436" s="19" t="str">
        <f>Table2[[#This Row],[cam_fate1]]</f>
        <v>NA</v>
      </c>
      <c r="AO436" s="2" t="s">
        <v>37</v>
      </c>
      <c r="AP436" s="5" t="str">
        <f>Table2[[#This Row],[final_fate1]]</f>
        <v>H</v>
      </c>
      <c r="AQ436" s="6">
        <v>18</v>
      </c>
      <c r="AR436" s="7">
        <v>16</v>
      </c>
      <c r="AS436" s="7">
        <f>Table2[[#This Row],[final_obs_date]]-Table2[[#This Row],[init_date]]</f>
        <v>18</v>
      </c>
      <c r="AT436" s="7">
        <f>(Table2[[#This Row],[final_obs_date2]]-Table2[[#This Row],[estHD]])+16</f>
        <v>16</v>
      </c>
      <c r="AU436" s="38">
        <v>4</v>
      </c>
      <c r="AV436" s="33">
        <v>4</v>
      </c>
      <c r="AW436" s="33">
        <f>Table2[[#This Row],[final_obs_date2]]-Table2[[#This Row],[pen_obs_date]]</f>
        <v>92</v>
      </c>
      <c r="AX436" s="67">
        <v>92</v>
      </c>
      <c r="AY436" s="6">
        <f>Table2[[#This Row],[final_obs_date]]</f>
        <v>92</v>
      </c>
      <c r="AZ436" s="6"/>
      <c r="BA436" s="91" t="s">
        <v>60</v>
      </c>
      <c r="BB436" s="6" t="b">
        <f>Table2[[#This Row],[final_obs_date]]&lt;(Table2[[#This Row],[estHD]]-2)</f>
        <v>0</v>
      </c>
      <c r="BC436" s="24">
        <f>IF(Table2[[#This Row],[field_fate]]="H",1,0)</f>
        <v>1</v>
      </c>
      <c r="BD436" s="16">
        <f>IF(Table2[[#This Row],[cam_fate2]]="H",1,0)</f>
        <v>0</v>
      </c>
      <c r="BE436" s="6" t="b">
        <f>NOT(Table2[[#This Row],[HF_C]]=Table2[[#This Row],[HF]])</f>
        <v>1</v>
      </c>
      <c r="BF436" s="6" t="b">
        <f>NOT(Table2[[#This Row],[cam_fate2]]=Table2[[#This Row],[field_fate3]])</f>
        <v>1</v>
      </c>
      <c r="BG436" s="6" t="b">
        <f>OR(Table2[[#This Row],[field_fate3]]="U",Table2[[#This Row],[field_fate3]]="U-H")</f>
        <v>0</v>
      </c>
      <c r="BH436" s="8">
        <v>81</v>
      </c>
      <c r="BI436" s="8">
        <v>90</v>
      </c>
      <c r="BJ436" s="14">
        <f>IF(ISTEXT(Table2[[#This Row],[j.cam]]),Table2[[#This Row],[j]],Table2[[#This Row],[j.cam]])</f>
        <v>90</v>
      </c>
      <c r="BK436" s="9">
        <v>90</v>
      </c>
      <c r="BL436" s="15">
        <f>IF(ISTEXT(Table2[[#This Row],[k.cam]]), Table2[[#This Row],[k]], Table2[[#This Row],[k.cam]])</f>
        <v>90</v>
      </c>
      <c r="BM436" s="4" t="s">
        <v>24</v>
      </c>
      <c r="BN436" s="8" t="s">
        <v>24</v>
      </c>
      <c r="BO436" s="4">
        <v>5</v>
      </c>
      <c r="BP436" s="4">
        <f>Table2[[#This Row],[final_obs_date]]-Table2[[#This Row],[i]]</f>
        <v>11</v>
      </c>
      <c r="BQ436" s="4" t="b">
        <f>Table2[[#This Row],[final_obs_date2]]&gt;Table2[[#This Row],[estHD]]+3</f>
        <v>0</v>
      </c>
      <c r="BR436" s="4" t="s">
        <v>33</v>
      </c>
      <c r="BS436" s="4" t="s">
        <v>53</v>
      </c>
      <c r="BT436" s="79" t="s">
        <v>1284</v>
      </c>
      <c r="BU436" s="26" t="s">
        <v>54</v>
      </c>
      <c r="BV436" s="79" t="s">
        <v>1522</v>
      </c>
      <c r="BW436" s="49"/>
      <c r="BX436" s="47"/>
      <c r="BY436" s="36" t="s">
        <v>766</v>
      </c>
    </row>
    <row r="437" spans="1:77" hidden="1" x14ac:dyDescent="0.35">
      <c r="A437" s="63">
        <v>20419</v>
      </c>
      <c r="B437" s="2" t="s">
        <v>157</v>
      </c>
      <c r="C437" s="45">
        <v>2020</v>
      </c>
      <c r="D437" s="3">
        <v>29.76605</v>
      </c>
      <c r="E437" s="3">
        <v>-93.3857</v>
      </c>
      <c r="F437" s="3">
        <v>0</v>
      </c>
      <c r="G437" s="3">
        <v>0</v>
      </c>
      <c r="H437" s="3" t="s">
        <v>26</v>
      </c>
      <c r="I437" s="43"/>
      <c r="J437" s="55" t="s">
        <v>24</v>
      </c>
      <c r="K437" s="4" t="s">
        <v>24</v>
      </c>
      <c r="L437" s="22" t="str">
        <f>IF(ISNUMBER(Table2[[#This Row],[estHD]]),ABS(Table2[[#This Row],[HD]]-Table2[[#This Row],[estHD]]),"NA")</f>
        <v>NA</v>
      </c>
      <c r="M437" s="4" t="b">
        <f>Table2[[#This Row],[HD]]=Table2[[#This Row],[estHD]]</f>
        <v>1</v>
      </c>
      <c r="N437" s="4" t="str">
        <f>IF(ISNUMBER([1]!Table2[[#This Row],[hatch_date]]),[1]!Table2[[#This Row],[hatch_date]]-19,"NA")</f>
        <v>NA</v>
      </c>
      <c r="O437" s="31" t="s">
        <v>24</v>
      </c>
      <c r="P437" s="23" t="str">
        <f>IF(ISNUMBER(Table2[[#This Row],[nest_age1]]),ABS(Table2[[#This Row],[nest_age1]]-Table2[[#This Row],[nest_age_feb]]),"NA")</f>
        <v>NA</v>
      </c>
      <c r="Q437" s="24">
        <f>IF(ISNUMBER(Table2[[#This Row],[final_obs_int2]]),ABS(Table2[[#This Row],[final_obs_int2]]-Table2[[#This Row],[final_obs_int_feb]]), "NA")</f>
        <v>0</v>
      </c>
      <c r="R437" s="24"/>
      <c r="S437" s="20" t="s">
        <v>75</v>
      </c>
      <c r="T437" s="20" t="str">
        <f>Table2[[#This Row],[camera_old]]</f>
        <v>Y</v>
      </c>
      <c r="U437" s="22" t="s">
        <v>88</v>
      </c>
      <c r="V437" s="16" t="s">
        <v>31</v>
      </c>
      <c r="W437" s="16" t="s">
        <v>24</v>
      </c>
      <c r="X437" s="145">
        <v>4</v>
      </c>
      <c r="Y437" s="147" t="s">
        <v>90</v>
      </c>
      <c r="Z437" s="146" t="s">
        <v>90</v>
      </c>
      <c r="AA437" s="4" t="str">
        <f>Table2[[#This Row],[field_fate]]</f>
        <v>U</v>
      </c>
      <c r="AB437" s="4" t="str">
        <f>Table2[[#This Row],[field_fate2]]</f>
        <v>U</v>
      </c>
      <c r="AC437" s="94" t="str">
        <f>Table2[[#This Row],[field_fate3]]</f>
        <v>U</v>
      </c>
      <c r="AD437" s="94" t="str">
        <f>Table2[[#This Row],[field_fate4]]</f>
        <v>U</v>
      </c>
      <c r="AE437" s="94" t="str">
        <f>Table2[[#This Row],[field_fate5]]</f>
        <v>U</v>
      </c>
      <c r="AF437" s="94" t="str">
        <f>Table2[[#This Row],[field_fate5]]</f>
        <v>U</v>
      </c>
      <c r="AG437" s="94" t="str">
        <f>Table2[[#This Row],[field_fate5]]</f>
        <v>U</v>
      </c>
      <c r="AH437" s="94" t="str">
        <f>Table2[[#This Row],[field_fate2]]</f>
        <v>U</v>
      </c>
      <c r="AI437" s="94" t="str">
        <f>Table2[[#This Row],[field_fate8]]</f>
        <v>U</v>
      </c>
      <c r="AJ437" s="94" t="str">
        <f>Table2[[#This Row],[field_fate10]]</f>
        <v>U</v>
      </c>
      <c r="AK437" s="94" t="b">
        <f>Table2[[#This Row],[field_fate_feb]]=Table2[[#This Row],[field_fate10]]</f>
        <v>1</v>
      </c>
      <c r="AL437" s="43" t="s">
        <v>31</v>
      </c>
      <c r="AM437" s="43" t="b">
        <f>Table2[[#This Row],[cam_fate2]]="NA"</f>
        <v>0</v>
      </c>
      <c r="AN437" s="19" t="str">
        <f>Table2[[#This Row],[cam_fate1]]</f>
        <v>D</v>
      </c>
      <c r="AO437" s="2" t="s">
        <v>31</v>
      </c>
      <c r="AP437" s="5" t="str">
        <f>Table2[[#This Row],[final_fate1]]</f>
        <v>D</v>
      </c>
      <c r="AQ437" s="6" t="s">
        <v>24</v>
      </c>
      <c r="AR437" s="7" t="s">
        <v>24</v>
      </c>
      <c r="AS437" s="155" t="e">
        <f>Table2[[#This Row],[final_obs_date]]-Table2[[#This Row],[init_date]]</f>
        <v>#VALUE!</v>
      </c>
      <c r="AT437" s="155" t="e">
        <f>(Table2[[#This Row],[final_obs_date2]]-Table2[[#This Row],[estHD]])+16</f>
        <v>#VALUE!</v>
      </c>
      <c r="AU437" s="38">
        <v>4</v>
      </c>
      <c r="AV437" s="33">
        <v>4</v>
      </c>
      <c r="AW437" s="33">
        <f>Table2[[#This Row],[final_obs_date2]]-Table2[[#This Row],[pen_obs_date]]</f>
        <v>4</v>
      </c>
      <c r="AX437" s="67">
        <v>91</v>
      </c>
      <c r="AY437" s="6">
        <f>Table2[[#This Row],[final_obs_date]]</f>
        <v>91</v>
      </c>
      <c r="AZ437" s="6">
        <v>87</v>
      </c>
      <c r="BA437" s="91" t="s">
        <v>47</v>
      </c>
      <c r="BB437" s="6" t="e">
        <f>Table2[[#This Row],[final_obs_date]]&lt;(Table2[[#This Row],[estHD]]-2)</f>
        <v>#VALUE!</v>
      </c>
      <c r="BC437" s="32">
        <f>IF(Table2[[#This Row],[field_fate]]="H",1,0)</f>
        <v>0</v>
      </c>
      <c r="BD437" s="16">
        <f>IF(Table2[[#This Row],[cam_fate2]]="H",1,0)</f>
        <v>0</v>
      </c>
      <c r="BE437" s="6" t="b">
        <f>NOT(Table2[[#This Row],[HF_C]]=Table2[[#This Row],[HF]])</f>
        <v>0</v>
      </c>
      <c r="BF437" s="6" t="b">
        <f>NOT(Table2[[#This Row],[cam_fate2]]=Table2[[#This Row],[field_fate3]])</f>
        <v>1</v>
      </c>
      <c r="BG437" s="6" t="b">
        <f>OR(Table2[[#This Row],[field_fate3]]="U",Table2[[#This Row],[field_fate3]]="U-H")</f>
        <v>1</v>
      </c>
      <c r="BH437" s="8">
        <v>82</v>
      </c>
      <c r="BI437" s="8">
        <v>87</v>
      </c>
      <c r="BJ437" s="14">
        <f>IF(ISTEXT(Table2[[#This Row],[j.cam]]),Table2[[#This Row],[j]],Table2[[#This Row],[j.cam]])</f>
        <v>87</v>
      </c>
      <c r="BK437" s="8">
        <v>91</v>
      </c>
      <c r="BL437" s="14">
        <f>IF(ISTEXT(Table2[[#This Row],[k.cam]]), Table2[[#This Row],[k]], Table2[[#This Row],[k.cam]])</f>
        <v>91</v>
      </c>
      <c r="BM437" s="4" t="s">
        <v>24</v>
      </c>
      <c r="BN437" s="8" t="s">
        <v>24</v>
      </c>
      <c r="BO437" s="4">
        <v>3</v>
      </c>
      <c r="BP437" s="4">
        <f>Table2[[#This Row],[final_obs_date]]-Table2[[#This Row],[i]]</f>
        <v>9</v>
      </c>
      <c r="BQ437" s="4" t="e">
        <f>Table2[[#This Row],[final_obs_date2]]&gt;Table2[[#This Row],[estHD]]+3</f>
        <v>#VALUE!</v>
      </c>
      <c r="BR437" s="3" t="s">
        <v>33</v>
      </c>
      <c r="BS437" s="3" t="s">
        <v>45</v>
      </c>
      <c r="BT437" s="88" t="s">
        <v>1285</v>
      </c>
      <c r="BU437" s="26" t="s">
        <v>132</v>
      </c>
      <c r="BV437" s="79" t="s">
        <v>1470</v>
      </c>
      <c r="BW437" s="49"/>
      <c r="BX437" s="47"/>
      <c r="BY437" s="36" t="s">
        <v>762</v>
      </c>
    </row>
    <row r="438" spans="1:77" ht="15" hidden="1" x14ac:dyDescent="0.35">
      <c r="A438" s="63">
        <v>20420</v>
      </c>
      <c r="B438" s="2" t="s">
        <v>35</v>
      </c>
      <c r="C438" s="45">
        <v>2020</v>
      </c>
      <c r="D438" s="3">
        <v>29.764099999999999</v>
      </c>
      <c r="E438" s="3">
        <v>-93.146850000000001</v>
      </c>
      <c r="F438" s="3">
        <v>75</v>
      </c>
      <c r="G438" s="3">
        <v>75</v>
      </c>
      <c r="H438" s="3" t="s">
        <v>462</v>
      </c>
      <c r="I438" s="43"/>
      <c r="J438" s="116">
        <v>101</v>
      </c>
      <c r="K438" s="4">
        <v>104</v>
      </c>
      <c r="L438" s="22">
        <f>IF(ISNUMBER(Table2[[#This Row],[estHD]]),ABS(Table2[[#This Row],[HD]]-Table2[[#This Row],[estHD]]),"NA")</f>
        <v>3</v>
      </c>
      <c r="M438" s="4" t="b">
        <f>Table2[[#This Row],[HD]]=Table2[[#This Row],[estHD]]</f>
        <v>0</v>
      </c>
      <c r="N438" s="4">
        <f>IF(ISNUMBER(Table2[[#This Row],[HD]]),Table2[[#This Row],[HD]]-19,"NA")</f>
        <v>85</v>
      </c>
      <c r="O438" s="31">
        <v>85</v>
      </c>
      <c r="P438" s="23">
        <f>IF(ISNUMBER(Table2[[#This Row],[nest_age1]]),ABS(Table2[[#This Row],[nest_age1]]-Table2[[#This Row],[nest_age_feb]]),"NA")</f>
        <v>2</v>
      </c>
      <c r="Q438" s="24">
        <f>IF(ISNUMBER(Table2[[#This Row],[final_obs_int2]]),ABS(Table2[[#This Row],[final_obs_int2]]-Table2[[#This Row],[final_obs_int_feb]]), "NA")</f>
        <v>0</v>
      </c>
      <c r="R438" s="24">
        <f>(Table2[[#This Row],[k_adj]]-Table2[[#This Row],[estHD]])/Table2[[#This Row],[estHD]]</f>
        <v>2.9702970297029702E-2</v>
      </c>
      <c r="S438" s="20" t="s">
        <v>75</v>
      </c>
      <c r="T438" s="20" t="str">
        <f>Table2[[#This Row],[camera_old]]</f>
        <v>Y</v>
      </c>
      <c r="U438" s="58" t="s">
        <v>909</v>
      </c>
      <c r="V438" s="16" t="s">
        <v>37</v>
      </c>
      <c r="W438" s="16">
        <v>21</v>
      </c>
      <c r="X438" s="145">
        <v>3</v>
      </c>
      <c r="Y438" s="147" t="s">
        <v>37</v>
      </c>
      <c r="Z438" s="146" t="s">
        <v>37</v>
      </c>
      <c r="AA438" s="4" t="str">
        <f>Table2[[#This Row],[field_fate]]</f>
        <v>H</v>
      </c>
      <c r="AB438" s="4" t="str">
        <f>Table2[[#This Row],[field_fate2]]</f>
        <v>H</v>
      </c>
      <c r="AC438" s="94" t="str">
        <f>Table2[[#This Row],[field_fate3]]</f>
        <v>H</v>
      </c>
      <c r="AD438" s="94" t="str">
        <f>Table2[[#This Row],[field_fate4]]</f>
        <v>H</v>
      </c>
      <c r="AE438" s="94" t="str">
        <f>Table2[[#This Row],[field_fate5]]</f>
        <v>H</v>
      </c>
      <c r="AF438" s="94" t="str">
        <f>Table2[[#This Row],[field_fate5]]</f>
        <v>H</v>
      </c>
      <c r="AG438" s="94" t="str">
        <f>Table2[[#This Row],[field_fate5]]</f>
        <v>H</v>
      </c>
      <c r="AH438" s="94" t="str">
        <f>Table2[[#This Row],[field_fate2]]</f>
        <v>H</v>
      </c>
      <c r="AI438" s="94" t="str">
        <f>Table2[[#This Row],[field_fate8]]</f>
        <v>H</v>
      </c>
      <c r="AJ438" s="94" t="str">
        <f>Table2[[#This Row],[field_fate10]]</f>
        <v>H</v>
      </c>
      <c r="AK438" s="94" t="b">
        <f>Table2[[#This Row],[field_fate_feb]]=Table2[[#This Row],[field_fate10]]</f>
        <v>1</v>
      </c>
      <c r="AL438" s="43" t="s">
        <v>37</v>
      </c>
      <c r="AM438" s="160" t="b">
        <f>Table2[[#This Row],[cam_fate2]]="NA"</f>
        <v>0</v>
      </c>
      <c r="AN438" s="19" t="str">
        <f>Table2[[#This Row],[cam_fate1]]</f>
        <v>H</v>
      </c>
      <c r="AO438" s="2" t="s">
        <v>37</v>
      </c>
      <c r="AP438" s="5" t="str">
        <f>Table2[[#This Row],[final_fate1]]</f>
        <v>H</v>
      </c>
      <c r="AQ438" s="6">
        <v>19</v>
      </c>
      <c r="AR438" s="72">
        <v>22</v>
      </c>
      <c r="AS438" s="155">
        <f>Table2[[#This Row],[final_obs_date]]-Table2[[#This Row],[init_date]]</f>
        <v>19</v>
      </c>
      <c r="AT438" s="155">
        <f>(Table2[[#This Row],[final_obs_date2]]-Table2[[#This Row],[estHD]])+19</f>
        <v>22</v>
      </c>
      <c r="AU438" s="38">
        <v>3</v>
      </c>
      <c r="AV438" s="33">
        <v>3</v>
      </c>
      <c r="AW438" s="33">
        <f>Table2[[#This Row],[final_obs_date2]]-Table2[[#This Row],[pen_obs_date]]</f>
        <v>3</v>
      </c>
      <c r="AX438" s="67">
        <v>104</v>
      </c>
      <c r="AY438" s="157">
        <f>Table2[[#This Row],[final_obs_date]]</f>
        <v>104</v>
      </c>
      <c r="AZ438" s="6">
        <v>101</v>
      </c>
      <c r="BA438" s="92" t="s">
        <v>47</v>
      </c>
      <c r="BB438" s="6" t="b">
        <f>Table2[[#This Row],[final_obs_date]]&lt;(Table2[[#This Row],[estHD]]-2)</f>
        <v>0</v>
      </c>
      <c r="BC438" s="32">
        <f>IF(Table2[[#This Row],[field_fate]]="H",1,0)</f>
        <v>1</v>
      </c>
      <c r="BD438" s="16">
        <f>IF(Table2[[#This Row],[cam_fate2]]="H",1,0)</f>
        <v>1</v>
      </c>
      <c r="BE438" s="6" t="b">
        <f>NOT(Table2[[#This Row],[HF_C]]=Table2[[#This Row],[HF]])</f>
        <v>0</v>
      </c>
      <c r="BF438" s="38" t="b">
        <f>NOT(Table2[[#This Row],[cam_fate2]]=Table2[[#This Row],[field_fate3]])</f>
        <v>0</v>
      </c>
      <c r="BG438" s="38" t="b">
        <f>OR(Table2[[#This Row],[field_fate3]]="U",Table2[[#This Row],[field_fate3]]="U-H")</f>
        <v>0</v>
      </c>
      <c r="BH438" s="8">
        <v>85</v>
      </c>
      <c r="BI438" s="8">
        <v>104</v>
      </c>
      <c r="BJ438" s="14">
        <f>IF(ISTEXT(Table2[[#This Row],[j.cam]]),Table2[[#This Row],[j]],Table2[[#This Row],[j.cam]])</f>
        <v>104</v>
      </c>
      <c r="BK438" s="8">
        <v>104</v>
      </c>
      <c r="BL438" s="14">
        <f>IF(ISTEXT(Table2[[#This Row],[k.cam]]), Table2[[#This Row],[k]], Table2[[#This Row],[k.cam]])</f>
        <v>104</v>
      </c>
      <c r="BM438" s="4" t="s">
        <v>24</v>
      </c>
      <c r="BN438" s="8" t="s">
        <v>24</v>
      </c>
      <c r="BO438" s="4">
        <v>8</v>
      </c>
      <c r="BP438" s="4">
        <f>Table2[[#This Row],[final_obs_date]]-Table2[[#This Row],[i]]</f>
        <v>19</v>
      </c>
      <c r="BQ438" s="4" t="b">
        <f>Table2[[#This Row],[final_obs_date2]]&gt;Table2[[#This Row],[estHD]]+3</f>
        <v>0</v>
      </c>
      <c r="BR438" s="3" t="s">
        <v>27</v>
      </c>
      <c r="BS438" s="28" t="s">
        <v>27</v>
      </c>
      <c r="BT438" s="125" t="s">
        <v>1286</v>
      </c>
      <c r="BU438" s="4" t="s">
        <v>336</v>
      </c>
      <c r="BV438" s="79" t="s">
        <v>1635</v>
      </c>
      <c r="BW438" s="69" t="s">
        <v>988</v>
      </c>
      <c r="BX438" s="36"/>
      <c r="BY438" s="36" t="s">
        <v>767</v>
      </c>
    </row>
    <row r="439" spans="1:77" hidden="1" x14ac:dyDescent="0.35">
      <c r="A439" s="63">
        <v>20421</v>
      </c>
      <c r="B439" s="2" t="s">
        <v>35</v>
      </c>
      <c r="C439" s="45">
        <v>2020</v>
      </c>
      <c r="D439" s="3">
        <v>29.765799999999999</v>
      </c>
      <c r="E439" s="3">
        <v>-93.155410000000003</v>
      </c>
      <c r="F439" s="3">
        <v>50</v>
      </c>
      <c r="G439" s="3">
        <v>50</v>
      </c>
      <c r="H439" s="3" t="s">
        <v>462</v>
      </c>
      <c r="I439" s="43"/>
      <c r="J439" s="55">
        <v>91</v>
      </c>
      <c r="K439" s="4">
        <v>90</v>
      </c>
      <c r="L439" s="22">
        <f>IF(ISNUMBER(Table2[[#This Row],[estHD]]),ABS(Table2[[#This Row],[HD]]-Table2[[#This Row],[estHD]]),"NA")</f>
        <v>1</v>
      </c>
      <c r="M439" s="4" t="b">
        <f>Table2[[#This Row],[HD]]=Table2[[#This Row],[estHD]]</f>
        <v>0</v>
      </c>
      <c r="N439" s="4" t="str">
        <f>IF(ISNUMBER([1]!Table2[[#This Row],[hatch_date]]),[1]!Table2[[#This Row],[hatch_date]]-19,"NA")</f>
        <v>NA</v>
      </c>
      <c r="O439" s="31">
        <v>71</v>
      </c>
      <c r="P439" s="23">
        <f>IF(ISNUMBER(Table2[[#This Row],[nest_age1]]),ABS(Table2[[#This Row],[nest_age1]]-Table2[[#This Row],[nest_age_feb]]),"NA")</f>
        <v>2</v>
      </c>
      <c r="Q439" s="24">
        <f>IF(ISNUMBER(Table2[[#This Row],[final_obs_int2]]),ABS(Table2[[#This Row],[final_obs_int2]]-Table2[[#This Row],[final_obs_int_feb]]), "NA")</f>
        <v>0</v>
      </c>
      <c r="R439" s="24"/>
      <c r="S439" s="57" t="s">
        <v>88</v>
      </c>
      <c r="T439" s="57" t="str">
        <f>Table2[[#This Row],[camera_old]]</f>
        <v>N</v>
      </c>
      <c r="U439" s="24"/>
      <c r="V439" s="16" t="s">
        <v>24</v>
      </c>
      <c r="W439" s="16">
        <v>19</v>
      </c>
      <c r="X439" s="145">
        <v>4</v>
      </c>
      <c r="Y439" s="147" t="s">
        <v>37</v>
      </c>
      <c r="Z439" s="146" t="s">
        <v>37</v>
      </c>
      <c r="AA439" s="4" t="str">
        <f>Table2[[#This Row],[field_fate]]</f>
        <v>H</v>
      </c>
      <c r="AB439" s="4" t="str">
        <f>Table2[[#This Row],[field_fate2]]</f>
        <v>H</v>
      </c>
      <c r="AC439" s="4" t="str">
        <f>Table2[[#This Row],[field_fate3]]</f>
        <v>H</v>
      </c>
      <c r="AD439" s="4" t="str">
        <f>Table2[[#This Row],[field_fate4]]</f>
        <v>H</v>
      </c>
      <c r="AE439" s="4" t="str">
        <f>Table2[[#This Row],[field_fate5]]</f>
        <v>H</v>
      </c>
      <c r="AF439" s="4" t="str">
        <f>Table2[[#This Row],[field_fate5]]</f>
        <v>H</v>
      </c>
      <c r="AG439" s="4" t="str">
        <f>Table2[[#This Row],[field_fate5]]</f>
        <v>H</v>
      </c>
      <c r="AH439" s="4" t="str">
        <f>Table2[[#This Row],[field_fate2]]</f>
        <v>H</v>
      </c>
      <c r="AI439" s="4" t="str">
        <f>Table2[[#This Row],[field_fate8]]</f>
        <v>H</v>
      </c>
      <c r="AJ439" s="4" t="str">
        <f>Table2[[#This Row],[field_fate10]]</f>
        <v>H</v>
      </c>
      <c r="AK439" s="4" t="b">
        <f>Table2[[#This Row],[field_fate_feb]]=Table2[[#This Row],[field_fate10]]</f>
        <v>1</v>
      </c>
      <c r="AL439" s="43" t="s">
        <v>24</v>
      </c>
      <c r="AM439" s="43" t="b">
        <f>Table2[[#This Row],[cam_fate2]]="NA"</f>
        <v>1</v>
      </c>
      <c r="AN439" s="19" t="str">
        <f>Table2[[#This Row],[cam_fate1]]</f>
        <v>NA</v>
      </c>
      <c r="AO439" s="2" t="s">
        <v>37</v>
      </c>
      <c r="AP439" s="5" t="str">
        <f>Table2[[#This Row],[final_fate1]]</f>
        <v>H</v>
      </c>
      <c r="AQ439" s="6">
        <v>21</v>
      </c>
      <c r="AR439" s="7">
        <v>20</v>
      </c>
      <c r="AS439" s="7">
        <f>Table2[[#This Row],[final_obs_date]]-Table2[[#This Row],[init_date]]</f>
        <v>21</v>
      </c>
      <c r="AT439" s="7">
        <f>(Table2[[#This Row],[final_obs_date2]]-Table2[[#This Row],[estHD]])+16</f>
        <v>17</v>
      </c>
      <c r="AU439" s="38">
        <v>4</v>
      </c>
      <c r="AV439" s="33">
        <v>4</v>
      </c>
      <c r="AW439" s="33">
        <f>Table2[[#This Row],[final_obs_date2]]-Table2[[#This Row],[pen_obs_date]]</f>
        <v>92</v>
      </c>
      <c r="AX439" s="67">
        <v>92</v>
      </c>
      <c r="AY439" s="6">
        <f>Table2[[#This Row],[final_obs_date]]</f>
        <v>92</v>
      </c>
      <c r="AZ439" s="6"/>
      <c r="BA439" s="91" t="s">
        <v>47</v>
      </c>
      <c r="BB439" s="6" t="b">
        <f>Table2[[#This Row],[final_obs_date]]&lt;(Table2[[#This Row],[estHD]]-2)</f>
        <v>0</v>
      </c>
      <c r="BC439" s="24">
        <f>IF(Table2[[#This Row],[field_fate]]="H",1,0)</f>
        <v>1</v>
      </c>
      <c r="BD439" s="16">
        <f>IF(Table2[[#This Row],[cam_fate2]]="H",1,0)</f>
        <v>0</v>
      </c>
      <c r="BE439" s="6" t="b">
        <f>NOT(Table2[[#This Row],[HF_C]]=Table2[[#This Row],[HF]])</f>
        <v>1</v>
      </c>
      <c r="BF439" s="6" t="b">
        <f>NOT(Table2[[#This Row],[cam_fate2]]=Table2[[#This Row],[field_fate3]])</f>
        <v>1</v>
      </c>
      <c r="BG439" s="6" t="b">
        <f>OR(Table2[[#This Row],[field_fate3]]="U",Table2[[#This Row],[field_fate3]]="U-H")</f>
        <v>0</v>
      </c>
      <c r="BH439" s="8">
        <v>85</v>
      </c>
      <c r="BI439" s="8">
        <v>90</v>
      </c>
      <c r="BJ439" s="14">
        <f>IF(ISTEXT(Table2[[#This Row],[j.cam]]),Table2[[#This Row],[j]],Table2[[#This Row],[j.cam]])</f>
        <v>90</v>
      </c>
      <c r="BK439" s="9">
        <v>90</v>
      </c>
      <c r="BL439" s="15">
        <f>IF(ISTEXT(Table2[[#This Row],[k.cam]]), Table2[[#This Row],[k]], Table2[[#This Row],[k.cam]])</f>
        <v>90</v>
      </c>
      <c r="BM439" s="4" t="s">
        <v>24</v>
      </c>
      <c r="BN439" s="8" t="s">
        <v>24</v>
      </c>
      <c r="BO439" s="4">
        <v>4</v>
      </c>
      <c r="BP439" s="4">
        <f>Table2[[#This Row],[final_obs_date]]-Table2[[#This Row],[i]]</f>
        <v>7</v>
      </c>
      <c r="BQ439" s="4" t="b">
        <f>Table2[[#This Row],[final_obs_date2]]&gt;Table2[[#This Row],[estHD]]+3</f>
        <v>0</v>
      </c>
      <c r="BR439" s="4" t="s">
        <v>58</v>
      </c>
      <c r="BS439" s="4" t="s">
        <v>45</v>
      </c>
      <c r="BT439" s="79" t="s">
        <v>1287</v>
      </c>
      <c r="BU439" s="26" t="s">
        <v>234</v>
      </c>
      <c r="BV439" s="79" t="s">
        <v>1636</v>
      </c>
      <c r="BW439" s="49"/>
      <c r="BX439" s="47"/>
      <c r="BY439" s="36" t="s">
        <v>768</v>
      </c>
    </row>
    <row r="440" spans="1:77" ht="15" hidden="1" x14ac:dyDescent="0.35">
      <c r="A440" s="63">
        <v>20422</v>
      </c>
      <c r="B440" s="2" t="s">
        <v>35</v>
      </c>
      <c r="C440" s="45">
        <v>2020</v>
      </c>
      <c r="D440" s="3">
        <v>29.76708</v>
      </c>
      <c r="E440" s="3">
        <v>-93.161720000000003</v>
      </c>
      <c r="F440" s="3">
        <v>10</v>
      </c>
      <c r="G440" s="3">
        <v>40</v>
      </c>
      <c r="H440" s="3" t="s">
        <v>462</v>
      </c>
      <c r="I440" s="43"/>
      <c r="J440" s="116">
        <v>104</v>
      </c>
      <c r="K440" s="4">
        <v>104</v>
      </c>
      <c r="L440" s="22">
        <f>IF(ISNUMBER(Table2[[#This Row],[estHD]]),ABS(Table2[[#This Row],[HD]]-Table2[[#This Row],[estHD]]),"NA")</f>
        <v>0</v>
      </c>
      <c r="M440" s="4" t="b">
        <f>Table2[[#This Row],[HD]]=Table2[[#This Row],[estHD]]</f>
        <v>1</v>
      </c>
      <c r="N440" s="4">
        <f>IF(ISNUMBER(Table2[[#This Row],[HD]]),Table2[[#This Row],[HD]]-19,"NA")</f>
        <v>85</v>
      </c>
      <c r="O440" s="89">
        <v>85</v>
      </c>
      <c r="P440" s="23">
        <f>IF(ISNUMBER(Table2[[#This Row],[nest_age1]]),ABS(Table2[[#This Row],[nest_age1]]-Table2[[#This Row],[nest_age_feb]]),"NA")</f>
        <v>1</v>
      </c>
      <c r="Q440" s="24">
        <f>IF(ISNUMBER(Table2[[#This Row],[final_obs_int2]]),ABS(Table2[[#This Row],[final_obs_int2]]-Table2[[#This Row],[final_obs_int_feb]]), "NA")</f>
        <v>0</v>
      </c>
      <c r="R440" s="24"/>
      <c r="S440" s="20" t="s">
        <v>75</v>
      </c>
      <c r="T440" s="20" t="str">
        <f>Table2[[#This Row],[camera_old]]</f>
        <v>Y</v>
      </c>
      <c r="U440" s="22" t="s">
        <v>88</v>
      </c>
      <c r="V440" s="16" t="s">
        <v>48</v>
      </c>
      <c r="W440" s="16">
        <v>15</v>
      </c>
      <c r="X440" s="145">
        <v>3</v>
      </c>
      <c r="Y440" s="147" t="s">
        <v>36</v>
      </c>
      <c r="Z440" s="146" t="s">
        <v>36</v>
      </c>
      <c r="AA440" s="4" t="str">
        <f>Table2[[#This Row],[field_fate]]</f>
        <v>A</v>
      </c>
      <c r="AB440" s="4" t="str">
        <f>Table2[[#This Row],[field_fate2]]</f>
        <v>A</v>
      </c>
      <c r="AC440" s="94" t="str">
        <f>Table2[[#This Row],[field_fate3]]</f>
        <v>A</v>
      </c>
      <c r="AD440" s="94" t="str">
        <f>Table2[[#This Row],[field_fate4]]</f>
        <v>A</v>
      </c>
      <c r="AE440" s="94" t="str">
        <f>Table2[[#This Row],[field_fate5]]</f>
        <v>A</v>
      </c>
      <c r="AF440" s="94" t="str">
        <f>Table2[[#This Row],[field_fate5]]</f>
        <v>A</v>
      </c>
      <c r="AG440" s="94" t="str">
        <f>Table2[[#This Row],[field_fate5]]</f>
        <v>A</v>
      </c>
      <c r="AH440" s="94" t="str">
        <f>Table2[[#This Row],[field_fate2]]</f>
        <v>A</v>
      </c>
      <c r="AI440" s="94" t="str">
        <f>Table2[[#This Row],[field_fate8]]</f>
        <v>A</v>
      </c>
      <c r="AJ440" s="94" t="str">
        <f>Table2[[#This Row],[field_fate10]]</f>
        <v>A</v>
      </c>
      <c r="AK440" s="94" t="b">
        <f>Table2[[#This Row],[field_fate_feb]]=Table2[[#This Row],[field_fate10]]</f>
        <v>1</v>
      </c>
      <c r="AL440" s="43" t="s">
        <v>36</v>
      </c>
      <c r="AM440" s="160" t="b">
        <f>Table2[[#This Row],[cam_fate2]]="NA"</f>
        <v>0</v>
      </c>
      <c r="AN440" s="159" t="str">
        <f>Table2[[#This Row],[cam_fate1]]</f>
        <v>A</v>
      </c>
      <c r="AO440" s="2" t="s">
        <v>36</v>
      </c>
      <c r="AP440" s="5" t="str">
        <f>Table2[[#This Row],[final_fate1]]</f>
        <v>A</v>
      </c>
      <c r="AQ440" s="6">
        <v>16</v>
      </c>
      <c r="AR440" s="72">
        <v>16</v>
      </c>
      <c r="AS440" s="155">
        <f>Table2[[#This Row],[final_obs_date]]-Table2[[#This Row],[init_date]]</f>
        <v>16</v>
      </c>
      <c r="AT440" s="155">
        <f>(Table2[[#This Row],[final_obs_date2]]-Table2[[#This Row],[estHD]])+19</f>
        <v>16</v>
      </c>
      <c r="AU440" s="38">
        <v>3</v>
      </c>
      <c r="AV440" s="33">
        <v>3</v>
      </c>
      <c r="AW440" s="33">
        <f>Table2[[#This Row],[final_obs_date2]]-Table2[[#This Row],[pen_obs_date]]</f>
        <v>3</v>
      </c>
      <c r="AX440" s="67">
        <v>101</v>
      </c>
      <c r="AY440" s="158">
        <f>Table2[[#This Row],[final_obs_date]]</f>
        <v>101</v>
      </c>
      <c r="AZ440" s="6">
        <v>98</v>
      </c>
      <c r="BA440" s="92" t="s">
        <v>47</v>
      </c>
      <c r="BB440" s="86" t="b">
        <f>Table2[[#This Row],[final_obs_date]]&lt;(Table2[[#This Row],[estHD]]-2)</f>
        <v>1</v>
      </c>
      <c r="BC440" s="83">
        <f>IF(Table2[[#This Row],[field_fate]]="H",1,0)</f>
        <v>0</v>
      </c>
      <c r="BD440" s="82">
        <f>IF(Table2[[#This Row],[cam_fate2]]="H",1,0)</f>
        <v>0</v>
      </c>
      <c r="BE440" s="84" t="b">
        <f>NOT(Table2[[#This Row],[HF_C]]=Table2[[#This Row],[HF]])</f>
        <v>0</v>
      </c>
      <c r="BF440" s="85" t="b">
        <f>NOT(Table2[[#This Row],[cam_fate2]]=Table2[[#This Row],[field_fate3]])</f>
        <v>0</v>
      </c>
      <c r="BG440" s="85" t="b">
        <f>OR(Table2[[#This Row],[field_fate3]]="U",Table2[[#This Row],[field_fate3]]="U-H")</f>
        <v>0</v>
      </c>
      <c r="BH440" s="8">
        <v>85</v>
      </c>
      <c r="BI440" s="121">
        <v>98</v>
      </c>
      <c r="BJ440" s="120">
        <v>98</v>
      </c>
      <c r="BK440" s="8">
        <v>101</v>
      </c>
      <c r="BL440" s="14">
        <f>IF(ISTEXT(Table2[[#This Row],[k.cam]]), Table2[[#This Row],[k]], Table2[[#This Row],[k.cam]])</f>
        <v>101</v>
      </c>
      <c r="BM440" s="87" t="s">
        <v>24</v>
      </c>
      <c r="BN440" s="87" t="s">
        <v>24</v>
      </c>
      <c r="BO440" s="4">
        <v>7</v>
      </c>
      <c r="BP440" s="4">
        <f>Table2[[#This Row],[final_obs_date]]-Table2[[#This Row],[i]]</f>
        <v>16</v>
      </c>
      <c r="BQ440" s="4" t="b">
        <f>Table2[[#This Row],[final_obs_date2]]&gt;Table2[[#This Row],[estHD]]+3</f>
        <v>0</v>
      </c>
      <c r="BR440" s="3" t="s">
        <v>58</v>
      </c>
      <c r="BS440" s="3" t="s">
        <v>337</v>
      </c>
      <c r="BT440" s="125" t="s">
        <v>1288</v>
      </c>
      <c r="BU440" s="122" t="s">
        <v>338</v>
      </c>
      <c r="BV440" s="88" t="s">
        <v>1637</v>
      </c>
      <c r="BW440" s="69"/>
      <c r="BX440" s="36"/>
      <c r="BY440" s="36" t="s">
        <v>769</v>
      </c>
    </row>
    <row r="441" spans="1:77" hidden="1" x14ac:dyDescent="0.35">
      <c r="A441" s="63">
        <v>20423</v>
      </c>
      <c r="B441" s="2" t="s">
        <v>35</v>
      </c>
      <c r="C441" s="45">
        <v>2020</v>
      </c>
      <c r="D441" s="3">
        <v>29.764220000000002</v>
      </c>
      <c r="E441" s="3">
        <v>-93.148470000000003</v>
      </c>
      <c r="F441" s="3">
        <v>50</v>
      </c>
      <c r="G441" s="3">
        <v>75</v>
      </c>
      <c r="H441" s="3" t="s">
        <v>462</v>
      </c>
      <c r="I441" s="43"/>
      <c r="J441" s="55">
        <v>102</v>
      </c>
      <c r="K441" s="4">
        <v>102</v>
      </c>
      <c r="L441" s="22">
        <f>IF(ISNUMBER(Table2[[#This Row],[estHD]]),ABS(Table2[[#This Row],[HD]]-Table2[[#This Row],[estHD]]),"NA")</f>
        <v>0</v>
      </c>
      <c r="M441" s="4" t="b">
        <f>Table2[[#This Row],[HD]]=Table2[[#This Row],[estHD]]</f>
        <v>1</v>
      </c>
      <c r="N441" s="4" t="str">
        <f>IF(ISNUMBER([1]!Table2[[#This Row],[hatch_date]]),[1]!Table2[[#This Row],[hatch_date]]-19,"NA")</f>
        <v>NA</v>
      </c>
      <c r="O441" s="31">
        <v>83</v>
      </c>
      <c r="P441" s="23">
        <f>IF(ISNUMBER(Table2[[#This Row],[nest_age1]]),ABS(Table2[[#This Row],[nest_age1]]-Table2[[#This Row],[nest_age_feb]]),"NA")</f>
        <v>1</v>
      </c>
      <c r="Q441" s="24">
        <f>IF(ISNUMBER(Table2[[#This Row],[final_obs_int2]]),ABS(Table2[[#This Row],[final_obs_int2]]-Table2[[#This Row],[final_obs_int_feb]]), "NA")</f>
        <v>0</v>
      </c>
      <c r="R441" s="24"/>
      <c r="S441" s="57" t="s">
        <v>88</v>
      </c>
      <c r="T441" s="57" t="str">
        <f>Table2[[#This Row],[camera_old]]</f>
        <v>N</v>
      </c>
      <c r="U441" s="24"/>
      <c r="V441" s="16" t="s">
        <v>24</v>
      </c>
      <c r="W441" s="16">
        <v>20</v>
      </c>
      <c r="X441" s="145">
        <v>3</v>
      </c>
      <c r="Y441" s="148" t="s">
        <v>31</v>
      </c>
      <c r="Z441" s="146" t="s">
        <v>31</v>
      </c>
      <c r="AA441" s="4" t="str">
        <f>Table2[[#This Row],[field_fate]]</f>
        <v>D</v>
      </c>
      <c r="AB441" s="4" t="str">
        <f>Table2[[#This Row],[field_fate2]]</f>
        <v>D</v>
      </c>
      <c r="AC441" s="4" t="str">
        <f>Table2[[#This Row],[field_fate3]]</f>
        <v>D</v>
      </c>
      <c r="AD441" s="4" t="str">
        <f>Table2[[#This Row],[field_fate4]]</f>
        <v>D</v>
      </c>
      <c r="AE441" s="4" t="str">
        <f>Table2[[#This Row],[field_fate5]]</f>
        <v>D</v>
      </c>
      <c r="AF441" s="4" t="str">
        <f>Table2[[#This Row],[field_fate5]]</f>
        <v>D</v>
      </c>
      <c r="AG441" s="4" t="str">
        <f>Table2[[#This Row],[field_fate5]]</f>
        <v>D</v>
      </c>
      <c r="AH441" s="4" t="str">
        <f>Table2[[#This Row],[field_fate2]]</f>
        <v>D</v>
      </c>
      <c r="AI441" s="4" t="str">
        <f>Table2[[#This Row],[field_fate8]]</f>
        <v>D</v>
      </c>
      <c r="AJ441" s="4" t="str">
        <f>Table2[[#This Row],[field_fate10]]</f>
        <v>D</v>
      </c>
      <c r="AK441" s="4" t="b">
        <f>Table2[[#This Row],[field_fate_feb]]=Table2[[#This Row],[field_fate10]]</f>
        <v>1</v>
      </c>
      <c r="AL441" s="43" t="s">
        <v>24</v>
      </c>
      <c r="AM441" s="43" t="b">
        <f>Table2[[#This Row],[cam_fate2]]="NA"</f>
        <v>1</v>
      </c>
      <c r="AN441" s="19" t="str">
        <f>Table2[[#This Row],[cam_fate1]]</f>
        <v>NA</v>
      </c>
      <c r="AO441" s="2" t="s">
        <v>31</v>
      </c>
      <c r="AP441" s="5" t="str">
        <f>Table2[[#This Row],[final_fate1]]</f>
        <v>D</v>
      </c>
      <c r="AQ441" s="6">
        <v>21</v>
      </c>
      <c r="AR441" s="7">
        <v>21</v>
      </c>
      <c r="AS441" s="7">
        <f>Table2[[#This Row],[final_obs_date]]-Table2[[#This Row],[init_date]]</f>
        <v>21</v>
      </c>
      <c r="AT441" s="7">
        <f>(Table2[[#This Row],[final_obs_date2]]-Table2[[#This Row],[estHD]])+16</f>
        <v>18</v>
      </c>
      <c r="AU441" s="38">
        <v>3</v>
      </c>
      <c r="AV441" s="33">
        <v>3</v>
      </c>
      <c r="AW441" s="33">
        <f>Table2[[#This Row],[final_obs_date2]]-Table2[[#This Row],[pen_obs_date]]</f>
        <v>104</v>
      </c>
      <c r="AX441" s="67">
        <v>104</v>
      </c>
      <c r="AY441" s="6">
        <f>Table2[[#This Row],[final_obs_date]]</f>
        <v>104</v>
      </c>
      <c r="AZ441" s="6"/>
      <c r="BA441" s="91" t="s">
        <v>47</v>
      </c>
      <c r="BB441" s="6" t="b">
        <f>Table2[[#This Row],[final_obs_date]]&lt;(Table2[[#This Row],[estHD]]-2)</f>
        <v>0</v>
      </c>
      <c r="BC441" s="24">
        <f>IF(Table2[[#This Row],[field_fate]]="H",1,0)</f>
        <v>0</v>
      </c>
      <c r="BD441" s="16">
        <f>IF(Table2[[#This Row],[cam_fate2]]="H",1,0)</f>
        <v>0</v>
      </c>
      <c r="BE441" s="6" t="b">
        <f>NOT(Table2[[#This Row],[HF_C]]=Table2[[#This Row],[HF]])</f>
        <v>0</v>
      </c>
      <c r="BF441" s="6" t="b">
        <f>NOT(Table2[[#This Row],[cam_fate2]]=Table2[[#This Row],[field_fate3]])</f>
        <v>1</v>
      </c>
      <c r="BG441" s="6" t="b">
        <f>OR(Table2[[#This Row],[field_fate3]]="U",Table2[[#This Row],[field_fate3]]="U-H")</f>
        <v>0</v>
      </c>
      <c r="BH441" s="8">
        <v>85</v>
      </c>
      <c r="BI441" s="8">
        <v>101</v>
      </c>
      <c r="BJ441" s="14">
        <f>IF(ISTEXT(Table2[[#This Row],[j.cam]]),Table2[[#This Row],[j]],Table2[[#This Row],[j.cam]])</f>
        <v>101</v>
      </c>
      <c r="BK441" s="9">
        <v>104</v>
      </c>
      <c r="BL441" s="15">
        <f>IF(ISTEXT(Table2[[#This Row],[k.cam]]), Table2[[#This Row],[k]], Table2[[#This Row],[k.cam]])</f>
        <v>104</v>
      </c>
      <c r="BM441" s="4" t="s">
        <v>24</v>
      </c>
      <c r="BN441" s="8" t="s">
        <v>24</v>
      </c>
      <c r="BO441" s="4">
        <v>8</v>
      </c>
      <c r="BP441" s="4">
        <f>Table2[[#This Row],[final_obs_date]]-Table2[[#This Row],[i]]</f>
        <v>19</v>
      </c>
      <c r="BQ441" s="4" t="b">
        <f>Table2[[#This Row],[final_obs_date2]]&gt;Table2[[#This Row],[estHD]]+3</f>
        <v>0</v>
      </c>
      <c r="BR441" s="4" t="s">
        <v>33</v>
      </c>
      <c r="BS441" s="4" t="s">
        <v>45</v>
      </c>
      <c r="BT441" s="79" t="s">
        <v>1286</v>
      </c>
      <c r="BU441" s="26" t="s">
        <v>339</v>
      </c>
      <c r="BV441" s="79" t="s">
        <v>1635</v>
      </c>
      <c r="BW441" s="49"/>
      <c r="BX441" s="47"/>
      <c r="BY441" s="36" t="s">
        <v>770</v>
      </c>
    </row>
    <row r="442" spans="1:77" ht="15" x14ac:dyDescent="0.35">
      <c r="A442" s="60">
        <v>20424</v>
      </c>
      <c r="B442" s="2" t="s">
        <v>35</v>
      </c>
      <c r="C442" s="45">
        <v>2020</v>
      </c>
      <c r="D442" s="3">
        <v>29.765630000000002</v>
      </c>
      <c r="E442" s="3">
        <v>-93.154560000000004</v>
      </c>
      <c r="F442" s="3">
        <v>0</v>
      </c>
      <c r="G442" s="3">
        <v>20</v>
      </c>
      <c r="H442" s="3" t="s">
        <v>462</v>
      </c>
      <c r="I442" s="43"/>
      <c r="J442" s="116">
        <v>93</v>
      </c>
      <c r="K442" s="4">
        <v>98</v>
      </c>
      <c r="L442" s="22">
        <f>IF(ISNUMBER(Table2[[#This Row],[estHD]]),ABS(Table2[[#This Row],[HD]]-Table2[[#This Row],[estHD]]),"NA")</f>
        <v>5</v>
      </c>
      <c r="M442" s="4" t="b">
        <f>Table2[[#This Row],[HD]]=Table2[[#This Row],[estHD]]</f>
        <v>0</v>
      </c>
      <c r="N442" s="4">
        <f>IF(ISNUMBER(Table2[[#This Row],[HD]]),Table2[[#This Row],[HD]]-19,"NA")</f>
        <v>79</v>
      </c>
      <c r="O442" s="31">
        <v>79</v>
      </c>
      <c r="P442" s="23">
        <f>IF(ISNUMBER(Table2[[#This Row],[nest_age1]]),ABS(Table2[[#This Row],[nest_age1]]-Table2[[#This Row],[nest_age_feb]]),"NA")</f>
        <v>4</v>
      </c>
      <c r="Q442" s="24">
        <f>IF(ISNUMBER(Table2[[#This Row],[final_obs_int2]]),ABS(Table2[[#This Row],[final_obs_int2]]-Table2[[#This Row],[final_obs_int_feb]]), "NA")</f>
        <v>0</v>
      </c>
      <c r="R442" s="24">
        <f>(Table2[[#This Row],[k_adj]]-Table2[[#This Row],[estHD]])/Table2[[#This Row],[estHD]]</f>
        <v>5.3763440860215055E-2</v>
      </c>
      <c r="S442" s="20" t="s">
        <v>75</v>
      </c>
      <c r="T442" s="20" t="str">
        <f>Table2[[#This Row],[camera_old]]</f>
        <v>Y</v>
      </c>
      <c r="U442" s="22" t="s">
        <v>88</v>
      </c>
      <c r="V442" s="16" t="s">
        <v>37</v>
      </c>
      <c r="W442" s="16">
        <v>23</v>
      </c>
      <c r="X442" s="145">
        <v>3</v>
      </c>
      <c r="Y442" s="153" t="s">
        <v>104</v>
      </c>
      <c r="Z442" s="146" t="s">
        <v>104</v>
      </c>
      <c r="AA442" s="5" t="s">
        <v>37</v>
      </c>
      <c r="AB442" s="5" t="str">
        <f>Table2[[#This Row],[field_fate]]</f>
        <v>U-H</v>
      </c>
      <c r="AC442" s="94" t="s">
        <v>90</v>
      </c>
      <c r="AD442" s="94" t="s">
        <v>37</v>
      </c>
      <c r="AE442" s="94" t="s">
        <v>90</v>
      </c>
      <c r="AF442" s="94" t="s">
        <v>90</v>
      </c>
      <c r="AG442" s="94" t="s">
        <v>90</v>
      </c>
      <c r="AH442" s="94" t="str">
        <f>Table2[[#This Row],[field_fate2]]</f>
        <v>H</v>
      </c>
      <c r="AI442" s="94" t="str">
        <f>Table2[[#This Row],[field_fate8]]</f>
        <v>U</v>
      </c>
      <c r="AJ442" s="94" t="str">
        <f>Table2[[#This Row],[field_fate10]]</f>
        <v>U</v>
      </c>
      <c r="AK442" s="94" t="b">
        <f>Table2[[#This Row],[field_fate_feb]]=Table2[[#This Row],[field_fate10]]</f>
        <v>0</v>
      </c>
      <c r="AL442" s="43" t="s">
        <v>37</v>
      </c>
      <c r="AM442" s="160" t="b">
        <f>Table2[[#This Row],[cam_fate2]]="NA"</f>
        <v>0</v>
      </c>
      <c r="AN442" s="19" t="str">
        <f>Table2[[#This Row],[cam_fate1]]</f>
        <v>H</v>
      </c>
      <c r="AO442" s="2" t="s">
        <v>37</v>
      </c>
      <c r="AP442" s="5" t="str">
        <f>Table2[[#This Row],[final_fate1]]</f>
        <v>H</v>
      </c>
      <c r="AQ442" s="6">
        <v>19</v>
      </c>
      <c r="AR442" s="72">
        <v>24</v>
      </c>
      <c r="AS442" s="155">
        <f>Table2[[#This Row],[final_obs_date]]-Table2[[#This Row],[init_date]]</f>
        <v>19</v>
      </c>
      <c r="AT442" s="155">
        <f>(Table2[[#This Row],[final_obs_date2]]-Table2[[#This Row],[estHD]])+19</f>
        <v>24</v>
      </c>
      <c r="AU442" s="38">
        <v>3</v>
      </c>
      <c r="AV442" s="33">
        <v>3</v>
      </c>
      <c r="AW442" s="33">
        <f>Table2[[#This Row],[final_obs_date2]]-Table2[[#This Row],[pen_obs_date]]</f>
        <v>3</v>
      </c>
      <c r="AX442" s="67">
        <v>98</v>
      </c>
      <c r="AY442" s="157">
        <f>Table2[[#This Row],[final_obs_date]]</f>
        <v>98</v>
      </c>
      <c r="AZ442" s="6">
        <v>95</v>
      </c>
      <c r="BA442" s="92" t="s">
        <v>47</v>
      </c>
      <c r="BB442" s="6" t="b">
        <f>Table2[[#This Row],[final_obs_date]]&lt;(Table2[[#This Row],[estHD]]-2)</f>
        <v>0</v>
      </c>
      <c r="BC442" s="32">
        <f>IF(Table2[[#This Row],[field_fate2]]="H",1,0)</f>
        <v>1</v>
      </c>
      <c r="BD442" s="16">
        <f>IF(Table2[[#This Row],[cam_fate2]]="H",1,0)</f>
        <v>1</v>
      </c>
      <c r="BE442" s="6" t="b">
        <f>NOT(Table2[[#This Row],[HF_C]]=Table2[[#This Row],[HF]])</f>
        <v>0</v>
      </c>
      <c r="BF442" s="38" t="b">
        <f>NOT(Table2[[#This Row],[cam_fate2]]=Table2[[#This Row],[field_fate3]])</f>
        <v>1</v>
      </c>
      <c r="BG442" s="38" t="b">
        <f>OR(Table2[[#This Row],[field_fate3]]="U",Table2[[#This Row],[field_fate3]]="U-H")</f>
        <v>1</v>
      </c>
      <c r="BH442" s="8">
        <v>85</v>
      </c>
      <c r="BI442" s="8">
        <v>97</v>
      </c>
      <c r="BJ442" s="14">
        <f>IF(ISTEXT(Table2[[#This Row],[j.cam]]),Table2[[#This Row],[j]],Table2[[#This Row],[j.cam]])</f>
        <v>98</v>
      </c>
      <c r="BK442" s="8">
        <v>97</v>
      </c>
      <c r="BL442" s="14">
        <f>IF(ISTEXT(Table2[[#This Row],[k.cam]]), Table2[[#This Row],[k]], Table2[[#This Row],[k.cam]])</f>
        <v>98</v>
      </c>
      <c r="BM442" s="4">
        <v>98</v>
      </c>
      <c r="BN442" s="8">
        <v>98</v>
      </c>
      <c r="BO442" s="4">
        <v>6</v>
      </c>
      <c r="BP442" s="4">
        <f>Table2[[#This Row],[final_obs_date]]-Table2[[#This Row],[i]]</f>
        <v>13</v>
      </c>
      <c r="BQ442" s="4" t="b">
        <f>Table2[[#This Row],[final_obs_date2]]&gt;Table2[[#This Row],[estHD]]+3</f>
        <v>1</v>
      </c>
      <c r="BR442" s="3" t="s">
        <v>33</v>
      </c>
      <c r="BS442" s="3" t="s">
        <v>45</v>
      </c>
      <c r="BT442" s="125" t="s">
        <v>1289</v>
      </c>
      <c r="BU442" s="4" t="s">
        <v>304</v>
      </c>
      <c r="BV442" s="79" t="s">
        <v>1638</v>
      </c>
      <c r="BW442" s="131" t="s">
        <v>1719</v>
      </c>
      <c r="BX442" s="54" t="s">
        <v>967</v>
      </c>
      <c r="BY442" s="54" t="s">
        <v>771</v>
      </c>
    </row>
    <row r="443" spans="1:77" hidden="1" x14ac:dyDescent="0.35">
      <c r="A443" s="63">
        <v>20425</v>
      </c>
      <c r="B443" s="2" t="s">
        <v>35</v>
      </c>
      <c r="C443" s="45">
        <v>2020</v>
      </c>
      <c r="D443" s="3">
        <v>29.76388</v>
      </c>
      <c r="E443" s="3">
        <v>-93.146630000000002</v>
      </c>
      <c r="F443" s="3">
        <v>20</v>
      </c>
      <c r="G443" s="3">
        <v>40</v>
      </c>
      <c r="H443" s="3" t="s">
        <v>462</v>
      </c>
      <c r="I443" s="43"/>
      <c r="J443" s="55">
        <v>98</v>
      </c>
      <c r="K443" s="4">
        <v>103</v>
      </c>
      <c r="L443" s="22">
        <f>IF(ISNUMBER(Table2[[#This Row],[estHD]]),ABS(Table2[[#This Row],[HD]]-Table2[[#This Row],[estHD]]),"NA")</f>
        <v>5</v>
      </c>
      <c r="M443" s="4" t="b">
        <f>Table2[[#This Row],[HD]]=Table2[[#This Row],[estHD]]</f>
        <v>0</v>
      </c>
      <c r="N443" s="4" t="str">
        <f>IF(ISNUMBER([1]!Table2[[#This Row],[hatch_date]]),[1]!Table2[[#This Row],[hatch_date]]-19,"NA")</f>
        <v>NA</v>
      </c>
      <c r="O443" s="31">
        <v>84</v>
      </c>
      <c r="P443" s="23">
        <f>IF(ISNUMBER(Table2[[#This Row],[nest_age1]]),ABS(Table2[[#This Row],[nest_age1]]-Table2[[#This Row],[nest_age_feb]]),"NA")</f>
        <v>4</v>
      </c>
      <c r="Q443" s="24">
        <f>IF(ISNUMBER(Table2[[#This Row],[final_obs_int2]]),ABS(Table2[[#This Row],[final_obs_int2]]-Table2[[#This Row],[final_obs_int_feb]]), "NA")</f>
        <v>0</v>
      </c>
      <c r="R443" s="24"/>
      <c r="S443" s="57" t="s">
        <v>88</v>
      </c>
      <c r="T443" s="57" t="str">
        <f>Table2[[#This Row],[camera_old]]</f>
        <v>N</v>
      </c>
      <c r="U443" s="24"/>
      <c r="V443" s="16" t="s">
        <v>24</v>
      </c>
      <c r="W443" s="16">
        <v>24</v>
      </c>
      <c r="X443" s="145">
        <v>3</v>
      </c>
      <c r="Y443" s="149" t="s">
        <v>37</v>
      </c>
      <c r="Z443" s="146" t="s">
        <v>37</v>
      </c>
      <c r="AA443" s="4" t="str">
        <f>Table2[[#This Row],[field_fate]]</f>
        <v>H</v>
      </c>
      <c r="AB443" s="4" t="str">
        <f>Table2[[#This Row],[field_fate2]]</f>
        <v>H</v>
      </c>
      <c r="AC443" s="4" t="str">
        <f>Table2[[#This Row],[field_fate3]]</f>
        <v>H</v>
      </c>
      <c r="AD443" s="4" t="str">
        <f>Table2[[#This Row],[field_fate4]]</f>
        <v>H</v>
      </c>
      <c r="AE443" s="4" t="str">
        <f>Table2[[#This Row],[field_fate5]]</f>
        <v>H</v>
      </c>
      <c r="AF443" s="4" t="str">
        <f>Table2[[#This Row],[field_fate5]]</f>
        <v>H</v>
      </c>
      <c r="AG443" s="4" t="str">
        <f>Table2[[#This Row],[field_fate5]]</f>
        <v>H</v>
      </c>
      <c r="AH443" s="4" t="str">
        <f>Table2[[#This Row],[field_fate2]]</f>
        <v>H</v>
      </c>
      <c r="AI443" s="4" t="str">
        <f>Table2[[#This Row],[field_fate8]]</f>
        <v>H</v>
      </c>
      <c r="AJ443" s="4" t="str">
        <f>Table2[[#This Row],[field_fate10]]</f>
        <v>H</v>
      </c>
      <c r="AK443" s="4" t="b">
        <f>Table2[[#This Row],[field_fate_feb]]=Table2[[#This Row],[field_fate10]]</f>
        <v>1</v>
      </c>
      <c r="AL443" s="43" t="s">
        <v>24</v>
      </c>
      <c r="AM443" s="43" t="b">
        <f>Table2[[#This Row],[cam_fate2]]="NA"</f>
        <v>1</v>
      </c>
      <c r="AN443" s="19" t="str">
        <f>Table2[[#This Row],[cam_fate1]]</f>
        <v>NA</v>
      </c>
      <c r="AO443" s="2" t="s">
        <v>37</v>
      </c>
      <c r="AP443" s="5" t="str">
        <f>Table2[[#This Row],[final_fate1]]</f>
        <v>H</v>
      </c>
      <c r="AQ443" s="6">
        <v>20</v>
      </c>
      <c r="AR443" s="7">
        <v>25</v>
      </c>
      <c r="AS443" s="7">
        <f>Table2[[#This Row],[final_obs_date]]-Table2[[#This Row],[init_date]]</f>
        <v>20</v>
      </c>
      <c r="AT443" s="7">
        <f>(Table2[[#This Row],[final_obs_date2]]-Table2[[#This Row],[estHD]])+16</f>
        <v>22</v>
      </c>
      <c r="AU443" s="38">
        <v>3</v>
      </c>
      <c r="AV443" s="33">
        <v>3</v>
      </c>
      <c r="AW443" s="33">
        <f>Table2[[#This Row],[final_obs_date2]]-Table2[[#This Row],[pen_obs_date]]</f>
        <v>104</v>
      </c>
      <c r="AX443" s="67">
        <v>104</v>
      </c>
      <c r="AY443" s="6">
        <f>Table2[[#This Row],[final_obs_date]]</f>
        <v>104</v>
      </c>
      <c r="AZ443" s="6"/>
      <c r="BA443" s="91" t="s">
        <v>47</v>
      </c>
      <c r="BB443" s="6" t="b">
        <f>Table2[[#This Row],[final_obs_date]]&lt;(Table2[[#This Row],[estHD]]-2)</f>
        <v>0</v>
      </c>
      <c r="BC443" s="24">
        <f>IF(Table2[[#This Row],[field_fate]]="H",1,0)</f>
        <v>1</v>
      </c>
      <c r="BD443" s="16">
        <f>IF(Table2[[#This Row],[cam_fate2]]="H",1,0)</f>
        <v>0</v>
      </c>
      <c r="BE443" s="6" t="b">
        <f>NOT(Table2[[#This Row],[HF_C]]=Table2[[#This Row],[HF]])</f>
        <v>1</v>
      </c>
      <c r="BF443" s="6" t="b">
        <f>NOT(Table2[[#This Row],[cam_fate2]]=Table2[[#This Row],[field_fate3]])</f>
        <v>1</v>
      </c>
      <c r="BG443" s="6" t="b">
        <f>OR(Table2[[#This Row],[field_fate3]]="U",Table2[[#This Row],[field_fate3]]="U-H")</f>
        <v>0</v>
      </c>
      <c r="BH443" s="8">
        <v>86</v>
      </c>
      <c r="BI443" s="8">
        <v>103</v>
      </c>
      <c r="BJ443" s="14">
        <f>IF(ISTEXT(Table2[[#This Row],[j.cam]]),Table2[[#This Row],[j]],Table2[[#This Row],[j.cam]])</f>
        <v>103</v>
      </c>
      <c r="BK443" s="9">
        <v>103</v>
      </c>
      <c r="BL443" s="15">
        <f>IF(ISTEXT(Table2[[#This Row],[k.cam]]), Table2[[#This Row],[k]], Table2[[#This Row],[k.cam]])</f>
        <v>103</v>
      </c>
      <c r="BM443" s="4" t="s">
        <v>24</v>
      </c>
      <c r="BN443" s="8" t="s">
        <v>24</v>
      </c>
      <c r="BO443" s="4">
        <v>7</v>
      </c>
      <c r="BP443" s="4">
        <f>Table2[[#This Row],[final_obs_date]]-Table2[[#This Row],[i]]</f>
        <v>18</v>
      </c>
      <c r="BQ443" s="4" t="b">
        <f>Table2[[#This Row],[final_obs_date2]]&gt;Table2[[#This Row],[estHD]]+3</f>
        <v>1</v>
      </c>
      <c r="BR443" s="4" t="s">
        <v>33</v>
      </c>
      <c r="BS443" s="4" t="s">
        <v>45</v>
      </c>
      <c r="BT443" s="79" t="s">
        <v>1290</v>
      </c>
      <c r="BU443" s="26" t="s">
        <v>327</v>
      </c>
      <c r="BV443" s="79" t="s">
        <v>1639</v>
      </c>
      <c r="BW443" s="49"/>
      <c r="BX443" s="47"/>
      <c r="BY443" s="36" t="s">
        <v>772</v>
      </c>
    </row>
    <row r="444" spans="1:77" hidden="1" x14ac:dyDescent="0.35">
      <c r="A444" s="63">
        <v>20426</v>
      </c>
      <c r="B444" s="2" t="s">
        <v>35</v>
      </c>
      <c r="C444" s="45">
        <v>2020</v>
      </c>
      <c r="D444" s="3">
        <v>29.763760000000001</v>
      </c>
      <c r="E444" s="3">
        <v>-93.146109999999993</v>
      </c>
      <c r="F444" s="3">
        <v>0</v>
      </c>
      <c r="G444" s="3">
        <v>25</v>
      </c>
      <c r="H444" s="3" t="s">
        <v>462</v>
      </c>
      <c r="I444" s="43"/>
      <c r="J444" s="55">
        <v>102</v>
      </c>
      <c r="K444" s="4">
        <v>102</v>
      </c>
      <c r="L444" s="22">
        <f>IF(ISNUMBER(Table2[[#This Row],[estHD]]),ABS(Table2[[#This Row],[HD]]-Table2[[#This Row],[estHD]]),"NA")</f>
        <v>0</v>
      </c>
      <c r="M444" s="4" t="b">
        <f>Table2[[#This Row],[HD]]=Table2[[#This Row],[estHD]]</f>
        <v>1</v>
      </c>
      <c r="N444" s="4" t="str">
        <f>IF(ISNUMBER([1]!Table2[[#This Row],[hatch_date]]),[1]!Table2[[#This Row],[hatch_date]]-19,"NA")</f>
        <v>NA</v>
      </c>
      <c r="O444" s="31">
        <v>83</v>
      </c>
      <c r="P444" s="23">
        <f>IF(ISNUMBER(Table2[[#This Row],[nest_age1]]),ABS(Table2[[#This Row],[nest_age1]]-Table2[[#This Row],[nest_age_feb]]),"NA")</f>
        <v>1</v>
      </c>
      <c r="Q444" s="24">
        <f>IF(ISNUMBER(Table2[[#This Row],[final_obs_int2]]),ABS(Table2[[#This Row],[final_obs_int2]]-Table2[[#This Row],[final_obs_int_feb]]), "NA")</f>
        <v>0</v>
      </c>
      <c r="R444" s="24"/>
      <c r="S444" s="57" t="s">
        <v>88</v>
      </c>
      <c r="T444" s="57" t="str">
        <f>Table2[[#This Row],[camera_old]]</f>
        <v>N</v>
      </c>
      <c r="U444" s="24"/>
      <c r="V444" s="16" t="s">
        <v>24</v>
      </c>
      <c r="W444" s="16">
        <v>8</v>
      </c>
      <c r="X444" s="145">
        <v>4</v>
      </c>
      <c r="Y444" s="147" t="s">
        <v>65</v>
      </c>
      <c r="Z444" s="146" t="s">
        <v>65</v>
      </c>
      <c r="AA444" s="4" t="str">
        <f>Table2[[#This Row],[field_fate]]</f>
        <v>Ca</v>
      </c>
      <c r="AB444" s="4" t="str">
        <f>Table2[[#This Row],[field_fate2]]</f>
        <v>Ca</v>
      </c>
      <c r="AC444" s="4" t="str">
        <f>Table2[[#This Row],[field_fate3]]</f>
        <v>Ca</v>
      </c>
      <c r="AD444" s="4" t="str">
        <f>Table2[[#This Row],[field_fate4]]</f>
        <v>Ca</v>
      </c>
      <c r="AE444" s="4" t="str">
        <f>Table2[[#This Row],[field_fate5]]</f>
        <v>Ca</v>
      </c>
      <c r="AF444" s="4" t="str">
        <f>Table2[[#This Row],[field_fate5]]</f>
        <v>Ca</v>
      </c>
      <c r="AG444" s="4" t="str">
        <f>Table2[[#This Row],[field_fate5]]</f>
        <v>Ca</v>
      </c>
      <c r="AH444" s="4" t="str">
        <f>Table2[[#This Row],[field_fate2]]</f>
        <v>Ca</v>
      </c>
      <c r="AI444" s="4" t="str">
        <f>Table2[[#This Row],[field_fate8]]</f>
        <v>Ca</v>
      </c>
      <c r="AJ444" s="4" t="str">
        <f>Table2[[#This Row],[field_fate10]]</f>
        <v>Ca</v>
      </c>
      <c r="AK444" s="4" t="b">
        <f>Table2[[#This Row],[field_fate_feb]]=Table2[[#This Row],[field_fate10]]</f>
        <v>1</v>
      </c>
      <c r="AL444" s="43" t="s">
        <v>24</v>
      </c>
      <c r="AM444" s="43" t="b">
        <f>Table2[[#This Row],[cam_fate2]]="NA"</f>
        <v>1</v>
      </c>
      <c r="AN444" s="19" t="str">
        <f>Table2[[#This Row],[cam_fate1]]</f>
        <v>NA</v>
      </c>
      <c r="AO444" s="2" t="s">
        <v>65</v>
      </c>
      <c r="AP444" s="5" t="str">
        <f>Table2[[#This Row],[final_fate1]]</f>
        <v>Ca</v>
      </c>
      <c r="AQ444" s="6">
        <v>9</v>
      </c>
      <c r="AR444" s="7">
        <v>9</v>
      </c>
      <c r="AS444" s="7">
        <f>Table2[[#This Row],[final_obs_date]]-Table2[[#This Row],[init_date]]</f>
        <v>9</v>
      </c>
      <c r="AT444" s="7">
        <f>(Table2[[#This Row],[final_obs_date2]]-Table2[[#This Row],[estHD]])+16</f>
        <v>6</v>
      </c>
      <c r="AU444" s="38">
        <v>4</v>
      </c>
      <c r="AV444" s="33">
        <v>4</v>
      </c>
      <c r="AW444" s="33">
        <f>Table2[[#This Row],[final_obs_date2]]-Table2[[#This Row],[pen_obs_date]]</f>
        <v>92</v>
      </c>
      <c r="AX444" s="67">
        <v>92</v>
      </c>
      <c r="AY444" s="6">
        <f>Table2[[#This Row],[final_obs_date]]</f>
        <v>92</v>
      </c>
      <c r="AZ444" s="6"/>
      <c r="BA444" s="91" t="s">
        <v>47</v>
      </c>
      <c r="BB444" s="6" t="b">
        <f>Table2[[#This Row],[final_obs_date]]&lt;(Table2[[#This Row],[estHD]]-2)</f>
        <v>1</v>
      </c>
      <c r="BC444" s="24">
        <f>IF(Table2[[#This Row],[field_fate]]="H",1,0)</f>
        <v>0</v>
      </c>
      <c r="BD444" s="16">
        <f>IF(Table2[[#This Row],[cam_fate2]]="H",1,0)</f>
        <v>0</v>
      </c>
      <c r="BE444" s="6" t="b">
        <f>NOT(Table2[[#This Row],[HF_C]]=Table2[[#This Row],[HF]])</f>
        <v>0</v>
      </c>
      <c r="BF444" s="6" t="b">
        <f>NOT(Table2[[#This Row],[cam_fate2]]=Table2[[#This Row],[field_fate3]])</f>
        <v>1</v>
      </c>
      <c r="BG444" s="6" t="b">
        <f>OR(Table2[[#This Row],[field_fate3]]="U",Table2[[#This Row],[field_fate3]]="U-H")</f>
        <v>0</v>
      </c>
      <c r="BH444" s="8">
        <v>86</v>
      </c>
      <c r="BI444" s="8">
        <v>88</v>
      </c>
      <c r="BJ444" s="14">
        <f>IF(ISTEXT(Table2[[#This Row],[j.cam]]),Table2[[#This Row],[j]],Table2[[#This Row],[j.cam]])</f>
        <v>88</v>
      </c>
      <c r="BK444" s="9">
        <v>92</v>
      </c>
      <c r="BL444" s="15">
        <f>IF(ISTEXT(Table2[[#This Row],[k.cam]]), Table2[[#This Row],[k]], Table2[[#This Row],[k.cam]])</f>
        <v>92</v>
      </c>
      <c r="BM444" s="4" t="s">
        <v>24</v>
      </c>
      <c r="BN444" s="8" t="s">
        <v>24</v>
      </c>
      <c r="BO444" s="4">
        <v>3</v>
      </c>
      <c r="BP444" s="4">
        <f>Table2[[#This Row],[final_obs_date]]-Table2[[#This Row],[i]]</f>
        <v>6</v>
      </c>
      <c r="BQ444" s="4" t="b">
        <f>Table2[[#This Row],[final_obs_date2]]&gt;Table2[[#This Row],[estHD]]+3</f>
        <v>0</v>
      </c>
      <c r="BR444" s="4" t="s">
        <v>33</v>
      </c>
      <c r="BS444" s="4" t="s">
        <v>45</v>
      </c>
      <c r="BT444" s="79" t="s">
        <v>1291</v>
      </c>
      <c r="BU444" s="26" t="s">
        <v>132</v>
      </c>
      <c r="BV444" s="79" t="s">
        <v>1640</v>
      </c>
      <c r="BW444" s="49"/>
      <c r="BX444" s="47"/>
      <c r="BY444" s="36" t="s">
        <v>773</v>
      </c>
    </row>
    <row r="445" spans="1:77" hidden="1" x14ac:dyDescent="0.35">
      <c r="A445" s="63">
        <v>20427</v>
      </c>
      <c r="B445" s="2" t="s">
        <v>35</v>
      </c>
      <c r="C445" s="45">
        <v>2020</v>
      </c>
      <c r="D445" s="3">
        <v>29.763660000000002</v>
      </c>
      <c r="E445" s="3">
        <v>-93.145679999999999</v>
      </c>
      <c r="F445" s="3">
        <v>0</v>
      </c>
      <c r="G445" s="3">
        <v>25</v>
      </c>
      <c r="H445" s="3" t="s">
        <v>462</v>
      </c>
      <c r="I445" s="43"/>
      <c r="J445" s="55">
        <v>98</v>
      </c>
      <c r="K445" s="4">
        <v>98</v>
      </c>
      <c r="L445" s="22">
        <f>IF(ISNUMBER(Table2[[#This Row],[estHD]]),ABS(Table2[[#This Row],[HD]]-Table2[[#This Row],[estHD]]),"NA")</f>
        <v>0</v>
      </c>
      <c r="M445" s="4" t="b">
        <f>Table2[[#This Row],[HD]]=Table2[[#This Row],[estHD]]</f>
        <v>1</v>
      </c>
      <c r="N445" s="4" t="str">
        <f>IF(ISNUMBER([1]!Table2[[#This Row],[hatch_date]]),[1]!Table2[[#This Row],[hatch_date]]-19,"NA")</f>
        <v>NA</v>
      </c>
      <c r="O445" s="31">
        <v>79</v>
      </c>
      <c r="P445" s="23">
        <f>IF(ISNUMBER(Table2[[#This Row],[nest_age1]]),ABS(Table2[[#This Row],[nest_age1]]-Table2[[#This Row],[nest_age_feb]]),"NA")</f>
        <v>7</v>
      </c>
      <c r="Q445" s="25">
        <f>IF(ISNUMBER(Table2[[#This Row],[final_obs_int2]]),ABS(Table2[[#This Row],[final_obs_int2]]-Table2[[#This Row],[final_obs_int_feb]]), "NA")</f>
        <v>6</v>
      </c>
      <c r="R445" s="25"/>
      <c r="S445" s="57" t="s">
        <v>88</v>
      </c>
      <c r="T445" s="57" t="str">
        <f>Table2[[#This Row],[camera_old]]</f>
        <v>N</v>
      </c>
      <c r="U445" s="24"/>
      <c r="V445" s="16" t="s">
        <v>24</v>
      </c>
      <c r="W445" s="16">
        <v>18</v>
      </c>
      <c r="X445" s="145">
        <v>3</v>
      </c>
      <c r="Y445" s="147" t="s">
        <v>37</v>
      </c>
      <c r="Z445" s="146" t="s">
        <v>37</v>
      </c>
      <c r="AA445" s="4" t="str">
        <f>Table2[[#This Row],[field_fate]]</f>
        <v>H</v>
      </c>
      <c r="AB445" s="4" t="str">
        <f>Table2[[#This Row],[field_fate2]]</f>
        <v>H</v>
      </c>
      <c r="AC445" s="4" t="str">
        <f>Table2[[#This Row],[field_fate3]]</f>
        <v>H</v>
      </c>
      <c r="AD445" s="4" t="str">
        <f>Table2[[#This Row],[field_fate4]]</f>
        <v>H</v>
      </c>
      <c r="AE445" s="4" t="str">
        <f>Table2[[#This Row],[field_fate5]]</f>
        <v>H</v>
      </c>
      <c r="AF445" s="4" t="str">
        <f>Table2[[#This Row],[field_fate5]]</f>
        <v>H</v>
      </c>
      <c r="AG445" s="4" t="str">
        <f>Table2[[#This Row],[field_fate5]]</f>
        <v>H</v>
      </c>
      <c r="AH445" s="4" t="str">
        <f>Table2[[#This Row],[field_fate2]]</f>
        <v>H</v>
      </c>
      <c r="AI445" s="4" t="str">
        <f>Table2[[#This Row],[field_fate8]]</f>
        <v>H</v>
      </c>
      <c r="AJ445" s="4" t="str">
        <f>Table2[[#This Row],[field_fate10]]</f>
        <v>H</v>
      </c>
      <c r="AK445" s="4" t="b">
        <f>Table2[[#This Row],[field_fate_feb]]=Table2[[#This Row],[field_fate10]]</f>
        <v>1</v>
      </c>
      <c r="AL445" s="43" t="s">
        <v>24</v>
      </c>
      <c r="AM445" s="43" t="b">
        <f>Table2[[#This Row],[cam_fate2]]="NA"</f>
        <v>1</v>
      </c>
      <c r="AN445" s="19" t="str">
        <f>Table2[[#This Row],[cam_fate1]]</f>
        <v>NA</v>
      </c>
      <c r="AO445" s="2" t="s">
        <v>37</v>
      </c>
      <c r="AP445" s="5" t="str">
        <f>Table2[[#This Row],[final_fate1]]</f>
        <v>H</v>
      </c>
      <c r="AQ445" s="6">
        <v>25</v>
      </c>
      <c r="AR445" s="7">
        <v>25</v>
      </c>
      <c r="AS445" s="7">
        <f>Table2[[#This Row],[final_obs_date]]-Table2[[#This Row],[init_date]]</f>
        <v>25</v>
      </c>
      <c r="AT445" s="7">
        <f>(Table2[[#This Row],[final_obs_date2]]-Table2[[#This Row],[estHD]])+16</f>
        <v>22</v>
      </c>
      <c r="AU445" s="40">
        <v>9</v>
      </c>
      <c r="AV445" s="33">
        <v>9</v>
      </c>
      <c r="AW445" s="33">
        <f>Table2[[#This Row],[final_obs_date2]]-Table2[[#This Row],[pen_obs_date]]</f>
        <v>104</v>
      </c>
      <c r="AX445" s="67">
        <v>104</v>
      </c>
      <c r="AY445" s="6">
        <f>Table2[[#This Row],[final_obs_date]]</f>
        <v>104</v>
      </c>
      <c r="AZ445" s="6"/>
      <c r="BA445" s="91" t="s">
        <v>47</v>
      </c>
      <c r="BB445" s="6" t="b">
        <f>Table2[[#This Row],[final_obs_date]]&lt;(Table2[[#This Row],[estHD]]-2)</f>
        <v>0</v>
      </c>
      <c r="BC445" s="24">
        <f>IF(Table2[[#This Row],[field_fate]]="H",1,0)</f>
        <v>1</v>
      </c>
      <c r="BD445" s="16">
        <f>IF(Table2[[#This Row],[cam_fate2]]="H",1,0)</f>
        <v>0</v>
      </c>
      <c r="BE445" s="6" t="b">
        <f>NOT(Table2[[#This Row],[HF_C]]=Table2[[#This Row],[HF]])</f>
        <v>1</v>
      </c>
      <c r="BF445" s="6" t="b">
        <f>NOT(Table2[[#This Row],[cam_fate2]]=Table2[[#This Row],[field_fate3]])</f>
        <v>1</v>
      </c>
      <c r="BG445" s="6" t="b">
        <f>OR(Table2[[#This Row],[field_fate3]]="U",Table2[[#This Row],[field_fate3]]="U-H")</f>
        <v>0</v>
      </c>
      <c r="BH445" s="8">
        <v>86</v>
      </c>
      <c r="BI445" s="8">
        <v>98</v>
      </c>
      <c r="BJ445" s="14">
        <f>IF(ISTEXT(Table2[[#This Row],[j.cam]]),Table2[[#This Row],[j]],Table2[[#This Row],[j.cam]])</f>
        <v>98</v>
      </c>
      <c r="BK445" s="9">
        <v>98</v>
      </c>
      <c r="BL445" s="15">
        <f>IF(ISTEXT(Table2[[#This Row],[k.cam]]), Table2[[#This Row],[k]], Table2[[#This Row],[k.cam]])</f>
        <v>98</v>
      </c>
      <c r="BM445" s="4" t="s">
        <v>24</v>
      </c>
      <c r="BN445" s="8" t="s">
        <v>24</v>
      </c>
      <c r="BO445" s="4">
        <v>6</v>
      </c>
      <c r="BP445" s="4">
        <f>Table2[[#This Row],[final_obs_date]]-Table2[[#This Row],[i]]</f>
        <v>18</v>
      </c>
      <c r="BQ445" s="4" t="b">
        <f>Table2[[#This Row],[final_obs_date2]]&gt;Table2[[#This Row],[estHD]]+3</f>
        <v>1</v>
      </c>
      <c r="BR445" s="11" t="s">
        <v>176</v>
      </c>
      <c r="BS445" s="4" t="s">
        <v>127</v>
      </c>
      <c r="BT445" s="79" t="s">
        <v>1292</v>
      </c>
      <c r="BU445" s="26" t="s">
        <v>340</v>
      </c>
      <c r="BV445" s="79" t="s">
        <v>1641</v>
      </c>
      <c r="BW445" s="49" t="s">
        <v>463</v>
      </c>
      <c r="BX445" s="47"/>
      <c r="BY445" s="36" t="s">
        <v>774</v>
      </c>
    </row>
    <row r="446" spans="1:77" hidden="1" x14ac:dyDescent="0.35">
      <c r="A446" s="63">
        <v>20428</v>
      </c>
      <c r="B446" s="2" t="s">
        <v>35</v>
      </c>
      <c r="C446" s="45">
        <v>2020</v>
      </c>
      <c r="D446" s="3">
        <v>29.763590000000001</v>
      </c>
      <c r="E446" s="3">
        <v>-93.14537</v>
      </c>
      <c r="F446" s="3">
        <v>0</v>
      </c>
      <c r="G446" s="3">
        <v>25</v>
      </c>
      <c r="H446" s="3" t="s">
        <v>462</v>
      </c>
      <c r="I446" s="43"/>
      <c r="J446" s="55">
        <v>103</v>
      </c>
      <c r="K446" s="4">
        <v>103</v>
      </c>
      <c r="L446" s="22">
        <f>IF(ISNUMBER(Table2[[#This Row],[estHD]]),ABS(Table2[[#This Row],[HD]]-Table2[[#This Row],[estHD]]),"NA")</f>
        <v>0</v>
      </c>
      <c r="M446" s="4" t="b">
        <f>Table2[[#This Row],[HD]]=Table2[[#This Row],[estHD]]</f>
        <v>1</v>
      </c>
      <c r="N446" s="4" t="str">
        <f>IF(ISNUMBER([1]!Table2[[#This Row],[hatch_date]]),[1]!Table2[[#This Row],[hatch_date]]-19,"NA")</f>
        <v>NA</v>
      </c>
      <c r="O446" s="31">
        <v>84</v>
      </c>
      <c r="P446" s="23">
        <f>IF(ISNUMBER(Table2[[#This Row],[nest_age1]]),ABS(Table2[[#This Row],[nest_age1]]-Table2[[#This Row],[nest_age_feb]]),"NA")</f>
        <v>1</v>
      </c>
      <c r="Q446" s="24">
        <f>IF(ISNUMBER(Table2[[#This Row],[final_obs_int2]]),ABS(Table2[[#This Row],[final_obs_int2]]-Table2[[#This Row],[final_obs_int_feb]]), "NA")</f>
        <v>0</v>
      </c>
      <c r="R446" s="24"/>
      <c r="S446" s="57" t="s">
        <v>88</v>
      </c>
      <c r="T446" s="57" t="str">
        <f>Table2[[#This Row],[camera_old]]</f>
        <v>N</v>
      </c>
      <c r="U446" s="24"/>
      <c r="V446" s="16" t="s">
        <v>24</v>
      </c>
      <c r="W446" s="16">
        <v>10</v>
      </c>
      <c r="X446" s="145">
        <v>3</v>
      </c>
      <c r="Y446" s="147" t="s">
        <v>48</v>
      </c>
      <c r="Z446" s="146" t="s">
        <v>48</v>
      </c>
      <c r="AA446" s="4" t="str">
        <f>Table2[[#This Row],[field_fate]]</f>
        <v>F</v>
      </c>
      <c r="AB446" s="4" t="str">
        <f>Table2[[#This Row],[field_fate2]]</f>
        <v>F</v>
      </c>
      <c r="AC446" s="4" t="str">
        <f>Table2[[#This Row],[field_fate3]]</f>
        <v>F</v>
      </c>
      <c r="AD446" s="4" t="str">
        <f>Table2[[#This Row],[field_fate4]]</f>
        <v>F</v>
      </c>
      <c r="AE446" s="4" t="str">
        <f>Table2[[#This Row],[field_fate5]]</f>
        <v>F</v>
      </c>
      <c r="AF446" s="4" t="str">
        <f>Table2[[#This Row],[field_fate5]]</f>
        <v>F</v>
      </c>
      <c r="AG446" s="4" t="str">
        <f>Table2[[#This Row],[field_fate5]]</f>
        <v>F</v>
      </c>
      <c r="AH446" s="4" t="str">
        <f>Table2[[#This Row],[field_fate2]]</f>
        <v>F</v>
      </c>
      <c r="AI446" s="4" t="str">
        <f>Table2[[#This Row],[field_fate8]]</f>
        <v>F</v>
      </c>
      <c r="AJ446" s="4" t="str">
        <f>Table2[[#This Row],[field_fate10]]</f>
        <v>F</v>
      </c>
      <c r="AK446" s="4" t="b">
        <f>Table2[[#This Row],[field_fate_feb]]=Table2[[#This Row],[field_fate10]]</f>
        <v>1</v>
      </c>
      <c r="AL446" s="43" t="s">
        <v>24</v>
      </c>
      <c r="AM446" s="43" t="b">
        <f>Table2[[#This Row],[cam_fate2]]="NA"</f>
        <v>1</v>
      </c>
      <c r="AN446" s="19" t="str">
        <f>Table2[[#This Row],[cam_fate1]]</f>
        <v>NA</v>
      </c>
      <c r="AO446" s="2" t="s">
        <v>48</v>
      </c>
      <c r="AP446" s="5" t="str">
        <f>Table2[[#This Row],[final_fate1]]</f>
        <v>F</v>
      </c>
      <c r="AQ446" s="6">
        <v>11</v>
      </c>
      <c r="AR446" s="7">
        <v>11</v>
      </c>
      <c r="AS446" s="7">
        <f>Table2[[#This Row],[final_obs_date]]-Table2[[#This Row],[init_date]]</f>
        <v>11</v>
      </c>
      <c r="AT446" s="7">
        <f>(Table2[[#This Row],[final_obs_date2]]-Table2[[#This Row],[estHD]])+16</f>
        <v>8</v>
      </c>
      <c r="AU446" s="38">
        <v>3</v>
      </c>
      <c r="AV446" s="33">
        <v>3</v>
      </c>
      <c r="AW446" s="33">
        <f>Table2[[#This Row],[final_obs_date2]]-Table2[[#This Row],[pen_obs_date]]</f>
        <v>95</v>
      </c>
      <c r="AX446" s="67">
        <v>95</v>
      </c>
      <c r="AY446" s="6">
        <f>Table2[[#This Row],[final_obs_date]]</f>
        <v>95</v>
      </c>
      <c r="AZ446" s="6"/>
      <c r="BA446" s="91" t="s">
        <v>47</v>
      </c>
      <c r="BB446" s="6" t="b">
        <f>Table2[[#This Row],[final_obs_date]]&lt;(Table2[[#This Row],[estHD]]-2)</f>
        <v>1</v>
      </c>
      <c r="BC446" s="24">
        <f>IF(Table2[[#This Row],[field_fate]]="H",1,0)</f>
        <v>0</v>
      </c>
      <c r="BD446" s="16">
        <f>IF(Table2[[#This Row],[cam_fate2]]="H",1,0)</f>
        <v>0</v>
      </c>
      <c r="BE446" s="6" t="b">
        <f>NOT(Table2[[#This Row],[HF_C]]=Table2[[#This Row],[HF]])</f>
        <v>0</v>
      </c>
      <c r="BF446" s="6" t="b">
        <f>NOT(Table2[[#This Row],[cam_fate2]]=Table2[[#This Row],[field_fate3]])</f>
        <v>1</v>
      </c>
      <c r="BG446" s="6" t="b">
        <f>OR(Table2[[#This Row],[field_fate3]]="U",Table2[[#This Row],[field_fate3]]="U-H")</f>
        <v>0</v>
      </c>
      <c r="BH446" s="8">
        <v>86</v>
      </c>
      <c r="BI446" s="8">
        <v>92</v>
      </c>
      <c r="BJ446" s="14">
        <f>IF(ISTEXT(Table2[[#This Row],[j.cam]]),Table2[[#This Row],[j]],Table2[[#This Row],[j.cam]])</f>
        <v>92</v>
      </c>
      <c r="BK446" s="9">
        <v>95</v>
      </c>
      <c r="BL446" s="15">
        <f>IF(ISTEXT(Table2[[#This Row],[k.cam]]), Table2[[#This Row],[k]], Table2[[#This Row],[k.cam]])</f>
        <v>95</v>
      </c>
      <c r="BM446" s="4" t="s">
        <v>24</v>
      </c>
      <c r="BN446" s="8" t="s">
        <v>24</v>
      </c>
      <c r="BO446" s="4">
        <v>4</v>
      </c>
      <c r="BP446" s="4">
        <f>Table2[[#This Row],[final_obs_date]]-Table2[[#This Row],[i]]</f>
        <v>9</v>
      </c>
      <c r="BQ446" s="4" t="b">
        <f>Table2[[#This Row],[final_obs_date2]]&gt;Table2[[#This Row],[estHD]]+3</f>
        <v>0</v>
      </c>
      <c r="BR446" s="4" t="s">
        <v>33</v>
      </c>
      <c r="BS446" s="4" t="s">
        <v>58</v>
      </c>
      <c r="BT446" s="79" t="s">
        <v>1293</v>
      </c>
      <c r="BU446" s="26" t="s">
        <v>341</v>
      </c>
      <c r="BV446" s="79" t="s">
        <v>1642</v>
      </c>
      <c r="BW446" s="49"/>
      <c r="BX446" s="47"/>
      <c r="BY446" s="36" t="s">
        <v>775</v>
      </c>
    </row>
    <row r="447" spans="1:77" hidden="1" x14ac:dyDescent="0.35">
      <c r="A447" s="63">
        <v>20429</v>
      </c>
      <c r="B447" s="2" t="s">
        <v>35</v>
      </c>
      <c r="C447" s="45">
        <v>2020</v>
      </c>
      <c r="D447" s="3">
        <v>29.763559999999998</v>
      </c>
      <c r="E447" s="3">
        <v>-93.145290000000003</v>
      </c>
      <c r="F447" s="3">
        <v>0</v>
      </c>
      <c r="G447" s="3">
        <v>25</v>
      </c>
      <c r="H447" s="3" t="s">
        <v>462</v>
      </c>
      <c r="I447" s="43"/>
      <c r="J447" s="55">
        <v>102</v>
      </c>
      <c r="K447" s="4">
        <v>102</v>
      </c>
      <c r="L447" s="22">
        <f>IF(ISNUMBER(Table2[[#This Row],[estHD]]),ABS(Table2[[#This Row],[HD]]-Table2[[#This Row],[estHD]]),"NA")</f>
        <v>0</v>
      </c>
      <c r="M447" s="4" t="b">
        <f>Table2[[#This Row],[HD]]=Table2[[#This Row],[estHD]]</f>
        <v>1</v>
      </c>
      <c r="N447" s="4" t="str">
        <f>IF(ISNUMBER([1]!Table2[[#This Row],[hatch_date]]),[1]!Table2[[#This Row],[hatch_date]]-19,"NA")</f>
        <v>NA</v>
      </c>
      <c r="O447" s="31">
        <v>83</v>
      </c>
      <c r="P447" s="23">
        <f>IF(ISNUMBER(Table2[[#This Row],[nest_age1]]),ABS(Table2[[#This Row],[nest_age1]]-Table2[[#This Row],[nest_age_feb]]),"NA")</f>
        <v>1</v>
      </c>
      <c r="Q447" s="24">
        <f>IF(ISNUMBER(Table2[[#This Row],[final_obs_int2]]),ABS(Table2[[#This Row],[final_obs_int2]]-Table2[[#This Row],[final_obs_int_feb]]), "NA")</f>
        <v>0</v>
      </c>
      <c r="R447" s="24"/>
      <c r="S447" s="57" t="s">
        <v>88</v>
      </c>
      <c r="T447" s="57" t="str">
        <f>Table2[[#This Row],[camera_old]]</f>
        <v>N</v>
      </c>
      <c r="U447" s="24"/>
      <c r="V447" s="16" t="s">
        <v>24</v>
      </c>
      <c r="W447" s="16">
        <v>17</v>
      </c>
      <c r="X447" s="145">
        <v>3</v>
      </c>
      <c r="Y447" s="147" t="s">
        <v>65</v>
      </c>
      <c r="Z447" s="146" t="s">
        <v>65</v>
      </c>
      <c r="AA447" s="4" t="str">
        <f>Table2[[#This Row],[field_fate]]</f>
        <v>Ca</v>
      </c>
      <c r="AB447" s="4" t="str">
        <f>Table2[[#This Row],[field_fate2]]</f>
        <v>Ca</v>
      </c>
      <c r="AC447" s="4" t="str">
        <f>Table2[[#This Row],[field_fate3]]</f>
        <v>Ca</v>
      </c>
      <c r="AD447" s="4" t="str">
        <f>Table2[[#This Row],[field_fate4]]</f>
        <v>Ca</v>
      </c>
      <c r="AE447" s="4" t="str">
        <f>Table2[[#This Row],[field_fate5]]</f>
        <v>Ca</v>
      </c>
      <c r="AF447" s="4" t="str">
        <f>Table2[[#This Row],[field_fate5]]</f>
        <v>Ca</v>
      </c>
      <c r="AG447" s="4" t="str">
        <f>Table2[[#This Row],[field_fate5]]</f>
        <v>Ca</v>
      </c>
      <c r="AH447" s="4" t="str">
        <f>Table2[[#This Row],[field_fate2]]</f>
        <v>Ca</v>
      </c>
      <c r="AI447" s="4" t="str">
        <f>Table2[[#This Row],[field_fate8]]</f>
        <v>Ca</v>
      </c>
      <c r="AJ447" s="4" t="str">
        <f>Table2[[#This Row],[field_fate10]]</f>
        <v>Ca</v>
      </c>
      <c r="AK447" s="4" t="b">
        <f>Table2[[#This Row],[field_fate_feb]]=Table2[[#This Row],[field_fate10]]</f>
        <v>1</v>
      </c>
      <c r="AL447" s="43" t="s">
        <v>24</v>
      </c>
      <c r="AM447" s="43" t="b">
        <f>Table2[[#This Row],[cam_fate2]]="NA"</f>
        <v>1</v>
      </c>
      <c r="AN447" s="19" t="str">
        <f>Table2[[#This Row],[cam_fate1]]</f>
        <v>NA</v>
      </c>
      <c r="AO447" s="2" t="s">
        <v>65</v>
      </c>
      <c r="AP447" s="5" t="str">
        <f>Table2[[#This Row],[final_fate1]]</f>
        <v>Ca</v>
      </c>
      <c r="AQ447" s="6">
        <v>18</v>
      </c>
      <c r="AR447" s="7">
        <v>18</v>
      </c>
      <c r="AS447" s="7">
        <f>Table2[[#This Row],[final_obs_date]]-Table2[[#This Row],[init_date]]</f>
        <v>18</v>
      </c>
      <c r="AT447" s="7">
        <f>(Table2[[#This Row],[final_obs_date2]]-Table2[[#This Row],[estHD]])+16</f>
        <v>15</v>
      </c>
      <c r="AU447" s="38">
        <v>3</v>
      </c>
      <c r="AV447" s="33">
        <v>3</v>
      </c>
      <c r="AW447" s="33">
        <f>Table2[[#This Row],[final_obs_date2]]-Table2[[#This Row],[pen_obs_date]]</f>
        <v>101</v>
      </c>
      <c r="AX447" s="67">
        <v>101</v>
      </c>
      <c r="AY447" s="6">
        <f>Table2[[#This Row],[final_obs_date]]</f>
        <v>101</v>
      </c>
      <c r="AZ447" s="6"/>
      <c r="BA447" s="91" t="s">
        <v>47</v>
      </c>
      <c r="BB447" s="6" t="b">
        <f>Table2[[#This Row],[final_obs_date]]&lt;(Table2[[#This Row],[estHD]]-2)</f>
        <v>0</v>
      </c>
      <c r="BC447" s="24">
        <f>IF(Table2[[#This Row],[field_fate]]="H",1,0)</f>
        <v>0</v>
      </c>
      <c r="BD447" s="16">
        <f>IF(Table2[[#This Row],[cam_fate2]]="H",1,0)</f>
        <v>0</v>
      </c>
      <c r="BE447" s="6" t="b">
        <f>NOT(Table2[[#This Row],[HF_C]]=Table2[[#This Row],[HF]])</f>
        <v>0</v>
      </c>
      <c r="BF447" s="6" t="b">
        <f>NOT(Table2[[#This Row],[cam_fate2]]=Table2[[#This Row],[field_fate3]])</f>
        <v>1</v>
      </c>
      <c r="BG447" s="6" t="b">
        <f>OR(Table2[[#This Row],[field_fate3]]="U",Table2[[#This Row],[field_fate3]]="U-H")</f>
        <v>0</v>
      </c>
      <c r="BH447" s="8">
        <v>86</v>
      </c>
      <c r="BI447" s="8">
        <v>98</v>
      </c>
      <c r="BJ447" s="14">
        <f>IF(ISTEXT(Table2[[#This Row],[j.cam]]),Table2[[#This Row],[j]],Table2[[#This Row],[j.cam]])</f>
        <v>98</v>
      </c>
      <c r="BK447" s="9">
        <v>101</v>
      </c>
      <c r="BL447" s="15">
        <f>IF(ISTEXT(Table2[[#This Row],[k.cam]]), Table2[[#This Row],[k]], Table2[[#This Row],[k.cam]])</f>
        <v>101</v>
      </c>
      <c r="BM447" s="4" t="s">
        <v>24</v>
      </c>
      <c r="BN447" s="8" t="s">
        <v>24</v>
      </c>
      <c r="BO447" s="4">
        <v>6</v>
      </c>
      <c r="BP447" s="4">
        <f>Table2[[#This Row],[final_obs_date]]-Table2[[#This Row],[i]]</f>
        <v>15</v>
      </c>
      <c r="BQ447" s="4" t="b">
        <f>Table2[[#This Row],[final_obs_date2]]&gt;Table2[[#This Row],[estHD]]+3</f>
        <v>0</v>
      </c>
      <c r="BR447" s="4" t="s">
        <v>33</v>
      </c>
      <c r="BS447" s="4" t="s">
        <v>45</v>
      </c>
      <c r="BT447" s="79" t="s">
        <v>1294</v>
      </c>
      <c r="BU447" s="26" t="s">
        <v>304</v>
      </c>
      <c r="BV447" s="79" t="s">
        <v>1643</v>
      </c>
      <c r="BW447" s="49"/>
      <c r="BX447" s="47"/>
      <c r="BY447" s="36" t="s">
        <v>776</v>
      </c>
    </row>
    <row r="448" spans="1:77" hidden="1" x14ac:dyDescent="0.35">
      <c r="A448" s="63">
        <v>20430</v>
      </c>
      <c r="B448" s="2" t="s">
        <v>157</v>
      </c>
      <c r="C448" s="45">
        <v>2020</v>
      </c>
      <c r="D448" s="3">
        <v>29.76512</v>
      </c>
      <c r="E448" s="3">
        <v>-93.374229999999997</v>
      </c>
      <c r="F448" s="3">
        <v>0</v>
      </c>
      <c r="G448" s="3">
        <v>0</v>
      </c>
      <c r="H448" s="3" t="s">
        <v>26</v>
      </c>
      <c r="I448" s="43"/>
      <c r="J448" s="55" t="s">
        <v>24</v>
      </c>
      <c r="K448" s="4" t="s">
        <v>24</v>
      </c>
      <c r="L448" s="22" t="str">
        <f>IF(ISNUMBER(Table2[[#This Row],[estHD]]),ABS(Table2[[#This Row],[HD]]-Table2[[#This Row],[estHD]]),"NA")</f>
        <v>NA</v>
      </c>
      <c r="M448" s="4" t="b">
        <f>Table2[[#This Row],[HD]]=Table2[[#This Row],[estHD]]</f>
        <v>1</v>
      </c>
      <c r="N448" s="4" t="str">
        <f>IF(ISNUMBER([1]!Table2[[#This Row],[hatch_date]]),[1]!Table2[[#This Row],[hatch_date]]-19,"NA")</f>
        <v>NA</v>
      </c>
      <c r="O448" s="31" t="s">
        <v>24</v>
      </c>
      <c r="P448" s="23" t="str">
        <f>IF(ISNUMBER(Table2[[#This Row],[nest_age1]]),ABS(Table2[[#This Row],[nest_age1]]-Table2[[#This Row],[nest_age_feb]]),"NA")</f>
        <v>NA</v>
      </c>
      <c r="Q448" s="24">
        <f>IF(ISNUMBER(Table2[[#This Row],[final_obs_int2]]),ABS(Table2[[#This Row],[final_obs_int2]]-Table2[[#This Row],[final_obs_int_feb]]), "NA")</f>
        <v>0</v>
      </c>
      <c r="R448" s="24"/>
      <c r="S448" s="57" t="s">
        <v>88</v>
      </c>
      <c r="T448" s="57" t="str">
        <f>Table2[[#This Row],[camera_old]]</f>
        <v>N</v>
      </c>
      <c r="U448" s="24"/>
      <c r="V448" s="16" t="s">
        <v>24</v>
      </c>
      <c r="W448" s="16" t="s">
        <v>24</v>
      </c>
      <c r="X448" s="145">
        <v>4</v>
      </c>
      <c r="Y448" s="147" t="s">
        <v>31</v>
      </c>
      <c r="Z448" s="146" t="s">
        <v>31</v>
      </c>
      <c r="AA448" s="4" t="str">
        <f>Table2[[#This Row],[field_fate]]</f>
        <v>D</v>
      </c>
      <c r="AB448" s="4" t="str">
        <f>Table2[[#This Row],[field_fate2]]</f>
        <v>D</v>
      </c>
      <c r="AC448" s="4" t="str">
        <f>Table2[[#This Row],[field_fate3]]</f>
        <v>D</v>
      </c>
      <c r="AD448" s="4" t="str">
        <f>Table2[[#This Row],[field_fate4]]</f>
        <v>D</v>
      </c>
      <c r="AE448" s="4" t="str">
        <f>Table2[[#This Row],[field_fate5]]</f>
        <v>D</v>
      </c>
      <c r="AF448" s="4" t="str">
        <f>Table2[[#This Row],[field_fate5]]</f>
        <v>D</v>
      </c>
      <c r="AG448" s="4" t="str">
        <f>Table2[[#This Row],[field_fate5]]</f>
        <v>D</v>
      </c>
      <c r="AH448" s="4" t="str">
        <f>Table2[[#This Row],[field_fate2]]</f>
        <v>D</v>
      </c>
      <c r="AI448" s="4" t="str">
        <f>Table2[[#This Row],[field_fate8]]</f>
        <v>D</v>
      </c>
      <c r="AJ448" s="4" t="str">
        <f>Table2[[#This Row],[field_fate10]]</f>
        <v>D</v>
      </c>
      <c r="AK448" s="4" t="b">
        <f>Table2[[#This Row],[field_fate_feb]]=Table2[[#This Row],[field_fate10]]</f>
        <v>1</v>
      </c>
      <c r="AL448" s="43" t="s">
        <v>24</v>
      </c>
      <c r="AM448" s="43" t="b">
        <f>Table2[[#This Row],[cam_fate2]]="NA"</f>
        <v>1</v>
      </c>
      <c r="AN448" s="19" t="str">
        <f>Table2[[#This Row],[cam_fate1]]</f>
        <v>NA</v>
      </c>
      <c r="AO448" s="2" t="s">
        <v>31</v>
      </c>
      <c r="AP448" s="5" t="str">
        <f>Table2[[#This Row],[final_fate1]]</f>
        <v>D</v>
      </c>
      <c r="AQ448" s="6" t="s">
        <v>24</v>
      </c>
      <c r="AR448" s="7" t="s">
        <v>24</v>
      </c>
      <c r="AS448" s="7" t="e">
        <f>Table2[[#This Row],[final_obs_date]]-Table2[[#This Row],[init_date]]</f>
        <v>#VALUE!</v>
      </c>
      <c r="AT448" s="7" t="e">
        <f>(Table2[[#This Row],[final_obs_date2]]-Table2[[#This Row],[estHD]])+16</f>
        <v>#VALUE!</v>
      </c>
      <c r="AU448" s="38">
        <v>4</v>
      </c>
      <c r="AV448" s="33">
        <v>4</v>
      </c>
      <c r="AW448" s="33">
        <f>Table2[[#This Row],[final_obs_date2]]-Table2[[#This Row],[pen_obs_date]]</f>
        <v>91</v>
      </c>
      <c r="AX448" s="67">
        <v>91</v>
      </c>
      <c r="AY448" s="6">
        <f>Table2[[#This Row],[final_obs_date]]</f>
        <v>91</v>
      </c>
      <c r="AZ448" s="6"/>
      <c r="BA448" s="91" t="s">
        <v>47</v>
      </c>
      <c r="BB448" s="6" t="e">
        <f>Table2[[#This Row],[final_obs_date]]&lt;(Table2[[#This Row],[estHD]]-2)</f>
        <v>#VALUE!</v>
      </c>
      <c r="BC448" s="24">
        <f>IF(Table2[[#This Row],[field_fate]]="H",1,0)</f>
        <v>0</v>
      </c>
      <c r="BD448" s="16">
        <f>IF(Table2[[#This Row],[cam_fate2]]="H",1,0)</f>
        <v>0</v>
      </c>
      <c r="BE448" s="6" t="b">
        <f>NOT(Table2[[#This Row],[HF_C]]=Table2[[#This Row],[HF]])</f>
        <v>0</v>
      </c>
      <c r="BF448" s="6" t="b">
        <f>NOT(Table2[[#This Row],[cam_fate2]]=Table2[[#This Row],[field_fate3]])</f>
        <v>1</v>
      </c>
      <c r="BG448" s="6" t="b">
        <f>OR(Table2[[#This Row],[field_fate3]]="U",Table2[[#This Row],[field_fate3]]="U-H")</f>
        <v>0</v>
      </c>
      <c r="BH448" s="8">
        <v>87</v>
      </c>
      <c r="BI448" s="8">
        <v>87</v>
      </c>
      <c r="BJ448" s="14">
        <f>IF(ISTEXT(Table2[[#This Row],[j.cam]]),Table2[[#This Row],[j]],Table2[[#This Row],[j.cam]])</f>
        <v>87</v>
      </c>
      <c r="BK448" s="9">
        <v>91</v>
      </c>
      <c r="BL448" s="15">
        <f>IF(ISTEXT(Table2[[#This Row],[k.cam]]), Table2[[#This Row],[k]], Table2[[#This Row],[k.cam]])</f>
        <v>91</v>
      </c>
      <c r="BM448" s="4" t="s">
        <v>24</v>
      </c>
      <c r="BN448" s="8" t="s">
        <v>24</v>
      </c>
      <c r="BO448" s="4">
        <v>2</v>
      </c>
      <c r="BP448" s="4">
        <f>Table2[[#This Row],[final_obs_date]]-Table2[[#This Row],[i]]</f>
        <v>4</v>
      </c>
      <c r="BQ448" s="4" t="e">
        <f>Table2[[#This Row],[final_obs_date2]]&gt;Table2[[#This Row],[estHD]]+3</f>
        <v>#VALUE!</v>
      </c>
      <c r="BR448" s="4" t="s">
        <v>33</v>
      </c>
      <c r="BS448" s="4" t="s">
        <v>45</v>
      </c>
      <c r="BT448" s="79" t="s">
        <v>1295</v>
      </c>
      <c r="BU448" s="26" t="s">
        <v>87</v>
      </c>
      <c r="BV448" s="79" t="s">
        <v>1429</v>
      </c>
      <c r="BW448" s="49"/>
      <c r="BX448" s="47"/>
      <c r="BY448" s="36" t="s">
        <v>777</v>
      </c>
    </row>
    <row r="449" spans="1:77" hidden="1" x14ac:dyDescent="0.35">
      <c r="A449" s="63">
        <v>20431</v>
      </c>
      <c r="B449" s="2" t="s">
        <v>157</v>
      </c>
      <c r="C449" s="45">
        <v>2020</v>
      </c>
      <c r="D449" s="3">
        <v>29.765029999999999</v>
      </c>
      <c r="E449" s="3">
        <v>-93.372540000000001</v>
      </c>
      <c r="F449" s="3">
        <v>5</v>
      </c>
      <c r="G449" s="3">
        <v>5</v>
      </c>
      <c r="H449" s="3" t="s">
        <v>26</v>
      </c>
      <c r="I449" s="43"/>
      <c r="J449" s="55" t="s">
        <v>24</v>
      </c>
      <c r="K449" s="4" t="s">
        <v>24</v>
      </c>
      <c r="L449" s="22" t="str">
        <f>IF(ISNUMBER(Table2[[#This Row],[estHD]]),ABS(Table2[[#This Row],[HD]]-Table2[[#This Row],[estHD]]),"NA")</f>
        <v>NA</v>
      </c>
      <c r="M449" s="4" t="b">
        <f>Table2[[#This Row],[HD]]=Table2[[#This Row],[estHD]]</f>
        <v>1</v>
      </c>
      <c r="N449" s="4" t="str">
        <f>IF(ISNUMBER([1]!Table2[[#This Row],[hatch_date]]), [1]!Table2[[#This Row],[hatch_date]]-16, "NA")</f>
        <v>NA</v>
      </c>
      <c r="O449" s="31" t="s">
        <v>24</v>
      </c>
      <c r="P449" s="23" t="str">
        <f>IF(ISNUMBER(Table2[[#This Row],[nest_age1]]),ABS(Table2[[#This Row],[nest_age1]]-Table2[[#This Row],[nest_age_feb]]),"NA")</f>
        <v>NA</v>
      </c>
      <c r="Q449" s="24">
        <f>IF(ISNUMBER(Table2[[#This Row],[final_obs_int2]]),ABS(Table2[[#This Row],[final_obs_int2]]-Table2[[#This Row],[final_obs_int_feb]]), "NA")</f>
        <v>0</v>
      </c>
      <c r="R449" s="24"/>
      <c r="S449" s="57" t="s">
        <v>88</v>
      </c>
      <c r="T449" s="57" t="str">
        <f>Table2[[#This Row],[camera_old]]</f>
        <v>N</v>
      </c>
      <c r="U449" s="24"/>
      <c r="V449" s="16" t="s">
        <v>24</v>
      </c>
      <c r="W449" s="16" t="s">
        <v>24</v>
      </c>
      <c r="X449" s="145">
        <v>4</v>
      </c>
      <c r="Y449" s="147" t="s">
        <v>31</v>
      </c>
      <c r="Z449" s="146" t="s">
        <v>31</v>
      </c>
      <c r="AA449" s="4" t="str">
        <f>Table2[[#This Row],[field_fate]]</f>
        <v>D</v>
      </c>
      <c r="AB449" s="4" t="str">
        <f>Table2[[#This Row],[field_fate2]]</f>
        <v>D</v>
      </c>
      <c r="AC449" s="4" t="str">
        <f>Table2[[#This Row],[field_fate3]]</f>
        <v>D</v>
      </c>
      <c r="AD449" s="4" t="str">
        <f>Table2[[#This Row],[field_fate4]]</f>
        <v>D</v>
      </c>
      <c r="AE449" s="4" t="str">
        <f>Table2[[#This Row],[field_fate5]]</f>
        <v>D</v>
      </c>
      <c r="AF449" s="4" t="str">
        <f>Table2[[#This Row],[field_fate5]]</f>
        <v>D</v>
      </c>
      <c r="AG449" s="4" t="str">
        <f>Table2[[#This Row],[field_fate5]]</f>
        <v>D</v>
      </c>
      <c r="AH449" s="4" t="str">
        <f>Table2[[#This Row],[field_fate2]]</f>
        <v>D</v>
      </c>
      <c r="AI449" s="4" t="str">
        <f>Table2[[#This Row],[field_fate8]]</f>
        <v>D</v>
      </c>
      <c r="AJ449" s="4" t="str">
        <f>Table2[[#This Row],[field_fate10]]</f>
        <v>D</v>
      </c>
      <c r="AK449" s="4" t="b">
        <f>Table2[[#This Row],[field_fate_feb]]=Table2[[#This Row],[field_fate10]]</f>
        <v>1</v>
      </c>
      <c r="AL449" s="43" t="s">
        <v>24</v>
      </c>
      <c r="AM449" s="43" t="b">
        <f>Table2[[#This Row],[cam_fate2]]="NA"</f>
        <v>1</v>
      </c>
      <c r="AN449" s="19" t="str">
        <f>Table2[[#This Row],[cam_fate1]]</f>
        <v>NA</v>
      </c>
      <c r="AO449" s="2" t="s">
        <v>31</v>
      </c>
      <c r="AP449" s="5" t="str">
        <f>Table2[[#This Row],[final_fate1]]</f>
        <v>D</v>
      </c>
      <c r="AQ449" s="6" t="s">
        <v>24</v>
      </c>
      <c r="AR449" s="7" t="s">
        <v>24</v>
      </c>
      <c r="AS449" s="7" t="e">
        <f>Table2[[#This Row],[final_obs_date]]-Table2[[#This Row],[init_date]]</f>
        <v>#VALUE!</v>
      </c>
      <c r="AT449" s="7" t="e">
        <f>(Table2[[#This Row],[final_obs_date2]]-Table2[[#This Row],[estHD]])+16</f>
        <v>#VALUE!</v>
      </c>
      <c r="AU449" s="38">
        <v>4</v>
      </c>
      <c r="AV449" s="33">
        <v>4</v>
      </c>
      <c r="AW449" s="33">
        <f>Table2[[#This Row],[final_obs_date2]]-Table2[[#This Row],[pen_obs_date]]</f>
        <v>91</v>
      </c>
      <c r="AX449" s="67">
        <v>91</v>
      </c>
      <c r="AY449" s="6">
        <f>Table2[[#This Row],[final_obs_date]]</f>
        <v>91</v>
      </c>
      <c r="AZ449" s="6"/>
      <c r="BA449" s="91" t="s">
        <v>60</v>
      </c>
      <c r="BB449" s="6" t="e">
        <f>Table2[[#This Row],[final_obs_date]]&lt;(Table2[[#This Row],[estHD]]-2)</f>
        <v>#VALUE!</v>
      </c>
      <c r="BC449" s="24">
        <f>IF(Table2[[#This Row],[field_fate]]="H",1,0)</f>
        <v>0</v>
      </c>
      <c r="BD449" s="16">
        <f>IF(Table2[[#This Row],[cam_fate2]]="H",1,0)</f>
        <v>0</v>
      </c>
      <c r="BE449" s="6" t="b">
        <f>NOT(Table2[[#This Row],[HF_C]]=Table2[[#This Row],[HF]])</f>
        <v>0</v>
      </c>
      <c r="BF449" s="6" t="b">
        <f>NOT(Table2[[#This Row],[cam_fate2]]=Table2[[#This Row],[field_fate3]])</f>
        <v>1</v>
      </c>
      <c r="BG449" s="6" t="b">
        <f>OR(Table2[[#This Row],[field_fate3]]="U",Table2[[#This Row],[field_fate3]]="U-H")</f>
        <v>0</v>
      </c>
      <c r="BH449" s="8">
        <v>87</v>
      </c>
      <c r="BI449" s="8">
        <v>87</v>
      </c>
      <c r="BJ449" s="14">
        <f>IF(ISTEXT(Table2[[#This Row],[j.cam]]),Table2[[#This Row],[j]],Table2[[#This Row],[j.cam]])</f>
        <v>87</v>
      </c>
      <c r="BK449" s="9">
        <v>91</v>
      </c>
      <c r="BL449" s="15">
        <f>IF(ISTEXT(Table2[[#This Row],[k.cam]]), Table2[[#This Row],[k]], Table2[[#This Row],[k.cam]])</f>
        <v>91</v>
      </c>
      <c r="BM449" s="4" t="s">
        <v>24</v>
      </c>
      <c r="BN449" s="8" t="s">
        <v>24</v>
      </c>
      <c r="BO449" s="4">
        <v>2</v>
      </c>
      <c r="BP449" s="4">
        <f>Table2[[#This Row],[final_obs_date]]-Table2[[#This Row],[i]]</f>
        <v>4</v>
      </c>
      <c r="BQ449" s="4" t="e">
        <f>Table2[[#This Row],[final_obs_date2]]&gt;Table2[[#This Row],[estHD]]+3</f>
        <v>#VALUE!</v>
      </c>
      <c r="BR449" s="4" t="s">
        <v>33</v>
      </c>
      <c r="BS449" s="4" t="s">
        <v>45</v>
      </c>
      <c r="BT449" s="79" t="s">
        <v>1295</v>
      </c>
      <c r="BU449" s="26" t="s">
        <v>87</v>
      </c>
      <c r="BV449" s="79" t="s">
        <v>1429</v>
      </c>
      <c r="BW449" s="49"/>
      <c r="BX449" s="47"/>
      <c r="BY449" s="36" t="s">
        <v>777</v>
      </c>
    </row>
    <row r="450" spans="1:77" hidden="1" x14ac:dyDescent="0.35">
      <c r="A450" s="63">
        <v>20432</v>
      </c>
      <c r="B450" s="2" t="s">
        <v>35</v>
      </c>
      <c r="C450" s="45">
        <v>2020</v>
      </c>
      <c r="D450" s="3">
        <v>29.763590000000001</v>
      </c>
      <c r="E450" s="3">
        <v>-93.145359999999997</v>
      </c>
      <c r="F450" s="3">
        <v>0</v>
      </c>
      <c r="G450" s="3">
        <v>10</v>
      </c>
      <c r="H450" s="3" t="s">
        <v>462</v>
      </c>
      <c r="I450" s="43"/>
      <c r="J450" s="55">
        <v>105</v>
      </c>
      <c r="K450" s="4">
        <v>105</v>
      </c>
      <c r="L450" s="22">
        <f>IF(ISNUMBER(Table2[[#This Row],[estHD]]),ABS(Table2[[#This Row],[HD]]-Table2[[#This Row],[estHD]]),"NA")</f>
        <v>0</v>
      </c>
      <c r="M450" s="4" t="b">
        <f>Table2[[#This Row],[HD]]=Table2[[#This Row],[estHD]]</f>
        <v>1</v>
      </c>
      <c r="N450" s="4" t="str">
        <f>IF(ISNUMBER([1]!Table2[[#This Row],[hatch_date]]),[1]!Table2[[#This Row],[hatch_date]]-19,"NA")</f>
        <v>NA</v>
      </c>
      <c r="O450" s="31">
        <v>86</v>
      </c>
      <c r="P450" s="23">
        <f>IF(ISNUMBER(Table2[[#This Row],[nest_age1]]),ABS(Table2[[#This Row],[nest_age1]]-Table2[[#This Row],[nest_age_feb]]),"NA")</f>
        <v>1</v>
      </c>
      <c r="Q450" s="24">
        <f>IF(ISNUMBER(Table2[[#This Row],[final_obs_int2]]),ABS(Table2[[#This Row],[final_obs_int2]]-Table2[[#This Row],[final_obs_int_feb]]), "NA")</f>
        <v>0</v>
      </c>
      <c r="R450" s="24"/>
      <c r="S450" s="57" t="s">
        <v>88</v>
      </c>
      <c r="T450" s="57" t="str">
        <f>Table2[[#This Row],[camera_old]]</f>
        <v>N</v>
      </c>
      <c r="U450" s="24"/>
      <c r="V450" s="16" t="s">
        <v>24</v>
      </c>
      <c r="W450" s="16">
        <v>17</v>
      </c>
      <c r="X450" s="145">
        <v>3</v>
      </c>
      <c r="Y450" s="147" t="s">
        <v>65</v>
      </c>
      <c r="Z450" s="146" t="s">
        <v>65</v>
      </c>
      <c r="AA450" s="4" t="str">
        <f>Table2[[#This Row],[field_fate]]</f>
        <v>Ca</v>
      </c>
      <c r="AB450" s="4" t="str">
        <f>Table2[[#This Row],[field_fate2]]</f>
        <v>Ca</v>
      </c>
      <c r="AC450" s="4" t="str">
        <f>Table2[[#This Row],[field_fate3]]</f>
        <v>Ca</v>
      </c>
      <c r="AD450" s="4" t="str">
        <f>Table2[[#This Row],[field_fate4]]</f>
        <v>Ca</v>
      </c>
      <c r="AE450" s="4" t="str">
        <f>Table2[[#This Row],[field_fate5]]</f>
        <v>Ca</v>
      </c>
      <c r="AF450" s="4" t="str">
        <f>Table2[[#This Row],[field_fate5]]</f>
        <v>Ca</v>
      </c>
      <c r="AG450" s="4" t="str">
        <f>Table2[[#This Row],[field_fate5]]</f>
        <v>Ca</v>
      </c>
      <c r="AH450" s="4" t="str">
        <f>Table2[[#This Row],[field_fate2]]</f>
        <v>Ca</v>
      </c>
      <c r="AI450" s="4" t="str">
        <f>Table2[[#This Row],[field_fate8]]</f>
        <v>Ca</v>
      </c>
      <c r="AJ450" s="4" t="str">
        <f>Table2[[#This Row],[field_fate10]]</f>
        <v>Ca</v>
      </c>
      <c r="AK450" s="4" t="b">
        <f>Table2[[#This Row],[field_fate_feb]]=Table2[[#This Row],[field_fate10]]</f>
        <v>1</v>
      </c>
      <c r="AL450" s="43" t="s">
        <v>24</v>
      </c>
      <c r="AM450" s="43" t="b">
        <f>Table2[[#This Row],[cam_fate2]]="NA"</f>
        <v>1</v>
      </c>
      <c r="AN450" s="19" t="str">
        <f>Table2[[#This Row],[cam_fate1]]</f>
        <v>NA</v>
      </c>
      <c r="AO450" s="2" t="s">
        <v>65</v>
      </c>
      <c r="AP450" s="5" t="str">
        <f>Table2[[#This Row],[final_fate1]]</f>
        <v>Ca</v>
      </c>
      <c r="AQ450" s="6">
        <v>18</v>
      </c>
      <c r="AR450" s="7">
        <v>18</v>
      </c>
      <c r="AS450" s="7">
        <f>Table2[[#This Row],[final_obs_date]]-Table2[[#This Row],[init_date]]</f>
        <v>18</v>
      </c>
      <c r="AT450" s="7">
        <f>(Table2[[#This Row],[final_obs_date2]]-Table2[[#This Row],[estHD]])+16</f>
        <v>15</v>
      </c>
      <c r="AU450" s="38">
        <v>3</v>
      </c>
      <c r="AV450" s="33">
        <v>3</v>
      </c>
      <c r="AW450" s="33">
        <f>Table2[[#This Row],[final_obs_date2]]-Table2[[#This Row],[pen_obs_date]]</f>
        <v>104</v>
      </c>
      <c r="AX450" s="67">
        <v>104</v>
      </c>
      <c r="AY450" s="6">
        <f>Table2[[#This Row],[final_obs_date]]</f>
        <v>104</v>
      </c>
      <c r="AZ450" s="6"/>
      <c r="BA450" s="91" t="s">
        <v>47</v>
      </c>
      <c r="BB450" s="6" t="b">
        <f>Table2[[#This Row],[final_obs_date]]&lt;(Table2[[#This Row],[estHD]]-2)</f>
        <v>0</v>
      </c>
      <c r="BC450" s="24">
        <f>IF(Table2[[#This Row],[field_fate]]="H",1,0)</f>
        <v>0</v>
      </c>
      <c r="BD450" s="16">
        <f>IF(Table2[[#This Row],[cam_fate2]]="H",1,0)</f>
        <v>0</v>
      </c>
      <c r="BE450" s="6" t="b">
        <f>NOT(Table2[[#This Row],[HF_C]]=Table2[[#This Row],[HF]])</f>
        <v>0</v>
      </c>
      <c r="BF450" s="6" t="b">
        <f>NOT(Table2[[#This Row],[cam_fate2]]=Table2[[#This Row],[field_fate3]])</f>
        <v>1</v>
      </c>
      <c r="BG450" s="6" t="b">
        <f>OR(Table2[[#This Row],[field_fate3]]="U",Table2[[#This Row],[field_fate3]]="U-H")</f>
        <v>0</v>
      </c>
      <c r="BH450" s="8">
        <v>88</v>
      </c>
      <c r="BI450" s="8">
        <v>101</v>
      </c>
      <c r="BJ450" s="14">
        <f>IF(ISTEXT(Table2[[#This Row],[j.cam]]),Table2[[#This Row],[j]],Table2[[#This Row],[j.cam]])</f>
        <v>101</v>
      </c>
      <c r="BK450" s="9">
        <v>104</v>
      </c>
      <c r="BL450" s="15">
        <f>IF(ISTEXT(Table2[[#This Row],[k.cam]]), Table2[[#This Row],[k]], Table2[[#This Row],[k.cam]])</f>
        <v>104</v>
      </c>
      <c r="BM450" s="4" t="s">
        <v>24</v>
      </c>
      <c r="BN450" s="8" t="s">
        <v>24</v>
      </c>
      <c r="BO450" s="4">
        <v>6</v>
      </c>
      <c r="BP450" s="4">
        <f>Table2[[#This Row],[final_obs_date]]-Table2[[#This Row],[i]]</f>
        <v>16</v>
      </c>
      <c r="BQ450" s="4" t="b">
        <f>Table2[[#This Row],[final_obs_date2]]&gt;Table2[[#This Row],[estHD]]+3</f>
        <v>0</v>
      </c>
      <c r="BR450" s="4" t="s">
        <v>33</v>
      </c>
      <c r="BS450" s="4" t="s">
        <v>45</v>
      </c>
      <c r="BT450" s="79" t="s">
        <v>1296</v>
      </c>
      <c r="BU450" s="26" t="s">
        <v>304</v>
      </c>
      <c r="BV450" s="79" t="s">
        <v>1644</v>
      </c>
      <c r="BW450" s="49"/>
      <c r="BX450" s="47"/>
      <c r="BY450" s="36" t="s">
        <v>778</v>
      </c>
    </row>
    <row r="451" spans="1:77" ht="15" hidden="1" x14ac:dyDescent="0.35">
      <c r="A451" s="60">
        <v>20433</v>
      </c>
      <c r="B451" s="2" t="s">
        <v>35</v>
      </c>
      <c r="C451" s="45">
        <v>2020</v>
      </c>
      <c r="D451" s="3">
        <v>29.763590000000001</v>
      </c>
      <c r="E451" s="3">
        <v>-93.145420000000001</v>
      </c>
      <c r="F451" s="3">
        <v>5</v>
      </c>
      <c r="G451" s="3">
        <v>10</v>
      </c>
      <c r="H451" s="3" t="s">
        <v>462</v>
      </c>
      <c r="I451" s="43"/>
      <c r="J451" s="116">
        <v>105</v>
      </c>
      <c r="K451" s="4">
        <v>105</v>
      </c>
      <c r="L451" s="22">
        <f>IF(ISNUMBER(Table2[[#This Row],[estHD]]),ABS(Table2[[#This Row],[HD]]-Table2[[#This Row],[estHD]]),"NA")</f>
        <v>0</v>
      </c>
      <c r="M451" s="4" t="b">
        <f>Table2[[#This Row],[HD]]=Table2[[#This Row],[estHD]]</f>
        <v>1</v>
      </c>
      <c r="N451" s="4">
        <f>IF(ISNUMBER(Table2[[#This Row],[HD]]),Table2[[#This Row],[HD]]-19,"NA")</f>
        <v>86</v>
      </c>
      <c r="O451" s="31">
        <v>86</v>
      </c>
      <c r="P451" s="23">
        <f>IF(ISNUMBER(Table2[[#This Row],[nest_age1]]),ABS(Table2[[#This Row],[nest_age1]]-Table2[[#This Row],[nest_age_feb]]),"NA")</f>
        <v>1</v>
      </c>
      <c r="Q451" s="24">
        <f>IF(ISNUMBER(Table2[[#This Row],[final_obs_int2]]),ABS(Table2[[#This Row],[final_obs_int2]]-Table2[[#This Row],[final_obs_int_feb]]), "NA")</f>
        <v>0</v>
      </c>
      <c r="R451" s="24"/>
      <c r="S451" s="20" t="s">
        <v>75</v>
      </c>
      <c r="T451" s="20" t="str">
        <f>Table2[[#This Row],[camera_old]]</f>
        <v>Y</v>
      </c>
      <c r="U451" s="22" t="s">
        <v>88</v>
      </c>
      <c r="V451" s="16" t="s">
        <v>65</v>
      </c>
      <c r="W451" s="16">
        <v>17</v>
      </c>
      <c r="X451" s="145">
        <v>3</v>
      </c>
      <c r="Y451" s="147" t="s">
        <v>65</v>
      </c>
      <c r="Z451" s="146" t="s">
        <v>65</v>
      </c>
      <c r="AA451" s="4" t="str">
        <f>Table2[[#This Row],[field_fate]]</f>
        <v>Ca</v>
      </c>
      <c r="AB451" s="4" t="str">
        <f>Table2[[#This Row],[field_fate2]]</f>
        <v>Ca</v>
      </c>
      <c r="AC451" s="94" t="str">
        <f>Table2[[#This Row],[field_fate3]]</f>
        <v>Ca</v>
      </c>
      <c r="AD451" s="94" t="str">
        <f>Table2[[#This Row],[field_fate4]]</f>
        <v>Ca</v>
      </c>
      <c r="AE451" s="94" t="s">
        <v>65</v>
      </c>
      <c r="AF451" s="94" t="str">
        <f>Table2[[#This Row],[field_fate5]]</f>
        <v>Ca</v>
      </c>
      <c r="AG451" s="94" t="str">
        <f>Table2[[#This Row],[field_fate5]]</f>
        <v>Ca</v>
      </c>
      <c r="AH451" s="94" t="str">
        <f>Table2[[#This Row],[field_fate2]]</f>
        <v>Ca</v>
      </c>
      <c r="AI451" s="94" t="str">
        <f>Table2[[#This Row],[field_fate8]]</f>
        <v>Ca</v>
      </c>
      <c r="AJ451" s="94" t="str">
        <f>Table2[[#This Row],[field_fate10]]</f>
        <v>Ca</v>
      </c>
      <c r="AK451" s="94" t="b">
        <f>Table2[[#This Row],[field_fate_feb]]=Table2[[#This Row],[field_fate10]]</f>
        <v>1</v>
      </c>
      <c r="AL451" s="43" t="s">
        <v>65</v>
      </c>
      <c r="AM451" s="160" t="b">
        <f>Table2[[#This Row],[cam_fate2]]="NA"</f>
        <v>0</v>
      </c>
      <c r="AN451" s="19" t="str">
        <f>Table2[[#This Row],[cam_fate1]]</f>
        <v>Ca</v>
      </c>
      <c r="AO451" s="2" t="s">
        <v>65</v>
      </c>
      <c r="AP451" s="5" t="str">
        <f>Table2[[#This Row],[final_fate1]]</f>
        <v>Ca</v>
      </c>
      <c r="AQ451" s="6">
        <v>18</v>
      </c>
      <c r="AR451" s="72">
        <v>18</v>
      </c>
      <c r="AS451" s="155">
        <f>Table2[[#This Row],[final_obs_date]]-Table2[[#This Row],[init_date]]</f>
        <v>18</v>
      </c>
      <c r="AT451" s="155">
        <f>(Table2[[#This Row],[final_obs_date2]]-Table2[[#This Row],[estHD]])+19</f>
        <v>18</v>
      </c>
      <c r="AU451" s="38">
        <v>3</v>
      </c>
      <c r="AV451" s="33">
        <v>3</v>
      </c>
      <c r="AW451" s="33">
        <f>Table2[[#This Row],[final_obs_date2]]-Table2[[#This Row],[pen_obs_date]]</f>
        <v>3</v>
      </c>
      <c r="AX451" s="67">
        <v>104</v>
      </c>
      <c r="AY451" s="157">
        <f>Table2[[#This Row],[final_obs_date]]</f>
        <v>104</v>
      </c>
      <c r="AZ451" s="6">
        <v>101</v>
      </c>
      <c r="BA451" s="92" t="s">
        <v>47</v>
      </c>
      <c r="BB451" s="6" t="b">
        <f>Table2[[#This Row],[final_obs_date]]&lt;(Table2[[#This Row],[estHD]]-2)</f>
        <v>0</v>
      </c>
      <c r="BC451" s="32">
        <f>IF(Table2[[#This Row],[field_fate]]="H",1,0)</f>
        <v>0</v>
      </c>
      <c r="BD451" s="16">
        <f>IF(Table2[[#This Row],[cam_fate2]]="H",1,0)</f>
        <v>0</v>
      </c>
      <c r="BE451" s="6" t="b">
        <f>NOT(Table2[[#This Row],[HF_C]]=Table2[[#This Row],[HF]])</f>
        <v>0</v>
      </c>
      <c r="BF451" s="38" t="b">
        <f>NOT(Table2[[#This Row],[cam_fate2]]=Table2[[#This Row],[field_fate3]])</f>
        <v>0</v>
      </c>
      <c r="BG451" s="38" t="b">
        <f>OR(Table2[[#This Row],[field_fate3]]="U",Table2[[#This Row],[field_fate3]]="U-H")</f>
        <v>0</v>
      </c>
      <c r="BH451" s="8">
        <v>88</v>
      </c>
      <c r="BI451" s="8">
        <v>101</v>
      </c>
      <c r="BJ451" s="14">
        <f>IF(ISTEXT(Table2[[#This Row],[j.cam]]),Table2[[#This Row],[j]],Table2[[#This Row],[j.cam]])</f>
        <v>101</v>
      </c>
      <c r="BK451" s="8">
        <v>104</v>
      </c>
      <c r="BL451" s="14">
        <f>IF(ISTEXT(Table2[[#This Row],[k.cam]]), Table2[[#This Row],[k]], Table2[[#This Row],[k.cam]])</f>
        <v>104</v>
      </c>
      <c r="BM451" s="4" t="s">
        <v>24</v>
      </c>
      <c r="BN451" s="8" t="s">
        <v>24</v>
      </c>
      <c r="BO451" s="4">
        <v>6</v>
      </c>
      <c r="BP451" s="4">
        <f>Table2[[#This Row],[final_obs_date]]-Table2[[#This Row],[i]]</f>
        <v>16</v>
      </c>
      <c r="BQ451" s="4" t="b">
        <f>Table2[[#This Row],[final_obs_date2]]&gt;Table2[[#This Row],[estHD]]+3</f>
        <v>0</v>
      </c>
      <c r="BR451" s="3" t="s">
        <v>33</v>
      </c>
      <c r="BS451" s="3" t="s">
        <v>45</v>
      </c>
      <c r="BT451" s="125" t="s">
        <v>1296</v>
      </c>
      <c r="BU451" s="4" t="s">
        <v>304</v>
      </c>
      <c r="BV451" s="79" t="s">
        <v>1644</v>
      </c>
      <c r="BW451" s="70" t="s">
        <v>1005</v>
      </c>
      <c r="BX451" s="36" t="s">
        <v>1004</v>
      </c>
      <c r="BY451" s="36" t="s">
        <v>778</v>
      </c>
    </row>
    <row r="452" spans="1:77" hidden="1" x14ac:dyDescent="0.35">
      <c r="A452" s="63">
        <v>20434</v>
      </c>
      <c r="B452" s="2" t="s">
        <v>35</v>
      </c>
      <c r="C452" s="45">
        <v>2020</v>
      </c>
      <c r="D452" s="3">
        <v>29.763629999999999</v>
      </c>
      <c r="E452" s="3">
        <v>-93.145600000000002</v>
      </c>
      <c r="F452" s="3">
        <v>0</v>
      </c>
      <c r="G452" s="3">
        <v>10</v>
      </c>
      <c r="H452" s="3" t="s">
        <v>462</v>
      </c>
      <c r="I452" s="43"/>
      <c r="J452" s="55">
        <v>105</v>
      </c>
      <c r="K452" s="4">
        <v>105</v>
      </c>
      <c r="L452" s="22">
        <f>IF(ISNUMBER(Table2[[#This Row],[estHD]]),ABS(Table2[[#This Row],[HD]]-Table2[[#This Row],[estHD]]),"NA")</f>
        <v>0</v>
      </c>
      <c r="M452" s="4" t="b">
        <f>Table2[[#This Row],[HD]]=Table2[[#This Row],[estHD]]</f>
        <v>1</v>
      </c>
      <c r="N452" s="4" t="str">
        <f>IF(ISNUMBER([1]!Table2[[#This Row],[hatch_date]]),[1]!Table2[[#This Row],[hatch_date]]-19,"NA")</f>
        <v>NA</v>
      </c>
      <c r="O452" s="31">
        <v>86</v>
      </c>
      <c r="P452" s="23">
        <f>IF(ISNUMBER(Table2[[#This Row],[nest_age1]]),ABS(Table2[[#This Row],[nest_age1]]-Table2[[#This Row],[nest_age_feb]]),"NA")</f>
        <v>1</v>
      </c>
      <c r="Q452" s="24">
        <f>IF(ISNUMBER(Table2[[#This Row],[final_obs_int2]]),ABS(Table2[[#This Row],[final_obs_int2]]-Table2[[#This Row],[final_obs_int_feb]]), "NA")</f>
        <v>0</v>
      </c>
      <c r="R452" s="24"/>
      <c r="S452" s="57" t="s">
        <v>88</v>
      </c>
      <c r="T452" s="57" t="str">
        <f>Table2[[#This Row],[camera_old]]</f>
        <v>N</v>
      </c>
      <c r="U452" s="24"/>
      <c r="V452" s="16" t="s">
        <v>24</v>
      </c>
      <c r="W452" s="16">
        <v>17</v>
      </c>
      <c r="X452" s="145">
        <v>3</v>
      </c>
      <c r="Y452" s="147" t="s">
        <v>31</v>
      </c>
      <c r="Z452" s="146" t="s">
        <v>31</v>
      </c>
      <c r="AA452" s="4" t="str">
        <f>Table2[[#This Row],[field_fate]]</f>
        <v>D</v>
      </c>
      <c r="AB452" s="4" t="str">
        <f>Table2[[#This Row],[field_fate2]]</f>
        <v>D</v>
      </c>
      <c r="AC452" s="4" t="str">
        <f>Table2[[#This Row],[field_fate3]]</f>
        <v>D</v>
      </c>
      <c r="AD452" s="4" t="str">
        <f>Table2[[#This Row],[field_fate4]]</f>
        <v>D</v>
      </c>
      <c r="AE452" s="4" t="str">
        <f>Table2[[#This Row],[field_fate5]]</f>
        <v>D</v>
      </c>
      <c r="AF452" s="4" t="str">
        <f>Table2[[#This Row],[field_fate5]]</f>
        <v>D</v>
      </c>
      <c r="AG452" s="4" t="str">
        <f>Table2[[#This Row],[field_fate5]]</f>
        <v>D</v>
      </c>
      <c r="AH452" s="4" t="str">
        <f>Table2[[#This Row],[field_fate2]]</f>
        <v>D</v>
      </c>
      <c r="AI452" s="4" t="str">
        <f>Table2[[#This Row],[field_fate8]]</f>
        <v>D</v>
      </c>
      <c r="AJ452" s="4" t="str">
        <f>Table2[[#This Row],[field_fate10]]</f>
        <v>D</v>
      </c>
      <c r="AK452" s="4" t="b">
        <f>Table2[[#This Row],[field_fate_feb]]=Table2[[#This Row],[field_fate10]]</f>
        <v>1</v>
      </c>
      <c r="AL452" s="43" t="s">
        <v>24</v>
      </c>
      <c r="AM452" s="43" t="b">
        <f>Table2[[#This Row],[cam_fate2]]="NA"</f>
        <v>1</v>
      </c>
      <c r="AN452" s="19" t="str">
        <f>Table2[[#This Row],[cam_fate1]]</f>
        <v>NA</v>
      </c>
      <c r="AO452" s="2" t="s">
        <v>31</v>
      </c>
      <c r="AP452" s="5" t="str">
        <f>Table2[[#This Row],[final_fate1]]</f>
        <v>D</v>
      </c>
      <c r="AQ452" s="6">
        <v>18</v>
      </c>
      <c r="AR452" s="7">
        <v>18</v>
      </c>
      <c r="AS452" s="7">
        <f>Table2[[#This Row],[final_obs_date]]-Table2[[#This Row],[init_date]]</f>
        <v>18</v>
      </c>
      <c r="AT452" s="7">
        <f>(Table2[[#This Row],[final_obs_date2]]-Table2[[#This Row],[estHD]])+16</f>
        <v>15</v>
      </c>
      <c r="AU452" s="38">
        <v>3</v>
      </c>
      <c r="AV452" s="33">
        <v>3</v>
      </c>
      <c r="AW452" s="33">
        <f>Table2[[#This Row],[final_obs_date2]]-Table2[[#This Row],[pen_obs_date]]</f>
        <v>104</v>
      </c>
      <c r="AX452" s="67">
        <v>104</v>
      </c>
      <c r="AY452" s="6">
        <f>Table2[[#This Row],[final_obs_date]]</f>
        <v>104</v>
      </c>
      <c r="AZ452" s="6"/>
      <c r="BA452" s="91" t="s">
        <v>47</v>
      </c>
      <c r="BB452" s="6" t="b">
        <f>Table2[[#This Row],[final_obs_date]]&lt;(Table2[[#This Row],[estHD]]-2)</f>
        <v>0</v>
      </c>
      <c r="BC452" s="24">
        <f>IF(Table2[[#This Row],[field_fate]]="H",1,0)</f>
        <v>0</v>
      </c>
      <c r="BD452" s="16">
        <f>IF(Table2[[#This Row],[cam_fate2]]="H",1,0)</f>
        <v>0</v>
      </c>
      <c r="BE452" s="6" t="b">
        <f>NOT(Table2[[#This Row],[HF_C]]=Table2[[#This Row],[HF]])</f>
        <v>0</v>
      </c>
      <c r="BF452" s="6" t="b">
        <f>NOT(Table2[[#This Row],[cam_fate2]]=Table2[[#This Row],[field_fate3]])</f>
        <v>1</v>
      </c>
      <c r="BG452" s="6" t="b">
        <f>OR(Table2[[#This Row],[field_fate3]]="U",Table2[[#This Row],[field_fate3]]="U-H")</f>
        <v>0</v>
      </c>
      <c r="BH452" s="8">
        <v>88</v>
      </c>
      <c r="BI452" s="8">
        <v>101</v>
      </c>
      <c r="BJ452" s="14">
        <f>IF(ISTEXT(Table2[[#This Row],[j.cam]]),Table2[[#This Row],[j]],Table2[[#This Row],[j.cam]])</f>
        <v>101</v>
      </c>
      <c r="BK452" s="9">
        <v>104</v>
      </c>
      <c r="BL452" s="15">
        <f>IF(ISTEXT(Table2[[#This Row],[k.cam]]), Table2[[#This Row],[k]], Table2[[#This Row],[k.cam]])</f>
        <v>104</v>
      </c>
      <c r="BM452" s="4" t="s">
        <v>24</v>
      </c>
      <c r="BN452" s="8" t="s">
        <v>24</v>
      </c>
      <c r="BO452" s="4">
        <v>6</v>
      </c>
      <c r="BP452" s="4">
        <f>Table2[[#This Row],[final_obs_date]]-Table2[[#This Row],[i]]</f>
        <v>16</v>
      </c>
      <c r="BQ452" s="4" t="b">
        <f>Table2[[#This Row],[final_obs_date2]]&gt;Table2[[#This Row],[estHD]]+3</f>
        <v>0</v>
      </c>
      <c r="BR452" s="4" t="s">
        <v>58</v>
      </c>
      <c r="BS452" s="4" t="s">
        <v>45</v>
      </c>
      <c r="BT452" s="79" t="s">
        <v>1296</v>
      </c>
      <c r="BU452" s="26" t="s">
        <v>328</v>
      </c>
      <c r="BV452" s="79" t="s">
        <v>1644</v>
      </c>
      <c r="BW452" s="49"/>
      <c r="BX452" s="47"/>
      <c r="BY452" s="36" t="s">
        <v>779</v>
      </c>
    </row>
    <row r="453" spans="1:77" hidden="1" x14ac:dyDescent="0.35">
      <c r="A453" s="63">
        <v>20435</v>
      </c>
      <c r="B453" s="2" t="s">
        <v>35</v>
      </c>
      <c r="C453" s="45">
        <v>2020</v>
      </c>
      <c r="D453" s="3">
        <v>29.76408</v>
      </c>
      <c r="E453" s="3">
        <v>-93.148169999999993</v>
      </c>
      <c r="F453" s="3">
        <v>0</v>
      </c>
      <c r="G453" s="3">
        <v>0</v>
      </c>
      <c r="H453" s="3" t="s">
        <v>462</v>
      </c>
      <c r="I453" s="43"/>
      <c r="J453" s="55">
        <v>105</v>
      </c>
      <c r="K453" s="4">
        <v>105</v>
      </c>
      <c r="L453" s="22">
        <f>IF(ISNUMBER(Table2[[#This Row],[estHD]]),ABS(Table2[[#This Row],[HD]]-Table2[[#This Row],[estHD]]),"NA")</f>
        <v>0</v>
      </c>
      <c r="M453" s="4" t="b">
        <f>Table2[[#This Row],[HD]]=Table2[[#This Row],[estHD]]</f>
        <v>1</v>
      </c>
      <c r="N453" s="4" t="str">
        <f>IF(ISNUMBER([1]!Table2[[#This Row],[hatch_date]]),[1]!Table2[[#This Row],[hatch_date]]-19,"NA")</f>
        <v>NA</v>
      </c>
      <c r="O453" s="31">
        <v>86</v>
      </c>
      <c r="P453" s="23">
        <f>IF(ISNUMBER(Table2[[#This Row],[nest_age1]]),ABS(Table2[[#This Row],[nest_age1]]-Table2[[#This Row],[nest_age_feb]]),"NA")</f>
        <v>1</v>
      </c>
      <c r="Q453" s="24">
        <f>IF(ISNUMBER(Table2[[#This Row],[final_obs_int2]]),ABS(Table2[[#This Row],[final_obs_int2]]-Table2[[#This Row],[final_obs_int_feb]]), "NA")</f>
        <v>0</v>
      </c>
      <c r="R453" s="24"/>
      <c r="S453" s="57" t="s">
        <v>88</v>
      </c>
      <c r="T453" s="57" t="str">
        <f>Table2[[#This Row],[camera_old]]</f>
        <v>N</v>
      </c>
      <c r="U453" s="24"/>
      <c r="V453" s="16" t="s">
        <v>24</v>
      </c>
      <c r="W453" s="16">
        <v>8</v>
      </c>
      <c r="X453" s="145">
        <v>3</v>
      </c>
      <c r="Y453" s="147" t="s">
        <v>65</v>
      </c>
      <c r="Z453" s="146" t="s">
        <v>65</v>
      </c>
      <c r="AA453" s="4" t="str">
        <f>Table2[[#This Row],[field_fate]]</f>
        <v>Ca</v>
      </c>
      <c r="AB453" s="4" t="str">
        <f>Table2[[#This Row],[field_fate2]]</f>
        <v>Ca</v>
      </c>
      <c r="AC453" s="4" t="str">
        <f>Table2[[#This Row],[field_fate3]]</f>
        <v>Ca</v>
      </c>
      <c r="AD453" s="4" t="str">
        <f>Table2[[#This Row],[field_fate4]]</f>
        <v>Ca</v>
      </c>
      <c r="AE453" s="4" t="str">
        <f>Table2[[#This Row],[field_fate5]]</f>
        <v>Ca</v>
      </c>
      <c r="AF453" s="4" t="str">
        <f>Table2[[#This Row],[field_fate5]]</f>
        <v>Ca</v>
      </c>
      <c r="AG453" s="4" t="str">
        <f>Table2[[#This Row],[field_fate5]]</f>
        <v>Ca</v>
      </c>
      <c r="AH453" s="4" t="str">
        <f>Table2[[#This Row],[field_fate2]]</f>
        <v>Ca</v>
      </c>
      <c r="AI453" s="4" t="str">
        <f>Table2[[#This Row],[field_fate8]]</f>
        <v>Ca</v>
      </c>
      <c r="AJ453" s="4" t="str">
        <f>Table2[[#This Row],[field_fate10]]</f>
        <v>Ca</v>
      </c>
      <c r="AK453" s="4" t="b">
        <f>Table2[[#This Row],[field_fate_feb]]=Table2[[#This Row],[field_fate10]]</f>
        <v>1</v>
      </c>
      <c r="AL453" s="43" t="s">
        <v>24</v>
      </c>
      <c r="AM453" s="43" t="b">
        <f>Table2[[#This Row],[cam_fate2]]="NA"</f>
        <v>1</v>
      </c>
      <c r="AN453" s="19" t="str">
        <f>Table2[[#This Row],[cam_fate1]]</f>
        <v>NA</v>
      </c>
      <c r="AO453" s="2" t="s">
        <v>65</v>
      </c>
      <c r="AP453" s="5" t="str">
        <f>Table2[[#This Row],[final_fate1]]</f>
        <v>Ca</v>
      </c>
      <c r="AQ453" s="6">
        <v>9</v>
      </c>
      <c r="AR453" s="7">
        <v>9</v>
      </c>
      <c r="AS453" s="7">
        <f>Table2[[#This Row],[final_obs_date]]-Table2[[#This Row],[init_date]]</f>
        <v>9</v>
      </c>
      <c r="AT453" s="7">
        <f>(Table2[[#This Row],[final_obs_date2]]-Table2[[#This Row],[estHD]])+16</f>
        <v>6</v>
      </c>
      <c r="AU453" s="38">
        <v>3</v>
      </c>
      <c r="AV453" s="33">
        <v>3</v>
      </c>
      <c r="AW453" s="33">
        <f>Table2[[#This Row],[final_obs_date2]]-Table2[[#This Row],[pen_obs_date]]</f>
        <v>95</v>
      </c>
      <c r="AX453" s="67">
        <v>95</v>
      </c>
      <c r="AY453" s="6">
        <f>Table2[[#This Row],[final_obs_date]]</f>
        <v>95</v>
      </c>
      <c r="AZ453" s="6"/>
      <c r="BA453" s="91" t="s">
        <v>47</v>
      </c>
      <c r="BB453" s="6" t="b">
        <f>Table2[[#This Row],[final_obs_date]]&lt;(Table2[[#This Row],[estHD]]-2)</f>
        <v>1</v>
      </c>
      <c r="BC453" s="24">
        <f>IF(Table2[[#This Row],[field_fate]]="H",1,0)</f>
        <v>0</v>
      </c>
      <c r="BD453" s="16">
        <f>IF(Table2[[#This Row],[cam_fate2]]="H",1,0)</f>
        <v>0</v>
      </c>
      <c r="BE453" s="6" t="b">
        <f>NOT(Table2[[#This Row],[HF_C]]=Table2[[#This Row],[HF]])</f>
        <v>0</v>
      </c>
      <c r="BF453" s="6" t="b">
        <f>NOT(Table2[[#This Row],[cam_fate2]]=Table2[[#This Row],[field_fate3]])</f>
        <v>1</v>
      </c>
      <c r="BG453" s="6" t="b">
        <f>OR(Table2[[#This Row],[field_fate3]]="U",Table2[[#This Row],[field_fate3]]="U-H")</f>
        <v>0</v>
      </c>
      <c r="BH453" s="8">
        <v>88</v>
      </c>
      <c r="BI453" s="8">
        <v>92</v>
      </c>
      <c r="BJ453" s="14">
        <f>IF(ISTEXT(Table2[[#This Row],[j.cam]]),Table2[[#This Row],[j]],Table2[[#This Row],[j.cam]])</f>
        <v>92</v>
      </c>
      <c r="BK453" s="9">
        <v>95</v>
      </c>
      <c r="BL453" s="15">
        <f>IF(ISTEXT(Table2[[#This Row],[k.cam]]), Table2[[#This Row],[k]], Table2[[#This Row],[k.cam]])</f>
        <v>95</v>
      </c>
      <c r="BM453" s="4" t="s">
        <v>24</v>
      </c>
      <c r="BN453" s="8" t="s">
        <v>24</v>
      </c>
      <c r="BO453" s="4">
        <v>3</v>
      </c>
      <c r="BP453" s="4">
        <f>Table2[[#This Row],[final_obs_date]]-Table2[[#This Row],[i]]</f>
        <v>7</v>
      </c>
      <c r="BQ453" s="4" t="b">
        <f>Table2[[#This Row],[final_obs_date2]]&gt;Table2[[#This Row],[estHD]]+3</f>
        <v>0</v>
      </c>
      <c r="BR453" s="4" t="s">
        <v>58</v>
      </c>
      <c r="BS453" s="4" t="s">
        <v>45</v>
      </c>
      <c r="BT453" s="79" t="s">
        <v>1297</v>
      </c>
      <c r="BU453" s="26" t="s">
        <v>133</v>
      </c>
      <c r="BV453" s="79" t="s">
        <v>1450</v>
      </c>
      <c r="BW453" s="49"/>
      <c r="BX453" s="47"/>
      <c r="BY453" s="36" t="s">
        <v>780</v>
      </c>
    </row>
    <row r="454" spans="1:77" hidden="1" x14ac:dyDescent="0.35">
      <c r="A454" s="63">
        <v>20436</v>
      </c>
      <c r="B454" s="2" t="s">
        <v>35</v>
      </c>
      <c r="C454" s="45">
        <v>2020</v>
      </c>
      <c r="D454" s="3">
        <v>29.764220000000002</v>
      </c>
      <c r="E454" s="3">
        <v>-93.148390000000006</v>
      </c>
      <c r="F454" s="3">
        <v>10</v>
      </c>
      <c r="G454" s="3">
        <v>30</v>
      </c>
      <c r="H454" s="3" t="s">
        <v>462</v>
      </c>
      <c r="I454" s="43"/>
      <c r="J454" s="116">
        <v>98</v>
      </c>
      <c r="K454" s="4">
        <v>101</v>
      </c>
      <c r="L454" s="22">
        <f>IF(ISNUMBER(Table2[[#This Row],[estHD]]),ABS(Table2[[#This Row],[HD]]-Table2[[#This Row],[estHD]]),"NA")</f>
        <v>3</v>
      </c>
      <c r="M454" s="4" t="b">
        <f>Table2[[#This Row],[HD]]=Table2[[#This Row],[estHD]]</f>
        <v>0</v>
      </c>
      <c r="N454" s="4">
        <f>IF(ISNUMBER(Table2[[#This Row],[HD]]),Table2[[#This Row],[HD]]-19,"NA")</f>
        <v>82</v>
      </c>
      <c r="O454" s="31">
        <v>82</v>
      </c>
      <c r="P454" s="23">
        <f>IF(ISNUMBER(Table2[[#This Row],[nest_age1]]),ABS(Table2[[#This Row],[nest_age1]]-Table2[[#This Row],[nest_age_feb]]),"NA")</f>
        <v>2</v>
      </c>
      <c r="Q454" s="24">
        <f>IF(ISNUMBER(Table2[[#This Row],[final_obs_int2]]),ABS(Table2[[#This Row],[final_obs_int2]]-Table2[[#This Row],[final_obs_int_feb]]), "NA")</f>
        <v>0</v>
      </c>
      <c r="R454" s="24">
        <f>(Table2[[#This Row],[k_adj]]-Table2[[#This Row],[estHD]])/Table2[[#This Row],[estHD]]</f>
        <v>3.0612244897959183E-2</v>
      </c>
      <c r="S454" s="20" t="s">
        <v>75</v>
      </c>
      <c r="T454" s="20" t="str">
        <f>Table2[[#This Row],[camera_old]]</f>
        <v>Y</v>
      </c>
      <c r="U454" s="22" t="s">
        <v>88</v>
      </c>
      <c r="V454" s="16" t="s">
        <v>37</v>
      </c>
      <c r="W454" s="16">
        <v>21</v>
      </c>
      <c r="X454" s="145">
        <v>3</v>
      </c>
      <c r="Y454" s="147" t="s">
        <v>37</v>
      </c>
      <c r="Z454" s="146" t="s">
        <v>37</v>
      </c>
      <c r="AA454" s="4" t="str">
        <f>Table2[[#This Row],[field_fate]]</f>
        <v>H</v>
      </c>
      <c r="AB454" s="4" t="str">
        <f>Table2[[#This Row],[field_fate2]]</f>
        <v>H</v>
      </c>
      <c r="AC454" s="94" t="str">
        <f>Table2[[#This Row],[field_fate3]]</f>
        <v>H</v>
      </c>
      <c r="AD454" s="94" t="str">
        <f>Table2[[#This Row],[field_fate4]]</f>
        <v>H</v>
      </c>
      <c r="AE454" s="94" t="str">
        <f>Table2[[#This Row],[field_fate5]]</f>
        <v>H</v>
      </c>
      <c r="AF454" s="94" t="str">
        <f>Table2[[#This Row],[field_fate5]]</f>
        <v>H</v>
      </c>
      <c r="AG454" s="94" t="str">
        <f>Table2[[#This Row],[field_fate5]]</f>
        <v>H</v>
      </c>
      <c r="AH454" s="94" t="str">
        <f>Table2[[#This Row],[field_fate2]]</f>
        <v>H</v>
      </c>
      <c r="AI454" s="94" t="str">
        <f>Table2[[#This Row],[field_fate8]]</f>
        <v>H</v>
      </c>
      <c r="AJ454" s="94" t="str">
        <f>Table2[[#This Row],[field_fate10]]</f>
        <v>H</v>
      </c>
      <c r="AK454" s="94" t="b">
        <f>Table2[[#This Row],[field_fate_feb]]=Table2[[#This Row],[field_fate10]]</f>
        <v>1</v>
      </c>
      <c r="AL454" s="43" t="s">
        <v>37</v>
      </c>
      <c r="AM454" s="160" t="b">
        <f>Table2[[#This Row],[cam_fate2]]="NA"</f>
        <v>0</v>
      </c>
      <c r="AN454" s="19" t="str">
        <f>Table2[[#This Row],[cam_fate1]]</f>
        <v>H</v>
      </c>
      <c r="AO454" s="2" t="s">
        <v>37</v>
      </c>
      <c r="AP454" s="5" t="str">
        <f>Table2[[#This Row],[final_fate1]]</f>
        <v>H</v>
      </c>
      <c r="AQ454" s="6">
        <v>19</v>
      </c>
      <c r="AR454" s="72">
        <v>22</v>
      </c>
      <c r="AS454" s="155">
        <f>Table2[[#This Row],[final_obs_date]]-Table2[[#This Row],[init_date]]</f>
        <v>19</v>
      </c>
      <c r="AT454" s="155">
        <f>(Table2[[#This Row],[final_obs_date2]]-Table2[[#This Row],[estHD]])+19</f>
        <v>22</v>
      </c>
      <c r="AU454" s="38">
        <v>3</v>
      </c>
      <c r="AV454" s="33">
        <v>3</v>
      </c>
      <c r="AW454" s="33">
        <f>Table2[[#This Row],[final_obs_date2]]-Table2[[#This Row],[pen_obs_date]]</f>
        <v>3</v>
      </c>
      <c r="AX454" s="67">
        <v>101</v>
      </c>
      <c r="AY454" s="157">
        <f>Table2[[#This Row],[final_obs_date]]</f>
        <v>101</v>
      </c>
      <c r="AZ454" s="6">
        <v>98</v>
      </c>
      <c r="BA454" s="92" t="s">
        <v>47</v>
      </c>
      <c r="BB454" s="6" t="b">
        <f>Table2[[#This Row],[final_obs_date]]&lt;(Table2[[#This Row],[estHD]]-2)</f>
        <v>0</v>
      </c>
      <c r="BC454" s="32">
        <f>IF(Table2[[#This Row],[field_fate]]="H",1,0)</f>
        <v>1</v>
      </c>
      <c r="BD454" s="16">
        <f>IF(Table2[[#This Row],[cam_fate2]]="H",1,0)</f>
        <v>1</v>
      </c>
      <c r="BE454" s="6" t="b">
        <f>NOT(Table2[[#This Row],[HF_C]]=Table2[[#This Row],[HF]])</f>
        <v>0</v>
      </c>
      <c r="BF454" s="38" t="b">
        <f>NOT(Table2[[#This Row],[cam_fate2]]=Table2[[#This Row],[field_fate3]])</f>
        <v>0</v>
      </c>
      <c r="BG454" s="38" t="b">
        <f>OR(Table2[[#This Row],[field_fate3]]="U",Table2[[#This Row],[field_fate3]]="U-H")</f>
        <v>0</v>
      </c>
      <c r="BH454" s="8">
        <v>88</v>
      </c>
      <c r="BI454" s="8">
        <v>101</v>
      </c>
      <c r="BJ454" s="14">
        <f>IF(ISTEXT(Table2[[#This Row],[j.cam]]),Table2[[#This Row],[j]],Table2[[#This Row],[j.cam]])</f>
        <v>101</v>
      </c>
      <c r="BK454" s="8">
        <v>101</v>
      </c>
      <c r="BL454" s="14">
        <f>IF(ISTEXT(Table2[[#This Row],[k.cam]]), Table2[[#This Row],[k]], Table2[[#This Row],[k.cam]])</f>
        <v>101</v>
      </c>
      <c r="BM454" s="4" t="s">
        <v>24</v>
      </c>
      <c r="BN454" s="8" t="s">
        <v>24</v>
      </c>
      <c r="BO454" s="4">
        <v>5</v>
      </c>
      <c r="BP454" s="4">
        <f>Table2[[#This Row],[final_obs_date]]-Table2[[#This Row],[i]]</f>
        <v>13</v>
      </c>
      <c r="BQ454" s="4" t="b">
        <f>Table2[[#This Row],[final_obs_date2]]&gt;Table2[[#This Row],[estHD]]+3</f>
        <v>0</v>
      </c>
      <c r="BR454" s="3" t="s">
        <v>58</v>
      </c>
      <c r="BS454" s="3" t="s">
        <v>127</v>
      </c>
      <c r="BT454" s="125" t="s">
        <v>1298</v>
      </c>
      <c r="BU454" s="4" t="s">
        <v>342</v>
      </c>
      <c r="BV454" s="79" t="s">
        <v>1645</v>
      </c>
      <c r="BW454" s="69"/>
      <c r="BX454" s="36"/>
      <c r="BY454" s="36" t="s">
        <v>781</v>
      </c>
    </row>
    <row r="455" spans="1:77" hidden="1" x14ac:dyDescent="0.35">
      <c r="A455" s="63">
        <v>20437</v>
      </c>
      <c r="B455" s="2" t="s">
        <v>35</v>
      </c>
      <c r="C455" s="45">
        <v>2020</v>
      </c>
      <c r="D455" s="3">
        <v>29.764289999999999</v>
      </c>
      <c r="E455" s="3">
        <v>-93.148330000000001</v>
      </c>
      <c r="F455" s="3">
        <v>50</v>
      </c>
      <c r="G455" s="3">
        <v>50</v>
      </c>
      <c r="H455" s="3" t="s">
        <v>462</v>
      </c>
      <c r="I455" s="43"/>
      <c r="J455" s="55">
        <v>104</v>
      </c>
      <c r="K455" s="4">
        <v>104</v>
      </c>
      <c r="L455" s="22">
        <f>IF(ISNUMBER(Table2[[#This Row],[estHD]]),ABS(Table2[[#This Row],[HD]]-Table2[[#This Row],[estHD]]),"NA")</f>
        <v>0</v>
      </c>
      <c r="M455" s="4" t="b">
        <f>Table2[[#This Row],[HD]]=Table2[[#This Row],[estHD]]</f>
        <v>1</v>
      </c>
      <c r="N455" s="4" t="str">
        <f>IF(ISNUMBER([1]!Table2[[#This Row],[hatch_date]]),[1]!Table2[[#This Row],[hatch_date]]-19,"NA")</f>
        <v>NA</v>
      </c>
      <c r="O455" s="31">
        <v>85</v>
      </c>
      <c r="P455" s="23">
        <f>IF(ISNUMBER(Table2[[#This Row],[nest_age1]]),ABS(Table2[[#This Row],[nest_age1]]-Table2[[#This Row],[nest_age_feb]]),"NA")</f>
        <v>1</v>
      </c>
      <c r="Q455" s="24">
        <f>IF(ISNUMBER(Table2[[#This Row],[final_obs_int2]]),ABS(Table2[[#This Row],[final_obs_int2]]-Table2[[#This Row],[final_obs_int_feb]]), "NA")</f>
        <v>0</v>
      </c>
      <c r="R455" s="24"/>
      <c r="S455" s="57" t="s">
        <v>88</v>
      </c>
      <c r="T455" s="57" t="str">
        <f>Table2[[#This Row],[camera_old]]</f>
        <v>N</v>
      </c>
      <c r="U455" s="24"/>
      <c r="V455" s="16" t="s">
        <v>24</v>
      </c>
      <c r="W455" s="16">
        <v>9</v>
      </c>
      <c r="X455" s="145">
        <v>3</v>
      </c>
      <c r="Y455" s="147" t="s">
        <v>36</v>
      </c>
      <c r="Z455" s="146" t="s">
        <v>36</v>
      </c>
      <c r="AA455" s="4" t="str">
        <f>Table2[[#This Row],[field_fate]]</f>
        <v>A</v>
      </c>
      <c r="AB455" s="4" t="str">
        <f>Table2[[#This Row],[field_fate2]]</f>
        <v>A</v>
      </c>
      <c r="AC455" s="4" t="str">
        <f>Table2[[#This Row],[field_fate3]]</f>
        <v>A</v>
      </c>
      <c r="AD455" s="4" t="str">
        <f>Table2[[#This Row],[field_fate4]]</f>
        <v>A</v>
      </c>
      <c r="AE455" s="4" t="str">
        <f>Table2[[#This Row],[field_fate5]]</f>
        <v>A</v>
      </c>
      <c r="AF455" s="4" t="str">
        <f>Table2[[#This Row],[field_fate5]]</f>
        <v>A</v>
      </c>
      <c r="AG455" s="4" t="str">
        <f>Table2[[#This Row],[field_fate5]]</f>
        <v>A</v>
      </c>
      <c r="AH455" s="4" t="str">
        <f>Table2[[#This Row],[field_fate2]]</f>
        <v>A</v>
      </c>
      <c r="AI455" s="4" t="str">
        <f>Table2[[#This Row],[field_fate8]]</f>
        <v>A</v>
      </c>
      <c r="AJ455" s="4" t="str">
        <f>Table2[[#This Row],[field_fate10]]</f>
        <v>A</v>
      </c>
      <c r="AK455" s="4" t="b">
        <f>Table2[[#This Row],[field_fate_feb]]=Table2[[#This Row],[field_fate10]]</f>
        <v>1</v>
      </c>
      <c r="AL455" s="43" t="s">
        <v>24</v>
      </c>
      <c r="AM455" s="43" t="b">
        <f>Table2[[#This Row],[cam_fate2]]="NA"</f>
        <v>1</v>
      </c>
      <c r="AN455" s="19" t="str">
        <f>Table2[[#This Row],[cam_fate1]]</f>
        <v>NA</v>
      </c>
      <c r="AO455" s="2" t="s">
        <v>36</v>
      </c>
      <c r="AP455" s="5" t="str">
        <f>Table2[[#This Row],[final_fate1]]</f>
        <v>A</v>
      </c>
      <c r="AQ455" s="6">
        <v>10</v>
      </c>
      <c r="AR455" s="7">
        <v>10</v>
      </c>
      <c r="AS455" s="7">
        <f>Table2[[#This Row],[final_obs_date]]-Table2[[#This Row],[init_date]]</f>
        <v>10</v>
      </c>
      <c r="AT455" s="7">
        <f>(Table2[[#This Row],[final_obs_date2]]-Table2[[#This Row],[estHD]])+16</f>
        <v>7</v>
      </c>
      <c r="AU455" s="38">
        <v>3</v>
      </c>
      <c r="AV455" s="33">
        <v>3</v>
      </c>
      <c r="AW455" s="33">
        <f>Table2[[#This Row],[final_obs_date2]]-Table2[[#This Row],[pen_obs_date]]</f>
        <v>95</v>
      </c>
      <c r="AX455" s="67">
        <v>95</v>
      </c>
      <c r="AY455" s="6">
        <f>Table2[[#This Row],[final_obs_date]]</f>
        <v>95</v>
      </c>
      <c r="AZ455" s="6"/>
      <c r="BA455" s="91" t="s">
        <v>47</v>
      </c>
      <c r="BB455" s="6" t="b">
        <f>Table2[[#This Row],[final_obs_date]]&lt;(Table2[[#This Row],[estHD]]-2)</f>
        <v>1</v>
      </c>
      <c r="BC455" s="24">
        <f>IF(Table2[[#This Row],[field_fate]]="H",1,0)</f>
        <v>0</v>
      </c>
      <c r="BD455" s="16">
        <f>IF(Table2[[#This Row],[cam_fate2]]="H",1,0)</f>
        <v>0</v>
      </c>
      <c r="BE455" s="6" t="b">
        <f>NOT(Table2[[#This Row],[HF_C]]=Table2[[#This Row],[HF]])</f>
        <v>0</v>
      </c>
      <c r="BF455" s="6" t="b">
        <f>NOT(Table2[[#This Row],[cam_fate2]]=Table2[[#This Row],[field_fate3]])</f>
        <v>1</v>
      </c>
      <c r="BG455" s="6" t="b">
        <f>OR(Table2[[#This Row],[field_fate3]]="U",Table2[[#This Row],[field_fate3]]="U-H")</f>
        <v>0</v>
      </c>
      <c r="BH455" s="8">
        <v>88</v>
      </c>
      <c r="BI455" s="8">
        <v>92</v>
      </c>
      <c r="BJ455" s="14">
        <f>IF(ISTEXT(Table2[[#This Row],[j.cam]]),Table2[[#This Row],[j]],Table2[[#This Row],[j.cam]])</f>
        <v>92</v>
      </c>
      <c r="BK455" s="9">
        <v>95</v>
      </c>
      <c r="BL455" s="15">
        <f>IF(ISTEXT(Table2[[#This Row],[k.cam]]), Table2[[#This Row],[k]], Table2[[#This Row],[k.cam]])</f>
        <v>95</v>
      </c>
      <c r="BM455" s="4" t="s">
        <v>24</v>
      </c>
      <c r="BN455" s="8" t="s">
        <v>24</v>
      </c>
      <c r="BO455" s="4">
        <v>3</v>
      </c>
      <c r="BP455" s="4">
        <f>Table2[[#This Row],[final_obs_date]]-Table2[[#This Row],[i]]</f>
        <v>7</v>
      </c>
      <c r="BQ455" s="4" t="b">
        <f>Table2[[#This Row],[final_obs_date2]]&gt;Table2[[#This Row],[estHD]]+3</f>
        <v>0</v>
      </c>
      <c r="BR455" s="4" t="s">
        <v>58</v>
      </c>
      <c r="BS455" s="4" t="s">
        <v>45</v>
      </c>
      <c r="BT455" s="79" t="s">
        <v>1297</v>
      </c>
      <c r="BU455" s="26" t="s">
        <v>261</v>
      </c>
      <c r="BV455" s="79" t="s">
        <v>1450</v>
      </c>
      <c r="BW455" s="49"/>
      <c r="BX455" s="47"/>
      <c r="BY455" s="36" t="s">
        <v>782</v>
      </c>
    </row>
    <row r="456" spans="1:77" hidden="1" x14ac:dyDescent="0.35">
      <c r="A456" s="63">
        <v>20438</v>
      </c>
      <c r="B456" s="2" t="s">
        <v>35</v>
      </c>
      <c r="C456" s="45">
        <v>2020</v>
      </c>
      <c r="D456" s="3">
        <v>29.765460000000001</v>
      </c>
      <c r="E456" s="3">
        <v>-93.15455</v>
      </c>
      <c r="F456" s="3">
        <v>0</v>
      </c>
      <c r="G456" s="3">
        <v>10</v>
      </c>
      <c r="H456" s="3" t="s">
        <v>462</v>
      </c>
      <c r="I456" s="43"/>
      <c r="J456" s="55">
        <v>97</v>
      </c>
      <c r="K456" s="4">
        <v>97</v>
      </c>
      <c r="L456" s="22">
        <f>IF(ISNUMBER(Table2[[#This Row],[estHD]]),ABS(Table2[[#This Row],[HD]]-Table2[[#This Row],[estHD]]),"NA")</f>
        <v>0</v>
      </c>
      <c r="M456" s="4" t="b">
        <f>Table2[[#This Row],[HD]]=Table2[[#This Row],[estHD]]</f>
        <v>1</v>
      </c>
      <c r="N456" s="4" t="str">
        <f>IF(ISNUMBER([1]!Table2[[#This Row],[hatch_date]]),[1]!Table2[[#This Row],[hatch_date]]-19,"NA")</f>
        <v>NA</v>
      </c>
      <c r="O456" s="31">
        <v>78</v>
      </c>
      <c r="P456" s="23">
        <f>IF(ISNUMBER(Table2[[#This Row],[nest_age1]]),ABS(Table2[[#This Row],[nest_age1]]-Table2[[#This Row],[nest_age_feb]]),"NA")</f>
        <v>1</v>
      </c>
      <c r="Q456" s="24">
        <f>IF(ISNUMBER(Table2[[#This Row],[final_obs_int2]]),ABS(Table2[[#This Row],[final_obs_int2]]-Table2[[#This Row],[final_obs_int_feb]]), "NA")</f>
        <v>0</v>
      </c>
      <c r="R456" s="24"/>
      <c r="S456" s="57" t="s">
        <v>88</v>
      </c>
      <c r="T456" s="57" t="str">
        <f>Table2[[#This Row],[camera_old]]</f>
        <v>N</v>
      </c>
      <c r="U456" s="24"/>
      <c r="V456" s="16" t="s">
        <v>24</v>
      </c>
      <c r="W456" s="16">
        <v>19</v>
      </c>
      <c r="X456" s="145">
        <v>3</v>
      </c>
      <c r="Y456" s="147" t="s">
        <v>37</v>
      </c>
      <c r="Z456" s="146" t="s">
        <v>37</v>
      </c>
      <c r="AA456" s="4" t="str">
        <f>Table2[[#This Row],[field_fate]]</f>
        <v>H</v>
      </c>
      <c r="AB456" s="4" t="str">
        <f>Table2[[#This Row],[field_fate2]]</f>
        <v>H</v>
      </c>
      <c r="AC456" s="4" t="str">
        <f>Table2[[#This Row],[field_fate3]]</f>
        <v>H</v>
      </c>
      <c r="AD456" s="4" t="str">
        <f>Table2[[#This Row],[field_fate4]]</f>
        <v>H</v>
      </c>
      <c r="AE456" s="4" t="str">
        <f>Table2[[#This Row],[field_fate5]]</f>
        <v>H</v>
      </c>
      <c r="AF456" s="4" t="str">
        <f>Table2[[#This Row],[field_fate5]]</f>
        <v>H</v>
      </c>
      <c r="AG456" s="4" t="str">
        <f>Table2[[#This Row],[field_fate5]]</f>
        <v>H</v>
      </c>
      <c r="AH456" s="4" t="str">
        <f>Table2[[#This Row],[field_fate2]]</f>
        <v>H</v>
      </c>
      <c r="AI456" s="4" t="str">
        <f>Table2[[#This Row],[field_fate8]]</f>
        <v>H</v>
      </c>
      <c r="AJ456" s="4" t="str">
        <f>Table2[[#This Row],[field_fate10]]</f>
        <v>H</v>
      </c>
      <c r="AK456" s="4" t="b">
        <f>Table2[[#This Row],[field_fate_feb]]=Table2[[#This Row],[field_fate10]]</f>
        <v>1</v>
      </c>
      <c r="AL456" s="43" t="s">
        <v>24</v>
      </c>
      <c r="AM456" s="43" t="b">
        <f>Table2[[#This Row],[cam_fate2]]="NA"</f>
        <v>1</v>
      </c>
      <c r="AN456" s="19" t="str">
        <f>Table2[[#This Row],[cam_fate1]]</f>
        <v>NA</v>
      </c>
      <c r="AO456" s="2" t="s">
        <v>37</v>
      </c>
      <c r="AP456" s="5" t="str">
        <f>Table2[[#This Row],[final_fate1]]</f>
        <v>H</v>
      </c>
      <c r="AQ456" s="6">
        <v>20</v>
      </c>
      <c r="AR456" s="7">
        <v>20</v>
      </c>
      <c r="AS456" s="7">
        <f>Table2[[#This Row],[final_obs_date]]-Table2[[#This Row],[init_date]]</f>
        <v>20</v>
      </c>
      <c r="AT456" s="7">
        <f>(Table2[[#This Row],[final_obs_date2]]-Table2[[#This Row],[estHD]])+16</f>
        <v>17</v>
      </c>
      <c r="AU456" s="38">
        <v>3</v>
      </c>
      <c r="AV456" s="33">
        <v>3</v>
      </c>
      <c r="AW456" s="33">
        <f>Table2[[#This Row],[final_obs_date2]]-Table2[[#This Row],[pen_obs_date]]</f>
        <v>98</v>
      </c>
      <c r="AX456" s="67">
        <v>98</v>
      </c>
      <c r="AY456" s="6">
        <f>Table2[[#This Row],[final_obs_date]]</f>
        <v>98</v>
      </c>
      <c r="AZ456" s="6"/>
      <c r="BA456" s="91" t="s">
        <v>47</v>
      </c>
      <c r="BB456" s="6" t="b">
        <f>Table2[[#This Row],[final_obs_date]]&lt;(Table2[[#This Row],[estHD]]-2)</f>
        <v>0</v>
      </c>
      <c r="BC456" s="24">
        <f>IF(Table2[[#This Row],[field_fate]]="H",1,0)</f>
        <v>1</v>
      </c>
      <c r="BD456" s="16">
        <f>IF(Table2[[#This Row],[cam_fate2]]="H",1,0)</f>
        <v>0</v>
      </c>
      <c r="BE456" s="6" t="b">
        <f>NOT(Table2[[#This Row],[HF_C]]=Table2[[#This Row],[HF]])</f>
        <v>1</v>
      </c>
      <c r="BF456" s="6" t="b">
        <f>NOT(Table2[[#This Row],[cam_fate2]]=Table2[[#This Row],[field_fate3]])</f>
        <v>1</v>
      </c>
      <c r="BG456" s="6" t="b">
        <f>OR(Table2[[#This Row],[field_fate3]]="U",Table2[[#This Row],[field_fate3]]="U-H")</f>
        <v>0</v>
      </c>
      <c r="BH456" s="8">
        <v>88</v>
      </c>
      <c r="BI456" s="8">
        <v>97</v>
      </c>
      <c r="BJ456" s="14">
        <f>IF(ISTEXT(Table2[[#This Row],[j.cam]]),Table2[[#This Row],[j]],Table2[[#This Row],[j.cam]])</f>
        <v>97</v>
      </c>
      <c r="BK456" s="9">
        <v>97</v>
      </c>
      <c r="BL456" s="15">
        <f>IF(ISTEXT(Table2[[#This Row],[k.cam]]), Table2[[#This Row],[k]], Table2[[#This Row],[k.cam]])</f>
        <v>97</v>
      </c>
      <c r="BM456" s="4" t="s">
        <v>24</v>
      </c>
      <c r="BN456" s="8" t="s">
        <v>24</v>
      </c>
      <c r="BO456" s="4">
        <v>4</v>
      </c>
      <c r="BP456" s="4">
        <f>Table2[[#This Row],[final_obs_date]]-Table2[[#This Row],[i]]</f>
        <v>10</v>
      </c>
      <c r="BQ456" s="4" t="b">
        <f>Table2[[#This Row],[final_obs_date2]]&gt;Table2[[#This Row],[estHD]]+3</f>
        <v>0</v>
      </c>
      <c r="BR456" s="4" t="s">
        <v>33</v>
      </c>
      <c r="BS456" s="4" t="s">
        <v>58</v>
      </c>
      <c r="BT456" s="79" t="s">
        <v>1299</v>
      </c>
      <c r="BU456" s="26" t="s">
        <v>341</v>
      </c>
      <c r="BV456" s="79" t="s">
        <v>1646</v>
      </c>
      <c r="BW456" s="49"/>
      <c r="BX456" s="47"/>
      <c r="BY456" s="36" t="s">
        <v>783</v>
      </c>
    </row>
    <row r="457" spans="1:77" hidden="1" x14ac:dyDescent="0.35">
      <c r="A457" s="63">
        <v>20439</v>
      </c>
      <c r="B457" s="2" t="s">
        <v>35</v>
      </c>
      <c r="C457" s="45">
        <v>2020</v>
      </c>
      <c r="D457" s="3">
        <v>29.765470000000001</v>
      </c>
      <c r="E457" s="3">
        <v>-93.154589999999999</v>
      </c>
      <c r="F457" s="3">
        <v>0</v>
      </c>
      <c r="G457" s="3">
        <v>10</v>
      </c>
      <c r="H457" s="3" t="s">
        <v>462</v>
      </c>
      <c r="I457" s="43"/>
      <c r="J457" s="55" t="s">
        <v>24</v>
      </c>
      <c r="K457" s="4" t="s">
        <v>24</v>
      </c>
      <c r="L457" s="22" t="str">
        <f>IF(ISNUMBER(Table2[[#This Row],[estHD]]),ABS(Table2[[#This Row],[HD]]-Table2[[#This Row],[estHD]]),"NA")</f>
        <v>NA</v>
      </c>
      <c r="M457" s="4" t="b">
        <f>Table2[[#This Row],[HD]]=Table2[[#This Row],[estHD]]</f>
        <v>1</v>
      </c>
      <c r="N457" s="4" t="str">
        <f>IF(ISNUMBER([1]!Table2[[#This Row],[hatch_date]]),[1]!Table2[[#This Row],[hatch_date]]-19,"NA")</f>
        <v>NA</v>
      </c>
      <c r="O457" s="31" t="s">
        <v>24</v>
      </c>
      <c r="P457" s="23" t="str">
        <f>IF(ISNUMBER(Table2[[#This Row],[nest_age1]]),ABS(Table2[[#This Row],[nest_age1]]-Table2[[#This Row],[nest_age_feb]]),"NA")</f>
        <v>NA</v>
      </c>
      <c r="Q457" s="24">
        <f>IF(ISNUMBER(Table2[[#This Row],[final_obs_int2]]),ABS(Table2[[#This Row],[final_obs_int2]]-Table2[[#This Row],[final_obs_int_feb]]), "NA")</f>
        <v>0</v>
      </c>
      <c r="R457" s="24"/>
      <c r="S457" s="57" t="s">
        <v>88</v>
      </c>
      <c r="T457" s="57" t="str">
        <f>Table2[[#This Row],[camera_old]]</f>
        <v>N</v>
      </c>
      <c r="U457" s="24"/>
      <c r="V457" s="16" t="s">
        <v>24</v>
      </c>
      <c r="W457" s="16" t="s">
        <v>24</v>
      </c>
      <c r="X457" s="145">
        <v>4</v>
      </c>
      <c r="Y457" s="147" t="s">
        <v>31</v>
      </c>
      <c r="Z457" s="146" t="s">
        <v>31</v>
      </c>
      <c r="AA457" s="4" t="str">
        <f>Table2[[#This Row],[field_fate]]</f>
        <v>D</v>
      </c>
      <c r="AB457" s="4" t="str">
        <f>Table2[[#This Row],[field_fate2]]</f>
        <v>D</v>
      </c>
      <c r="AC457" s="4" t="str">
        <f>Table2[[#This Row],[field_fate3]]</f>
        <v>D</v>
      </c>
      <c r="AD457" s="4" t="str">
        <f>Table2[[#This Row],[field_fate4]]</f>
        <v>D</v>
      </c>
      <c r="AE457" s="4" t="str">
        <f>Table2[[#This Row],[field_fate5]]</f>
        <v>D</v>
      </c>
      <c r="AF457" s="4" t="str">
        <f>Table2[[#This Row],[field_fate5]]</f>
        <v>D</v>
      </c>
      <c r="AG457" s="4" t="str">
        <f>Table2[[#This Row],[field_fate5]]</f>
        <v>D</v>
      </c>
      <c r="AH457" s="4" t="str">
        <f>Table2[[#This Row],[field_fate2]]</f>
        <v>D</v>
      </c>
      <c r="AI457" s="4" t="str">
        <f>Table2[[#This Row],[field_fate8]]</f>
        <v>D</v>
      </c>
      <c r="AJ457" s="4" t="str">
        <f>Table2[[#This Row],[field_fate10]]</f>
        <v>D</v>
      </c>
      <c r="AK457" s="4" t="b">
        <f>Table2[[#This Row],[field_fate_feb]]=Table2[[#This Row],[field_fate10]]</f>
        <v>1</v>
      </c>
      <c r="AL457" s="43" t="s">
        <v>24</v>
      </c>
      <c r="AM457" s="43" t="b">
        <f>Table2[[#This Row],[cam_fate2]]="NA"</f>
        <v>1</v>
      </c>
      <c r="AN457" s="19" t="str">
        <f>Table2[[#This Row],[cam_fate1]]</f>
        <v>NA</v>
      </c>
      <c r="AO457" s="2" t="s">
        <v>31</v>
      </c>
      <c r="AP457" s="5" t="str">
        <f>Table2[[#This Row],[final_fate1]]</f>
        <v>D</v>
      </c>
      <c r="AQ457" s="6" t="s">
        <v>24</v>
      </c>
      <c r="AR457" s="7" t="s">
        <v>24</v>
      </c>
      <c r="AS457" s="7" t="e">
        <f>Table2[[#This Row],[final_obs_date]]-Table2[[#This Row],[init_date]]</f>
        <v>#VALUE!</v>
      </c>
      <c r="AT457" s="7" t="e">
        <f>(Table2[[#This Row],[final_obs_date2]]-Table2[[#This Row],[estHD]])+16</f>
        <v>#VALUE!</v>
      </c>
      <c r="AU457" s="38">
        <v>4</v>
      </c>
      <c r="AV457" s="33">
        <v>4</v>
      </c>
      <c r="AW457" s="33">
        <f>Table2[[#This Row],[final_obs_date2]]-Table2[[#This Row],[pen_obs_date]]</f>
        <v>92</v>
      </c>
      <c r="AX457" s="67">
        <v>92</v>
      </c>
      <c r="AY457" s="6">
        <f>Table2[[#This Row],[final_obs_date]]</f>
        <v>92</v>
      </c>
      <c r="AZ457" s="6"/>
      <c r="BA457" s="91" t="s">
        <v>47</v>
      </c>
      <c r="BB457" s="6" t="e">
        <f>Table2[[#This Row],[final_obs_date]]&lt;(Table2[[#This Row],[estHD]]-2)</f>
        <v>#VALUE!</v>
      </c>
      <c r="BC457" s="24">
        <f>IF(Table2[[#This Row],[field_fate]]="H",1,0)</f>
        <v>0</v>
      </c>
      <c r="BD457" s="16">
        <f>IF(Table2[[#This Row],[cam_fate2]]="H",1,0)</f>
        <v>0</v>
      </c>
      <c r="BE457" s="6" t="b">
        <f>NOT(Table2[[#This Row],[HF_C]]=Table2[[#This Row],[HF]])</f>
        <v>0</v>
      </c>
      <c r="BF457" s="6" t="b">
        <f>NOT(Table2[[#This Row],[cam_fate2]]=Table2[[#This Row],[field_fate3]])</f>
        <v>1</v>
      </c>
      <c r="BG457" s="6" t="b">
        <f>OR(Table2[[#This Row],[field_fate3]]="U",Table2[[#This Row],[field_fate3]]="U-H")</f>
        <v>0</v>
      </c>
      <c r="BH457" s="8">
        <v>88</v>
      </c>
      <c r="BI457" s="8">
        <v>88</v>
      </c>
      <c r="BJ457" s="14">
        <f>IF(ISTEXT(Table2[[#This Row],[j.cam]]),Table2[[#This Row],[j]],Table2[[#This Row],[j.cam]])</f>
        <v>88</v>
      </c>
      <c r="BK457" s="9">
        <v>92</v>
      </c>
      <c r="BL457" s="15">
        <f>IF(ISTEXT(Table2[[#This Row],[k.cam]]), Table2[[#This Row],[k]], Table2[[#This Row],[k.cam]])</f>
        <v>92</v>
      </c>
      <c r="BM457" s="4" t="s">
        <v>24</v>
      </c>
      <c r="BN457" s="8" t="s">
        <v>24</v>
      </c>
      <c r="BO457" s="4">
        <v>2</v>
      </c>
      <c r="BP457" s="4">
        <f>Table2[[#This Row],[final_obs_date]]-Table2[[#This Row],[i]]</f>
        <v>4</v>
      </c>
      <c r="BQ457" s="4" t="e">
        <f>Table2[[#This Row],[final_obs_date2]]&gt;Table2[[#This Row],[estHD]]+3</f>
        <v>#VALUE!</v>
      </c>
      <c r="BR457" s="4" t="s">
        <v>33</v>
      </c>
      <c r="BS457" s="4" t="s">
        <v>45</v>
      </c>
      <c r="BT457" s="79" t="s">
        <v>1300</v>
      </c>
      <c r="BU457" s="26" t="s">
        <v>87</v>
      </c>
      <c r="BV457" s="79" t="s">
        <v>1429</v>
      </c>
      <c r="BW457" s="49"/>
      <c r="BX457" s="47"/>
      <c r="BY457" s="36" t="s">
        <v>784</v>
      </c>
    </row>
    <row r="458" spans="1:77" hidden="1" x14ac:dyDescent="0.35">
      <c r="A458" s="63">
        <v>20440</v>
      </c>
      <c r="B458" s="2" t="s">
        <v>35</v>
      </c>
      <c r="C458" s="45">
        <v>2020</v>
      </c>
      <c r="D458" s="3">
        <v>29.765529999999998</v>
      </c>
      <c r="E458" s="3">
        <v>-93.155159999999995</v>
      </c>
      <c r="F458" s="3">
        <v>0</v>
      </c>
      <c r="G458" s="3">
        <v>10</v>
      </c>
      <c r="H458" s="3" t="s">
        <v>462</v>
      </c>
      <c r="I458" s="43"/>
      <c r="J458" s="55" t="s">
        <v>24</v>
      </c>
      <c r="K458" s="4" t="s">
        <v>24</v>
      </c>
      <c r="L458" s="22" t="str">
        <f>IF(ISNUMBER(Table2[[#This Row],[estHD]]),ABS(Table2[[#This Row],[HD]]-Table2[[#This Row],[estHD]]),"NA")</f>
        <v>NA</v>
      </c>
      <c r="M458" s="4" t="b">
        <f>Table2[[#This Row],[HD]]=Table2[[#This Row],[estHD]]</f>
        <v>1</v>
      </c>
      <c r="N458" s="4" t="str">
        <f>IF(ISNUMBER([1]!Table2[[#This Row],[hatch_date]]),[1]!Table2[[#This Row],[hatch_date]]-19,"NA")</f>
        <v>NA</v>
      </c>
      <c r="O458" s="31" t="s">
        <v>24</v>
      </c>
      <c r="P458" s="23" t="str">
        <f>IF(ISNUMBER(Table2[[#This Row],[nest_age1]]),ABS(Table2[[#This Row],[nest_age1]]-Table2[[#This Row],[nest_age_feb]]),"NA")</f>
        <v>NA</v>
      </c>
      <c r="Q458" s="24">
        <f>IF(ISNUMBER(Table2[[#This Row],[final_obs_int2]]),ABS(Table2[[#This Row],[final_obs_int2]]-Table2[[#This Row],[final_obs_int_feb]]), "NA")</f>
        <v>0</v>
      </c>
      <c r="R458" s="24"/>
      <c r="S458" s="57" t="s">
        <v>88</v>
      </c>
      <c r="T458" s="57" t="str">
        <f>Table2[[#This Row],[camera_old]]</f>
        <v>N</v>
      </c>
      <c r="U458" s="24"/>
      <c r="V458" s="16" t="s">
        <v>24</v>
      </c>
      <c r="W458" s="16" t="s">
        <v>24</v>
      </c>
      <c r="X458" s="145">
        <v>4</v>
      </c>
      <c r="Y458" s="147" t="s">
        <v>31</v>
      </c>
      <c r="Z458" s="146" t="s">
        <v>31</v>
      </c>
      <c r="AA458" s="4" t="str">
        <f>Table2[[#This Row],[field_fate]]</f>
        <v>D</v>
      </c>
      <c r="AB458" s="4" t="str">
        <f>Table2[[#This Row],[field_fate2]]</f>
        <v>D</v>
      </c>
      <c r="AC458" s="4" t="str">
        <f>Table2[[#This Row],[field_fate3]]</f>
        <v>D</v>
      </c>
      <c r="AD458" s="4" t="str">
        <f>Table2[[#This Row],[field_fate4]]</f>
        <v>D</v>
      </c>
      <c r="AE458" s="4" t="str">
        <f>Table2[[#This Row],[field_fate5]]</f>
        <v>D</v>
      </c>
      <c r="AF458" s="4" t="str">
        <f>Table2[[#This Row],[field_fate5]]</f>
        <v>D</v>
      </c>
      <c r="AG458" s="4" t="str">
        <f>Table2[[#This Row],[field_fate5]]</f>
        <v>D</v>
      </c>
      <c r="AH458" s="4" t="str">
        <f>Table2[[#This Row],[field_fate2]]</f>
        <v>D</v>
      </c>
      <c r="AI458" s="4" t="str">
        <f>Table2[[#This Row],[field_fate8]]</f>
        <v>D</v>
      </c>
      <c r="AJ458" s="4" t="str">
        <f>Table2[[#This Row],[field_fate10]]</f>
        <v>D</v>
      </c>
      <c r="AK458" s="4" t="b">
        <f>Table2[[#This Row],[field_fate_feb]]=Table2[[#This Row],[field_fate10]]</f>
        <v>1</v>
      </c>
      <c r="AL458" s="43" t="s">
        <v>24</v>
      </c>
      <c r="AM458" s="43" t="b">
        <f>Table2[[#This Row],[cam_fate2]]="NA"</f>
        <v>1</v>
      </c>
      <c r="AN458" s="19" t="str">
        <f>Table2[[#This Row],[cam_fate1]]</f>
        <v>NA</v>
      </c>
      <c r="AO458" s="2" t="s">
        <v>31</v>
      </c>
      <c r="AP458" s="5" t="str">
        <f>Table2[[#This Row],[final_fate1]]</f>
        <v>D</v>
      </c>
      <c r="AQ458" s="6" t="s">
        <v>24</v>
      </c>
      <c r="AR458" s="7" t="s">
        <v>24</v>
      </c>
      <c r="AS458" s="7" t="e">
        <f>Table2[[#This Row],[final_obs_date]]-Table2[[#This Row],[init_date]]</f>
        <v>#VALUE!</v>
      </c>
      <c r="AT458" s="7" t="e">
        <f>(Table2[[#This Row],[final_obs_date2]]-Table2[[#This Row],[estHD]])+16</f>
        <v>#VALUE!</v>
      </c>
      <c r="AU458" s="38">
        <v>4</v>
      </c>
      <c r="AV458" s="33">
        <v>4</v>
      </c>
      <c r="AW458" s="33">
        <f>Table2[[#This Row],[final_obs_date2]]-Table2[[#This Row],[pen_obs_date]]</f>
        <v>92</v>
      </c>
      <c r="AX458" s="67">
        <v>92</v>
      </c>
      <c r="AY458" s="6">
        <f>Table2[[#This Row],[final_obs_date]]</f>
        <v>92</v>
      </c>
      <c r="AZ458" s="6"/>
      <c r="BA458" s="91" t="s">
        <v>47</v>
      </c>
      <c r="BB458" s="6" t="e">
        <f>Table2[[#This Row],[final_obs_date]]&lt;(Table2[[#This Row],[estHD]]-2)</f>
        <v>#VALUE!</v>
      </c>
      <c r="BC458" s="24">
        <f>IF(Table2[[#This Row],[field_fate]]="H",1,0)</f>
        <v>0</v>
      </c>
      <c r="BD458" s="16">
        <f>IF(Table2[[#This Row],[cam_fate2]]="H",1,0)</f>
        <v>0</v>
      </c>
      <c r="BE458" s="6" t="b">
        <f>NOT(Table2[[#This Row],[HF_C]]=Table2[[#This Row],[HF]])</f>
        <v>0</v>
      </c>
      <c r="BF458" s="6" t="b">
        <f>NOT(Table2[[#This Row],[cam_fate2]]=Table2[[#This Row],[field_fate3]])</f>
        <v>1</v>
      </c>
      <c r="BG458" s="6" t="b">
        <f>OR(Table2[[#This Row],[field_fate3]]="U",Table2[[#This Row],[field_fate3]]="U-H")</f>
        <v>0</v>
      </c>
      <c r="BH458" s="8">
        <v>88</v>
      </c>
      <c r="BI458" s="8">
        <v>88</v>
      </c>
      <c r="BJ458" s="14">
        <f>IF(ISTEXT(Table2[[#This Row],[j.cam]]),Table2[[#This Row],[j]],Table2[[#This Row],[j.cam]])</f>
        <v>88</v>
      </c>
      <c r="BK458" s="9">
        <v>92</v>
      </c>
      <c r="BL458" s="15">
        <f>IF(ISTEXT(Table2[[#This Row],[k.cam]]), Table2[[#This Row],[k]], Table2[[#This Row],[k.cam]])</f>
        <v>92</v>
      </c>
      <c r="BM458" s="4" t="s">
        <v>24</v>
      </c>
      <c r="BN458" s="8" t="s">
        <v>24</v>
      </c>
      <c r="BO458" s="4">
        <v>2</v>
      </c>
      <c r="BP458" s="4">
        <f>Table2[[#This Row],[final_obs_date]]-Table2[[#This Row],[i]]</f>
        <v>4</v>
      </c>
      <c r="BQ458" s="4" t="e">
        <f>Table2[[#This Row],[final_obs_date2]]&gt;Table2[[#This Row],[estHD]]+3</f>
        <v>#VALUE!</v>
      </c>
      <c r="BR458" s="4" t="s">
        <v>58</v>
      </c>
      <c r="BS458" s="4" t="s">
        <v>45</v>
      </c>
      <c r="BT458" s="79" t="s">
        <v>1300</v>
      </c>
      <c r="BU458" s="26" t="s">
        <v>117</v>
      </c>
      <c r="BV458" s="79" t="s">
        <v>1429</v>
      </c>
      <c r="BW458" s="49"/>
      <c r="BX458" s="47"/>
      <c r="BY458" s="36" t="s">
        <v>784</v>
      </c>
    </row>
    <row r="459" spans="1:77" hidden="1" x14ac:dyDescent="0.35">
      <c r="A459" s="63">
        <v>20441</v>
      </c>
      <c r="B459" s="2" t="s">
        <v>35</v>
      </c>
      <c r="C459" s="45">
        <v>2020</v>
      </c>
      <c r="D459" s="3">
        <v>29.76548</v>
      </c>
      <c r="E459" s="3">
        <v>-93.155169999999998</v>
      </c>
      <c r="F459" s="3">
        <v>0</v>
      </c>
      <c r="G459" s="3">
        <v>0</v>
      </c>
      <c r="H459" s="3" t="s">
        <v>462</v>
      </c>
      <c r="I459" s="43"/>
      <c r="J459" s="55">
        <v>105</v>
      </c>
      <c r="K459" s="4">
        <v>105</v>
      </c>
      <c r="L459" s="22">
        <f>IF(ISNUMBER(Table2[[#This Row],[estHD]]),ABS(Table2[[#This Row],[HD]]-Table2[[#This Row],[estHD]]),"NA")</f>
        <v>0</v>
      </c>
      <c r="M459" s="4" t="b">
        <f>Table2[[#This Row],[HD]]=Table2[[#This Row],[estHD]]</f>
        <v>1</v>
      </c>
      <c r="N459" s="4" t="str">
        <f>IF(ISNUMBER([1]!Table2[[#This Row],[hatch_date]]),[1]!Table2[[#This Row],[hatch_date]]-19,"NA")</f>
        <v>NA</v>
      </c>
      <c r="O459" s="31">
        <v>86</v>
      </c>
      <c r="P459" s="23">
        <f>IF(ISNUMBER(Table2[[#This Row],[nest_age1]]),ABS(Table2[[#This Row],[nest_age1]]-Table2[[#This Row],[nest_age_feb]]),"NA")</f>
        <v>1</v>
      </c>
      <c r="Q459" s="24">
        <f>IF(ISNUMBER(Table2[[#This Row],[final_obs_int2]]),ABS(Table2[[#This Row],[final_obs_int2]]-Table2[[#This Row],[final_obs_int_feb]]), "NA")</f>
        <v>0</v>
      </c>
      <c r="R459" s="24"/>
      <c r="S459" s="57" t="s">
        <v>88</v>
      </c>
      <c r="T459" s="57" t="str">
        <f>Table2[[#This Row],[camera_old]]</f>
        <v>N</v>
      </c>
      <c r="U459" s="24"/>
      <c r="V459" s="16" t="s">
        <v>24</v>
      </c>
      <c r="W459" s="16">
        <v>14</v>
      </c>
      <c r="X459" s="145">
        <v>3</v>
      </c>
      <c r="Y459" s="147" t="s">
        <v>149</v>
      </c>
      <c r="Z459" s="146" t="s">
        <v>149</v>
      </c>
      <c r="AA459" s="4" t="str">
        <f>Table2[[#This Row],[field_fate]]</f>
        <v>W</v>
      </c>
      <c r="AB459" s="4" t="str">
        <f>Table2[[#This Row],[field_fate2]]</f>
        <v>W</v>
      </c>
      <c r="AC459" s="4" t="str">
        <f>Table2[[#This Row],[field_fate3]]</f>
        <v>W</v>
      </c>
      <c r="AD459" s="4" t="str">
        <f>Table2[[#This Row],[field_fate4]]</f>
        <v>W</v>
      </c>
      <c r="AE459" s="4" t="str">
        <f>Table2[[#This Row],[field_fate5]]</f>
        <v>W</v>
      </c>
      <c r="AF459" s="4" t="str">
        <f>Table2[[#This Row],[field_fate5]]</f>
        <v>W</v>
      </c>
      <c r="AG459" s="4" t="str">
        <f>Table2[[#This Row],[field_fate5]]</f>
        <v>W</v>
      </c>
      <c r="AH459" s="4" t="str">
        <f>Table2[[#This Row],[field_fate2]]</f>
        <v>W</v>
      </c>
      <c r="AI459" s="4" t="str">
        <f>Table2[[#This Row],[field_fate8]]</f>
        <v>W</v>
      </c>
      <c r="AJ459" s="4" t="str">
        <f>Table2[[#This Row],[field_fate10]]</f>
        <v>W</v>
      </c>
      <c r="AK459" s="4" t="b">
        <f>Table2[[#This Row],[field_fate_feb]]=Table2[[#This Row],[field_fate10]]</f>
        <v>1</v>
      </c>
      <c r="AL459" s="43" t="s">
        <v>24</v>
      </c>
      <c r="AM459" s="43" t="b">
        <f>Table2[[#This Row],[cam_fate2]]="NA"</f>
        <v>1</v>
      </c>
      <c r="AN459" s="19" t="str">
        <f>Table2[[#This Row],[cam_fate1]]</f>
        <v>NA</v>
      </c>
      <c r="AO459" s="2" t="s">
        <v>149</v>
      </c>
      <c r="AP459" s="5" t="str">
        <f>Table2[[#This Row],[final_fate1]]</f>
        <v>W</v>
      </c>
      <c r="AQ459" s="6">
        <v>15</v>
      </c>
      <c r="AR459" s="7">
        <v>15</v>
      </c>
      <c r="AS459" s="7">
        <f>Table2[[#This Row],[final_obs_date]]-Table2[[#This Row],[init_date]]</f>
        <v>15</v>
      </c>
      <c r="AT459" s="7">
        <f>(Table2[[#This Row],[final_obs_date2]]-Table2[[#This Row],[estHD]])+16</f>
        <v>12</v>
      </c>
      <c r="AU459" s="38">
        <v>3</v>
      </c>
      <c r="AV459" s="33">
        <v>3</v>
      </c>
      <c r="AW459" s="33">
        <f>Table2[[#This Row],[final_obs_date2]]-Table2[[#This Row],[pen_obs_date]]</f>
        <v>101</v>
      </c>
      <c r="AX459" s="67">
        <v>101</v>
      </c>
      <c r="AY459" s="6">
        <f>Table2[[#This Row],[final_obs_date]]</f>
        <v>101</v>
      </c>
      <c r="AZ459" s="6"/>
      <c r="BA459" s="91" t="s">
        <v>47</v>
      </c>
      <c r="BB459" s="6" t="b">
        <f>Table2[[#This Row],[final_obs_date]]&lt;(Table2[[#This Row],[estHD]]-2)</f>
        <v>1</v>
      </c>
      <c r="BC459" s="24">
        <f>IF(Table2[[#This Row],[field_fate]]="H",1,0)</f>
        <v>0</v>
      </c>
      <c r="BD459" s="16">
        <f>IF(Table2[[#This Row],[cam_fate2]]="H",1,0)</f>
        <v>0</v>
      </c>
      <c r="BE459" s="6" t="b">
        <f>NOT(Table2[[#This Row],[HF_C]]=Table2[[#This Row],[HF]])</f>
        <v>0</v>
      </c>
      <c r="BF459" s="6" t="b">
        <f>NOT(Table2[[#This Row],[cam_fate2]]=Table2[[#This Row],[field_fate3]])</f>
        <v>1</v>
      </c>
      <c r="BG459" s="6" t="b">
        <f>OR(Table2[[#This Row],[field_fate3]]="U",Table2[[#This Row],[field_fate3]]="U-H")</f>
        <v>0</v>
      </c>
      <c r="BH459" s="8">
        <v>88</v>
      </c>
      <c r="BI459" s="8">
        <v>98</v>
      </c>
      <c r="BJ459" s="14">
        <f>IF(ISTEXT(Table2[[#This Row],[j.cam]]),Table2[[#This Row],[j]],Table2[[#This Row],[j.cam]])</f>
        <v>98</v>
      </c>
      <c r="BK459" s="9">
        <v>101</v>
      </c>
      <c r="BL459" s="15">
        <f>IF(ISTEXT(Table2[[#This Row],[k.cam]]), Table2[[#This Row],[k]], Table2[[#This Row],[k.cam]])</f>
        <v>101</v>
      </c>
      <c r="BM459" s="4" t="s">
        <v>24</v>
      </c>
      <c r="BN459" s="8" t="s">
        <v>24</v>
      </c>
      <c r="BO459" s="4">
        <v>5</v>
      </c>
      <c r="BP459" s="4">
        <f>Table2[[#This Row],[final_obs_date]]-Table2[[#This Row],[i]]</f>
        <v>13</v>
      </c>
      <c r="BQ459" s="4" t="b">
        <f>Table2[[#This Row],[final_obs_date2]]&gt;Table2[[#This Row],[estHD]]+3</f>
        <v>0</v>
      </c>
      <c r="BR459" s="4" t="s">
        <v>58</v>
      </c>
      <c r="BS459" s="4" t="s">
        <v>45</v>
      </c>
      <c r="BT459" s="79" t="s">
        <v>1298</v>
      </c>
      <c r="BU459" s="26" t="s">
        <v>343</v>
      </c>
      <c r="BV459" s="79" t="s">
        <v>1645</v>
      </c>
      <c r="BW459" s="49"/>
      <c r="BX459" s="47"/>
      <c r="BY459" s="36" t="s">
        <v>785</v>
      </c>
    </row>
    <row r="460" spans="1:77" ht="24" hidden="1" x14ac:dyDescent="0.35">
      <c r="A460" s="63">
        <v>20442</v>
      </c>
      <c r="B460" s="2" t="s">
        <v>35</v>
      </c>
      <c r="C460" s="45">
        <v>2020</v>
      </c>
      <c r="D460" s="3">
        <v>29.765550000000001</v>
      </c>
      <c r="E460" s="3">
        <v>-93.155479999999997</v>
      </c>
      <c r="F460" s="3">
        <v>0</v>
      </c>
      <c r="G460" s="3">
        <v>0</v>
      </c>
      <c r="H460" s="3" t="s">
        <v>462</v>
      </c>
      <c r="I460" s="43"/>
      <c r="J460" s="55" t="s">
        <v>24</v>
      </c>
      <c r="K460" s="4" t="s">
        <v>24</v>
      </c>
      <c r="L460" s="22" t="str">
        <f>IF(ISNUMBER(Table2[[#This Row],[estHD]]),ABS(Table2[[#This Row],[HD]]-Table2[[#This Row],[estHD]]),"NA")</f>
        <v>NA</v>
      </c>
      <c r="M460" s="4" t="b">
        <f>Table2[[#This Row],[HD]]=Table2[[#This Row],[estHD]]</f>
        <v>1</v>
      </c>
      <c r="N460" s="4" t="str">
        <f>IF(ISNUMBER([1]!Table2[[#This Row],[hatch_date]]),[1]!Table2[[#This Row],[hatch_date]]-19,"NA")</f>
        <v>NA</v>
      </c>
      <c r="O460" s="31" t="s">
        <v>24</v>
      </c>
      <c r="P460" s="23" t="str">
        <f>IF(ISNUMBER(Table2[[#This Row],[nest_age1]]),ABS(Table2[[#This Row],[nest_age1]]-Table2[[#This Row],[nest_age_feb]]),"NA")</f>
        <v>NA</v>
      </c>
      <c r="Q460" s="24">
        <f>IF(ISNUMBER(Table2[[#This Row],[final_obs_int2]]),ABS(Table2[[#This Row],[final_obs_int2]]-Table2[[#This Row],[final_obs_int_feb]]), "NA")</f>
        <v>0</v>
      </c>
      <c r="R460" s="24"/>
      <c r="S460" s="57" t="s">
        <v>88</v>
      </c>
      <c r="T460" s="57" t="str">
        <f>Table2[[#This Row],[camera_old]]</f>
        <v>N</v>
      </c>
      <c r="U460" s="24"/>
      <c r="V460" s="16" t="s">
        <v>24</v>
      </c>
      <c r="W460" s="16" t="s">
        <v>24</v>
      </c>
      <c r="X460" s="145">
        <v>4</v>
      </c>
      <c r="Y460" s="147" t="s">
        <v>149</v>
      </c>
      <c r="Z460" s="146" t="s">
        <v>149</v>
      </c>
      <c r="AA460" s="4" t="str">
        <f>Table2[[#This Row],[field_fate]]</f>
        <v>W</v>
      </c>
      <c r="AB460" s="4" t="str">
        <f>Table2[[#This Row],[field_fate2]]</f>
        <v>W</v>
      </c>
      <c r="AC460" s="4" t="str">
        <f>Table2[[#This Row],[field_fate3]]</f>
        <v>W</v>
      </c>
      <c r="AD460" s="4" t="str">
        <f>Table2[[#This Row],[field_fate4]]</f>
        <v>W</v>
      </c>
      <c r="AE460" s="4" t="str">
        <f>Table2[[#This Row],[field_fate5]]</f>
        <v>W</v>
      </c>
      <c r="AF460" s="4" t="str">
        <f>Table2[[#This Row],[field_fate5]]</f>
        <v>W</v>
      </c>
      <c r="AG460" s="4" t="str">
        <f>Table2[[#This Row],[field_fate5]]</f>
        <v>W</v>
      </c>
      <c r="AH460" s="4" t="str">
        <f>Table2[[#This Row],[field_fate2]]</f>
        <v>W</v>
      </c>
      <c r="AI460" s="4" t="str">
        <f>Table2[[#This Row],[field_fate8]]</f>
        <v>W</v>
      </c>
      <c r="AJ460" s="4" t="str">
        <f>Table2[[#This Row],[field_fate10]]</f>
        <v>W</v>
      </c>
      <c r="AK460" s="4" t="b">
        <f>Table2[[#This Row],[field_fate_feb]]=Table2[[#This Row],[field_fate10]]</f>
        <v>1</v>
      </c>
      <c r="AL460" s="43" t="s">
        <v>24</v>
      </c>
      <c r="AM460" s="43" t="b">
        <f>Table2[[#This Row],[cam_fate2]]="NA"</f>
        <v>1</v>
      </c>
      <c r="AN460" s="19" t="str">
        <f>Table2[[#This Row],[cam_fate1]]</f>
        <v>NA</v>
      </c>
      <c r="AO460" s="2" t="s">
        <v>149</v>
      </c>
      <c r="AP460" s="5" t="str">
        <f>Table2[[#This Row],[final_fate1]]</f>
        <v>W</v>
      </c>
      <c r="AQ460" s="6" t="s">
        <v>24</v>
      </c>
      <c r="AR460" s="7" t="s">
        <v>24</v>
      </c>
      <c r="AS460" s="7" t="e">
        <f>Table2[[#This Row],[final_obs_date]]-Table2[[#This Row],[init_date]]</f>
        <v>#VALUE!</v>
      </c>
      <c r="AT460" s="7" t="e">
        <f>(Table2[[#This Row],[final_obs_date2]]-Table2[[#This Row],[estHD]])+16</f>
        <v>#VALUE!</v>
      </c>
      <c r="AU460" s="38">
        <v>4</v>
      </c>
      <c r="AV460" s="33">
        <v>4</v>
      </c>
      <c r="AW460" s="33">
        <f>Table2[[#This Row],[final_obs_date2]]-Table2[[#This Row],[pen_obs_date]]</f>
        <v>92</v>
      </c>
      <c r="AX460" s="67">
        <v>92</v>
      </c>
      <c r="AY460" s="6">
        <f>Table2[[#This Row],[final_obs_date]]</f>
        <v>92</v>
      </c>
      <c r="AZ460" s="6"/>
      <c r="BA460" s="91" t="s">
        <v>47</v>
      </c>
      <c r="BB460" s="6" t="e">
        <f>Table2[[#This Row],[final_obs_date]]&lt;(Table2[[#This Row],[estHD]]-2)</f>
        <v>#VALUE!</v>
      </c>
      <c r="BC460" s="24">
        <f>IF(Table2[[#This Row],[field_fate]]="H",1,0)</f>
        <v>0</v>
      </c>
      <c r="BD460" s="16">
        <f>IF(Table2[[#This Row],[cam_fate2]]="H",1,0)</f>
        <v>0</v>
      </c>
      <c r="BE460" s="6" t="b">
        <f>NOT(Table2[[#This Row],[HF_C]]=Table2[[#This Row],[HF]])</f>
        <v>0</v>
      </c>
      <c r="BF460" s="6" t="b">
        <f>NOT(Table2[[#This Row],[cam_fate2]]=Table2[[#This Row],[field_fate3]])</f>
        <v>1</v>
      </c>
      <c r="BG460" s="6" t="b">
        <f>OR(Table2[[#This Row],[field_fate3]]="U",Table2[[#This Row],[field_fate3]]="U-H")</f>
        <v>0</v>
      </c>
      <c r="BH460" s="8">
        <v>88</v>
      </c>
      <c r="BI460" s="8">
        <v>88</v>
      </c>
      <c r="BJ460" s="14">
        <f>IF(ISTEXT(Table2[[#This Row],[j.cam]]),Table2[[#This Row],[j]],Table2[[#This Row],[j.cam]])</f>
        <v>88</v>
      </c>
      <c r="BK460" s="9">
        <v>92</v>
      </c>
      <c r="BL460" s="15">
        <f>IF(ISTEXT(Table2[[#This Row],[k.cam]]), Table2[[#This Row],[k]], Table2[[#This Row],[k.cam]])</f>
        <v>92</v>
      </c>
      <c r="BM460" s="4" t="s">
        <v>24</v>
      </c>
      <c r="BN460" s="8" t="s">
        <v>24</v>
      </c>
      <c r="BO460" s="4">
        <v>2</v>
      </c>
      <c r="BP460" s="4">
        <f>Table2[[#This Row],[final_obs_date]]-Table2[[#This Row],[i]]</f>
        <v>4</v>
      </c>
      <c r="BQ460" s="4" t="e">
        <f>Table2[[#This Row],[final_obs_date2]]&gt;Table2[[#This Row],[estHD]]+3</f>
        <v>#VALUE!</v>
      </c>
      <c r="BR460" s="4" t="s">
        <v>33</v>
      </c>
      <c r="BS460" s="4" t="s">
        <v>45</v>
      </c>
      <c r="BT460" s="79" t="s">
        <v>1300</v>
      </c>
      <c r="BU460" s="26" t="s">
        <v>87</v>
      </c>
      <c r="BV460" s="79" t="s">
        <v>1429</v>
      </c>
      <c r="BW460" s="49"/>
      <c r="BX460" s="47"/>
      <c r="BY460" s="36" t="s">
        <v>786</v>
      </c>
    </row>
    <row r="461" spans="1:77" hidden="1" x14ac:dyDescent="0.35">
      <c r="A461" s="63">
        <v>20443</v>
      </c>
      <c r="B461" s="2" t="s">
        <v>35</v>
      </c>
      <c r="C461" s="45">
        <v>2020</v>
      </c>
      <c r="D461" s="3">
        <v>29.76567</v>
      </c>
      <c r="E461" s="3">
        <v>-93.155600000000007</v>
      </c>
      <c r="F461" s="3">
        <v>0</v>
      </c>
      <c r="G461" s="3">
        <v>20</v>
      </c>
      <c r="H461" s="3" t="s">
        <v>462</v>
      </c>
      <c r="I461" s="43"/>
      <c r="J461" s="55">
        <v>101</v>
      </c>
      <c r="K461" s="4">
        <v>100</v>
      </c>
      <c r="L461" s="22">
        <f>IF(ISNUMBER(Table2[[#This Row],[estHD]]),ABS(Table2[[#This Row],[HD]]-Table2[[#This Row],[estHD]]),"NA")</f>
        <v>1</v>
      </c>
      <c r="M461" s="4" t="b">
        <f>Table2[[#This Row],[HD]]=Table2[[#This Row],[estHD]]</f>
        <v>0</v>
      </c>
      <c r="N461" s="4" t="str">
        <f>IF(ISNUMBER([1]!Table2[[#This Row],[hatch_date]]),[1]!Table2[[#This Row],[hatch_date]]-19,"NA")</f>
        <v>NA</v>
      </c>
      <c r="O461" s="31">
        <v>81</v>
      </c>
      <c r="P461" s="23">
        <f>IF(ISNUMBER(Table2[[#This Row],[nest_age1]]),ABS(Table2[[#This Row],[nest_age1]]-Table2[[#This Row],[nest_age_feb]]),"NA")</f>
        <v>2</v>
      </c>
      <c r="Q461" s="24">
        <f>IF(ISNUMBER(Table2[[#This Row],[final_obs_int2]]),ABS(Table2[[#This Row],[final_obs_int2]]-Table2[[#This Row],[final_obs_int_feb]]), "NA")</f>
        <v>0</v>
      </c>
      <c r="R461" s="24"/>
      <c r="S461" s="57" t="s">
        <v>88</v>
      </c>
      <c r="T461" s="57" t="str">
        <f>Table2[[#This Row],[camera_old]]</f>
        <v>N</v>
      </c>
      <c r="U461" s="24"/>
      <c r="V461" s="16" t="s">
        <v>24</v>
      </c>
      <c r="W461" s="16">
        <v>18</v>
      </c>
      <c r="X461" s="145">
        <v>3</v>
      </c>
      <c r="Y461" s="147" t="s">
        <v>37</v>
      </c>
      <c r="Z461" s="146" t="s">
        <v>37</v>
      </c>
      <c r="AA461" s="4" t="str">
        <f>Table2[[#This Row],[field_fate]]</f>
        <v>H</v>
      </c>
      <c r="AB461" s="4" t="str">
        <f>Table2[[#This Row],[field_fate2]]</f>
        <v>H</v>
      </c>
      <c r="AC461" s="4" t="str">
        <f>Table2[[#This Row],[field_fate3]]</f>
        <v>H</v>
      </c>
      <c r="AD461" s="4" t="str">
        <f>Table2[[#This Row],[field_fate4]]</f>
        <v>H</v>
      </c>
      <c r="AE461" s="4" t="str">
        <f>Table2[[#This Row],[field_fate5]]</f>
        <v>H</v>
      </c>
      <c r="AF461" s="4" t="str">
        <f>Table2[[#This Row],[field_fate5]]</f>
        <v>H</v>
      </c>
      <c r="AG461" s="4" t="str">
        <f>Table2[[#This Row],[field_fate5]]</f>
        <v>H</v>
      </c>
      <c r="AH461" s="4" t="str">
        <f>Table2[[#This Row],[field_fate2]]</f>
        <v>H</v>
      </c>
      <c r="AI461" s="4" t="str">
        <f>Table2[[#This Row],[field_fate8]]</f>
        <v>H</v>
      </c>
      <c r="AJ461" s="4" t="str">
        <f>Table2[[#This Row],[field_fate10]]</f>
        <v>H</v>
      </c>
      <c r="AK461" s="4" t="b">
        <f>Table2[[#This Row],[field_fate_feb]]=Table2[[#This Row],[field_fate10]]</f>
        <v>1</v>
      </c>
      <c r="AL461" s="43" t="s">
        <v>24</v>
      </c>
      <c r="AM461" s="43" t="b">
        <f>Table2[[#This Row],[cam_fate2]]="NA"</f>
        <v>1</v>
      </c>
      <c r="AN461" s="19" t="str">
        <f>Table2[[#This Row],[cam_fate1]]</f>
        <v>NA</v>
      </c>
      <c r="AO461" s="2" t="s">
        <v>37</v>
      </c>
      <c r="AP461" s="5" t="str">
        <f>Table2[[#This Row],[final_fate1]]</f>
        <v>H</v>
      </c>
      <c r="AQ461" s="6">
        <v>20</v>
      </c>
      <c r="AR461" s="7">
        <v>19</v>
      </c>
      <c r="AS461" s="7">
        <f>Table2[[#This Row],[final_obs_date]]-Table2[[#This Row],[init_date]]</f>
        <v>20</v>
      </c>
      <c r="AT461" s="7">
        <f>(Table2[[#This Row],[final_obs_date2]]-Table2[[#This Row],[estHD]])+16</f>
        <v>16</v>
      </c>
      <c r="AU461" s="38">
        <v>3</v>
      </c>
      <c r="AV461" s="33">
        <v>3</v>
      </c>
      <c r="AW461" s="33">
        <f>Table2[[#This Row],[final_obs_date2]]-Table2[[#This Row],[pen_obs_date]]</f>
        <v>101</v>
      </c>
      <c r="AX461" s="67">
        <v>101</v>
      </c>
      <c r="AY461" s="6">
        <f>Table2[[#This Row],[final_obs_date]]</f>
        <v>101</v>
      </c>
      <c r="AZ461" s="6"/>
      <c r="BA461" s="91" t="s">
        <v>47</v>
      </c>
      <c r="BB461" s="6" t="b">
        <f>Table2[[#This Row],[final_obs_date]]&lt;(Table2[[#This Row],[estHD]]-2)</f>
        <v>0</v>
      </c>
      <c r="BC461" s="24">
        <f>IF(Table2[[#This Row],[field_fate]]="H",1,0)</f>
        <v>1</v>
      </c>
      <c r="BD461" s="16">
        <f>IF(Table2[[#This Row],[cam_fate2]]="H",1,0)</f>
        <v>0</v>
      </c>
      <c r="BE461" s="6" t="b">
        <f>NOT(Table2[[#This Row],[HF_C]]=Table2[[#This Row],[HF]])</f>
        <v>1</v>
      </c>
      <c r="BF461" s="6" t="b">
        <f>NOT(Table2[[#This Row],[cam_fate2]]=Table2[[#This Row],[field_fate3]])</f>
        <v>1</v>
      </c>
      <c r="BG461" s="6" t="b">
        <f>OR(Table2[[#This Row],[field_fate3]]="U",Table2[[#This Row],[field_fate3]]="U-H")</f>
        <v>0</v>
      </c>
      <c r="BH461" s="8">
        <v>88</v>
      </c>
      <c r="BI461" s="8">
        <v>100</v>
      </c>
      <c r="BJ461" s="14">
        <f>IF(ISTEXT(Table2[[#This Row],[j.cam]]),Table2[[#This Row],[j]],Table2[[#This Row],[j.cam]])</f>
        <v>100</v>
      </c>
      <c r="BK461" s="9">
        <v>100</v>
      </c>
      <c r="BL461" s="15">
        <f>IF(ISTEXT(Table2[[#This Row],[k.cam]]), Table2[[#This Row],[k]], Table2[[#This Row],[k.cam]])</f>
        <v>100</v>
      </c>
      <c r="BM461" s="4" t="s">
        <v>24</v>
      </c>
      <c r="BN461" s="8" t="s">
        <v>24</v>
      </c>
      <c r="BO461" s="4">
        <v>5</v>
      </c>
      <c r="BP461" s="4">
        <f>Table2[[#This Row],[final_obs_date]]-Table2[[#This Row],[i]]</f>
        <v>13</v>
      </c>
      <c r="BQ461" s="4" t="b">
        <f>Table2[[#This Row],[final_obs_date2]]&gt;Table2[[#This Row],[estHD]]+3</f>
        <v>0</v>
      </c>
      <c r="BR461" s="4" t="s">
        <v>33</v>
      </c>
      <c r="BS461" s="4" t="s">
        <v>58</v>
      </c>
      <c r="BT461" s="79" t="s">
        <v>1298</v>
      </c>
      <c r="BU461" s="26" t="s">
        <v>344</v>
      </c>
      <c r="BV461" s="79" t="s">
        <v>1645</v>
      </c>
      <c r="BW461" s="49"/>
      <c r="BX461" s="47"/>
      <c r="BY461" s="36" t="s">
        <v>787</v>
      </c>
    </row>
    <row r="462" spans="1:77" hidden="1" x14ac:dyDescent="0.35">
      <c r="A462" s="63">
        <v>20444</v>
      </c>
      <c r="B462" s="2" t="s">
        <v>35</v>
      </c>
      <c r="C462" s="45">
        <v>2020</v>
      </c>
      <c r="D462" s="3">
        <v>29.764209999999999</v>
      </c>
      <c r="E462" s="3">
        <v>-93.147850000000005</v>
      </c>
      <c r="F462" s="3">
        <v>75</v>
      </c>
      <c r="G462" s="3">
        <v>75</v>
      </c>
      <c r="H462" s="3" t="s">
        <v>462</v>
      </c>
      <c r="I462" s="43"/>
      <c r="J462" s="55">
        <v>100</v>
      </c>
      <c r="K462" s="4">
        <v>101</v>
      </c>
      <c r="L462" s="22">
        <f>IF(ISNUMBER(Table2[[#This Row],[estHD]]),ABS(Table2[[#This Row],[HD]]-Table2[[#This Row],[estHD]]),"NA")</f>
        <v>1</v>
      </c>
      <c r="M462" s="4" t="b">
        <f>Table2[[#This Row],[HD]]=Table2[[#This Row],[estHD]]</f>
        <v>0</v>
      </c>
      <c r="N462" s="4" t="str">
        <f>IF(ISNUMBER([1]!Table2[[#This Row],[hatch_date]]),[1]!Table2[[#This Row],[hatch_date]]-19,"NA")</f>
        <v>NA</v>
      </c>
      <c r="O462" s="31">
        <v>82</v>
      </c>
      <c r="P462" s="23">
        <f>IF(ISNUMBER(Table2[[#This Row],[nest_age1]]),ABS(Table2[[#This Row],[nest_age1]]-Table2[[#This Row],[nest_age_feb]]),"NA")</f>
        <v>0</v>
      </c>
      <c r="Q462" s="24">
        <f>IF(ISNUMBER(Table2[[#This Row],[final_obs_int2]]),ABS(Table2[[#This Row],[final_obs_int2]]-Table2[[#This Row],[final_obs_int_feb]]), "NA")</f>
        <v>0</v>
      </c>
      <c r="R462" s="24"/>
      <c r="S462" s="57" t="s">
        <v>88</v>
      </c>
      <c r="T462" s="57" t="str">
        <f>Table2[[#This Row],[camera_old]]</f>
        <v>N</v>
      </c>
      <c r="U462" s="24"/>
      <c r="V462" s="16" t="s">
        <v>24</v>
      </c>
      <c r="W462" s="16">
        <v>19</v>
      </c>
      <c r="X462" s="145">
        <v>3</v>
      </c>
      <c r="Y462" s="147" t="s">
        <v>37</v>
      </c>
      <c r="Z462" s="146" t="s">
        <v>37</v>
      </c>
      <c r="AA462" s="4" t="str">
        <f>Table2[[#This Row],[field_fate]]</f>
        <v>H</v>
      </c>
      <c r="AB462" s="4" t="str">
        <f>Table2[[#This Row],[field_fate2]]</f>
        <v>H</v>
      </c>
      <c r="AC462" s="4" t="str">
        <f>Table2[[#This Row],[field_fate3]]</f>
        <v>H</v>
      </c>
      <c r="AD462" s="4" t="str">
        <f>Table2[[#This Row],[field_fate4]]</f>
        <v>H</v>
      </c>
      <c r="AE462" s="4" t="str">
        <f>Table2[[#This Row],[field_fate5]]</f>
        <v>H</v>
      </c>
      <c r="AF462" s="4" t="str">
        <f>Table2[[#This Row],[field_fate5]]</f>
        <v>H</v>
      </c>
      <c r="AG462" s="4" t="str">
        <f>Table2[[#This Row],[field_fate5]]</f>
        <v>H</v>
      </c>
      <c r="AH462" s="4" t="str">
        <f>Table2[[#This Row],[field_fate2]]</f>
        <v>H</v>
      </c>
      <c r="AI462" s="4" t="str">
        <f>Table2[[#This Row],[field_fate8]]</f>
        <v>H</v>
      </c>
      <c r="AJ462" s="4" t="str">
        <f>Table2[[#This Row],[field_fate10]]</f>
        <v>H</v>
      </c>
      <c r="AK462" s="4" t="b">
        <f>Table2[[#This Row],[field_fate_feb]]=Table2[[#This Row],[field_fate10]]</f>
        <v>1</v>
      </c>
      <c r="AL462" s="43" t="s">
        <v>24</v>
      </c>
      <c r="AM462" s="43" t="b">
        <f>Table2[[#This Row],[cam_fate2]]="NA"</f>
        <v>1</v>
      </c>
      <c r="AN462" s="19" t="str">
        <f>Table2[[#This Row],[cam_fate1]]</f>
        <v>NA</v>
      </c>
      <c r="AO462" s="2" t="s">
        <v>37</v>
      </c>
      <c r="AP462" s="5" t="str">
        <f>Table2[[#This Row],[final_fate1]]</f>
        <v>H</v>
      </c>
      <c r="AQ462" s="6">
        <v>19</v>
      </c>
      <c r="AR462" s="7">
        <v>20</v>
      </c>
      <c r="AS462" s="7">
        <f>Table2[[#This Row],[final_obs_date]]-Table2[[#This Row],[init_date]]</f>
        <v>19</v>
      </c>
      <c r="AT462" s="7">
        <f>(Table2[[#This Row],[final_obs_date2]]-Table2[[#This Row],[estHD]])+16</f>
        <v>17</v>
      </c>
      <c r="AU462" s="38">
        <v>3</v>
      </c>
      <c r="AV462" s="33">
        <v>3</v>
      </c>
      <c r="AW462" s="33">
        <f>Table2[[#This Row],[final_obs_date2]]-Table2[[#This Row],[pen_obs_date]]</f>
        <v>101</v>
      </c>
      <c r="AX462" s="67">
        <v>101</v>
      </c>
      <c r="AY462" s="6">
        <f>Table2[[#This Row],[final_obs_date]]</f>
        <v>101</v>
      </c>
      <c r="AZ462" s="6"/>
      <c r="BA462" s="91" t="s">
        <v>47</v>
      </c>
      <c r="BB462" s="6" t="b">
        <f>Table2[[#This Row],[final_obs_date]]&lt;(Table2[[#This Row],[estHD]]-2)</f>
        <v>0</v>
      </c>
      <c r="BC462" s="24">
        <f>IF(Table2[[#This Row],[field_fate]]="H",1,0)</f>
        <v>1</v>
      </c>
      <c r="BD462" s="16">
        <f>IF(Table2[[#This Row],[cam_fate2]]="H",1,0)</f>
        <v>0</v>
      </c>
      <c r="BE462" s="6" t="b">
        <f>NOT(Table2[[#This Row],[HF_C]]=Table2[[#This Row],[HF]])</f>
        <v>1</v>
      </c>
      <c r="BF462" s="6" t="b">
        <f>NOT(Table2[[#This Row],[cam_fate2]]=Table2[[#This Row],[field_fate3]])</f>
        <v>1</v>
      </c>
      <c r="BG462" s="6" t="b">
        <f>OR(Table2[[#This Row],[field_fate3]]="U",Table2[[#This Row],[field_fate3]]="U-H")</f>
        <v>0</v>
      </c>
      <c r="BH462" s="8">
        <v>88</v>
      </c>
      <c r="BI462" s="8">
        <v>101</v>
      </c>
      <c r="BJ462" s="14">
        <f>IF(ISTEXT(Table2[[#This Row],[j.cam]]),Table2[[#This Row],[j]],Table2[[#This Row],[j.cam]])</f>
        <v>101</v>
      </c>
      <c r="BK462" s="9">
        <v>101</v>
      </c>
      <c r="BL462" s="15">
        <f>IF(ISTEXT(Table2[[#This Row],[k.cam]]), Table2[[#This Row],[k]], Table2[[#This Row],[k.cam]])</f>
        <v>101</v>
      </c>
      <c r="BM462" s="4" t="s">
        <v>24</v>
      </c>
      <c r="BN462" s="8" t="s">
        <v>24</v>
      </c>
      <c r="BO462" s="4">
        <v>5</v>
      </c>
      <c r="BP462" s="4">
        <f>Table2[[#This Row],[final_obs_date]]-Table2[[#This Row],[i]]</f>
        <v>13</v>
      </c>
      <c r="BQ462" s="4" t="b">
        <f>Table2[[#This Row],[final_obs_date2]]&gt;Table2[[#This Row],[estHD]]+3</f>
        <v>0</v>
      </c>
      <c r="BR462" s="4" t="s">
        <v>33</v>
      </c>
      <c r="BS462" s="4" t="s">
        <v>139</v>
      </c>
      <c r="BT462" s="79" t="s">
        <v>1298</v>
      </c>
      <c r="BU462" s="26" t="s">
        <v>252</v>
      </c>
      <c r="BV462" s="79" t="s">
        <v>1645</v>
      </c>
      <c r="BW462" s="49"/>
      <c r="BX462" s="47"/>
      <c r="BY462" s="36" t="s">
        <v>788</v>
      </c>
    </row>
    <row r="463" spans="1:77" hidden="1" x14ac:dyDescent="0.35">
      <c r="A463" s="63">
        <v>20445</v>
      </c>
      <c r="B463" s="2" t="s">
        <v>35</v>
      </c>
      <c r="C463" s="45">
        <v>2020</v>
      </c>
      <c r="D463" s="3">
        <v>29.763860000000001</v>
      </c>
      <c r="E463" s="3">
        <v>-93.146630000000002</v>
      </c>
      <c r="F463" s="3">
        <v>0</v>
      </c>
      <c r="G463" s="3">
        <v>10</v>
      </c>
      <c r="H463" s="3" t="s">
        <v>462</v>
      </c>
      <c r="I463" s="43"/>
      <c r="J463" s="55">
        <v>98</v>
      </c>
      <c r="K463" s="4">
        <v>98</v>
      </c>
      <c r="L463" s="22">
        <f>IF(ISNUMBER(Table2[[#This Row],[estHD]]),ABS(Table2[[#This Row],[HD]]-Table2[[#This Row],[estHD]]),"NA")</f>
        <v>0</v>
      </c>
      <c r="M463" s="4" t="b">
        <f>Table2[[#This Row],[HD]]=Table2[[#This Row],[estHD]]</f>
        <v>1</v>
      </c>
      <c r="N463" s="4" t="str">
        <f>IF(ISNUMBER([1]!Table2[[#This Row],[hatch_date]]),[1]!Table2[[#This Row],[hatch_date]]-19,"NA")</f>
        <v>NA</v>
      </c>
      <c r="O463" s="31">
        <v>79</v>
      </c>
      <c r="P463" s="23">
        <f>IF(ISNUMBER(Table2[[#This Row],[nest_age1]]),ABS(Table2[[#This Row],[nest_age1]]-Table2[[#This Row],[nest_age_feb]]),"NA")</f>
        <v>1</v>
      </c>
      <c r="Q463" s="24">
        <f>IF(ISNUMBER(Table2[[#This Row],[final_obs_int2]]),ABS(Table2[[#This Row],[final_obs_int2]]-Table2[[#This Row],[final_obs_int_feb]]), "NA")</f>
        <v>0</v>
      </c>
      <c r="R463" s="24"/>
      <c r="S463" s="57" t="s">
        <v>88</v>
      </c>
      <c r="T463" s="57" t="str">
        <f>Table2[[#This Row],[camera_old]]</f>
        <v>N</v>
      </c>
      <c r="U463" s="24"/>
      <c r="V463" s="16" t="s">
        <v>24</v>
      </c>
      <c r="W463" s="16">
        <v>18</v>
      </c>
      <c r="X463" s="145">
        <v>3</v>
      </c>
      <c r="Y463" s="147" t="s">
        <v>37</v>
      </c>
      <c r="Z463" s="146" t="s">
        <v>37</v>
      </c>
      <c r="AA463" s="4" t="str">
        <f>Table2[[#This Row],[field_fate]]</f>
        <v>H</v>
      </c>
      <c r="AB463" s="4" t="str">
        <f>Table2[[#This Row],[field_fate2]]</f>
        <v>H</v>
      </c>
      <c r="AC463" s="4" t="str">
        <f>Table2[[#This Row],[field_fate3]]</f>
        <v>H</v>
      </c>
      <c r="AD463" s="4" t="str">
        <f>Table2[[#This Row],[field_fate4]]</f>
        <v>H</v>
      </c>
      <c r="AE463" s="4" t="str">
        <f>Table2[[#This Row],[field_fate5]]</f>
        <v>H</v>
      </c>
      <c r="AF463" s="4" t="str">
        <f>Table2[[#This Row],[field_fate5]]</f>
        <v>H</v>
      </c>
      <c r="AG463" s="4" t="str">
        <f>Table2[[#This Row],[field_fate5]]</f>
        <v>H</v>
      </c>
      <c r="AH463" s="4" t="str">
        <f>Table2[[#This Row],[field_fate2]]</f>
        <v>H</v>
      </c>
      <c r="AI463" s="4" t="str">
        <f>Table2[[#This Row],[field_fate8]]</f>
        <v>H</v>
      </c>
      <c r="AJ463" s="4" t="str">
        <f>Table2[[#This Row],[field_fate10]]</f>
        <v>H</v>
      </c>
      <c r="AK463" s="4" t="b">
        <f>Table2[[#This Row],[field_fate_feb]]=Table2[[#This Row],[field_fate10]]</f>
        <v>1</v>
      </c>
      <c r="AL463" s="43" t="s">
        <v>24</v>
      </c>
      <c r="AM463" s="43" t="b">
        <f>Table2[[#This Row],[cam_fate2]]="NA"</f>
        <v>1</v>
      </c>
      <c r="AN463" s="19" t="str">
        <f>Table2[[#This Row],[cam_fate1]]</f>
        <v>NA</v>
      </c>
      <c r="AO463" s="2" t="s">
        <v>37</v>
      </c>
      <c r="AP463" s="5" t="str">
        <f>Table2[[#This Row],[final_fate1]]</f>
        <v>H</v>
      </c>
      <c r="AQ463" s="6">
        <v>19</v>
      </c>
      <c r="AR463" s="7">
        <v>19</v>
      </c>
      <c r="AS463" s="7">
        <f>Table2[[#This Row],[final_obs_date]]-Table2[[#This Row],[init_date]]</f>
        <v>19</v>
      </c>
      <c r="AT463" s="7">
        <f>(Table2[[#This Row],[final_obs_date2]]-Table2[[#This Row],[estHD]])+16</f>
        <v>16</v>
      </c>
      <c r="AU463" s="38">
        <v>3</v>
      </c>
      <c r="AV463" s="33">
        <v>3</v>
      </c>
      <c r="AW463" s="33">
        <f>Table2[[#This Row],[final_obs_date2]]-Table2[[#This Row],[pen_obs_date]]</f>
        <v>98</v>
      </c>
      <c r="AX463" s="67">
        <v>98</v>
      </c>
      <c r="AY463" s="6">
        <f>Table2[[#This Row],[final_obs_date]]</f>
        <v>98</v>
      </c>
      <c r="AZ463" s="6"/>
      <c r="BA463" s="91" t="s">
        <v>47</v>
      </c>
      <c r="BB463" s="6" t="b">
        <f>Table2[[#This Row],[final_obs_date]]&lt;(Table2[[#This Row],[estHD]]-2)</f>
        <v>0</v>
      </c>
      <c r="BC463" s="24">
        <f>IF(Table2[[#This Row],[field_fate]]="H",1,0)</f>
        <v>1</v>
      </c>
      <c r="BD463" s="16">
        <f>IF(Table2[[#This Row],[cam_fate2]]="H",1,0)</f>
        <v>0</v>
      </c>
      <c r="BE463" s="6" t="b">
        <f>NOT(Table2[[#This Row],[HF_C]]=Table2[[#This Row],[HF]])</f>
        <v>1</v>
      </c>
      <c r="BF463" s="6" t="b">
        <f>NOT(Table2[[#This Row],[cam_fate2]]=Table2[[#This Row],[field_fate3]])</f>
        <v>1</v>
      </c>
      <c r="BG463" s="6" t="b">
        <f>OR(Table2[[#This Row],[field_fate3]]="U",Table2[[#This Row],[field_fate3]]="U-H")</f>
        <v>0</v>
      </c>
      <c r="BH463" s="8">
        <v>92</v>
      </c>
      <c r="BI463" s="8">
        <v>98</v>
      </c>
      <c r="BJ463" s="14">
        <f>IF(ISTEXT(Table2[[#This Row],[j.cam]]),Table2[[#This Row],[j]],Table2[[#This Row],[j.cam]])</f>
        <v>98</v>
      </c>
      <c r="BK463" s="9">
        <v>98</v>
      </c>
      <c r="BL463" s="15">
        <f>IF(ISTEXT(Table2[[#This Row],[k.cam]]), Table2[[#This Row],[k]], Table2[[#This Row],[k.cam]])</f>
        <v>98</v>
      </c>
      <c r="BM463" s="4" t="s">
        <v>24</v>
      </c>
      <c r="BN463" s="8" t="s">
        <v>24</v>
      </c>
      <c r="BO463" s="4">
        <v>3</v>
      </c>
      <c r="BP463" s="4">
        <f>Table2[[#This Row],[final_obs_date]]-Table2[[#This Row],[i]]</f>
        <v>6</v>
      </c>
      <c r="BQ463" s="4" t="b">
        <f>Table2[[#This Row],[final_obs_date2]]&gt;Table2[[#This Row],[estHD]]+3</f>
        <v>0</v>
      </c>
      <c r="BR463" s="4" t="s">
        <v>33</v>
      </c>
      <c r="BS463" s="4" t="s">
        <v>127</v>
      </c>
      <c r="BT463" s="79" t="s">
        <v>1301</v>
      </c>
      <c r="BU463" s="26" t="s">
        <v>345</v>
      </c>
      <c r="BV463" s="79" t="s">
        <v>1583</v>
      </c>
      <c r="BW463" s="49"/>
      <c r="BX463" s="47"/>
      <c r="BY463" s="36" t="s">
        <v>789</v>
      </c>
    </row>
    <row r="464" spans="1:77" hidden="1" x14ac:dyDescent="0.35">
      <c r="A464" s="63">
        <v>20446</v>
      </c>
      <c r="B464" s="2" t="s">
        <v>35</v>
      </c>
      <c r="C464" s="45">
        <v>2020</v>
      </c>
      <c r="D464" s="3">
        <v>29.76688</v>
      </c>
      <c r="E464" s="3">
        <v>-93.160899999999998</v>
      </c>
      <c r="F464" s="3">
        <v>0</v>
      </c>
      <c r="G464" s="3">
        <v>0</v>
      </c>
      <c r="H464" s="3" t="s">
        <v>462</v>
      </c>
      <c r="I464" s="43"/>
      <c r="J464" s="55">
        <v>104</v>
      </c>
      <c r="K464" s="4">
        <v>104</v>
      </c>
      <c r="L464" s="22">
        <f>IF(ISNUMBER(Table2[[#This Row],[estHD]]),ABS(Table2[[#This Row],[HD]]-Table2[[#This Row],[estHD]]),"NA")</f>
        <v>0</v>
      </c>
      <c r="M464" s="4" t="b">
        <f>Table2[[#This Row],[HD]]=Table2[[#This Row],[estHD]]</f>
        <v>1</v>
      </c>
      <c r="N464" s="4" t="str">
        <f>IF(ISNUMBER([1]!Table2[[#This Row],[hatch_date]]),[1]!Table2[[#This Row],[hatch_date]]-19,"NA")</f>
        <v>NA</v>
      </c>
      <c r="O464" s="31">
        <v>85</v>
      </c>
      <c r="P464" s="23">
        <f>IF(ISNUMBER(Table2[[#This Row],[nest_age1]]),ABS(Table2[[#This Row],[nest_age1]]-Table2[[#This Row],[nest_age_feb]]),"NA")</f>
        <v>1</v>
      </c>
      <c r="Q464" s="24">
        <f>IF(ISNUMBER(Table2[[#This Row],[final_obs_int2]]),ABS(Table2[[#This Row],[final_obs_int2]]-Table2[[#This Row],[final_obs_int_feb]]), "NA")</f>
        <v>0</v>
      </c>
      <c r="R464" s="24"/>
      <c r="S464" s="57" t="s">
        <v>88</v>
      </c>
      <c r="T464" s="57" t="str">
        <f>Table2[[#This Row],[camera_old]]</f>
        <v>N</v>
      </c>
      <c r="U464" s="24"/>
      <c r="V464" s="16" t="s">
        <v>24</v>
      </c>
      <c r="W464" s="16">
        <v>18</v>
      </c>
      <c r="X464" s="145">
        <v>3</v>
      </c>
      <c r="Y464" s="147" t="s">
        <v>37</v>
      </c>
      <c r="Z464" s="146" t="s">
        <v>37</v>
      </c>
      <c r="AA464" s="4" t="str">
        <f>Table2[[#This Row],[field_fate]]</f>
        <v>H</v>
      </c>
      <c r="AB464" s="4" t="str">
        <f>Table2[[#This Row],[field_fate2]]</f>
        <v>H</v>
      </c>
      <c r="AC464" s="4" t="str">
        <f>Table2[[#This Row],[field_fate3]]</f>
        <v>H</v>
      </c>
      <c r="AD464" s="4" t="str">
        <f>Table2[[#This Row],[field_fate4]]</f>
        <v>H</v>
      </c>
      <c r="AE464" s="4" t="str">
        <f>Table2[[#This Row],[field_fate5]]</f>
        <v>H</v>
      </c>
      <c r="AF464" s="4" t="str">
        <f>Table2[[#This Row],[field_fate5]]</f>
        <v>H</v>
      </c>
      <c r="AG464" s="4" t="str">
        <f>Table2[[#This Row],[field_fate5]]</f>
        <v>H</v>
      </c>
      <c r="AH464" s="4" t="str">
        <f>Table2[[#This Row],[field_fate2]]</f>
        <v>H</v>
      </c>
      <c r="AI464" s="4" t="str">
        <f>Table2[[#This Row],[field_fate8]]</f>
        <v>H</v>
      </c>
      <c r="AJ464" s="4" t="str">
        <f>Table2[[#This Row],[field_fate10]]</f>
        <v>H</v>
      </c>
      <c r="AK464" s="4" t="b">
        <f>Table2[[#This Row],[field_fate_feb]]=Table2[[#This Row],[field_fate10]]</f>
        <v>1</v>
      </c>
      <c r="AL464" s="43" t="s">
        <v>24</v>
      </c>
      <c r="AM464" s="43" t="b">
        <f>Table2[[#This Row],[cam_fate2]]="NA"</f>
        <v>1</v>
      </c>
      <c r="AN464" s="19" t="str">
        <f>Table2[[#This Row],[cam_fate1]]</f>
        <v>NA</v>
      </c>
      <c r="AO464" s="2" t="s">
        <v>37</v>
      </c>
      <c r="AP464" s="5" t="str">
        <f>Table2[[#This Row],[final_fate1]]</f>
        <v>H</v>
      </c>
      <c r="AQ464" s="6">
        <v>19</v>
      </c>
      <c r="AR464" s="7">
        <v>19</v>
      </c>
      <c r="AS464" s="7">
        <f>Table2[[#This Row],[final_obs_date]]-Table2[[#This Row],[init_date]]</f>
        <v>19</v>
      </c>
      <c r="AT464" s="7">
        <f>(Table2[[#This Row],[final_obs_date2]]-Table2[[#This Row],[estHD]])+16</f>
        <v>16</v>
      </c>
      <c r="AU464" s="38">
        <v>3</v>
      </c>
      <c r="AV464" s="33">
        <v>3</v>
      </c>
      <c r="AW464" s="33">
        <f>Table2[[#This Row],[final_obs_date2]]-Table2[[#This Row],[pen_obs_date]]</f>
        <v>104</v>
      </c>
      <c r="AX464" s="67">
        <v>104</v>
      </c>
      <c r="AY464" s="6">
        <f>Table2[[#This Row],[final_obs_date]]</f>
        <v>104</v>
      </c>
      <c r="AZ464" s="6"/>
      <c r="BA464" s="91" t="s">
        <v>47</v>
      </c>
      <c r="BB464" s="6" t="b">
        <f>Table2[[#This Row],[final_obs_date]]&lt;(Table2[[#This Row],[estHD]]-2)</f>
        <v>0</v>
      </c>
      <c r="BC464" s="24">
        <f>IF(Table2[[#This Row],[field_fate]]="H",1,0)</f>
        <v>1</v>
      </c>
      <c r="BD464" s="16">
        <f>IF(Table2[[#This Row],[cam_fate2]]="H",1,0)</f>
        <v>0</v>
      </c>
      <c r="BE464" s="6" t="b">
        <f>NOT(Table2[[#This Row],[HF_C]]=Table2[[#This Row],[HF]])</f>
        <v>1</v>
      </c>
      <c r="BF464" s="6" t="b">
        <f>NOT(Table2[[#This Row],[cam_fate2]]=Table2[[#This Row],[field_fate3]])</f>
        <v>1</v>
      </c>
      <c r="BG464" s="6" t="b">
        <f>OR(Table2[[#This Row],[field_fate3]]="U",Table2[[#This Row],[field_fate3]]="U-H")</f>
        <v>0</v>
      </c>
      <c r="BH464" s="8">
        <v>92</v>
      </c>
      <c r="BI464" s="8">
        <v>104</v>
      </c>
      <c r="BJ464" s="14">
        <f>IF(ISTEXT(Table2[[#This Row],[j.cam]]),Table2[[#This Row],[j]],Table2[[#This Row],[j.cam]])</f>
        <v>104</v>
      </c>
      <c r="BK464" s="9">
        <v>104</v>
      </c>
      <c r="BL464" s="15">
        <f>IF(ISTEXT(Table2[[#This Row],[k.cam]]), Table2[[#This Row],[k]], Table2[[#This Row],[k.cam]])</f>
        <v>104</v>
      </c>
      <c r="BM464" s="4" t="s">
        <v>24</v>
      </c>
      <c r="BN464" s="8" t="s">
        <v>24</v>
      </c>
      <c r="BO464" s="4">
        <v>5</v>
      </c>
      <c r="BP464" s="4">
        <f>Table2[[#This Row],[final_obs_date]]-Table2[[#This Row],[i]]</f>
        <v>12</v>
      </c>
      <c r="BQ464" s="4" t="b">
        <f>Table2[[#This Row],[final_obs_date2]]&gt;Table2[[#This Row],[estHD]]+3</f>
        <v>0</v>
      </c>
      <c r="BR464" s="4" t="s">
        <v>66</v>
      </c>
      <c r="BS464" s="4" t="s">
        <v>127</v>
      </c>
      <c r="BT464" s="79" t="s">
        <v>1302</v>
      </c>
      <c r="BU464" s="26" t="s">
        <v>346</v>
      </c>
      <c r="BV464" s="79" t="s">
        <v>1647</v>
      </c>
      <c r="BW464" s="49"/>
      <c r="BX464" s="47"/>
      <c r="BY464" s="36" t="s">
        <v>790</v>
      </c>
    </row>
    <row r="465" spans="1:77" hidden="1" x14ac:dyDescent="0.35">
      <c r="A465" s="63">
        <v>20447</v>
      </c>
      <c r="B465" s="2" t="s">
        <v>35</v>
      </c>
      <c r="C465" s="45">
        <v>2020</v>
      </c>
      <c r="D465" s="3">
        <v>29.766960000000001</v>
      </c>
      <c r="E465" s="3">
        <v>-93.161069999999995</v>
      </c>
      <c r="F465" s="3">
        <v>0</v>
      </c>
      <c r="G465" s="3">
        <v>0</v>
      </c>
      <c r="H465" s="3" t="s">
        <v>462</v>
      </c>
      <c r="I465" s="43"/>
      <c r="J465" s="55">
        <v>105</v>
      </c>
      <c r="K465" s="4">
        <v>104</v>
      </c>
      <c r="L465" s="22">
        <f>IF(ISNUMBER(Table2[[#This Row],[estHD]]),ABS(Table2[[#This Row],[HD]]-Table2[[#This Row],[estHD]]),"NA")</f>
        <v>1</v>
      </c>
      <c r="M465" s="4" t="b">
        <f>Table2[[#This Row],[HD]]=Table2[[#This Row],[estHD]]</f>
        <v>0</v>
      </c>
      <c r="N465" s="4" t="str">
        <f>IF(ISNUMBER([1]!Table2[[#This Row],[hatch_date]]),[1]!Table2[[#This Row],[hatch_date]]-19,"NA")</f>
        <v>NA</v>
      </c>
      <c r="O465" s="31">
        <v>85</v>
      </c>
      <c r="P465" s="23">
        <f>IF(ISNUMBER(Table2[[#This Row],[nest_age1]]),ABS(Table2[[#This Row],[nest_age1]]-Table2[[#This Row],[nest_age_feb]]),"NA")</f>
        <v>2</v>
      </c>
      <c r="Q465" s="24">
        <f>IF(ISNUMBER(Table2[[#This Row],[final_obs_int2]]),ABS(Table2[[#This Row],[final_obs_int2]]-Table2[[#This Row],[final_obs_int_feb]]), "NA")</f>
        <v>0</v>
      </c>
      <c r="R465" s="24"/>
      <c r="S465" s="57" t="s">
        <v>88</v>
      </c>
      <c r="T465" s="57" t="str">
        <f>Table2[[#This Row],[camera_old]]</f>
        <v>N</v>
      </c>
      <c r="U465" s="24"/>
      <c r="V465" s="16" t="s">
        <v>24</v>
      </c>
      <c r="W465" s="16">
        <v>17</v>
      </c>
      <c r="X465" s="145">
        <v>3</v>
      </c>
      <c r="Y465" s="147" t="s">
        <v>37</v>
      </c>
      <c r="Z465" s="146" t="s">
        <v>37</v>
      </c>
      <c r="AA465" s="4" t="str">
        <f>Table2[[#This Row],[field_fate]]</f>
        <v>H</v>
      </c>
      <c r="AB465" s="4" t="str">
        <f>Table2[[#This Row],[field_fate2]]</f>
        <v>H</v>
      </c>
      <c r="AC465" s="4" t="str">
        <f>Table2[[#This Row],[field_fate3]]</f>
        <v>H</v>
      </c>
      <c r="AD465" s="4" t="str">
        <f>Table2[[#This Row],[field_fate4]]</f>
        <v>H</v>
      </c>
      <c r="AE465" s="4" t="str">
        <f>Table2[[#This Row],[field_fate5]]</f>
        <v>H</v>
      </c>
      <c r="AF465" s="4" t="str">
        <f>Table2[[#This Row],[field_fate5]]</f>
        <v>H</v>
      </c>
      <c r="AG465" s="4" t="str">
        <f>Table2[[#This Row],[field_fate5]]</f>
        <v>H</v>
      </c>
      <c r="AH465" s="4" t="str">
        <f>Table2[[#This Row],[field_fate2]]</f>
        <v>H</v>
      </c>
      <c r="AI465" s="4" t="str">
        <f>Table2[[#This Row],[field_fate8]]</f>
        <v>H</v>
      </c>
      <c r="AJ465" s="4" t="str">
        <f>Table2[[#This Row],[field_fate10]]</f>
        <v>H</v>
      </c>
      <c r="AK465" s="4" t="b">
        <f>Table2[[#This Row],[field_fate_feb]]=Table2[[#This Row],[field_fate10]]</f>
        <v>1</v>
      </c>
      <c r="AL465" s="43" t="s">
        <v>24</v>
      </c>
      <c r="AM465" s="43" t="b">
        <f>Table2[[#This Row],[cam_fate2]]="NA"</f>
        <v>1</v>
      </c>
      <c r="AN465" s="19" t="str">
        <f>Table2[[#This Row],[cam_fate1]]</f>
        <v>NA</v>
      </c>
      <c r="AO465" s="2" t="s">
        <v>37</v>
      </c>
      <c r="AP465" s="5" t="str">
        <f>Table2[[#This Row],[final_fate1]]</f>
        <v>H</v>
      </c>
      <c r="AQ465" s="6">
        <v>19</v>
      </c>
      <c r="AR465" s="7">
        <v>18</v>
      </c>
      <c r="AS465" s="7">
        <f>Table2[[#This Row],[final_obs_date]]-Table2[[#This Row],[init_date]]</f>
        <v>19</v>
      </c>
      <c r="AT465" s="7">
        <f>(Table2[[#This Row],[final_obs_date2]]-Table2[[#This Row],[estHD]])+16</f>
        <v>15</v>
      </c>
      <c r="AU465" s="38">
        <v>3</v>
      </c>
      <c r="AV465" s="33">
        <v>3</v>
      </c>
      <c r="AW465" s="33">
        <f>Table2[[#This Row],[final_obs_date2]]-Table2[[#This Row],[pen_obs_date]]</f>
        <v>104</v>
      </c>
      <c r="AX465" s="67">
        <v>104</v>
      </c>
      <c r="AY465" s="6">
        <f>Table2[[#This Row],[final_obs_date]]</f>
        <v>104</v>
      </c>
      <c r="AZ465" s="6"/>
      <c r="BA465" s="91" t="s">
        <v>47</v>
      </c>
      <c r="BB465" s="6" t="b">
        <f>Table2[[#This Row],[final_obs_date]]&lt;(Table2[[#This Row],[estHD]]-2)</f>
        <v>0</v>
      </c>
      <c r="BC465" s="24">
        <f>IF(Table2[[#This Row],[field_fate]]="H",1,0)</f>
        <v>1</v>
      </c>
      <c r="BD465" s="16">
        <f>IF(Table2[[#This Row],[cam_fate2]]="H",1,0)</f>
        <v>0</v>
      </c>
      <c r="BE465" s="6" t="b">
        <f>NOT(Table2[[#This Row],[HF_C]]=Table2[[#This Row],[HF]])</f>
        <v>1</v>
      </c>
      <c r="BF465" s="6" t="b">
        <f>NOT(Table2[[#This Row],[cam_fate2]]=Table2[[#This Row],[field_fate3]])</f>
        <v>1</v>
      </c>
      <c r="BG465" s="6" t="b">
        <f>OR(Table2[[#This Row],[field_fate3]]="U",Table2[[#This Row],[field_fate3]]="U-H")</f>
        <v>0</v>
      </c>
      <c r="BH465" s="8">
        <v>92</v>
      </c>
      <c r="BI465" s="8">
        <v>104</v>
      </c>
      <c r="BJ465" s="14">
        <f>IF(ISTEXT(Table2[[#This Row],[j.cam]]),Table2[[#This Row],[j]],Table2[[#This Row],[j.cam]])</f>
        <v>104</v>
      </c>
      <c r="BK465" s="9">
        <v>104</v>
      </c>
      <c r="BL465" s="15">
        <f>IF(ISTEXT(Table2[[#This Row],[k.cam]]), Table2[[#This Row],[k]], Table2[[#This Row],[k.cam]])</f>
        <v>104</v>
      </c>
      <c r="BM465" s="4" t="s">
        <v>24</v>
      </c>
      <c r="BN465" s="8" t="s">
        <v>24</v>
      </c>
      <c r="BO465" s="4">
        <v>5</v>
      </c>
      <c r="BP465" s="4">
        <f>Table2[[#This Row],[final_obs_date]]-Table2[[#This Row],[i]]</f>
        <v>12</v>
      </c>
      <c r="BQ465" s="4" t="b">
        <f>Table2[[#This Row],[final_obs_date2]]&gt;Table2[[#This Row],[estHD]]+3</f>
        <v>0</v>
      </c>
      <c r="BR465" s="4" t="s">
        <v>66</v>
      </c>
      <c r="BS465" s="4" t="s">
        <v>127</v>
      </c>
      <c r="BT465" s="79" t="s">
        <v>1302</v>
      </c>
      <c r="BU465" s="26" t="s">
        <v>232</v>
      </c>
      <c r="BV465" s="79" t="s">
        <v>1647</v>
      </c>
      <c r="BW465" s="49"/>
      <c r="BX465" s="47"/>
      <c r="BY465" s="36" t="s">
        <v>790</v>
      </c>
    </row>
    <row r="466" spans="1:77" hidden="1" x14ac:dyDescent="0.35">
      <c r="A466" s="63">
        <v>20448</v>
      </c>
      <c r="B466" s="2" t="s">
        <v>35</v>
      </c>
      <c r="C466" s="45">
        <v>2020</v>
      </c>
      <c r="D466" s="3">
        <v>29.766950000000001</v>
      </c>
      <c r="E466" s="3">
        <v>-93.161079999999998</v>
      </c>
      <c r="F466" s="3">
        <v>0</v>
      </c>
      <c r="G466" s="3">
        <v>0</v>
      </c>
      <c r="H466" s="3" t="s">
        <v>462</v>
      </c>
      <c r="I466" s="43"/>
      <c r="J466" s="55">
        <v>107</v>
      </c>
      <c r="K466" s="4">
        <v>107</v>
      </c>
      <c r="L466" s="22">
        <f>IF(ISNUMBER(Table2[[#This Row],[estHD]]),ABS(Table2[[#This Row],[HD]]-Table2[[#This Row],[estHD]]),"NA")</f>
        <v>0</v>
      </c>
      <c r="M466" s="4" t="b">
        <f>Table2[[#This Row],[HD]]=Table2[[#This Row],[estHD]]</f>
        <v>1</v>
      </c>
      <c r="N466" s="4" t="str">
        <f>IF(ISNUMBER([1]!Table2[[#This Row],[hatch_date]]),[1]!Table2[[#This Row],[hatch_date]]-19,"NA")</f>
        <v>NA</v>
      </c>
      <c r="O466" s="31">
        <v>88</v>
      </c>
      <c r="P466" s="23">
        <f>IF(ISNUMBER(Table2[[#This Row],[nest_age1]]),ABS(Table2[[#This Row],[nest_age1]]-Table2[[#This Row],[nest_age_feb]]),"NA")</f>
        <v>1</v>
      </c>
      <c r="Q466" s="24">
        <f>IF(ISNUMBER(Table2[[#This Row],[final_obs_int2]]),ABS(Table2[[#This Row],[final_obs_int2]]-Table2[[#This Row],[final_obs_int_feb]]), "NA")</f>
        <v>0</v>
      </c>
      <c r="R466" s="24"/>
      <c r="S466" s="57" t="s">
        <v>88</v>
      </c>
      <c r="T466" s="57" t="str">
        <f>Table2[[#This Row],[camera_old]]</f>
        <v>N</v>
      </c>
      <c r="U466" s="24"/>
      <c r="V466" s="16" t="s">
        <v>24</v>
      </c>
      <c r="W466" s="16">
        <v>6</v>
      </c>
      <c r="X466" s="145">
        <v>3</v>
      </c>
      <c r="Y466" s="147" t="s">
        <v>65</v>
      </c>
      <c r="Z466" s="146" t="s">
        <v>65</v>
      </c>
      <c r="AA466" s="4" t="str">
        <f>Table2[[#This Row],[field_fate]]</f>
        <v>Ca</v>
      </c>
      <c r="AB466" s="4" t="str">
        <f>Table2[[#This Row],[field_fate2]]</f>
        <v>Ca</v>
      </c>
      <c r="AC466" s="4" t="str">
        <f>Table2[[#This Row],[field_fate3]]</f>
        <v>Ca</v>
      </c>
      <c r="AD466" s="4" t="str">
        <f>Table2[[#This Row],[field_fate4]]</f>
        <v>Ca</v>
      </c>
      <c r="AE466" s="4" t="str">
        <f>Table2[[#This Row],[field_fate5]]</f>
        <v>Ca</v>
      </c>
      <c r="AF466" s="4" t="str">
        <f>Table2[[#This Row],[field_fate5]]</f>
        <v>Ca</v>
      </c>
      <c r="AG466" s="4" t="str">
        <f>Table2[[#This Row],[field_fate5]]</f>
        <v>Ca</v>
      </c>
      <c r="AH466" s="4" t="str">
        <f>Table2[[#This Row],[field_fate2]]</f>
        <v>Ca</v>
      </c>
      <c r="AI466" s="4" t="str">
        <f>Table2[[#This Row],[field_fate8]]</f>
        <v>Ca</v>
      </c>
      <c r="AJ466" s="4" t="str">
        <f>Table2[[#This Row],[field_fate10]]</f>
        <v>Ca</v>
      </c>
      <c r="AK466" s="4" t="b">
        <f>Table2[[#This Row],[field_fate_feb]]=Table2[[#This Row],[field_fate10]]</f>
        <v>1</v>
      </c>
      <c r="AL466" s="43" t="s">
        <v>24</v>
      </c>
      <c r="AM466" s="43" t="b">
        <f>Table2[[#This Row],[cam_fate2]]="NA"</f>
        <v>1</v>
      </c>
      <c r="AN466" s="19" t="str">
        <f>Table2[[#This Row],[cam_fate1]]</f>
        <v>NA</v>
      </c>
      <c r="AO466" s="2" t="s">
        <v>65</v>
      </c>
      <c r="AP466" s="5" t="str">
        <f>Table2[[#This Row],[final_fate1]]</f>
        <v>Ca</v>
      </c>
      <c r="AQ466" s="6">
        <v>7</v>
      </c>
      <c r="AR466" s="7">
        <v>7</v>
      </c>
      <c r="AS466" s="7">
        <f>Table2[[#This Row],[final_obs_date]]-Table2[[#This Row],[init_date]]</f>
        <v>7</v>
      </c>
      <c r="AT466" s="7">
        <f>(Table2[[#This Row],[final_obs_date2]]-Table2[[#This Row],[estHD]])+16</f>
        <v>4</v>
      </c>
      <c r="AU466" s="38">
        <v>3</v>
      </c>
      <c r="AV466" s="33">
        <v>3</v>
      </c>
      <c r="AW466" s="33">
        <f>Table2[[#This Row],[final_obs_date2]]-Table2[[#This Row],[pen_obs_date]]</f>
        <v>95</v>
      </c>
      <c r="AX466" s="67">
        <v>95</v>
      </c>
      <c r="AY466" s="6">
        <f>Table2[[#This Row],[final_obs_date]]</f>
        <v>95</v>
      </c>
      <c r="AZ466" s="6"/>
      <c r="BA466" s="91" t="s">
        <v>47</v>
      </c>
      <c r="BB466" s="6" t="b">
        <f>Table2[[#This Row],[final_obs_date]]&lt;(Table2[[#This Row],[estHD]]-2)</f>
        <v>1</v>
      </c>
      <c r="BC466" s="24">
        <f>IF(Table2[[#This Row],[field_fate]]="H",1,0)</f>
        <v>0</v>
      </c>
      <c r="BD466" s="16">
        <f>IF(Table2[[#This Row],[cam_fate2]]="H",1,0)</f>
        <v>0</v>
      </c>
      <c r="BE466" s="6" t="b">
        <f>NOT(Table2[[#This Row],[HF_C]]=Table2[[#This Row],[HF]])</f>
        <v>0</v>
      </c>
      <c r="BF466" s="6" t="b">
        <f>NOT(Table2[[#This Row],[cam_fate2]]=Table2[[#This Row],[field_fate3]])</f>
        <v>1</v>
      </c>
      <c r="BG466" s="6" t="b">
        <f>OR(Table2[[#This Row],[field_fate3]]="U",Table2[[#This Row],[field_fate3]]="U-H")</f>
        <v>0</v>
      </c>
      <c r="BH466" s="8">
        <v>92</v>
      </c>
      <c r="BI466" s="8">
        <v>92</v>
      </c>
      <c r="BJ466" s="14">
        <f>IF(ISTEXT(Table2[[#This Row],[j.cam]]),Table2[[#This Row],[j]],Table2[[#This Row],[j.cam]])</f>
        <v>92</v>
      </c>
      <c r="BK466" s="9">
        <v>95</v>
      </c>
      <c r="BL466" s="15">
        <f>IF(ISTEXT(Table2[[#This Row],[k.cam]]), Table2[[#This Row],[k]], Table2[[#This Row],[k.cam]])</f>
        <v>95</v>
      </c>
      <c r="BM466" s="4" t="s">
        <v>24</v>
      </c>
      <c r="BN466" s="8" t="s">
        <v>24</v>
      </c>
      <c r="BO466" s="4">
        <v>2</v>
      </c>
      <c r="BP466" s="4">
        <f>Table2[[#This Row],[final_obs_date]]-Table2[[#This Row],[i]]</f>
        <v>3</v>
      </c>
      <c r="BQ466" s="4" t="b">
        <f>Table2[[#This Row],[final_obs_date2]]&gt;Table2[[#This Row],[estHD]]+3</f>
        <v>0</v>
      </c>
      <c r="BR466" s="4" t="s">
        <v>33</v>
      </c>
      <c r="BS466" s="4" t="s">
        <v>45</v>
      </c>
      <c r="BT466" s="79" t="s">
        <v>1303</v>
      </c>
      <c r="BU466" s="26" t="s">
        <v>87</v>
      </c>
      <c r="BV466" s="79" t="s">
        <v>1430</v>
      </c>
      <c r="BW466" s="49"/>
      <c r="BX466" s="47"/>
      <c r="BY466" s="36" t="s">
        <v>791</v>
      </c>
    </row>
    <row r="467" spans="1:77" hidden="1" x14ac:dyDescent="0.35">
      <c r="A467" s="63">
        <v>20449</v>
      </c>
      <c r="B467" s="2" t="s">
        <v>35</v>
      </c>
      <c r="C467" s="45">
        <v>2020</v>
      </c>
      <c r="D467" s="3">
        <v>29.767040000000001</v>
      </c>
      <c r="E467" s="3">
        <v>-93.161029999999997</v>
      </c>
      <c r="F467" s="3">
        <v>0</v>
      </c>
      <c r="G467" s="3">
        <v>10</v>
      </c>
      <c r="H467" s="3" t="s">
        <v>462</v>
      </c>
      <c r="I467" s="43"/>
      <c r="J467" s="55">
        <v>105</v>
      </c>
      <c r="K467" s="4">
        <v>105</v>
      </c>
      <c r="L467" s="22">
        <f>IF(ISNUMBER(Table2[[#This Row],[estHD]]),ABS(Table2[[#This Row],[HD]]-Table2[[#This Row],[estHD]]),"NA")</f>
        <v>0</v>
      </c>
      <c r="M467" s="4" t="b">
        <f>Table2[[#This Row],[HD]]=Table2[[#This Row],[estHD]]</f>
        <v>1</v>
      </c>
      <c r="N467" s="4" t="str">
        <f>IF(ISNUMBER([1]!Table2[[#This Row],[hatch_date]]),[1]!Table2[[#This Row],[hatch_date]]-19,"NA")</f>
        <v>NA</v>
      </c>
      <c r="O467" s="31">
        <v>86</v>
      </c>
      <c r="P467" s="23">
        <f>IF(ISNUMBER(Table2[[#This Row],[nest_age1]]),ABS(Table2[[#This Row],[nest_age1]]-Table2[[#This Row],[nest_age_feb]]),"NA")</f>
        <v>1</v>
      </c>
      <c r="Q467" s="24">
        <f>IF(ISNUMBER(Table2[[#This Row],[final_obs_int2]]),ABS(Table2[[#This Row],[final_obs_int2]]-Table2[[#This Row],[final_obs_int_feb]]), "NA")</f>
        <v>0</v>
      </c>
      <c r="R467" s="24"/>
      <c r="S467" s="57" t="s">
        <v>88</v>
      </c>
      <c r="T467" s="57" t="str">
        <f>Table2[[#This Row],[camera_old]]</f>
        <v>N</v>
      </c>
      <c r="U467" s="24"/>
      <c r="V467" s="16" t="s">
        <v>24</v>
      </c>
      <c r="W467" s="16">
        <v>17</v>
      </c>
      <c r="X467" s="145">
        <v>3</v>
      </c>
      <c r="Y467" s="147" t="s">
        <v>48</v>
      </c>
      <c r="Z467" s="146" t="s">
        <v>48</v>
      </c>
      <c r="AA467" s="4" t="str">
        <f>Table2[[#This Row],[field_fate]]</f>
        <v>F</v>
      </c>
      <c r="AB467" s="4" t="str">
        <f>Table2[[#This Row],[field_fate2]]</f>
        <v>F</v>
      </c>
      <c r="AC467" s="4" t="str">
        <f>Table2[[#This Row],[field_fate3]]</f>
        <v>F</v>
      </c>
      <c r="AD467" s="4" t="str">
        <f>Table2[[#This Row],[field_fate4]]</f>
        <v>F</v>
      </c>
      <c r="AE467" s="4" t="str">
        <f>Table2[[#This Row],[field_fate5]]</f>
        <v>F</v>
      </c>
      <c r="AF467" s="4" t="str">
        <f>Table2[[#This Row],[field_fate5]]</f>
        <v>F</v>
      </c>
      <c r="AG467" s="4" t="str">
        <f>Table2[[#This Row],[field_fate5]]</f>
        <v>F</v>
      </c>
      <c r="AH467" s="4" t="str">
        <f>Table2[[#This Row],[field_fate2]]</f>
        <v>F</v>
      </c>
      <c r="AI467" s="4" t="str">
        <f>Table2[[#This Row],[field_fate8]]</f>
        <v>F</v>
      </c>
      <c r="AJ467" s="4" t="str">
        <f>Table2[[#This Row],[field_fate10]]</f>
        <v>F</v>
      </c>
      <c r="AK467" s="4" t="b">
        <f>Table2[[#This Row],[field_fate_feb]]=Table2[[#This Row],[field_fate10]]</f>
        <v>1</v>
      </c>
      <c r="AL467" s="43" t="s">
        <v>24</v>
      </c>
      <c r="AM467" s="43" t="b">
        <f>Table2[[#This Row],[cam_fate2]]="NA"</f>
        <v>1</v>
      </c>
      <c r="AN467" s="19" t="str">
        <f>Table2[[#This Row],[cam_fate1]]</f>
        <v>NA</v>
      </c>
      <c r="AO467" s="2" t="s">
        <v>48</v>
      </c>
      <c r="AP467" s="5" t="str">
        <f>Table2[[#This Row],[final_fate1]]</f>
        <v>F</v>
      </c>
      <c r="AQ467" s="6">
        <v>18</v>
      </c>
      <c r="AR467" s="7">
        <v>18</v>
      </c>
      <c r="AS467" s="7">
        <f>Table2[[#This Row],[final_obs_date]]-Table2[[#This Row],[init_date]]</f>
        <v>18</v>
      </c>
      <c r="AT467" s="7">
        <f>(Table2[[#This Row],[final_obs_date2]]-Table2[[#This Row],[estHD]])+16</f>
        <v>15</v>
      </c>
      <c r="AU467" s="38">
        <v>3</v>
      </c>
      <c r="AV467" s="33">
        <v>3</v>
      </c>
      <c r="AW467" s="33">
        <f>Table2[[#This Row],[final_obs_date2]]-Table2[[#This Row],[pen_obs_date]]</f>
        <v>104</v>
      </c>
      <c r="AX467" s="67">
        <v>104</v>
      </c>
      <c r="AY467" s="6">
        <f>Table2[[#This Row],[final_obs_date]]</f>
        <v>104</v>
      </c>
      <c r="AZ467" s="6"/>
      <c r="BA467" s="91" t="s">
        <v>47</v>
      </c>
      <c r="BB467" s="6" t="b">
        <f>Table2[[#This Row],[final_obs_date]]&lt;(Table2[[#This Row],[estHD]]-2)</f>
        <v>0</v>
      </c>
      <c r="BC467" s="24">
        <f>IF(Table2[[#This Row],[field_fate]]="H",1,0)</f>
        <v>0</v>
      </c>
      <c r="BD467" s="16">
        <f>IF(Table2[[#This Row],[cam_fate2]]="H",1,0)</f>
        <v>0</v>
      </c>
      <c r="BE467" s="6" t="b">
        <f>NOT(Table2[[#This Row],[HF_C]]=Table2[[#This Row],[HF]])</f>
        <v>0</v>
      </c>
      <c r="BF467" s="6" t="b">
        <f>NOT(Table2[[#This Row],[cam_fate2]]=Table2[[#This Row],[field_fate3]])</f>
        <v>1</v>
      </c>
      <c r="BG467" s="6" t="b">
        <f>OR(Table2[[#This Row],[field_fate3]]="U",Table2[[#This Row],[field_fate3]]="U-H")</f>
        <v>0</v>
      </c>
      <c r="BH467" s="8">
        <v>92</v>
      </c>
      <c r="BI467" s="8">
        <v>101</v>
      </c>
      <c r="BJ467" s="14">
        <f>IF(ISTEXT(Table2[[#This Row],[j.cam]]),Table2[[#This Row],[j]],Table2[[#This Row],[j.cam]])</f>
        <v>101</v>
      </c>
      <c r="BK467" s="9">
        <v>104</v>
      </c>
      <c r="BL467" s="15">
        <f>IF(ISTEXT(Table2[[#This Row],[k.cam]]), Table2[[#This Row],[k]], Table2[[#This Row],[k.cam]])</f>
        <v>104</v>
      </c>
      <c r="BM467" s="4" t="s">
        <v>24</v>
      </c>
      <c r="BN467" s="8" t="s">
        <v>24</v>
      </c>
      <c r="BO467" s="4">
        <v>5</v>
      </c>
      <c r="BP467" s="4">
        <f>Table2[[#This Row],[final_obs_date]]-Table2[[#This Row],[i]]</f>
        <v>12</v>
      </c>
      <c r="BQ467" s="4" t="b">
        <f>Table2[[#This Row],[final_obs_date2]]&gt;Table2[[#This Row],[estHD]]+3</f>
        <v>0</v>
      </c>
      <c r="BR467" s="4" t="s">
        <v>66</v>
      </c>
      <c r="BS467" s="4" t="s">
        <v>45</v>
      </c>
      <c r="BT467" s="79" t="s">
        <v>1302</v>
      </c>
      <c r="BU467" s="26" t="s">
        <v>347</v>
      </c>
      <c r="BV467" s="79" t="s">
        <v>1647</v>
      </c>
      <c r="BW467" s="49"/>
      <c r="BX467" s="47"/>
      <c r="BY467" s="36" t="s">
        <v>792</v>
      </c>
    </row>
    <row r="468" spans="1:77" hidden="1" x14ac:dyDescent="0.35">
      <c r="A468" s="63">
        <v>20450</v>
      </c>
      <c r="B468" s="2" t="s">
        <v>35</v>
      </c>
      <c r="C468" s="45">
        <v>2020</v>
      </c>
      <c r="D468" s="3">
        <v>29.766999999999999</v>
      </c>
      <c r="E468" s="3">
        <v>-93.161100000000005</v>
      </c>
      <c r="F468" s="3">
        <v>40</v>
      </c>
      <c r="G468" s="3">
        <v>30</v>
      </c>
      <c r="H468" s="3" t="s">
        <v>462</v>
      </c>
      <c r="I468" s="43"/>
      <c r="J468" s="55">
        <v>102</v>
      </c>
      <c r="K468" s="4">
        <v>101</v>
      </c>
      <c r="L468" s="22">
        <f>IF(ISNUMBER(Table2[[#This Row],[estHD]]),ABS(Table2[[#This Row],[HD]]-Table2[[#This Row],[estHD]]),"NA")</f>
        <v>1</v>
      </c>
      <c r="M468" s="4" t="b">
        <f>Table2[[#This Row],[HD]]=Table2[[#This Row],[estHD]]</f>
        <v>0</v>
      </c>
      <c r="N468" s="4" t="str">
        <f>IF(ISNUMBER([1]!Table2[[#This Row],[hatch_date]]),[1]!Table2[[#This Row],[hatch_date]]-19,"NA")</f>
        <v>NA</v>
      </c>
      <c r="O468" s="31">
        <v>82</v>
      </c>
      <c r="P468" s="23">
        <f>IF(ISNUMBER(Table2[[#This Row],[nest_age1]]),ABS(Table2[[#This Row],[nest_age1]]-Table2[[#This Row],[nest_age_feb]]),"NA")</f>
        <v>2</v>
      </c>
      <c r="Q468" s="24">
        <f>IF(ISNUMBER(Table2[[#This Row],[final_obs_int2]]),ABS(Table2[[#This Row],[final_obs_int2]]-Table2[[#This Row],[final_obs_int_feb]]), "NA")</f>
        <v>0</v>
      </c>
      <c r="R468" s="24"/>
      <c r="S468" s="57" t="s">
        <v>88</v>
      </c>
      <c r="T468" s="57" t="str">
        <f>Table2[[#This Row],[camera_old]]</f>
        <v>N</v>
      </c>
      <c r="U468" s="24"/>
      <c r="V468" s="16" t="s">
        <v>24</v>
      </c>
      <c r="W468" s="16">
        <v>20</v>
      </c>
      <c r="X468" s="145">
        <v>3</v>
      </c>
      <c r="Y468" s="147" t="s">
        <v>37</v>
      </c>
      <c r="Z468" s="146" t="s">
        <v>37</v>
      </c>
      <c r="AA468" s="4" t="str">
        <f>Table2[[#This Row],[field_fate]]</f>
        <v>H</v>
      </c>
      <c r="AB468" s="4" t="str">
        <f>Table2[[#This Row],[field_fate2]]</f>
        <v>H</v>
      </c>
      <c r="AC468" s="4" t="str">
        <f>Table2[[#This Row],[field_fate3]]</f>
        <v>H</v>
      </c>
      <c r="AD468" s="4" t="str">
        <f>Table2[[#This Row],[field_fate4]]</f>
        <v>H</v>
      </c>
      <c r="AE468" s="4" t="str">
        <f>Table2[[#This Row],[field_fate5]]</f>
        <v>H</v>
      </c>
      <c r="AF468" s="4" t="str">
        <f>Table2[[#This Row],[field_fate5]]</f>
        <v>H</v>
      </c>
      <c r="AG468" s="4" t="str">
        <f>Table2[[#This Row],[field_fate5]]</f>
        <v>H</v>
      </c>
      <c r="AH468" s="4" t="str">
        <f>Table2[[#This Row],[field_fate2]]</f>
        <v>H</v>
      </c>
      <c r="AI468" s="4" t="str">
        <f>Table2[[#This Row],[field_fate8]]</f>
        <v>H</v>
      </c>
      <c r="AJ468" s="4" t="str">
        <f>Table2[[#This Row],[field_fate10]]</f>
        <v>H</v>
      </c>
      <c r="AK468" s="4" t="b">
        <f>Table2[[#This Row],[field_fate_feb]]=Table2[[#This Row],[field_fate10]]</f>
        <v>1</v>
      </c>
      <c r="AL468" s="43" t="s">
        <v>24</v>
      </c>
      <c r="AM468" s="43" t="b">
        <f>Table2[[#This Row],[cam_fate2]]="NA"</f>
        <v>1</v>
      </c>
      <c r="AN468" s="19" t="str">
        <f>Table2[[#This Row],[cam_fate1]]</f>
        <v>NA</v>
      </c>
      <c r="AO468" s="2" t="s">
        <v>37</v>
      </c>
      <c r="AP468" s="5" t="str">
        <f>Table2[[#This Row],[final_fate1]]</f>
        <v>H</v>
      </c>
      <c r="AQ468" s="6">
        <v>22</v>
      </c>
      <c r="AR468" s="7">
        <v>21</v>
      </c>
      <c r="AS468" s="7">
        <f>Table2[[#This Row],[final_obs_date]]-Table2[[#This Row],[init_date]]</f>
        <v>22</v>
      </c>
      <c r="AT468" s="7">
        <f>(Table2[[#This Row],[final_obs_date2]]-Table2[[#This Row],[estHD]])+16</f>
        <v>18</v>
      </c>
      <c r="AU468" s="38">
        <v>3</v>
      </c>
      <c r="AV468" s="33">
        <v>3</v>
      </c>
      <c r="AW468" s="33">
        <f>Table2[[#This Row],[final_obs_date2]]-Table2[[#This Row],[pen_obs_date]]</f>
        <v>104</v>
      </c>
      <c r="AX468" s="67">
        <v>104</v>
      </c>
      <c r="AY468" s="6">
        <f>Table2[[#This Row],[final_obs_date]]</f>
        <v>104</v>
      </c>
      <c r="AZ468" s="6"/>
      <c r="BA468" s="91" t="s">
        <v>47</v>
      </c>
      <c r="BB468" s="6" t="b">
        <f>Table2[[#This Row],[final_obs_date]]&lt;(Table2[[#This Row],[estHD]]-2)</f>
        <v>0</v>
      </c>
      <c r="BC468" s="24">
        <f>IF(Table2[[#This Row],[field_fate]]="H",1,0)</f>
        <v>1</v>
      </c>
      <c r="BD468" s="16">
        <f>IF(Table2[[#This Row],[cam_fate2]]="H",1,0)</f>
        <v>0</v>
      </c>
      <c r="BE468" s="6" t="b">
        <f>NOT(Table2[[#This Row],[HF_C]]=Table2[[#This Row],[HF]])</f>
        <v>1</v>
      </c>
      <c r="BF468" s="6" t="b">
        <f>NOT(Table2[[#This Row],[cam_fate2]]=Table2[[#This Row],[field_fate3]])</f>
        <v>1</v>
      </c>
      <c r="BG468" s="6" t="b">
        <f>OR(Table2[[#This Row],[field_fate3]]="U",Table2[[#This Row],[field_fate3]]="U-H")</f>
        <v>0</v>
      </c>
      <c r="BH468" s="8">
        <v>92</v>
      </c>
      <c r="BI468" s="8">
        <v>101</v>
      </c>
      <c r="BJ468" s="14">
        <f>IF(ISTEXT(Table2[[#This Row],[j.cam]]),Table2[[#This Row],[j]],Table2[[#This Row],[j.cam]])</f>
        <v>101</v>
      </c>
      <c r="BK468" s="9">
        <v>101</v>
      </c>
      <c r="BL468" s="15">
        <f>IF(ISTEXT(Table2[[#This Row],[k.cam]]), Table2[[#This Row],[k]], Table2[[#This Row],[k.cam]])</f>
        <v>101</v>
      </c>
      <c r="BM468" s="4" t="s">
        <v>24</v>
      </c>
      <c r="BN468" s="8" t="s">
        <v>24</v>
      </c>
      <c r="BO468" s="4">
        <v>5</v>
      </c>
      <c r="BP468" s="4">
        <f>Table2[[#This Row],[final_obs_date]]-Table2[[#This Row],[i]]</f>
        <v>12</v>
      </c>
      <c r="BQ468" s="4" t="b">
        <f>Table2[[#This Row],[final_obs_date2]]&gt;Table2[[#This Row],[estHD]]+3</f>
        <v>0</v>
      </c>
      <c r="BR468" s="4" t="s">
        <v>31</v>
      </c>
      <c r="BS468" s="4" t="s">
        <v>45</v>
      </c>
      <c r="BT468" s="79" t="s">
        <v>1302</v>
      </c>
      <c r="BU468" s="26" t="s">
        <v>348</v>
      </c>
      <c r="BV468" s="79" t="s">
        <v>1647</v>
      </c>
      <c r="BW468" s="49"/>
      <c r="BX468" s="47"/>
      <c r="BY468" s="36" t="s">
        <v>793</v>
      </c>
    </row>
    <row r="469" spans="1:77" hidden="1" x14ac:dyDescent="0.35">
      <c r="A469" s="63">
        <v>20451</v>
      </c>
      <c r="B469" s="2" t="s">
        <v>35</v>
      </c>
      <c r="C469" s="45">
        <v>2020</v>
      </c>
      <c r="D469" s="3">
        <v>29.76427</v>
      </c>
      <c r="E469" s="3">
        <v>-93.14828</v>
      </c>
      <c r="F469" s="3">
        <v>30</v>
      </c>
      <c r="G469" s="3">
        <v>30</v>
      </c>
      <c r="H469" s="3" t="s">
        <v>462</v>
      </c>
      <c r="I469" s="43"/>
      <c r="J469" s="55">
        <v>99</v>
      </c>
      <c r="K469" s="4">
        <v>101</v>
      </c>
      <c r="L469" s="22">
        <f>IF(ISNUMBER(Table2[[#This Row],[estHD]]),ABS(Table2[[#This Row],[HD]]-Table2[[#This Row],[estHD]]),"NA")</f>
        <v>2</v>
      </c>
      <c r="M469" s="4" t="b">
        <f>Table2[[#This Row],[HD]]=Table2[[#This Row],[estHD]]</f>
        <v>0</v>
      </c>
      <c r="N469" s="4" t="str">
        <f>IF(ISNUMBER([1]!Table2[[#This Row],[hatch_date]]),[1]!Table2[[#This Row],[hatch_date]]-19,"NA")</f>
        <v>NA</v>
      </c>
      <c r="O469" s="31">
        <v>82</v>
      </c>
      <c r="P469" s="23">
        <f>IF(ISNUMBER(Table2[[#This Row],[nest_age1]]),ABS(Table2[[#This Row],[nest_age1]]-Table2[[#This Row],[nest_age_feb]]),"NA")</f>
        <v>1</v>
      </c>
      <c r="Q469" s="24">
        <f>IF(ISNUMBER(Table2[[#This Row],[final_obs_int2]]),ABS(Table2[[#This Row],[final_obs_int2]]-Table2[[#This Row],[final_obs_int_feb]]), "NA")</f>
        <v>0</v>
      </c>
      <c r="R469" s="24"/>
      <c r="S469" s="57" t="s">
        <v>88</v>
      </c>
      <c r="T469" s="57" t="str">
        <f>Table2[[#This Row],[camera_old]]</f>
        <v>N</v>
      </c>
      <c r="U469" s="24"/>
      <c r="V469" s="16" t="s">
        <v>24</v>
      </c>
      <c r="W469" s="16">
        <v>20</v>
      </c>
      <c r="X469" s="145">
        <v>3</v>
      </c>
      <c r="Y469" s="147" t="s">
        <v>37</v>
      </c>
      <c r="Z469" s="146" t="s">
        <v>37</v>
      </c>
      <c r="AA469" s="4" t="str">
        <f>Table2[[#This Row],[field_fate]]</f>
        <v>H</v>
      </c>
      <c r="AB469" s="4" t="str">
        <f>Table2[[#This Row],[field_fate2]]</f>
        <v>H</v>
      </c>
      <c r="AC469" s="4" t="str">
        <f>Table2[[#This Row],[field_fate3]]</f>
        <v>H</v>
      </c>
      <c r="AD469" s="4" t="str">
        <f>Table2[[#This Row],[field_fate4]]</f>
        <v>H</v>
      </c>
      <c r="AE469" s="4" t="str">
        <f>Table2[[#This Row],[field_fate5]]</f>
        <v>H</v>
      </c>
      <c r="AF469" s="4" t="str">
        <f>Table2[[#This Row],[field_fate5]]</f>
        <v>H</v>
      </c>
      <c r="AG469" s="4" t="str">
        <f>Table2[[#This Row],[field_fate5]]</f>
        <v>H</v>
      </c>
      <c r="AH469" s="4" t="str">
        <f>Table2[[#This Row],[field_fate2]]</f>
        <v>H</v>
      </c>
      <c r="AI469" s="4" t="str">
        <f>Table2[[#This Row],[field_fate8]]</f>
        <v>H</v>
      </c>
      <c r="AJ469" s="4" t="str">
        <f>Table2[[#This Row],[field_fate10]]</f>
        <v>H</v>
      </c>
      <c r="AK469" s="4" t="b">
        <f>Table2[[#This Row],[field_fate_feb]]=Table2[[#This Row],[field_fate10]]</f>
        <v>1</v>
      </c>
      <c r="AL469" s="43" t="s">
        <v>24</v>
      </c>
      <c r="AM469" s="43" t="b">
        <f>Table2[[#This Row],[cam_fate2]]="NA"</f>
        <v>1</v>
      </c>
      <c r="AN469" s="19" t="str">
        <f>Table2[[#This Row],[cam_fate1]]</f>
        <v>NA</v>
      </c>
      <c r="AO469" s="2" t="s">
        <v>37</v>
      </c>
      <c r="AP469" s="5" t="str">
        <f>Table2[[#This Row],[final_fate1]]</f>
        <v>H</v>
      </c>
      <c r="AQ469" s="6">
        <v>19</v>
      </c>
      <c r="AR469" s="7">
        <v>21</v>
      </c>
      <c r="AS469" s="7">
        <f>Table2[[#This Row],[final_obs_date]]-Table2[[#This Row],[init_date]]</f>
        <v>19</v>
      </c>
      <c r="AT469" s="7">
        <f>(Table2[[#This Row],[final_obs_date2]]-Table2[[#This Row],[estHD]])+16</f>
        <v>18</v>
      </c>
      <c r="AU469" s="38">
        <v>3</v>
      </c>
      <c r="AV469" s="33">
        <v>3</v>
      </c>
      <c r="AW469" s="33">
        <f>Table2[[#This Row],[final_obs_date2]]-Table2[[#This Row],[pen_obs_date]]</f>
        <v>101</v>
      </c>
      <c r="AX469" s="67">
        <v>101</v>
      </c>
      <c r="AY469" s="6">
        <f>Table2[[#This Row],[final_obs_date]]</f>
        <v>101</v>
      </c>
      <c r="AZ469" s="6"/>
      <c r="BA469" s="91" t="s">
        <v>47</v>
      </c>
      <c r="BB469" s="6" t="b">
        <f>Table2[[#This Row],[final_obs_date]]&lt;(Table2[[#This Row],[estHD]]-2)</f>
        <v>0</v>
      </c>
      <c r="BC469" s="24">
        <f>IF(Table2[[#This Row],[field_fate]]="H",1,0)</f>
        <v>1</v>
      </c>
      <c r="BD469" s="16">
        <f>IF(Table2[[#This Row],[cam_fate2]]="H",1,0)</f>
        <v>0</v>
      </c>
      <c r="BE469" s="6" t="b">
        <f>NOT(Table2[[#This Row],[HF_C]]=Table2[[#This Row],[HF]])</f>
        <v>1</v>
      </c>
      <c r="BF469" s="6" t="b">
        <f>NOT(Table2[[#This Row],[cam_fate2]]=Table2[[#This Row],[field_fate3]])</f>
        <v>1</v>
      </c>
      <c r="BG469" s="6" t="b">
        <f>OR(Table2[[#This Row],[field_fate3]]="U",Table2[[#This Row],[field_fate3]]="U-H")</f>
        <v>0</v>
      </c>
      <c r="BH469" s="8">
        <v>95</v>
      </c>
      <c r="BI469" s="8">
        <v>101</v>
      </c>
      <c r="BJ469" s="14">
        <f>IF(ISTEXT(Table2[[#This Row],[j.cam]]),Table2[[#This Row],[j]],Table2[[#This Row],[j.cam]])</f>
        <v>101</v>
      </c>
      <c r="BK469" s="9">
        <v>101</v>
      </c>
      <c r="BL469" s="15">
        <f>IF(ISTEXT(Table2[[#This Row],[k.cam]]), Table2[[#This Row],[k]], Table2[[#This Row],[k.cam]])</f>
        <v>101</v>
      </c>
      <c r="BM469" s="4" t="s">
        <v>24</v>
      </c>
      <c r="BN469" s="8" t="s">
        <v>24</v>
      </c>
      <c r="BO469" s="4">
        <v>3</v>
      </c>
      <c r="BP469" s="4">
        <f>Table2[[#This Row],[final_obs_date]]-Table2[[#This Row],[i]]</f>
        <v>6</v>
      </c>
      <c r="BQ469" s="4" t="b">
        <f>Table2[[#This Row],[final_obs_date2]]&gt;Table2[[#This Row],[estHD]]+3</f>
        <v>0</v>
      </c>
      <c r="BR469" s="4" t="s">
        <v>33</v>
      </c>
      <c r="BS469" s="4" t="s">
        <v>58</v>
      </c>
      <c r="BT469" s="79" t="s">
        <v>1304</v>
      </c>
      <c r="BU469" s="26" t="s">
        <v>349</v>
      </c>
      <c r="BV469" s="79" t="s">
        <v>1583</v>
      </c>
      <c r="BW469" s="49"/>
      <c r="BX469" s="47"/>
      <c r="BY469" s="36" t="s">
        <v>24</v>
      </c>
    </row>
    <row r="470" spans="1:77" hidden="1" x14ac:dyDescent="0.35">
      <c r="A470" s="63">
        <v>20452</v>
      </c>
      <c r="B470" s="2" t="s">
        <v>35</v>
      </c>
      <c r="C470" s="45">
        <v>2020</v>
      </c>
      <c r="D470" s="3">
        <v>29.767009999999999</v>
      </c>
      <c r="E470" s="3">
        <v>-93.160889999999995</v>
      </c>
      <c r="F470" s="3">
        <v>10</v>
      </c>
      <c r="G470" s="3">
        <v>30</v>
      </c>
      <c r="H470" s="3" t="s">
        <v>462</v>
      </c>
      <c r="I470" s="43"/>
      <c r="J470" s="55">
        <v>99</v>
      </c>
      <c r="K470" s="4">
        <v>104</v>
      </c>
      <c r="L470" s="22">
        <f>IF(ISNUMBER(Table2[[#This Row],[estHD]]),ABS(Table2[[#This Row],[HD]]-Table2[[#This Row],[estHD]]),"NA")</f>
        <v>5</v>
      </c>
      <c r="M470" s="4" t="b">
        <f>Table2[[#This Row],[HD]]=Table2[[#This Row],[estHD]]</f>
        <v>0</v>
      </c>
      <c r="N470" s="4" t="str">
        <f>IF(ISNUMBER([1]!Table2[[#This Row],[hatch_date]]),[1]!Table2[[#This Row],[hatch_date]]-19,"NA")</f>
        <v>NA</v>
      </c>
      <c r="O470" s="31">
        <v>85</v>
      </c>
      <c r="P470" s="23">
        <f>IF(ISNUMBER(Table2[[#This Row],[nest_age1]]),ABS(Table2[[#This Row],[nest_age1]]-Table2[[#This Row],[nest_age_feb]]),"NA")</f>
        <v>4</v>
      </c>
      <c r="Q470" s="24">
        <f>IF(ISNUMBER(Table2[[#This Row],[final_obs_int2]]),ABS(Table2[[#This Row],[final_obs_int2]]-Table2[[#This Row],[final_obs_int_feb]]), "NA")</f>
        <v>0</v>
      </c>
      <c r="R470" s="24"/>
      <c r="S470" s="57" t="s">
        <v>88</v>
      </c>
      <c r="T470" s="57" t="str">
        <f>Table2[[#This Row],[camera_old]]</f>
        <v>N</v>
      </c>
      <c r="U470" s="24"/>
      <c r="V470" s="16" t="s">
        <v>24</v>
      </c>
      <c r="W470" s="16">
        <v>23</v>
      </c>
      <c r="X470" s="145">
        <v>3</v>
      </c>
      <c r="Y470" s="147" t="s">
        <v>37</v>
      </c>
      <c r="Z470" s="146" t="s">
        <v>37</v>
      </c>
      <c r="AA470" s="4" t="str">
        <f>Table2[[#This Row],[field_fate]]</f>
        <v>H</v>
      </c>
      <c r="AB470" s="4" t="str">
        <f>Table2[[#This Row],[field_fate2]]</f>
        <v>H</v>
      </c>
      <c r="AC470" s="4" t="str">
        <f>Table2[[#This Row],[field_fate3]]</f>
        <v>H</v>
      </c>
      <c r="AD470" s="4" t="str">
        <f>Table2[[#This Row],[field_fate4]]</f>
        <v>H</v>
      </c>
      <c r="AE470" s="4" t="str">
        <f>Table2[[#This Row],[field_fate5]]</f>
        <v>H</v>
      </c>
      <c r="AF470" s="4" t="str">
        <f>Table2[[#This Row],[field_fate5]]</f>
        <v>H</v>
      </c>
      <c r="AG470" s="4" t="str">
        <f>Table2[[#This Row],[field_fate5]]</f>
        <v>H</v>
      </c>
      <c r="AH470" s="4" t="str">
        <f>Table2[[#This Row],[field_fate2]]</f>
        <v>H</v>
      </c>
      <c r="AI470" s="4" t="str">
        <f>Table2[[#This Row],[field_fate8]]</f>
        <v>H</v>
      </c>
      <c r="AJ470" s="4" t="str">
        <f>Table2[[#This Row],[field_fate10]]</f>
        <v>H</v>
      </c>
      <c r="AK470" s="4" t="b">
        <f>Table2[[#This Row],[field_fate_feb]]=Table2[[#This Row],[field_fate10]]</f>
        <v>1</v>
      </c>
      <c r="AL470" s="43" t="s">
        <v>24</v>
      </c>
      <c r="AM470" s="43" t="b">
        <f>Table2[[#This Row],[cam_fate2]]="NA"</f>
        <v>1</v>
      </c>
      <c r="AN470" s="19" t="str">
        <f>Table2[[#This Row],[cam_fate1]]</f>
        <v>NA</v>
      </c>
      <c r="AO470" s="2" t="s">
        <v>37</v>
      </c>
      <c r="AP470" s="5" t="str">
        <f>Table2[[#This Row],[final_fate1]]</f>
        <v>H</v>
      </c>
      <c r="AQ470" s="6">
        <v>19</v>
      </c>
      <c r="AR470" s="7">
        <v>24</v>
      </c>
      <c r="AS470" s="7">
        <f>Table2[[#This Row],[final_obs_date]]-Table2[[#This Row],[init_date]]</f>
        <v>19</v>
      </c>
      <c r="AT470" s="7">
        <f>(Table2[[#This Row],[final_obs_date2]]-Table2[[#This Row],[estHD]])+16</f>
        <v>21</v>
      </c>
      <c r="AU470" s="38">
        <v>3</v>
      </c>
      <c r="AV470" s="33">
        <v>3</v>
      </c>
      <c r="AW470" s="33">
        <f>Table2[[#This Row],[final_obs_date2]]-Table2[[#This Row],[pen_obs_date]]</f>
        <v>104</v>
      </c>
      <c r="AX470" s="67">
        <v>104</v>
      </c>
      <c r="AY470" s="6">
        <f>Table2[[#This Row],[final_obs_date]]</f>
        <v>104</v>
      </c>
      <c r="AZ470" s="6"/>
      <c r="BA470" s="91" t="s">
        <v>47</v>
      </c>
      <c r="BB470" s="6" t="b">
        <f>Table2[[#This Row],[final_obs_date]]&lt;(Table2[[#This Row],[estHD]]-2)</f>
        <v>0</v>
      </c>
      <c r="BC470" s="24">
        <f>IF(Table2[[#This Row],[field_fate]]="H",1,0)</f>
        <v>1</v>
      </c>
      <c r="BD470" s="16">
        <f>IF(Table2[[#This Row],[cam_fate2]]="H",1,0)</f>
        <v>0</v>
      </c>
      <c r="BE470" s="6" t="b">
        <f>NOT(Table2[[#This Row],[HF_C]]=Table2[[#This Row],[HF]])</f>
        <v>1</v>
      </c>
      <c r="BF470" s="6" t="b">
        <f>NOT(Table2[[#This Row],[cam_fate2]]=Table2[[#This Row],[field_fate3]])</f>
        <v>1</v>
      </c>
      <c r="BG470" s="6" t="b">
        <f>OR(Table2[[#This Row],[field_fate3]]="U",Table2[[#This Row],[field_fate3]]="U-H")</f>
        <v>0</v>
      </c>
      <c r="BH470" s="8">
        <v>95</v>
      </c>
      <c r="BI470" s="8">
        <v>104</v>
      </c>
      <c r="BJ470" s="14">
        <f>IF(ISTEXT(Table2[[#This Row],[j.cam]]),Table2[[#This Row],[j]],Table2[[#This Row],[j.cam]])</f>
        <v>104</v>
      </c>
      <c r="BK470" s="9">
        <v>104</v>
      </c>
      <c r="BL470" s="15">
        <f>IF(ISTEXT(Table2[[#This Row],[k.cam]]), Table2[[#This Row],[k]], Table2[[#This Row],[k.cam]])</f>
        <v>104</v>
      </c>
      <c r="BM470" s="4" t="s">
        <v>24</v>
      </c>
      <c r="BN470" s="8" t="s">
        <v>24</v>
      </c>
      <c r="BO470" s="4">
        <v>4</v>
      </c>
      <c r="BP470" s="4">
        <f>Table2[[#This Row],[final_obs_date]]-Table2[[#This Row],[i]]</f>
        <v>9</v>
      </c>
      <c r="BQ470" s="4" t="b">
        <f>Table2[[#This Row],[final_obs_date2]]&gt;Table2[[#This Row],[estHD]]+3</f>
        <v>1</v>
      </c>
      <c r="BR470" s="4" t="s">
        <v>66</v>
      </c>
      <c r="BS470" s="4" t="s">
        <v>53</v>
      </c>
      <c r="BT470" s="79" t="s">
        <v>1305</v>
      </c>
      <c r="BU470" s="26" t="s">
        <v>350</v>
      </c>
      <c r="BV470" s="79" t="s">
        <v>1648</v>
      </c>
      <c r="BW470" s="49"/>
      <c r="BX470" s="47"/>
      <c r="BY470" s="36" t="s">
        <v>794</v>
      </c>
    </row>
    <row r="471" spans="1:77" hidden="1" x14ac:dyDescent="0.35">
      <c r="A471" s="63">
        <v>20453</v>
      </c>
      <c r="B471" s="2" t="s">
        <v>35</v>
      </c>
      <c r="C471" s="45">
        <v>2020</v>
      </c>
      <c r="D471" s="3">
        <v>29.76698</v>
      </c>
      <c r="E471" s="3">
        <v>-93.16113</v>
      </c>
      <c r="F471" s="3">
        <v>40</v>
      </c>
      <c r="G471" s="3">
        <v>30</v>
      </c>
      <c r="H471" s="3" t="s">
        <v>462</v>
      </c>
      <c r="I471" s="43"/>
      <c r="J471" s="55">
        <v>105</v>
      </c>
      <c r="K471" s="4">
        <v>103</v>
      </c>
      <c r="L471" s="22">
        <f>IF(ISNUMBER(Table2[[#This Row],[estHD]]),ABS(Table2[[#This Row],[HD]]-Table2[[#This Row],[estHD]]),"NA")</f>
        <v>2</v>
      </c>
      <c r="M471" s="4" t="b">
        <f>Table2[[#This Row],[HD]]=Table2[[#This Row],[estHD]]</f>
        <v>0</v>
      </c>
      <c r="N471" s="4" t="str">
        <f>IF(ISNUMBER([1]!Table2[[#This Row],[hatch_date]]),[1]!Table2[[#This Row],[hatch_date]]-19,"NA")</f>
        <v>NA</v>
      </c>
      <c r="O471" s="31">
        <v>84</v>
      </c>
      <c r="P471" s="23">
        <f>IF(ISNUMBER(Table2[[#This Row],[nest_age1]]),ABS(Table2[[#This Row],[nest_age1]]-Table2[[#This Row],[nest_age_feb]]),"NA")</f>
        <v>3</v>
      </c>
      <c r="Q471" s="24">
        <f>IF(ISNUMBER(Table2[[#This Row],[final_obs_int2]]),ABS(Table2[[#This Row],[final_obs_int2]]-Table2[[#This Row],[final_obs_int_feb]]), "NA")</f>
        <v>0</v>
      </c>
      <c r="R471" s="24"/>
      <c r="S471" s="57" t="s">
        <v>88</v>
      </c>
      <c r="T471" s="57" t="str">
        <f>Table2[[#This Row],[camera_old]]</f>
        <v>N</v>
      </c>
      <c r="U471" s="24"/>
      <c r="V471" s="16" t="s">
        <v>24</v>
      </c>
      <c r="W471" s="16">
        <v>17</v>
      </c>
      <c r="X471" s="145">
        <v>3</v>
      </c>
      <c r="Y471" s="147" t="s">
        <v>37</v>
      </c>
      <c r="Z471" s="146" t="s">
        <v>37</v>
      </c>
      <c r="AA471" s="4" t="str">
        <f>Table2[[#This Row],[field_fate]]</f>
        <v>H</v>
      </c>
      <c r="AB471" s="4" t="str">
        <f>Table2[[#This Row],[field_fate2]]</f>
        <v>H</v>
      </c>
      <c r="AC471" s="4" t="str">
        <f>Table2[[#This Row],[field_fate3]]</f>
        <v>H</v>
      </c>
      <c r="AD471" s="4" t="str">
        <f>Table2[[#This Row],[field_fate4]]</f>
        <v>H</v>
      </c>
      <c r="AE471" s="4" t="str">
        <f>Table2[[#This Row],[field_fate5]]</f>
        <v>H</v>
      </c>
      <c r="AF471" s="4" t="str">
        <f>Table2[[#This Row],[field_fate5]]</f>
        <v>H</v>
      </c>
      <c r="AG471" s="4" t="str">
        <f>Table2[[#This Row],[field_fate5]]</f>
        <v>H</v>
      </c>
      <c r="AH471" s="4" t="str">
        <f>Table2[[#This Row],[field_fate2]]</f>
        <v>H</v>
      </c>
      <c r="AI471" s="4" t="str">
        <f>Table2[[#This Row],[field_fate8]]</f>
        <v>H</v>
      </c>
      <c r="AJ471" s="4" t="str">
        <f>Table2[[#This Row],[field_fate10]]</f>
        <v>H</v>
      </c>
      <c r="AK471" s="4" t="b">
        <f>Table2[[#This Row],[field_fate_feb]]=Table2[[#This Row],[field_fate10]]</f>
        <v>1</v>
      </c>
      <c r="AL471" s="43" t="s">
        <v>24</v>
      </c>
      <c r="AM471" s="43" t="b">
        <f>Table2[[#This Row],[cam_fate2]]="NA"</f>
        <v>1</v>
      </c>
      <c r="AN471" s="19" t="str">
        <f>Table2[[#This Row],[cam_fate1]]</f>
        <v>NA</v>
      </c>
      <c r="AO471" s="2" t="s">
        <v>37</v>
      </c>
      <c r="AP471" s="5" t="str">
        <f>Table2[[#This Row],[final_fate1]]</f>
        <v>H</v>
      </c>
      <c r="AQ471" s="6">
        <v>20</v>
      </c>
      <c r="AR471" s="7">
        <v>18</v>
      </c>
      <c r="AS471" s="7">
        <f>Table2[[#This Row],[final_obs_date]]-Table2[[#This Row],[init_date]]</f>
        <v>20</v>
      </c>
      <c r="AT471" s="7">
        <f>(Table2[[#This Row],[final_obs_date2]]-Table2[[#This Row],[estHD]])+16</f>
        <v>15</v>
      </c>
      <c r="AU471" s="38">
        <v>3</v>
      </c>
      <c r="AV471" s="33">
        <v>3</v>
      </c>
      <c r="AW471" s="33">
        <f>Table2[[#This Row],[final_obs_date2]]-Table2[[#This Row],[pen_obs_date]]</f>
        <v>104</v>
      </c>
      <c r="AX471" s="67">
        <v>104</v>
      </c>
      <c r="AY471" s="6">
        <f>Table2[[#This Row],[final_obs_date]]</f>
        <v>104</v>
      </c>
      <c r="AZ471" s="6"/>
      <c r="BA471" s="91" t="s">
        <v>47</v>
      </c>
      <c r="BB471" s="6" t="b">
        <f>Table2[[#This Row],[final_obs_date]]&lt;(Table2[[#This Row],[estHD]]-2)</f>
        <v>0</v>
      </c>
      <c r="BC471" s="24">
        <f>IF(Table2[[#This Row],[field_fate]]="H",1,0)</f>
        <v>1</v>
      </c>
      <c r="BD471" s="16">
        <f>IF(Table2[[#This Row],[cam_fate2]]="H",1,0)</f>
        <v>0</v>
      </c>
      <c r="BE471" s="6" t="b">
        <f>NOT(Table2[[#This Row],[HF_C]]=Table2[[#This Row],[HF]])</f>
        <v>1</v>
      </c>
      <c r="BF471" s="6" t="b">
        <f>NOT(Table2[[#This Row],[cam_fate2]]=Table2[[#This Row],[field_fate3]])</f>
        <v>1</v>
      </c>
      <c r="BG471" s="6" t="b">
        <f>OR(Table2[[#This Row],[field_fate3]]="U",Table2[[#This Row],[field_fate3]]="U-H")</f>
        <v>0</v>
      </c>
      <c r="BH471" s="8">
        <v>95</v>
      </c>
      <c r="BI471" s="8">
        <v>103</v>
      </c>
      <c r="BJ471" s="14">
        <f>IF(ISTEXT(Table2[[#This Row],[j.cam]]),Table2[[#This Row],[j]],Table2[[#This Row],[j.cam]])</f>
        <v>103</v>
      </c>
      <c r="BK471" s="9">
        <v>103</v>
      </c>
      <c r="BL471" s="15">
        <f>IF(ISTEXT(Table2[[#This Row],[k.cam]]), Table2[[#This Row],[k]], Table2[[#This Row],[k.cam]])</f>
        <v>103</v>
      </c>
      <c r="BM471" s="4" t="s">
        <v>24</v>
      </c>
      <c r="BN471" s="8" t="s">
        <v>24</v>
      </c>
      <c r="BO471" s="4">
        <v>4</v>
      </c>
      <c r="BP471" s="4">
        <f>Table2[[#This Row],[final_obs_date]]-Table2[[#This Row],[i]]</f>
        <v>9</v>
      </c>
      <c r="BQ471" s="4" t="b">
        <f>Table2[[#This Row],[final_obs_date2]]&gt;Table2[[#This Row],[estHD]]+3</f>
        <v>0</v>
      </c>
      <c r="BR471" s="4" t="s">
        <v>66</v>
      </c>
      <c r="BS471" s="4" t="s">
        <v>58</v>
      </c>
      <c r="BT471" s="79" t="s">
        <v>1305</v>
      </c>
      <c r="BU471" s="26" t="s">
        <v>351</v>
      </c>
      <c r="BV471" s="79" t="s">
        <v>1648</v>
      </c>
      <c r="BW471" s="49"/>
      <c r="BX471" s="47"/>
      <c r="BY471" s="36" t="s">
        <v>795</v>
      </c>
    </row>
    <row r="472" spans="1:77" ht="15" hidden="1" x14ac:dyDescent="0.35">
      <c r="A472" s="63">
        <v>20454</v>
      </c>
      <c r="B472" s="2" t="s">
        <v>35</v>
      </c>
      <c r="C472" s="45">
        <v>2020</v>
      </c>
      <c r="D472" s="3">
        <v>29.7667</v>
      </c>
      <c r="E472" s="3">
        <v>-93.158580000000001</v>
      </c>
      <c r="F472" s="3">
        <v>95</v>
      </c>
      <c r="G472" s="3">
        <v>95</v>
      </c>
      <c r="H472" s="3" t="s">
        <v>26</v>
      </c>
      <c r="I472" s="43"/>
      <c r="J472" s="116">
        <v>108</v>
      </c>
      <c r="K472" s="4">
        <v>108</v>
      </c>
      <c r="L472" s="22">
        <f>IF(ISNUMBER(Table2[[#This Row],[estHD]]),ABS(Table2[[#This Row],[HD]]-Table2[[#This Row],[estHD]]),"NA")</f>
        <v>0</v>
      </c>
      <c r="M472" s="4" t="b">
        <f>Table2[[#This Row],[HD]]=Table2[[#This Row],[estHD]]</f>
        <v>1</v>
      </c>
      <c r="N472" s="4" t="str">
        <f>IF(ISNUMBER([1]!Table2[[#This Row],[hatch_date]]), [1]!Table2[[#This Row],[hatch_date]]-16, "NA")</f>
        <v>NA</v>
      </c>
      <c r="O472" s="31">
        <v>92</v>
      </c>
      <c r="P472" s="23">
        <f>IF(ISNUMBER(Table2[[#This Row],[nest_age1]]),ABS(Table2[[#This Row],[nest_age1]]-Table2[[#This Row],[nest_age_feb]]),"NA")</f>
        <v>1</v>
      </c>
      <c r="Q472" s="24">
        <f>IF(ISNUMBER(Table2[[#This Row],[final_obs_int2]]),ABS(Table2[[#This Row],[final_obs_int2]]-Table2[[#This Row],[final_obs_int_feb]]), "NA")</f>
        <v>0</v>
      </c>
      <c r="R472" s="24"/>
      <c r="S472" s="20" t="s">
        <v>75</v>
      </c>
      <c r="T472" s="20" t="str">
        <f>Table2[[#This Row],[camera_old]]</f>
        <v>Y</v>
      </c>
      <c r="U472" s="58" t="s">
        <v>909</v>
      </c>
      <c r="V472" s="16" t="s">
        <v>24</v>
      </c>
      <c r="W472" s="16">
        <v>19</v>
      </c>
      <c r="X472" s="145">
        <v>4</v>
      </c>
      <c r="Y472" s="147" t="s">
        <v>90</v>
      </c>
      <c r="Z472" s="146" t="s">
        <v>90</v>
      </c>
      <c r="AA472" s="4" t="str">
        <f>Table2[[#This Row],[field_fate]]</f>
        <v>U</v>
      </c>
      <c r="AB472" s="65" t="str">
        <f>Table2[[#This Row],[field_fate2]]</f>
        <v>U</v>
      </c>
      <c r="AC472" s="93" t="str">
        <f>Table2[[#This Row],[field_fate3]]</f>
        <v>U</v>
      </c>
      <c r="AD472" s="93" t="str">
        <f>Table2[[#This Row],[field_fate4]]</f>
        <v>U</v>
      </c>
      <c r="AE472" s="93" t="str">
        <f>Table2[[#This Row],[field_fate5]]</f>
        <v>U</v>
      </c>
      <c r="AF472" s="93" t="str">
        <f>Table2[[#This Row],[field_fate5]]</f>
        <v>U</v>
      </c>
      <c r="AG472" s="93" t="str">
        <f>Table2[[#This Row],[field_fate5]]</f>
        <v>U</v>
      </c>
      <c r="AH472" s="93" t="str">
        <f>Table2[[#This Row],[field_fate2]]</f>
        <v>U</v>
      </c>
      <c r="AI472" s="93" t="str">
        <f>Table2[[#This Row],[field_fate8]]</f>
        <v>U</v>
      </c>
      <c r="AJ472" s="93" t="str">
        <f>Table2[[#This Row],[field_fate10]]</f>
        <v>U</v>
      </c>
      <c r="AK472" s="93" t="b">
        <f>Table2[[#This Row],[field_fate_feb]]=Table2[[#This Row],[field_fate10]]</f>
        <v>1</v>
      </c>
      <c r="AL472" s="43" t="s">
        <v>24</v>
      </c>
      <c r="AM472" s="43" t="b">
        <f>Table2[[#This Row],[cam_fate2]]="NA"</f>
        <v>1</v>
      </c>
      <c r="AN472" s="19" t="str">
        <f>Table2[[#This Row],[cam_fate1]]</f>
        <v>NA</v>
      </c>
      <c r="AO472" s="2" t="s">
        <v>24</v>
      </c>
      <c r="AP472" s="5" t="str">
        <f>Table2[[#This Row],[final_fate1]]</f>
        <v>NA</v>
      </c>
      <c r="AQ472" s="6">
        <v>20</v>
      </c>
      <c r="AR472" s="72">
        <v>20</v>
      </c>
      <c r="AS472" s="72">
        <f>Table2[[#This Row],[final_obs_date]]-Table2[[#This Row],[init_date]]</f>
        <v>20</v>
      </c>
      <c r="AT472" s="72">
        <f>(Table2[[#This Row],[final_obs_date2]]-Table2[[#This Row],[estHD]])+16</f>
        <v>20</v>
      </c>
      <c r="AU472" s="38">
        <v>4</v>
      </c>
      <c r="AV472" s="33">
        <v>4</v>
      </c>
      <c r="AW472" s="33">
        <f>Table2[[#This Row],[final_obs_date2]]-Table2[[#This Row],[pen_obs_date]]</f>
        <v>112</v>
      </c>
      <c r="AX472" s="67">
        <v>112</v>
      </c>
      <c r="AY472" s="156">
        <f>Table2[[#This Row],[final_obs_date]]</f>
        <v>112</v>
      </c>
      <c r="AZ472" s="6"/>
      <c r="BA472" s="92" t="s">
        <v>60</v>
      </c>
      <c r="BB472" s="6" t="b">
        <f>Table2[[#This Row],[final_obs_date]]&lt;(Table2[[#This Row],[estHD]]-2)</f>
        <v>0</v>
      </c>
      <c r="BC472" s="32">
        <v>7</v>
      </c>
      <c r="BD472" s="16" t="s">
        <v>24</v>
      </c>
      <c r="BE472" s="6" t="b">
        <f>NOT(Table2[[#This Row],[HF_C]]=Table2[[#This Row],[HF]])</f>
        <v>1</v>
      </c>
      <c r="BF472" s="38" t="b">
        <f>NOT(Table2[[#This Row],[cam_fate2]]=Table2[[#This Row],[field_fate3]])</f>
        <v>1</v>
      </c>
      <c r="BG472" s="38" t="b">
        <f>OR(Table2[[#This Row],[field_fate3]]="U",Table2[[#This Row],[field_fate3]]="U-H")</f>
        <v>1</v>
      </c>
      <c r="BH472" s="8">
        <v>95</v>
      </c>
      <c r="BI472" s="8">
        <v>108</v>
      </c>
      <c r="BJ472" s="14">
        <f>IF(ISTEXT(Table2[[#This Row],[j.cam]]),Table2[[#This Row],[j]],Table2[[#This Row],[j.cam]])</f>
        <v>108</v>
      </c>
      <c r="BK472" s="8">
        <v>112</v>
      </c>
      <c r="BL472" s="14">
        <f>IF(ISTEXT(Table2[[#This Row],[k.cam]]), Table2[[#This Row],[k]], Table2[[#This Row],[k.cam]])</f>
        <v>112</v>
      </c>
      <c r="BM472" s="4" t="s">
        <v>24</v>
      </c>
      <c r="BN472" s="8" t="s">
        <v>24</v>
      </c>
      <c r="BO472" s="4">
        <v>7</v>
      </c>
      <c r="BP472" s="4">
        <f>Table2[[#This Row],[final_obs_date]]-Table2[[#This Row],[i]]</f>
        <v>17</v>
      </c>
      <c r="BQ472" s="4" t="b">
        <f>Table2[[#This Row],[final_obs_date2]]&gt;Table2[[#This Row],[estHD]]+3</f>
        <v>1</v>
      </c>
      <c r="BR472" s="3" t="s">
        <v>66</v>
      </c>
      <c r="BS472" s="3" t="s">
        <v>45</v>
      </c>
      <c r="BT472" s="125" t="s">
        <v>1306</v>
      </c>
      <c r="BU472" s="4" t="s">
        <v>352</v>
      </c>
      <c r="BV472" s="79" t="s">
        <v>1649</v>
      </c>
      <c r="BW472" s="69"/>
      <c r="BX472" s="73" t="s">
        <v>944</v>
      </c>
      <c r="BY472" s="47" t="s">
        <v>796</v>
      </c>
    </row>
    <row r="473" spans="1:77" hidden="1" x14ac:dyDescent="0.35">
      <c r="A473" s="63">
        <v>20455</v>
      </c>
      <c r="B473" s="2" t="s">
        <v>35</v>
      </c>
      <c r="C473" s="45">
        <v>2020</v>
      </c>
      <c r="D473" s="3">
        <v>29.763490000000001</v>
      </c>
      <c r="E473" s="3">
        <v>-93.145290000000003</v>
      </c>
      <c r="F473" s="3">
        <v>0</v>
      </c>
      <c r="G473" s="3">
        <v>0</v>
      </c>
      <c r="H473" s="3" t="s">
        <v>462</v>
      </c>
      <c r="I473" s="43"/>
      <c r="J473" s="55">
        <v>113</v>
      </c>
      <c r="K473" s="4">
        <v>113</v>
      </c>
      <c r="L473" s="22">
        <f>IF(ISNUMBER(Table2[[#This Row],[estHD]]),ABS(Table2[[#This Row],[HD]]-Table2[[#This Row],[estHD]]),"NA")</f>
        <v>0</v>
      </c>
      <c r="M473" s="4" t="b">
        <f>Table2[[#This Row],[HD]]=Table2[[#This Row],[estHD]]</f>
        <v>1</v>
      </c>
      <c r="N473" s="4" t="str">
        <f>IF(ISNUMBER([1]!Table2[[#This Row],[hatch_date]]),[1]!Table2[[#This Row],[hatch_date]]-19,"NA")</f>
        <v>NA</v>
      </c>
      <c r="O473" s="31">
        <v>94</v>
      </c>
      <c r="P473" s="23">
        <f>IF(ISNUMBER(Table2[[#This Row],[nest_age1]]),ABS(Table2[[#This Row],[nest_age1]]-Table2[[#This Row],[nest_age_feb]]),"NA")</f>
        <v>1</v>
      </c>
      <c r="Q473" s="24">
        <f>IF(ISNUMBER(Table2[[#This Row],[final_obs_int2]]),ABS(Table2[[#This Row],[final_obs_int2]]-Table2[[#This Row],[final_obs_int_feb]]), "NA")</f>
        <v>0</v>
      </c>
      <c r="R473" s="24"/>
      <c r="S473" s="57" t="s">
        <v>88</v>
      </c>
      <c r="T473" s="57" t="str">
        <f>Table2[[#This Row],[camera_old]]</f>
        <v>N</v>
      </c>
      <c r="U473" s="24"/>
      <c r="V473" s="16" t="s">
        <v>24</v>
      </c>
      <c r="W473" s="16">
        <v>6</v>
      </c>
      <c r="X473" s="145">
        <v>3</v>
      </c>
      <c r="Y473" s="147" t="s">
        <v>25</v>
      </c>
      <c r="Z473" s="146" t="s">
        <v>25</v>
      </c>
      <c r="AA473" s="4" t="str">
        <f>Table2[[#This Row],[field_fate]]</f>
        <v>S</v>
      </c>
      <c r="AB473" s="4" t="str">
        <f>Table2[[#This Row],[field_fate2]]</f>
        <v>S</v>
      </c>
      <c r="AC473" s="4" t="str">
        <f>Table2[[#This Row],[field_fate3]]</f>
        <v>S</v>
      </c>
      <c r="AD473" s="4" t="str">
        <f>Table2[[#This Row],[field_fate4]]</f>
        <v>S</v>
      </c>
      <c r="AE473" s="4" t="str">
        <f>Table2[[#This Row],[field_fate5]]</f>
        <v>S</v>
      </c>
      <c r="AF473" s="4" t="str">
        <f>Table2[[#This Row],[field_fate5]]</f>
        <v>S</v>
      </c>
      <c r="AG473" s="4" t="str">
        <f>Table2[[#This Row],[field_fate5]]</f>
        <v>S</v>
      </c>
      <c r="AH473" s="4" t="str">
        <f>Table2[[#This Row],[field_fate2]]</f>
        <v>S</v>
      </c>
      <c r="AI473" s="4" t="str">
        <f>Table2[[#This Row],[field_fate8]]</f>
        <v>S</v>
      </c>
      <c r="AJ473" s="4" t="str">
        <f>Table2[[#This Row],[field_fate10]]</f>
        <v>S</v>
      </c>
      <c r="AK473" s="4" t="b">
        <f>Table2[[#This Row],[field_fate_feb]]=Table2[[#This Row],[field_fate10]]</f>
        <v>1</v>
      </c>
      <c r="AL473" s="43" t="s">
        <v>24</v>
      </c>
      <c r="AM473" s="43" t="b">
        <f>Table2[[#This Row],[cam_fate2]]="NA"</f>
        <v>1</v>
      </c>
      <c r="AN473" s="19" t="str">
        <f>Table2[[#This Row],[cam_fate1]]</f>
        <v>NA</v>
      </c>
      <c r="AO473" s="2" t="s">
        <v>25</v>
      </c>
      <c r="AP473" s="5" t="str">
        <f>Table2[[#This Row],[final_fate1]]</f>
        <v>S</v>
      </c>
      <c r="AQ473" s="6">
        <v>7</v>
      </c>
      <c r="AR473" s="7">
        <v>7</v>
      </c>
      <c r="AS473" s="7">
        <f>Table2[[#This Row],[final_obs_date]]-Table2[[#This Row],[init_date]]</f>
        <v>7</v>
      </c>
      <c r="AT473" s="7">
        <f>(Table2[[#This Row],[final_obs_date2]]-Table2[[#This Row],[estHD]])+16</f>
        <v>4</v>
      </c>
      <c r="AU473" s="38">
        <v>3</v>
      </c>
      <c r="AV473" s="33">
        <v>3</v>
      </c>
      <c r="AW473" s="33">
        <f>Table2[[#This Row],[final_obs_date2]]-Table2[[#This Row],[pen_obs_date]]</f>
        <v>101</v>
      </c>
      <c r="AX473" s="67">
        <v>101</v>
      </c>
      <c r="AY473" s="6">
        <f>Table2[[#This Row],[final_obs_date]]</f>
        <v>101</v>
      </c>
      <c r="AZ473" s="6"/>
      <c r="BA473" s="91" t="s">
        <v>47</v>
      </c>
      <c r="BB473" s="6" t="b">
        <f>Table2[[#This Row],[final_obs_date]]&lt;(Table2[[#This Row],[estHD]]-2)</f>
        <v>1</v>
      </c>
      <c r="BC473" s="24">
        <f>IF(Table2[[#This Row],[field_fate]]="H",1,0)</f>
        <v>0</v>
      </c>
      <c r="BD473" s="16">
        <f>IF(Table2[[#This Row],[cam_fate2]]="H",1,0)</f>
        <v>0</v>
      </c>
      <c r="BE473" s="6" t="b">
        <f>NOT(Table2[[#This Row],[HF_C]]=Table2[[#This Row],[HF]])</f>
        <v>0</v>
      </c>
      <c r="BF473" s="6" t="b">
        <f>NOT(Table2[[#This Row],[cam_fate2]]=Table2[[#This Row],[field_fate3]])</f>
        <v>1</v>
      </c>
      <c r="BG473" s="6" t="b">
        <f>OR(Table2[[#This Row],[field_fate3]]="U",Table2[[#This Row],[field_fate3]]="U-H")</f>
        <v>0</v>
      </c>
      <c r="BH473" s="8">
        <v>98</v>
      </c>
      <c r="BI473" s="8">
        <v>98</v>
      </c>
      <c r="BJ473" s="14">
        <f>IF(ISTEXT(Table2[[#This Row],[j.cam]]),Table2[[#This Row],[j]],Table2[[#This Row],[j.cam]])</f>
        <v>98</v>
      </c>
      <c r="BK473" s="9">
        <v>101</v>
      </c>
      <c r="BL473" s="15">
        <f>IF(ISTEXT(Table2[[#This Row],[k.cam]]), Table2[[#This Row],[k]], Table2[[#This Row],[k.cam]])</f>
        <v>101</v>
      </c>
      <c r="BM473" s="4" t="s">
        <v>24</v>
      </c>
      <c r="BN473" s="8" t="s">
        <v>24</v>
      </c>
      <c r="BO473" s="4">
        <v>2</v>
      </c>
      <c r="BP473" s="4">
        <f>Table2[[#This Row],[final_obs_date]]-Table2[[#This Row],[i]]</f>
        <v>3</v>
      </c>
      <c r="BQ473" s="4" t="b">
        <f>Table2[[#This Row],[final_obs_date2]]&gt;Table2[[#This Row],[estHD]]+3</f>
        <v>0</v>
      </c>
      <c r="BR473" s="4" t="s">
        <v>33</v>
      </c>
      <c r="BS473" s="4" t="s">
        <v>45</v>
      </c>
      <c r="BT473" s="79" t="s">
        <v>1307</v>
      </c>
      <c r="BU473" s="26" t="s">
        <v>87</v>
      </c>
      <c r="BV473" s="79" t="s">
        <v>1430</v>
      </c>
      <c r="BW473" s="49"/>
      <c r="BX473" s="47"/>
      <c r="BY473" s="36" t="s">
        <v>797</v>
      </c>
    </row>
    <row r="474" spans="1:77" hidden="1" x14ac:dyDescent="0.35">
      <c r="A474" s="63">
        <v>20456</v>
      </c>
      <c r="B474" s="2" t="s">
        <v>35</v>
      </c>
      <c r="C474" s="45">
        <v>2020</v>
      </c>
      <c r="D474" s="3">
        <v>29.766960000000001</v>
      </c>
      <c r="E474" s="3">
        <v>-93.160989999999998</v>
      </c>
      <c r="F474" s="3">
        <v>0</v>
      </c>
      <c r="G474" s="3">
        <v>0</v>
      </c>
      <c r="H474" s="3" t="s">
        <v>462</v>
      </c>
      <c r="I474" s="43"/>
      <c r="J474" s="55">
        <v>110</v>
      </c>
      <c r="K474" s="4">
        <v>110</v>
      </c>
      <c r="L474" s="22">
        <f>IF(ISNUMBER(Table2[[#This Row],[estHD]]),ABS(Table2[[#This Row],[HD]]-Table2[[#This Row],[estHD]]),"NA")</f>
        <v>0</v>
      </c>
      <c r="M474" s="4" t="b">
        <f>Table2[[#This Row],[HD]]=Table2[[#This Row],[estHD]]</f>
        <v>1</v>
      </c>
      <c r="N474" s="4" t="str">
        <f>IF(ISNUMBER([1]!Table2[[#This Row],[hatch_date]]),[1]!Table2[[#This Row],[hatch_date]]-19,"NA")</f>
        <v>NA</v>
      </c>
      <c r="O474" s="31">
        <v>91</v>
      </c>
      <c r="P474" s="23">
        <f>IF(ISNUMBER(Table2[[#This Row],[nest_age1]]),ABS(Table2[[#This Row],[nest_age1]]-Table2[[#This Row],[nest_age_feb]]),"NA")</f>
        <v>1</v>
      </c>
      <c r="Q474" s="24">
        <f>IF(ISNUMBER(Table2[[#This Row],[final_obs_int2]]),ABS(Table2[[#This Row],[final_obs_int2]]-Table2[[#This Row],[final_obs_int_feb]]), "NA")</f>
        <v>0</v>
      </c>
      <c r="R474" s="24"/>
      <c r="S474" s="57" t="s">
        <v>88</v>
      </c>
      <c r="T474" s="57" t="str">
        <f>Table2[[#This Row],[camera_old]]</f>
        <v>N</v>
      </c>
      <c r="U474" s="24"/>
      <c r="V474" s="16" t="s">
        <v>24</v>
      </c>
      <c r="W474" s="16">
        <v>12</v>
      </c>
      <c r="X474" s="145">
        <v>3</v>
      </c>
      <c r="Y474" s="147" t="s">
        <v>48</v>
      </c>
      <c r="Z474" s="146" t="s">
        <v>48</v>
      </c>
      <c r="AA474" s="4" t="str">
        <f>Table2[[#This Row],[field_fate]]</f>
        <v>F</v>
      </c>
      <c r="AB474" s="4" t="str">
        <f>Table2[[#This Row],[field_fate2]]</f>
        <v>F</v>
      </c>
      <c r="AC474" s="4" t="str">
        <f>Table2[[#This Row],[field_fate3]]</f>
        <v>F</v>
      </c>
      <c r="AD474" s="4" t="str">
        <f>Table2[[#This Row],[field_fate4]]</f>
        <v>F</v>
      </c>
      <c r="AE474" s="4" t="str">
        <f>Table2[[#This Row],[field_fate5]]</f>
        <v>F</v>
      </c>
      <c r="AF474" s="4" t="str">
        <f>Table2[[#This Row],[field_fate5]]</f>
        <v>F</v>
      </c>
      <c r="AG474" s="4" t="str">
        <f>Table2[[#This Row],[field_fate5]]</f>
        <v>F</v>
      </c>
      <c r="AH474" s="4" t="str">
        <f>Table2[[#This Row],[field_fate2]]</f>
        <v>F</v>
      </c>
      <c r="AI474" s="4" t="str">
        <f>Table2[[#This Row],[field_fate8]]</f>
        <v>F</v>
      </c>
      <c r="AJ474" s="4" t="str">
        <f>Table2[[#This Row],[field_fate10]]</f>
        <v>F</v>
      </c>
      <c r="AK474" s="4" t="b">
        <f>Table2[[#This Row],[field_fate_feb]]=Table2[[#This Row],[field_fate10]]</f>
        <v>1</v>
      </c>
      <c r="AL474" s="43" t="s">
        <v>24</v>
      </c>
      <c r="AM474" s="43" t="b">
        <f>Table2[[#This Row],[cam_fate2]]="NA"</f>
        <v>1</v>
      </c>
      <c r="AN474" s="19" t="str">
        <f>Table2[[#This Row],[cam_fate1]]</f>
        <v>NA</v>
      </c>
      <c r="AO474" s="2" t="s">
        <v>48</v>
      </c>
      <c r="AP474" s="5" t="str">
        <f>Table2[[#This Row],[final_fate1]]</f>
        <v>F</v>
      </c>
      <c r="AQ474" s="6">
        <v>13</v>
      </c>
      <c r="AR474" s="7">
        <v>13</v>
      </c>
      <c r="AS474" s="7">
        <f>Table2[[#This Row],[final_obs_date]]-Table2[[#This Row],[init_date]]</f>
        <v>13</v>
      </c>
      <c r="AT474" s="7">
        <f>(Table2[[#This Row],[final_obs_date2]]-Table2[[#This Row],[estHD]])+16</f>
        <v>10</v>
      </c>
      <c r="AU474" s="38">
        <v>3</v>
      </c>
      <c r="AV474" s="33">
        <v>3</v>
      </c>
      <c r="AW474" s="33">
        <f>Table2[[#This Row],[final_obs_date2]]-Table2[[#This Row],[pen_obs_date]]</f>
        <v>104</v>
      </c>
      <c r="AX474" s="67">
        <v>104</v>
      </c>
      <c r="AY474" s="6">
        <f>Table2[[#This Row],[final_obs_date]]</f>
        <v>104</v>
      </c>
      <c r="AZ474" s="6"/>
      <c r="BA474" s="91" t="s">
        <v>47</v>
      </c>
      <c r="BB474" s="6" t="b">
        <f>Table2[[#This Row],[final_obs_date]]&lt;(Table2[[#This Row],[estHD]]-2)</f>
        <v>1</v>
      </c>
      <c r="BC474" s="24">
        <f>IF(Table2[[#This Row],[field_fate]]="H",1,0)</f>
        <v>0</v>
      </c>
      <c r="BD474" s="16">
        <f>IF(Table2[[#This Row],[cam_fate2]]="H",1,0)</f>
        <v>0</v>
      </c>
      <c r="BE474" s="6" t="b">
        <f>NOT(Table2[[#This Row],[HF_C]]=Table2[[#This Row],[HF]])</f>
        <v>0</v>
      </c>
      <c r="BF474" s="6" t="b">
        <f>NOT(Table2[[#This Row],[cam_fate2]]=Table2[[#This Row],[field_fate3]])</f>
        <v>1</v>
      </c>
      <c r="BG474" s="6" t="b">
        <f>OR(Table2[[#This Row],[field_fate3]]="U",Table2[[#This Row],[field_fate3]]="U-H")</f>
        <v>0</v>
      </c>
      <c r="BH474" s="8">
        <v>98</v>
      </c>
      <c r="BI474" s="8">
        <v>101</v>
      </c>
      <c r="BJ474" s="14">
        <f>IF(ISTEXT(Table2[[#This Row],[j.cam]]),Table2[[#This Row],[j]],Table2[[#This Row],[j.cam]])</f>
        <v>101</v>
      </c>
      <c r="BK474" s="9">
        <v>104</v>
      </c>
      <c r="BL474" s="15">
        <f>IF(ISTEXT(Table2[[#This Row],[k.cam]]), Table2[[#This Row],[k]], Table2[[#This Row],[k.cam]])</f>
        <v>104</v>
      </c>
      <c r="BM474" s="4" t="s">
        <v>24</v>
      </c>
      <c r="BN474" s="8" t="s">
        <v>24</v>
      </c>
      <c r="BO474" s="4">
        <v>3</v>
      </c>
      <c r="BP474" s="4">
        <f>Table2[[#This Row],[final_obs_date]]-Table2[[#This Row],[i]]</f>
        <v>6</v>
      </c>
      <c r="BQ474" s="4" t="b">
        <f>Table2[[#This Row],[final_obs_date2]]&gt;Table2[[#This Row],[estHD]]+3</f>
        <v>0</v>
      </c>
      <c r="BR474" s="4" t="s">
        <v>66</v>
      </c>
      <c r="BS474" s="4" t="s">
        <v>45</v>
      </c>
      <c r="BT474" s="79" t="s">
        <v>1308</v>
      </c>
      <c r="BU474" s="26" t="s">
        <v>273</v>
      </c>
      <c r="BV474" s="79" t="s">
        <v>1583</v>
      </c>
      <c r="BW474" s="49"/>
      <c r="BX474" s="47"/>
      <c r="BY474" s="36" t="s">
        <v>798</v>
      </c>
    </row>
    <row r="475" spans="1:77" hidden="1" x14ac:dyDescent="0.35">
      <c r="A475" s="63">
        <v>20457</v>
      </c>
      <c r="B475" s="2" t="s">
        <v>35</v>
      </c>
      <c r="C475" s="45">
        <v>2020</v>
      </c>
      <c r="D475" s="3">
        <v>29.76698</v>
      </c>
      <c r="E475" s="3">
        <v>-93.161240000000006</v>
      </c>
      <c r="F475" s="3">
        <v>0</v>
      </c>
      <c r="G475" s="3">
        <v>10</v>
      </c>
      <c r="H475" s="3" t="s">
        <v>462</v>
      </c>
      <c r="I475" s="43"/>
      <c r="J475" s="55">
        <v>104</v>
      </c>
      <c r="K475" s="4">
        <v>103</v>
      </c>
      <c r="L475" s="22">
        <f>IF(ISNUMBER(Table2[[#This Row],[estHD]]),ABS(Table2[[#This Row],[HD]]-Table2[[#This Row],[estHD]]),"NA")</f>
        <v>1</v>
      </c>
      <c r="M475" s="4" t="b">
        <f>Table2[[#This Row],[HD]]=Table2[[#This Row],[estHD]]</f>
        <v>0</v>
      </c>
      <c r="N475" s="4" t="str">
        <f>IF(ISNUMBER([1]!Table2[[#This Row],[hatch_date]]),[1]!Table2[[#This Row],[hatch_date]]-19,"NA")</f>
        <v>NA</v>
      </c>
      <c r="O475" s="31">
        <v>84</v>
      </c>
      <c r="P475" s="23">
        <f>IF(ISNUMBER(Table2[[#This Row],[nest_age1]]),ABS(Table2[[#This Row],[nest_age1]]-Table2[[#This Row],[nest_age_feb]]),"NA")</f>
        <v>2</v>
      </c>
      <c r="Q475" s="24">
        <f>IF(ISNUMBER(Table2[[#This Row],[final_obs_int2]]),ABS(Table2[[#This Row],[final_obs_int2]]-Table2[[#This Row],[final_obs_int_feb]]), "NA")</f>
        <v>0</v>
      </c>
      <c r="R475" s="24"/>
      <c r="S475" s="57" t="s">
        <v>88</v>
      </c>
      <c r="T475" s="57" t="str">
        <f>Table2[[#This Row],[camera_old]]</f>
        <v>N</v>
      </c>
      <c r="U475" s="24"/>
      <c r="V475" s="16" t="s">
        <v>24</v>
      </c>
      <c r="W475" s="16">
        <v>18</v>
      </c>
      <c r="X475" s="145">
        <v>3</v>
      </c>
      <c r="Y475" s="147" t="s">
        <v>37</v>
      </c>
      <c r="Z475" s="146" t="s">
        <v>37</v>
      </c>
      <c r="AA475" s="4" t="str">
        <f>Table2[[#This Row],[field_fate]]</f>
        <v>H</v>
      </c>
      <c r="AB475" s="4" t="str">
        <f>Table2[[#This Row],[field_fate2]]</f>
        <v>H</v>
      </c>
      <c r="AC475" s="4" t="str">
        <f>Table2[[#This Row],[field_fate3]]</f>
        <v>H</v>
      </c>
      <c r="AD475" s="4" t="str">
        <f>Table2[[#This Row],[field_fate4]]</f>
        <v>H</v>
      </c>
      <c r="AE475" s="4" t="str">
        <f>Table2[[#This Row],[field_fate5]]</f>
        <v>H</v>
      </c>
      <c r="AF475" s="4" t="str">
        <f>Table2[[#This Row],[field_fate5]]</f>
        <v>H</v>
      </c>
      <c r="AG475" s="4" t="str">
        <f>Table2[[#This Row],[field_fate5]]</f>
        <v>H</v>
      </c>
      <c r="AH475" s="4" t="str">
        <f>Table2[[#This Row],[field_fate2]]</f>
        <v>H</v>
      </c>
      <c r="AI475" s="4" t="str">
        <f>Table2[[#This Row],[field_fate8]]</f>
        <v>H</v>
      </c>
      <c r="AJ475" s="4" t="str">
        <f>Table2[[#This Row],[field_fate10]]</f>
        <v>H</v>
      </c>
      <c r="AK475" s="4" t="b">
        <f>Table2[[#This Row],[field_fate_feb]]=Table2[[#This Row],[field_fate10]]</f>
        <v>1</v>
      </c>
      <c r="AL475" s="43" t="s">
        <v>24</v>
      </c>
      <c r="AM475" s="43" t="b">
        <f>Table2[[#This Row],[cam_fate2]]="NA"</f>
        <v>1</v>
      </c>
      <c r="AN475" s="19" t="str">
        <f>Table2[[#This Row],[cam_fate1]]</f>
        <v>NA</v>
      </c>
      <c r="AO475" s="2" t="s">
        <v>37</v>
      </c>
      <c r="AP475" s="5" t="str">
        <f>Table2[[#This Row],[final_fate1]]</f>
        <v>H</v>
      </c>
      <c r="AQ475" s="6">
        <v>20</v>
      </c>
      <c r="AR475" s="7">
        <v>19</v>
      </c>
      <c r="AS475" s="7">
        <f>Table2[[#This Row],[final_obs_date]]-Table2[[#This Row],[init_date]]</f>
        <v>20</v>
      </c>
      <c r="AT475" s="7">
        <f>(Table2[[#This Row],[final_obs_date2]]-Table2[[#This Row],[estHD]])+16</f>
        <v>16</v>
      </c>
      <c r="AU475" s="38">
        <v>3</v>
      </c>
      <c r="AV475" s="33">
        <v>3</v>
      </c>
      <c r="AW475" s="33">
        <f>Table2[[#This Row],[final_obs_date2]]-Table2[[#This Row],[pen_obs_date]]</f>
        <v>104</v>
      </c>
      <c r="AX475" s="67">
        <v>104</v>
      </c>
      <c r="AY475" s="6">
        <f>Table2[[#This Row],[final_obs_date]]</f>
        <v>104</v>
      </c>
      <c r="AZ475" s="6"/>
      <c r="BA475" s="91" t="s">
        <v>47</v>
      </c>
      <c r="BB475" s="6" t="b">
        <f>Table2[[#This Row],[final_obs_date]]&lt;(Table2[[#This Row],[estHD]]-2)</f>
        <v>0</v>
      </c>
      <c r="BC475" s="24">
        <f>IF(Table2[[#This Row],[field_fate]]="H",1,0)</f>
        <v>1</v>
      </c>
      <c r="BD475" s="16">
        <f>IF(Table2[[#This Row],[cam_fate2]]="H",1,0)</f>
        <v>0</v>
      </c>
      <c r="BE475" s="6" t="b">
        <f>NOT(Table2[[#This Row],[HF_C]]=Table2[[#This Row],[HF]])</f>
        <v>1</v>
      </c>
      <c r="BF475" s="6" t="b">
        <f>NOT(Table2[[#This Row],[cam_fate2]]=Table2[[#This Row],[field_fate3]])</f>
        <v>1</v>
      </c>
      <c r="BG475" s="6" t="b">
        <f>OR(Table2[[#This Row],[field_fate3]]="U",Table2[[#This Row],[field_fate3]]="U-H")</f>
        <v>0</v>
      </c>
      <c r="BH475" s="8">
        <v>98</v>
      </c>
      <c r="BI475" s="8">
        <v>103</v>
      </c>
      <c r="BJ475" s="14">
        <f>IF(ISTEXT(Table2[[#This Row],[j.cam]]),Table2[[#This Row],[j]],Table2[[#This Row],[j.cam]])</f>
        <v>103</v>
      </c>
      <c r="BK475" s="9">
        <v>103</v>
      </c>
      <c r="BL475" s="15">
        <f>IF(ISTEXT(Table2[[#This Row],[k.cam]]), Table2[[#This Row],[k]], Table2[[#This Row],[k.cam]])</f>
        <v>103</v>
      </c>
      <c r="BM475" s="4" t="s">
        <v>24</v>
      </c>
      <c r="BN475" s="8" t="s">
        <v>24</v>
      </c>
      <c r="BO475" s="4">
        <v>3</v>
      </c>
      <c r="BP475" s="4">
        <f>Table2[[#This Row],[final_obs_date]]-Table2[[#This Row],[i]]</f>
        <v>6</v>
      </c>
      <c r="BQ475" s="4" t="b">
        <f>Table2[[#This Row],[final_obs_date2]]&gt;Table2[[#This Row],[estHD]]+3</f>
        <v>0</v>
      </c>
      <c r="BR475" s="4" t="s">
        <v>66</v>
      </c>
      <c r="BS475" s="4" t="s">
        <v>45</v>
      </c>
      <c r="BT475" s="79" t="s">
        <v>1308</v>
      </c>
      <c r="BU475" s="26" t="s">
        <v>273</v>
      </c>
      <c r="BV475" s="79" t="s">
        <v>1583</v>
      </c>
      <c r="BW475" s="49"/>
      <c r="BX475" s="47"/>
      <c r="BY475" s="36" t="s">
        <v>799</v>
      </c>
    </row>
    <row r="476" spans="1:77" hidden="1" x14ac:dyDescent="0.35">
      <c r="A476" s="63">
        <v>20458</v>
      </c>
      <c r="B476" s="2" t="s">
        <v>35</v>
      </c>
      <c r="C476" s="45">
        <v>2020</v>
      </c>
      <c r="D476" s="3">
        <v>29.76699</v>
      </c>
      <c r="E476" s="3">
        <v>-93.160820000000001</v>
      </c>
      <c r="F476" s="3">
        <v>30</v>
      </c>
      <c r="G476" s="3">
        <v>30</v>
      </c>
      <c r="H476" s="3" t="s">
        <v>462</v>
      </c>
      <c r="I476" s="43"/>
      <c r="J476" s="55">
        <v>104</v>
      </c>
      <c r="K476" s="4">
        <v>103</v>
      </c>
      <c r="L476" s="22">
        <f>IF(ISNUMBER(Table2[[#This Row],[estHD]]),ABS(Table2[[#This Row],[HD]]-Table2[[#This Row],[estHD]]),"NA")</f>
        <v>1</v>
      </c>
      <c r="M476" s="4" t="b">
        <f>Table2[[#This Row],[HD]]=Table2[[#This Row],[estHD]]</f>
        <v>0</v>
      </c>
      <c r="N476" s="4" t="str">
        <f>IF(ISNUMBER([1]!Table2[[#This Row],[hatch_date]]),[1]!Table2[[#This Row],[hatch_date]]-19,"NA")</f>
        <v>NA</v>
      </c>
      <c r="O476" s="31">
        <v>84</v>
      </c>
      <c r="P476" s="23">
        <f>IF(ISNUMBER(Table2[[#This Row],[nest_age1]]),ABS(Table2[[#This Row],[nest_age1]]-Table2[[#This Row],[nest_age_feb]]),"NA")</f>
        <v>2</v>
      </c>
      <c r="Q476" s="24">
        <f>IF(ISNUMBER(Table2[[#This Row],[final_obs_int2]]),ABS(Table2[[#This Row],[final_obs_int2]]-Table2[[#This Row],[final_obs_int_feb]]), "NA")</f>
        <v>0</v>
      </c>
      <c r="R476" s="24"/>
      <c r="S476" s="57" t="s">
        <v>88</v>
      </c>
      <c r="T476" s="57" t="str">
        <f>Table2[[#This Row],[camera_old]]</f>
        <v>N</v>
      </c>
      <c r="U476" s="24"/>
      <c r="V476" s="16" t="s">
        <v>24</v>
      </c>
      <c r="W476" s="16">
        <v>18</v>
      </c>
      <c r="X476" s="145">
        <v>3</v>
      </c>
      <c r="Y476" s="147" t="s">
        <v>37</v>
      </c>
      <c r="Z476" s="146" t="s">
        <v>37</v>
      </c>
      <c r="AA476" s="4" t="str">
        <f>Table2[[#This Row],[field_fate]]</f>
        <v>H</v>
      </c>
      <c r="AB476" s="4" t="str">
        <f>Table2[[#This Row],[field_fate2]]</f>
        <v>H</v>
      </c>
      <c r="AC476" s="4" t="str">
        <f>Table2[[#This Row],[field_fate3]]</f>
        <v>H</v>
      </c>
      <c r="AD476" s="4" t="str">
        <f>Table2[[#This Row],[field_fate4]]</f>
        <v>H</v>
      </c>
      <c r="AE476" s="4" t="str">
        <f>Table2[[#This Row],[field_fate5]]</f>
        <v>H</v>
      </c>
      <c r="AF476" s="4" t="str">
        <f>Table2[[#This Row],[field_fate5]]</f>
        <v>H</v>
      </c>
      <c r="AG476" s="4" t="str">
        <f>Table2[[#This Row],[field_fate5]]</f>
        <v>H</v>
      </c>
      <c r="AH476" s="4" t="str">
        <f>Table2[[#This Row],[field_fate2]]</f>
        <v>H</v>
      </c>
      <c r="AI476" s="4" t="str">
        <f>Table2[[#This Row],[field_fate8]]</f>
        <v>H</v>
      </c>
      <c r="AJ476" s="4" t="str">
        <f>Table2[[#This Row],[field_fate10]]</f>
        <v>H</v>
      </c>
      <c r="AK476" s="4" t="b">
        <f>Table2[[#This Row],[field_fate_feb]]=Table2[[#This Row],[field_fate10]]</f>
        <v>1</v>
      </c>
      <c r="AL476" s="43" t="s">
        <v>24</v>
      </c>
      <c r="AM476" s="43" t="b">
        <f>Table2[[#This Row],[cam_fate2]]="NA"</f>
        <v>1</v>
      </c>
      <c r="AN476" s="19" t="str">
        <f>Table2[[#This Row],[cam_fate1]]</f>
        <v>NA</v>
      </c>
      <c r="AO476" s="2" t="s">
        <v>37</v>
      </c>
      <c r="AP476" s="5" t="str">
        <f>Table2[[#This Row],[final_fate1]]</f>
        <v>H</v>
      </c>
      <c r="AQ476" s="6">
        <v>20</v>
      </c>
      <c r="AR476" s="7">
        <v>19</v>
      </c>
      <c r="AS476" s="7">
        <f>Table2[[#This Row],[final_obs_date]]-Table2[[#This Row],[init_date]]</f>
        <v>20</v>
      </c>
      <c r="AT476" s="7">
        <f>(Table2[[#This Row],[final_obs_date2]]-Table2[[#This Row],[estHD]])+16</f>
        <v>16</v>
      </c>
      <c r="AU476" s="38">
        <v>3</v>
      </c>
      <c r="AV476" s="33">
        <v>3</v>
      </c>
      <c r="AW476" s="33">
        <f>Table2[[#This Row],[final_obs_date2]]-Table2[[#This Row],[pen_obs_date]]</f>
        <v>104</v>
      </c>
      <c r="AX476" s="67">
        <v>104</v>
      </c>
      <c r="AY476" s="6">
        <f>Table2[[#This Row],[final_obs_date]]</f>
        <v>104</v>
      </c>
      <c r="AZ476" s="6"/>
      <c r="BA476" s="91" t="s">
        <v>47</v>
      </c>
      <c r="BB476" s="6" t="b">
        <f>Table2[[#This Row],[final_obs_date]]&lt;(Table2[[#This Row],[estHD]]-2)</f>
        <v>0</v>
      </c>
      <c r="BC476" s="24">
        <f>IF(Table2[[#This Row],[field_fate]]="H",1,0)</f>
        <v>1</v>
      </c>
      <c r="BD476" s="16">
        <f>IF(Table2[[#This Row],[cam_fate2]]="H",1,0)</f>
        <v>0</v>
      </c>
      <c r="BE476" s="6" t="b">
        <f>NOT(Table2[[#This Row],[HF_C]]=Table2[[#This Row],[HF]])</f>
        <v>1</v>
      </c>
      <c r="BF476" s="6" t="b">
        <f>NOT(Table2[[#This Row],[cam_fate2]]=Table2[[#This Row],[field_fate3]])</f>
        <v>1</v>
      </c>
      <c r="BG476" s="6" t="b">
        <f>OR(Table2[[#This Row],[field_fate3]]="U",Table2[[#This Row],[field_fate3]]="U-H")</f>
        <v>0</v>
      </c>
      <c r="BH476" s="8">
        <v>98</v>
      </c>
      <c r="BI476" s="8">
        <v>103</v>
      </c>
      <c r="BJ476" s="14">
        <f>IF(ISTEXT(Table2[[#This Row],[j.cam]]),Table2[[#This Row],[j]],Table2[[#This Row],[j.cam]])</f>
        <v>103</v>
      </c>
      <c r="BK476" s="9">
        <v>103</v>
      </c>
      <c r="BL476" s="15">
        <f>IF(ISTEXT(Table2[[#This Row],[k.cam]]), Table2[[#This Row],[k]], Table2[[#This Row],[k.cam]])</f>
        <v>103</v>
      </c>
      <c r="BM476" s="4" t="s">
        <v>24</v>
      </c>
      <c r="BN476" s="8" t="s">
        <v>24</v>
      </c>
      <c r="BO476" s="4">
        <v>3</v>
      </c>
      <c r="BP476" s="4">
        <f>Table2[[#This Row],[final_obs_date]]-Table2[[#This Row],[i]]</f>
        <v>6</v>
      </c>
      <c r="BQ476" s="4" t="b">
        <f>Table2[[#This Row],[final_obs_date2]]&gt;Table2[[#This Row],[estHD]]+3</f>
        <v>0</v>
      </c>
      <c r="BR476" s="4" t="s">
        <v>66</v>
      </c>
      <c r="BS476" s="4" t="s">
        <v>45</v>
      </c>
      <c r="BT476" s="79" t="s">
        <v>1308</v>
      </c>
      <c r="BU476" s="26" t="s">
        <v>273</v>
      </c>
      <c r="BV476" s="79" t="s">
        <v>1583</v>
      </c>
      <c r="BW476" s="49"/>
      <c r="BX476" s="47"/>
      <c r="BY476" s="36" t="s">
        <v>800</v>
      </c>
    </row>
    <row r="477" spans="1:77" hidden="1" x14ac:dyDescent="0.35">
      <c r="A477" s="63">
        <v>20459</v>
      </c>
      <c r="B477" s="2" t="s">
        <v>35</v>
      </c>
      <c r="C477" s="45">
        <v>2020</v>
      </c>
      <c r="D477" s="3">
        <v>29.76765</v>
      </c>
      <c r="E477" s="3">
        <v>-93.164829999999995</v>
      </c>
      <c r="F477" s="3">
        <v>10</v>
      </c>
      <c r="G477" s="3">
        <v>10</v>
      </c>
      <c r="H477" s="3" t="s">
        <v>26</v>
      </c>
      <c r="I477" s="43"/>
      <c r="J477" s="55">
        <v>103</v>
      </c>
      <c r="K477" s="4">
        <v>103</v>
      </c>
      <c r="L477" s="22">
        <f>IF(ISNUMBER(Table2[[#This Row],[estHD]]),ABS(Table2[[#This Row],[HD]]-Table2[[#This Row],[estHD]]),"NA")</f>
        <v>0</v>
      </c>
      <c r="M477" s="4" t="b">
        <f>Table2[[#This Row],[HD]]=Table2[[#This Row],[estHD]]</f>
        <v>1</v>
      </c>
      <c r="N477" s="4" t="str">
        <f>IF(ISNUMBER([1]!Table2[[#This Row],[hatch_date]]),[1]!Table2[[#This Row],[hatch_date]]-19,"NA")</f>
        <v>NA</v>
      </c>
      <c r="O477" s="31">
        <v>84</v>
      </c>
      <c r="P477" s="23">
        <f>IF(ISNUMBER(Table2[[#This Row],[nest_age1]]),ABS(Table2[[#This Row],[nest_age1]]-Table2[[#This Row],[nest_age_feb]]),"NA")</f>
        <v>1</v>
      </c>
      <c r="Q477" s="24">
        <f>IF(ISNUMBER(Table2[[#This Row],[final_obs_int2]]),ABS(Table2[[#This Row],[final_obs_int2]]-Table2[[#This Row],[final_obs_int_feb]]), "NA")</f>
        <v>0</v>
      </c>
      <c r="R477" s="24"/>
      <c r="S477" s="57" t="s">
        <v>88</v>
      </c>
      <c r="T477" s="57" t="str">
        <f>Table2[[#This Row],[camera_old]]</f>
        <v>N</v>
      </c>
      <c r="U477" s="24"/>
      <c r="V477" s="16" t="s">
        <v>24</v>
      </c>
      <c r="W477" s="16">
        <v>21</v>
      </c>
      <c r="X477" s="145">
        <v>2</v>
      </c>
      <c r="Y477" s="148" t="s">
        <v>25</v>
      </c>
      <c r="Z477" s="146" t="s">
        <v>25</v>
      </c>
      <c r="AA477" s="4" t="str">
        <f>Table2[[#This Row],[field_fate]]</f>
        <v>S</v>
      </c>
      <c r="AB477" s="4" t="str">
        <f>Table2[[#This Row],[field_fate2]]</f>
        <v>S</v>
      </c>
      <c r="AC477" s="4" t="str">
        <f>Table2[[#This Row],[field_fate3]]</f>
        <v>S</v>
      </c>
      <c r="AD477" s="4" t="str">
        <f>Table2[[#This Row],[field_fate4]]</f>
        <v>S</v>
      </c>
      <c r="AE477" s="4" t="str">
        <f>Table2[[#This Row],[field_fate5]]</f>
        <v>S</v>
      </c>
      <c r="AF477" s="4" t="str">
        <f>Table2[[#This Row],[field_fate5]]</f>
        <v>S</v>
      </c>
      <c r="AG477" s="4" t="str">
        <f>Table2[[#This Row],[field_fate5]]</f>
        <v>S</v>
      </c>
      <c r="AH477" s="4" t="str">
        <f>Table2[[#This Row],[field_fate2]]</f>
        <v>S</v>
      </c>
      <c r="AI477" s="4" t="str">
        <f>Table2[[#This Row],[field_fate8]]</f>
        <v>S</v>
      </c>
      <c r="AJ477" s="4" t="str">
        <f>Table2[[#This Row],[field_fate10]]</f>
        <v>S</v>
      </c>
      <c r="AK477" s="4" t="b">
        <f>Table2[[#This Row],[field_fate_feb]]=Table2[[#This Row],[field_fate10]]</f>
        <v>1</v>
      </c>
      <c r="AL477" s="43" t="s">
        <v>24</v>
      </c>
      <c r="AM477" s="43" t="b">
        <f>Table2[[#This Row],[cam_fate2]]="NA"</f>
        <v>1</v>
      </c>
      <c r="AN477" s="19" t="str">
        <f>Table2[[#This Row],[cam_fate1]]</f>
        <v>NA</v>
      </c>
      <c r="AO477" s="2" t="s">
        <v>25</v>
      </c>
      <c r="AP477" s="5" t="str">
        <f>Table2[[#This Row],[final_fate1]]</f>
        <v>S</v>
      </c>
      <c r="AQ477" s="6">
        <v>22</v>
      </c>
      <c r="AR477" s="7">
        <v>22</v>
      </c>
      <c r="AS477" s="7">
        <f>Table2[[#This Row],[final_obs_date]]-Table2[[#This Row],[init_date]]</f>
        <v>22</v>
      </c>
      <c r="AT477" s="7">
        <f>(Table2[[#This Row],[final_obs_date2]]-Table2[[#This Row],[estHD]])+16</f>
        <v>19</v>
      </c>
      <c r="AU477" s="38">
        <v>2</v>
      </c>
      <c r="AV477" s="33">
        <v>2</v>
      </c>
      <c r="AW477" s="33">
        <f>Table2[[#This Row],[final_obs_date2]]-Table2[[#This Row],[pen_obs_date]]</f>
        <v>106</v>
      </c>
      <c r="AX477" s="67">
        <v>106</v>
      </c>
      <c r="AY477" s="6">
        <f>Table2[[#This Row],[final_obs_date]]</f>
        <v>106</v>
      </c>
      <c r="AZ477" s="6"/>
      <c r="BA477" s="91" t="s">
        <v>47</v>
      </c>
      <c r="BB477" s="6" t="b">
        <f>Table2[[#This Row],[final_obs_date]]&lt;(Table2[[#This Row],[estHD]]-2)</f>
        <v>0</v>
      </c>
      <c r="BC477" s="24">
        <f>IF(Table2[[#This Row],[field_fate]]="H",1,0)</f>
        <v>0</v>
      </c>
      <c r="BD477" s="16">
        <f>IF(Table2[[#This Row],[cam_fate2]]="H",1,0)</f>
        <v>0</v>
      </c>
      <c r="BE477" s="6" t="b">
        <f>NOT(Table2[[#This Row],[HF_C]]=Table2[[#This Row],[HF]])</f>
        <v>0</v>
      </c>
      <c r="BF477" s="6" t="b">
        <f>NOT(Table2[[#This Row],[cam_fate2]]=Table2[[#This Row],[field_fate3]])</f>
        <v>1</v>
      </c>
      <c r="BG477" s="6" t="b">
        <f>OR(Table2[[#This Row],[field_fate3]]="U",Table2[[#This Row],[field_fate3]]="U-H")</f>
        <v>0</v>
      </c>
      <c r="BH477" s="8">
        <v>101</v>
      </c>
      <c r="BI477" s="8">
        <v>104</v>
      </c>
      <c r="BJ477" s="14">
        <f>IF(ISTEXT(Table2[[#This Row],[j.cam]]),Table2[[#This Row],[j]],Table2[[#This Row],[j.cam]])</f>
        <v>104</v>
      </c>
      <c r="BK477" s="9">
        <v>106</v>
      </c>
      <c r="BL477" s="15">
        <f>IF(ISTEXT(Table2[[#This Row],[k.cam]]), Table2[[#This Row],[k]], Table2[[#This Row],[k.cam]])</f>
        <v>106</v>
      </c>
      <c r="BM477" s="4" t="s">
        <v>24</v>
      </c>
      <c r="BN477" s="8" t="s">
        <v>24</v>
      </c>
      <c r="BO477" s="4">
        <v>3</v>
      </c>
      <c r="BP477" s="4">
        <f>Table2[[#This Row],[final_obs_date]]-Table2[[#This Row],[i]]</f>
        <v>5</v>
      </c>
      <c r="BQ477" s="4" t="b">
        <f>Table2[[#This Row],[final_obs_date2]]&gt;Table2[[#This Row],[estHD]]+3</f>
        <v>0</v>
      </c>
      <c r="BR477" s="4" t="s">
        <v>33</v>
      </c>
      <c r="BS477" s="4" t="s">
        <v>45</v>
      </c>
      <c r="BT477" s="79" t="s">
        <v>1309</v>
      </c>
      <c r="BU477" s="26" t="s">
        <v>132</v>
      </c>
      <c r="BV477" s="79" t="s">
        <v>1521</v>
      </c>
      <c r="BW477" s="49"/>
      <c r="BX477" s="47"/>
      <c r="BY477" s="36" t="s">
        <v>801</v>
      </c>
    </row>
    <row r="478" spans="1:77" x14ac:dyDescent="0.35">
      <c r="A478" s="60">
        <v>20460</v>
      </c>
      <c r="B478" s="2" t="s">
        <v>35</v>
      </c>
      <c r="C478" s="45">
        <v>2020</v>
      </c>
      <c r="D478" s="3">
        <v>29.76754</v>
      </c>
      <c r="E478" s="3">
        <v>-93.163740000000004</v>
      </c>
      <c r="F478" s="3">
        <v>5</v>
      </c>
      <c r="G478" s="3">
        <v>10</v>
      </c>
      <c r="H478" s="3" t="s">
        <v>26</v>
      </c>
      <c r="I478" s="43"/>
      <c r="J478" s="116">
        <v>103</v>
      </c>
      <c r="K478" s="4">
        <v>106</v>
      </c>
      <c r="L478" s="22">
        <f>IF(ISNUMBER(Table2[[#This Row],[estHD]]),ABS(Table2[[#This Row],[HD]]-Table2[[#This Row],[estHD]]),"NA")</f>
        <v>3</v>
      </c>
      <c r="M478" s="4" t="b">
        <f>Table2[[#This Row],[HD]]=Table2[[#This Row],[estHD]]</f>
        <v>0</v>
      </c>
      <c r="N478" s="4">
        <f>IF(ISNUMBER(Table2[[#This Row],[HD]]),Table2[[#This Row],[HD]]-19,"NA")</f>
        <v>87</v>
      </c>
      <c r="O478" s="31">
        <v>87</v>
      </c>
      <c r="P478" s="23">
        <f>IF(ISNUMBER(Table2[[#This Row],[nest_age1]]),ABS(Table2[[#This Row],[nest_age1]]-Table2[[#This Row],[nest_age_feb]]),"NA")</f>
        <v>2</v>
      </c>
      <c r="Q478" s="24">
        <f>IF(ISNUMBER(Table2[[#This Row],[final_obs_int2]]),ABS(Table2[[#This Row],[final_obs_int2]]-Table2[[#This Row],[final_obs_int_feb]]), "NA")</f>
        <v>0</v>
      </c>
      <c r="R478" s="24">
        <f>(Table2[[#This Row],[k_adj]]-Table2[[#This Row],[estHD]])/Table2[[#This Row],[estHD]]</f>
        <v>2.9126213592233011E-2</v>
      </c>
      <c r="S478" s="20" t="s">
        <v>75</v>
      </c>
      <c r="T478" s="20" t="str">
        <f>Table2[[#This Row],[camera_old]]</f>
        <v>Y</v>
      </c>
      <c r="U478" s="58" t="s">
        <v>909</v>
      </c>
      <c r="V478" s="16" t="s">
        <v>37</v>
      </c>
      <c r="W478" s="16">
        <v>21</v>
      </c>
      <c r="X478" s="145">
        <v>2</v>
      </c>
      <c r="Y478" s="153" t="s">
        <v>104</v>
      </c>
      <c r="Z478" s="146" t="s">
        <v>104</v>
      </c>
      <c r="AA478" s="5" t="s">
        <v>37</v>
      </c>
      <c r="AB478" s="2" t="str">
        <f>Table2[[#This Row],[field_fate]]</f>
        <v>U-H</v>
      </c>
      <c r="AC478" s="128" t="s">
        <v>90</v>
      </c>
      <c r="AD478" s="94" t="s">
        <v>37</v>
      </c>
      <c r="AE478" s="94" t="s">
        <v>104</v>
      </c>
      <c r="AF478" s="94" t="str">
        <f>Table2[[#This Row],[field_fate5]]</f>
        <v>H</v>
      </c>
      <c r="AG478" s="94" t="str">
        <f>Table2[[#This Row],[field_fate5]]</f>
        <v>H</v>
      </c>
      <c r="AH478" s="94" t="str">
        <f>Table2[[#This Row],[field_fate2]]</f>
        <v>H</v>
      </c>
      <c r="AI478" s="94" t="str">
        <f>Table2[[#This Row],[field_fate8]]</f>
        <v>H</v>
      </c>
      <c r="AJ478" s="94" t="s">
        <v>37</v>
      </c>
      <c r="AK478" s="94" t="b">
        <f>Table2[[#This Row],[field_fate_feb]]=Table2[[#This Row],[field_fate10]]</f>
        <v>0</v>
      </c>
      <c r="AL478" s="43" t="s">
        <v>37</v>
      </c>
      <c r="AM478" s="160" t="b">
        <f>Table2[[#This Row],[cam_fate2]]="NA"</f>
        <v>0</v>
      </c>
      <c r="AN478" s="19" t="str">
        <f>Table2[[#This Row],[cam_fate1]]</f>
        <v>H</v>
      </c>
      <c r="AO478" s="2" t="s">
        <v>37</v>
      </c>
      <c r="AP478" s="5" t="str">
        <f>Table2[[#This Row],[final_fate1]]</f>
        <v>H</v>
      </c>
      <c r="AQ478" s="6">
        <v>19</v>
      </c>
      <c r="AR478" s="72">
        <v>22</v>
      </c>
      <c r="AS478" s="155">
        <f>Table2[[#This Row],[final_obs_date]]-Table2[[#This Row],[init_date]]</f>
        <v>19</v>
      </c>
      <c r="AT478" s="155">
        <f>(Table2[[#This Row],[final_obs_date2]]-Table2[[#This Row],[estHD]])+19</f>
        <v>22</v>
      </c>
      <c r="AU478" s="38">
        <v>2</v>
      </c>
      <c r="AV478" s="33">
        <v>2</v>
      </c>
      <c r="AW478" s="33">
        <f>Table2[[#This Row],[final_obs_date2]]-Table2[[#This Row],[pen_obs_date]]</f>
        <v>2</v>
      </c>
      <c r="AX478" s="67">
        <v>106</v>
      </c>
      <c r="AY478" s="157">
        <f>Table2[[#This Row],[final_obs_date]]</f>
        <v>106</v>
      </c>
      <c r="AZ478" s="6">
        <v>104</v>
      </c>
      <c r="BA478" s="92" t="s">
        <v>47</v>
      </c>
      <c r="BB478" s="6" t="b">
        <f>Table2[[#This Row],[final_obs_date]]&lt;(Table2[[#This Row],[estHD]]-2)</f>
        <v>0</v>
      </c>
      <c r="BC478" s="32">
        <f>IF(Table2[[#This Row],[field_fate2]]="H",1,0)</f>
        <v>1</v>
      </c>
      <c r="BD478" s="16">
        <f>IF(Table2[[#This Row],[cam_fate2]]="H",1,0)</f>
        <v>1</v>
      </c>
      <c r="BE478" s="6" t="b">
        <f>NOT(Table2[[#This Row],[HF_C]]=Table2[[#This Row],[HF]])</f>
        <v>0</v>
      </c>
      <c r="BF478" s="38" t="b">
        <f>NOT(Table2[[#This Row],[cam_fate2]]=Table2[[#This Row],[field_fate3]])</f>
        <v>1</v>
      </c>
      <c r="BG478" s="38" t="b">
        <f>OR(Table2[[#This Row],[field_fate3]]="U",Table2[[#This Row],[field_fate3]]="U-H")</f>
        <v>1</v>
      </c>
      <c r="BH478" s="8">
        <v>101</v>
      </c>
      <c r="BI478" s="8">
        <v>106</v>
      </c>
      <c r="BJ478" s="14">
        <f>IF(ISTEXT(Table2[[#This Row],[j.cam]]),Table2[[#This Row],[j]],Table2[[#This Row],[j.cam]])</f>
        <v>106</v>
      </c>
      <c r="BK478" s="8">
        <v>106</v>
      </c>
      <c r="BL478" s="14">
        <f>IF(ISTEXT(Table2[[#This Row],[k.cam]]), Table2[[#This Row],[k]], Table2[[#This Row],[k.cam]])</f>
        <v>106</v>
      </c>
      <c r="BM478" s="4">
        <v>106</v>
      </c>
      <c r="BN478" s="8">
        <v>106</v>
      </c>
      <c r="BO478" s="4">
        <v>3</v>
      </c>
      <c r="BP478" s="4">
        <f>Table2[[#This Row],[final_obs_date]]-Table2[[#This Row],[i]]</f>
        <v>5</v>
      </c>
      <c r="BQ478" s="4" t="b">
        <f>Table2[[#This Row],[final_obs_date2]]&gt;Table2[[#This Row],[estHD]]+3</f>
        <v>0</v>
      </c>
      <c r="BR478" s="3" t="s">
        <v>58</v>
      </c>
      <c r="BS478" s="3" t="s">
        <v>45</v>
      </c>
      <c r="BT478" s="125" t="s">
        <v>1309</v>
      </c>
      <c r="BU478" s="4" t="s">
        <v>133</v>
      </c>
      <c r="BV478" s="79" t="s">
        <v>1521</v>
      </c>
      <c r="BW478" s="69" t="s">
        <v>1735</v>
      </c>
      <c r="BX478" s="36"/>
      <c r="BY478" s="54" t="s">
        <v>802</v>
      </c>
    </row>
    <row r="479" spans="1:77" x14ac:dyDescent="0.35">
      <c r="A479" s="63">
        <v>20461</v>
      </c>
      <c r="B479" s="2" t="s">
        <v>35</v>
      </c>
      <c r="C479" s="45">
        <v>2020</v>
      </c>
      <c r="D479" s="3">
        <v>29.766870000000001</v>
      </c>
      <c r="E479" s="3">
        <v>-93.160799999999995</v>
      </c>
      <c r="F479" s="3">
        <v>0</v>
      </c>
      <c r="G479" s="3">
        <v>5</v>
      </c>
      <c r="H479" s="3" t="s">
        <v>462</v>
      </c>
      <c r="I479" s="43"/>
      <c r="J479" s="116">
        <v>119</v>
      </c>
      <c r="K479" s="4">
        <v>119</v>
      </c>
      <c r="L479" s="22">
        <f>IF(ISNUMBER(Table2[[#This Row],[estHD]]),ABS(Table2[[#This Row],[HD]]-Table2[[#This Row],[estHD]]),"NA")</f>
        <v>0</v>
      </c>
      <c r="M479" s="4" t="b">
        <f>Table2[[#This Row],[HD]]=Table2[[#This Row],[estHD]]</f>
        <v>1</v>
      </c>
      <c r="N479" s="4">
        <f>IF(ISNUMBER(Table2[[#This Row],[HD]]),Table2[[#This Row],[HD]]-19,"NA")</f>
        <v>100</v>
      </c>
      <c r="O479" s="31">
        <v>100</v>
      </c>
      <c r="P479" s="23">
        <f>IF(ISNUMBER(Table2[[#This Row],[nest_age1]]),ABS(Table2[[#This Row],[nest_age1]]-Table2[[#This Row],[nest_age_feb]]),"NA")</f>
        <v>1</v>
      </c>
      <c r="Q479" s="24">
        <f>IF(ISNUMBER(Table2[[#This Row],[final_obs_int2]]),ABS(Table2[[#This Row],[final_obs_int2]]-Table2[[#This Row],[final_obs_int_feb]]), "NA")</f>
        <v>0</v>
      </c>
      <c r="R479" s="24"/>
      <c r="S479" s="20" t="s">
        <v>75</v>
      </c>
      <c r="T479" s="20" t="str">
        <f>Table2[[#This Row],[camera_old]]</f>
        <v>Y</v>
      </c>
      <c r="U479" s="58" t="s">
        <v>909</v>
      </c>
      <c r="V479" s="16" t="s">
        <v>25</v>
      </c>
      <c r="W479" s="16">
        <v>5</v>
      </c>
      <c r="X479" s="145">
        <v>2</v>
      </c>
      <c r="Y479" s="153" t="s">
        <v>48</v>
      </c>
      <c r="Z479" s="146" t="s">
        <v>48</v>
      </c>
      <c r="AA479" s="4" t="str">
        <f>Table2[[#This Row],[field_fate]]</f>
        <v>F</v>
      </c>
      <c r="AB479" s="4" t="str">
        <f>Table2[[#This Row],[field_fate2]]</f>
        <v>F</v>
      </c>
      <c r="AC479" s="94" t="str">
        <f>Table2[[#This Row],[field_fate3]]</f>
        <v>F</v>
      </c>
      <c r="AD479" s="94" t="s">
        <v>25</v>
      </c>
      <c r="AE479" s="94" t="str">
        <f>Table2[[#This Row],[field_fate5]]</f>
        <v>S</v>
      </c>
      <c r="AF479" s="94" t="str">
        <f>Table2[[#This Row],[field_fate5]]</f>
        <v>S</v>
      </c>
      <c r="AG479" s="94" t="str">
        <f>Table2[[#This Row],[field_fate5]]</f>
        <v>S</v>
      </c>
      <c r="AH479" s="94" t="str">
        <f>Table2[[#This Row],[field_fate2]]</f>
        <v>F</v>
      </c>
      <c r="AI479" s="94" t="str">
        <f>Table2[[#This Row],[field_fate8]]</f>
        <v>S</v>
      </c>
      <c r="AJ479" s="94" t="str">
        <f>Table2[[#This Row],[field_fate10]]</f>
        <v>S</v>
      </c>
      <c r="AK479" s="94" t="b">
        <f>Table2[[#This Row],[field_fate_feb]]=Table2[[#This Row],[field_fate10]]</f>
        <v>0</v>
      </c>
      <c r="AL479" s="43" t="s">
        <v>25</v>
      </c>
      <c r="AM479" s="160" t="b">
        <f>Table2[[#This Row],[cam_fate2]]="NA"</f>
        <v>0</v>
      </c>
      <c r="AN479" s="19" t="str">
        <f>Table2[[#This Row],[cam_fate1]]</f>
        <v>S</v>
      </c>
      <c r="AO479" s="2" t="s">
        <v>25</v>
      </c>
      <c r="AP479" s="5" t="str">
        <f>Table2[[#This Row],[final_fate1]]</f>
        <v>S</v>
      </c>
      <c r="AQ479" s="6">
        <v>6</v>
      </c>
      <c r="AR479" s="72">
        <v>6</v>
      </c>
      <c r="AS479" s="155">
        <f>Table2[[#This Row],[final_obs_date]]-Table2[[#This Row],[init_date]]</f>
        <v>6</v>
      </c>
      <c r="AT479" s="155">
        <f>(Table2[[#This Row],[final_obs_date2]]-Table2[[#This Row],[estHD]])+19</f>
        <v>6</v>
      </c>
      <c r="AU479" s="38">
        <v>2</v>
      </c>
      <c r="AV479" s="33">
        <v>2</v>
      </c>
      <c r="AW479" s="33">
        <f>Table2[[#This Row],[final_obs_date2]]-Table2[[#This Row],[pen_obs_date]]</f>
        <v>2</v>
      </c>
      <c r="AX479" s="67">
        <v>106</v>
      </c>
      <c r="AY479" s="157">
        <f>Table2[[#This Row],[final_obs_date]]</f>
        <v>106</v>
      </c>
      <c r="AZ479" s="6">
        <v>104</v>
      </c>
      <c r="BA479" s="92" t="s">
        <v>47</v>
      </c>
      <c r="BB479" s="6" t="b">
        <f>Table2[[#This Row],[final_obs_date]]&lt;(Table2[[#This Row],[estHD]]-2)</f>
        <v>1</v>
      </c>
      <c r="BC479" s="32">
        <f>IF(Table2[[#This Row],[field_fate]]="H",1,0)</f>
        <v>0</v>
      </c>
      <c r="BD479" s="16">
        <f>IF(Table2[[#This Row],[cam_fate2]]="H",1,0)</f>
        <v>0</v>
      </c>
      <c r="BE479" s="6" t="b">
        <f>NOT(Table2[[#This Row],[HF_C]]=Table2[[#This Row],[HF]])</f>
        <v>0</v>
      </c>
      <c r="BF479" s="38" t="b">
        <f>NOT(Table2[[#This Row],[cam_fate2]]=Table2[[#This Row],[field_fate3]])</f>
        <v>1</v>
      </c>
      <c r="BG479" s="38" t="b">
        <f>OR(Table2[[#This Row],[field_fate3]]="U",Table2[[#This Row],[field_fate3]]="U-H")</f>
        <v>0</v>
      </c>
      <c r="BH479" s="8">
        <v>104</v>
      </c>
      <c r="BI479" s="8">
        <v>104</v>
      </c>
      <c r="BJ479" s="14">
        <f>IF(ISTEXT(Table2[[#This Row],[j.cam]]),Table2[[#This Row],[j]],Table2[[#This Row],[j.cam]])</f>
        <v>104</v>
      </c>
      <c r="BK479" s="8">
        <v>106</v>
      </c>
      <c r="BL479" s="14">
        <f>IF(ISTEXT(Table2[[#This Row],[k.cam]]), Table2[[#This Row],[k]], Table2[[#This Row],[k.cam]])</f>
        <v>106</v>
      </c>
      <c r="BM479" s="4" t="s">
        <v>24</v>
      </c>
      <c r="BN479" s="8" t="s">
        <v>24</v>
      </c>
      <c r="BO479" s="4">
        <v>2</v>
      </c>
      <c r="BP479" s="4">
        <f>Table2[[#This Row],[final_obs_date]]-Table2[[#This Row],[i]]</f>
        <v>2</v>
      </c>
      <c r="BQ479" s="4" t="b">
        <f>Table2[[#This Row],[final_obs_date2]]&gt;Table2[[#This Row],[estHD]]+3</f>
        <v>0</v>
      </c>
      <c r="BR479" s="3" t="s">
        <v>33</v>
      </c>
      <c r="BS479" s="3" t="s">
        <v>45</v>
      </c>
      <c r="BT479" s="125" t="s">
        <v>1310</v>
      </c>
      <c r="BU479" s="4" t="s">
        <v>87</v>
      </c>
      <c r="BV479" s="79" t="s">
        <v>1456</v>
      </c>
      <c r="BW479" s="69"/>
      <c r="BX479" s="36"/>
      <c r="BY479" s="36" t="s">
        <v>801</v>
      </c>
    </row>
    <row r="480" spans="1:77" hidden="1" x14ac:dyDescent="0.35">
      <c r="A480" s="63">
        <v>20462</v>
      </c>
      <c r="B480" s="2" t="s">
        <v>35</v>
      </c>
      <c r="C480" s="45">
        <v>2020</v>
      </c>
      <c r="D480" s="3">
        <v>29.766909999999999</v>
      </c>
      <c r="E480" s="3">
        <v>-93.160899999999998</v>
      </c>
      <c r="F480" s="3">
        <v>0</v>
      </c>
      <c r="G480" s="3">
        <v>5</v>
      </c>
      <c r="H480" s="3" t="s">
        <v>462</v>
      </c>
      <c r="I480" s="43"/>
      <c r="J480" s="55">
        <v>106</v>
      </c>
      <c r="K480" s="4">
        <v>106</v>
      </c>
      <c r="L480" s="22">
        <f>IF(ISNUMBER(Table2[[#This Row],[estHD]]),ABS(Table2[[#This Row],[HD]]-Table2[[#This Row],[estHD]]),"NA")</f>
        <v>0</v>
      </c>
      <c r="M480" s="4" t="b">
        <f>Table2[[#This Row],[HD]]=Table2[[#This Row],[estHD]]</f>
        <v>1</v>
      </c>
      <c r="N480" s="4" t="str">
        <f>IF(ISNUMBER([1]!Table2[[#This Row],[hatch_date]]),[1]!Table2[[#This Row],[hatch_date]]-19,"NA")</f>
        <v>NA</v>
      </c>
      <c r="O480" s="31">
        <v>87</v>
      </c>
      <c r="P480" s="23">
        <f>IF(ISNUMBER(Table2[[#This Row],[nest_age1]]),ABS(Table2[[#This Row],[nest_age1]]-Table2[[#This Row],[nest_age_feb]]),"NA")</f>
        <v>1</v>
      </c>
      <c r="Q480" s="24">
        <f>IF(ISNUMBER(Table2[[#This Row],[final_obs_int2]]),ABS(Table2[[#This Row],[final_obs_int2]]-Table2[[#This Row],[final_obs_int_feb]]), "NA")</f>
        <v>0</v>
      </c>
      <c r="R480" s="24"/>
      <c r="S480" s="57" t="s">
        <v>88</v>
      </c>
      <c r="T480" s="57" t="str">
        <f>Table2[[#This Row],[camera_old]]</f>
        <v>N</v>
      </c>
      <c r="U480" s="24"/>
      <c r="V480" s="16" t="s">
        <v>24</v>
      </c>
      <c r="W480" s="16">
        <v>18</v>
      </c>
      <c r="X480" s="145">
        <v>2</v>
      </c>
      <c r="Y480" s="149" t="s">
        <v>25</v>
      </c>
      <c r="Z480" s="146" t="s">
        <v>25</v>
      </c>
      <c r="AA480" s="4" t="str">
        <f>Table2[[#This Row],[field_fate]]</f>
        <v>S</v>
      </c>
      <c r="AB480" s="4" t="str">
        <f>Table2[[#This Row],[field_fate2]]</f>
        <v>S</v>
      </c>
      <c r="AC480" s="4" t="str">
        <f>Table2[[#This Row],[field_fate3]]</f>
        <v>S</v>
      </c>
      <c r="AD480" s="4" t="str">
        <f>Table2[[#This Row],[field_fate4]]</f>
        <v>S</v>
      </c>
      <c r="AE480" s="4" t="str">
        <f>Table2[[#This Row],[field_fate5]]</f>
        <v>S</v>
      </c>
      <c r="AF480" s="4" t="str">
        <f>Table2[[#This Row],[field_fate5]]</f>
        <v>S</v>
      </c>
      <c r="AG480" s="4" t="str">
        <f>Table2[[#This Row],[field_fate5]]</f>
        <v>S</v>
      </c>
      <c r="AH480" s="4" t="str">
        <f>Table2[[#This Row],[field_fate2]]</f>
        <v>S</v>
      </c>
      <c r="AI480" s="4" t="str">
        <f>Table2[[#This Row],[field_fate8]]</f>
        <v>S</v>
      </c>
      <c r="AJ480" s="4" t="str">
        <f>Table2[[#This Row],[field_fate10]]</f>
        <v>S</v>
      </c>
      <c r="AK480" s="4" t="b">
        <f>Table2[[#This Row],[field_fate_feb]]=Table2[[#This Row],[field_fate10]]</f>
        <v>1</v>
      </c>
      <c r="AL480" s="43" t="s">
        <v>24</v>
      </c>
      <c r="AM480" s="43" t="b">
        <f>Table2[[#This Row],[cam_fate2]]="NA"</f>
        <v>1</v>
      </c>
      <c r="AN480" s="19" t="str">
        <f>Table2[[#This Row],[cam_fate1]]</f>
        <v>NA</v>
      </c>
      <c r="AO480" s="2" t="s">
        <v>25</v>
      </c>
      <c r="AP480" s="5" t="str">
        <f>Table2[[#This Row],[final_fate1]]</f>
        <v>S</v>
      </c>
      <c r="AQ480" s="6">
        <v>19</v>
      </c>
      <c r="AR480" s="7">
        <v>19</v>
      </c>
      <c r="AS480" s="7">
        <f>Table2[[#This Row],[final_obs_date]]-Table2[[#This Row],[init_date]]</f>
        <v>19</v>
      </c>
      <c r="AT480" s="7">
        <f>(Table2[[#This Row],[final_obs_date2]]-Table2[[#This Row],[estHD]])+16</f>
        <v>16</v>
      </c>
      <c r="AU480" s="38">
        <v>2</v>
      </c>
      <c r="AV480" s="33">
        <v>2</v>
      </c>
      <c r="AW480" s="33">
        <f>Table2[[#This Row],[final_obs_date2]]-Table2[[#This Row],[pen_obs_date]]</f>
        <v>106</v>
      </c>
      <c r="AX480" s="67">
        <v>106</v>
      </c>
      <c r="AY480" s="6">
        <f>Table2[[#This Row],[final_obs_date]]</f>
        <v>106</v>
      </c>
      <c r="AZ480" s="6"/>
      <c r="BA480" s="91" t="s">
        <v>47</v>
      </c>
      <c r="BB480" s="6" t="b">
        <f>Table2[[#This Row],[final_obs_date]]&lt;(Table2[[#This Row],[estHD]]-2)</f>
        <v>0</v>
      </c>
      <c r="BC480" s="24">
        <f>IF(Table2[[#This Row],[field_fate]]="H",1,0)</f>
        <v>0</v>
      </c>
      <c r="BD480" s="16">
        <f>IF(Table2[[#This Row],[cam_fate2]]="H",1,0)</f>
        <v>0</v>
      </c>
      <c r="BE480" s="6" t="b">
        <f>NOT(Table2[[#This Row],[HF_C]]=Table2[[#This Row],[HF]])</f>
        <v>0</v>
      </c>
      <c r="BF480" s="6" t="b">
        <f>NOT(Table2[[#This Row],[cam_fate2]]=Table2[[#This Row],[field_fate3]])</f>
        <v>1</v>
      </c>
      <c r="BG480" s="6" t="b">
        <f>OR(Table2[[#This Row],[field_fate3]]="U",Table2[[#This Row],[field_fate3]]="U-H")</f>
        <v>0</v>
      </c>
      <c r="BH480" s="8">
        <v>104</v>
      </c>
      <c r="BI480" s="8">
        <v>104</v>
      </c>
      <c r="BJ480" s="14">
        <f>IF(ISTEXT(Table2[[#This Row],[j.cam]]),Table2[[#This Row],[j]],Table2[[#This Row],[j.cam]])</f>
        <v>104</v>
      </c>
      <c r="BK480" s="9">
        <v>106</v>
      </c>
      <c r="BL480" s="15">
        <f>IF(ISTEXT(Table2[[#This Row],[k.cam]]), Table2[[#This Row],[k]], Table2[[#This Row],[k.cam]])</f>
        <v>106</v>
      </c>
      <c r="BM480" s="4" t="s">
        <v>24</v>
      </c>
      <c r="BN480" s="8" t="s">
        <v>24</v>
      </c>
      <c r="BO480" s="4">
        <v>2</v>
      </c>
      <c r="BP480" s="4">
        <f>Table2[[#This Row],[final_obs_date]]-Table2[[#This Row],[i]]</f>
        <v>2</v>
      </c>
      <c r="BQ480" s="4" t="b">
        <f>Table2[[#This Row],[final_obs_date2]]&gt;Table2[[#This Row],[estHD]]+3</f>
        <v>0</v>
      </c>
      <c r="BR480" s="4" t="s">
        <v>33</v>
      </c>
      <c r="BS480" s="4" t="s">
        <v>45</v>
      </c>
      <c r="BT480" s="79" t="s">
        <v>1310</v>
      </c>
      <c r="BU480" s="26" t="s">
        <v>87</v>
      </c>
      <c r="BV480" s="79" t="s">
        <v>1456</v>
      </c>
      <c r="BW480" s="49"/>
      <c r="BX480" s="47"/>
      <c r="BY480" s="36" t="s">
        <v>801</v>
      </c>
    </row>
    <row r="481" spans="1:77" hidden="1" x14ac:dyDescent="0.35">
      <c r="A481" s="63">
        <v>20463</v>
      </c>
      <c r="B481" s="2" t="s">
        <v>35</v>
      </c>
      <c r="C481" s="45">
        <v>2020</v>
      </c>
      <c r="D481" s="3">
        <v>29.767009999999999</v>
      </c>
      <c r="E481" s="3">
        <v>-93.161609999999996</v>
      </c>
      <c r="F481" s="3">
        <v>20</v>
      </c>
      <c r="G481" s="3">
        <v>30</v>
      </c>
      <c r="H481" s="3" t="s">
        <v>462</v>
      </c>
      <c r="I481" s="43"/>
      <c r="J481" s="116">
        <v>106</v>
      </c>
      <c r="K481" s="4">
        <v>106</v>
      </c>
      <c r="L481" s="22">
        <f>IF(ISNUMBER(Table2[[#This Row],[estHD]]),ABS(Table2[[#This Row],[HD]]-Table2[[#This Row],[estHD]]),"NA")</f>
        <v>0</v>
      </c>
      <c r="M481" s="4" t="b">
        <f>Table2[[#This Row],[HD]]=Table2[[#This Row],[estHD]]</f>
        <v>1</v>
      </c>
      <c r="N481" s="4">
        <f>IF(ISNUMBER(Table2[[#This Row],[HD]]),Table2[[#This Row],[HD]]-19,"NA")</f>
        <v>87</v>
      </c>
      <c r="O481" s="31">
        <v>87</v>
      </c>
      <c r="P481" s="23">
        <f>IF(ISNUMBER(Table2[[#This Row],[nest_age1]]),ABS(Table2[[#This Row],[nest_age1]]-Table2[[#This Row],[nest_age_feb]]),"NA")</f>
        <v>1</v>
      </c>
      <c r="Q481" s="24">
        <f>IF(ISNUMBER(Table2[[#This Row],[final_obs_int2]]),ABS(Table2[[#This Row],[final_obs_int2]]-Table2[[#This Row],[final_obs_int_feb]]), "NA")</f>
        <v>0</v>
      </c>
      <c r="R481" s="24"/>
      <c r="S481" s="20" t="s">
        <v>75</v>
      </c>
      <c r="T481" s="20" t="str">
        <f>Table2[[#This Row],[camera_old]]</f>
        <v>Y</v>
      </c>
      <c r="U481" s="22" t="s">
        <v>88</v>
      </c>
      <c r="V481" s="16" t="s">
        <v>25</v>
      </c>
      <c r="W481" s="16">
        <v>18</v>
      </c>
      <c r="X481" s="145">
        <v>2</v>
      </c>
      <c r="Y481" s="147" t="s">
        <v>25</v>
      </c>
      <c r="Z481" s="146" t="s">
        <v>25</v>
      </c>
      <c r="AA481" s="4" t="str">
        <f>Table2[[#This Row],[field_fate]]</f>
        <v>S</v>
      </c>
      <c r="AB481" s="4" t="str">
        <f>Table2[[#This Row],[field_fate2]]</f>
        <v>S</v>
      </c>
      <c r="AC481" s="94" t="str">
        <f>Table2[[#This Row],[field_fate3]]</f>
        <v>S</v>
      </c>
      <c r="AD481" s="94" t="str">
        <f>Table2[[#This Row],[field_fate4]]</f>
        <v>S</v>
      </c>
      <c r="AE481" s="94" t="str">
        <f>Table2[[#This Row],[field_fate5]]</f>
        <v>S</v>
      </c>
      <c r="AF481" s="94" t="str">
        <f>Table2[[#This Row],[field_fate5]]</f>
        <v>S</v>
      </c>
      <c r="AG481" s="94" t="str">
        <f>Table2[[#This Row],[field_fate5]]</f>
        <v>S</v>
      </c>
      <c r="AH481" s="94" t="str">
        <f>Table2[[#This Row],[field_fate2]]</f>
        <v>S</v>
      </c>
      <c r="AI481" s="94" t="str">
        <f>Table2[[#This Row],[field_fate8]]</f>
        <v>S</v>
      </c>
      <c r="AJ481" s="94" t="str">
        <f>Table2[[#This Row],[field_fate10]]</f>
        <v>S</v>
      </c>
      <c r="AK481" s="94" t="b">
        <f>Table2[[#This Row],[field_fate_feb]]=Table2[[#This Row],[field_fate10]]</f>
        <v>1</v>
      </c>
      <c r="AL481" s="43" t="s">
        <v>25</v>
      </c>
      <c r="AM481" s="160" t="b">
        <f>Table2[[#This Row],[cam_fate2]]="NA"</f>
        <v>0</v>
      </c>
      <c r="AN481" s="19" t="str">
        <f>Table2[[#This Row],[cam_fate1]]</f>
        <v>S</v>
      </c>
      <c r="AO481" s="2" t="s">
        <v>25</v>
      </c>
      <c r="AP481" s="5" t="str">
        <f>Table2[[#This Row],[final_fate1]]</f>
        <v>S</v>
      </c>
      <c r="AQ481" s="6">
        <v>19</v>
      </c>
      <c r="AR481" s="72">
        <v>19</v>
      </c>
      <c r="AS481" s="155">
        <f>Table2[[#This Row],[final_obs_date]]-Table2[[#This Row],[init_date]]</f>
        <v>19</v>
      </c>
      <c r="AT481" s="155">
        <f>(Table2[[#This Row],[final_obs_date2]]-Table2[[#This Row],[estHD]])+19</f>
        <v>19</v>
      </c>
      <c r="AU481" s="38">
        <v>2</v>
      </c>
      <c r="AV481" s="33">
        <v>2</v>
      </c>
      <c r="AW481" s="33">
        <f>Table2[[#This Row],[final_obs_date2]]-Table2[[#This Row],[pen_obs_date]]</f>
        <v>2</v>
      </c>
      <c r="AX481" s="67">
        <v>106</v>
      </c>
      <c r="AY481" s="157">
        <f>Table2[[#This Row],[final_obs_date]]</f>
        <v>106</v>
      </c>
      <c r="AZ481" s="6">
        <v>104</v>
      </c>
      <c r="BA481" s="92" t="s">
        <v>47</v>
      </c>
      <c r="BB481" s="6" t="b">
        <f>Table2[[#This Row],[final_obs_date]]&lt;(Table2[[#This Row],[estHD]]-2)</f>
        <v>0</v>
      </c>
      <c r="BC481" s="32">
        <f>IF(Table2[[#This Row],[field_fate]]="H",1,0)</f>
        <v>0</v>
      </c>
      <c r="BD481" s="16">
        <f>IF(Table2[[#This Row],[cam_fate2]]="H",1,0)</f>
        <v>0</v>
      </c>
      <c r="BE481" s="6" t="b">
        <f>NOT(Table2[[#This Row],[HF_C]]=Table2[[#This Row],[HF]])</f>
        <v>0</v>
      </c>
      <c r="BF481" s="38" t="b">
        <f>NOT(Table2[[#This Row],[cam_fate2]]=Table2[[#This Row],[field_fate3]])</f>
        <v>0</v>
      </c>
      <c r="BG481" s="38" t="b">
        <f>OR(Table2[[#This Row],[field_fate3]]="U",Table2[[#This Row],[field_fate3]]="U-H")</f>
        <v>0</v>
      </c>
      <c r="BH481" s="8">
        <v>104</v>
      </c>
      <c r="BI481" s="8">
        <v>104</v>
      </c>
      <c r="BJ481" s="14">
        <f>IF(ISTEXT(Table2[[#This Row],[j.cam]]),Table2[[#This Row],[j]],Table2[[#This Row],[j.cam]])</f>
        <v>104</v>
      </c>
      <c r="BK481" s="8">
        <v>106</v>
      </c>
      <c r="BL481" s="14">
        <f>IF(ISTEXT(Table2[[#This Row],[k.cam]]), Table2[[#This Row],[k]], Table2[[#This Row],[k.cam]])</f>
        <v>106</v>
      </c>
      <c r="BM481" s="4" t="s">
        <v>24</v>
      </c>
      <c r="BN481" s="8" t="s">
        <v>24</v>
      </c>
      <c r="BO481" s="4">
        <v>2</v>
      </c>
      <c r="BP481" s="4">
        <f>Table2[[#This Row],[final_obs_date]]-Table2[[#This Row],[i]]</f>
        <v>2</v>
      </c>
      <c r="BQ481" s="4" t="b">
        <f>Table2[[#This Row],[final_obs_date2]]&gt;Table2[[#This Row],[estHD]]+3</f>
        <v>0</v>
      </c>
      <c r="BR481" s="3" t="s">
        <v>33</v>
      </c>
      <c r="BS481" s="3" t="s">
        <v>45</v>
      </c>
      <c r="BT481" s="125" t="s">
        <v>1310</v>
      </c>
      <c r="BU481" s="4" t="s">
        <v>87</v>
      </c>
      <c r="BV481" s="79" t="s">
        <v>1456</v>
      </c>
      <c r="BW481" s="69"/>
      <c r="BX481" s="36"/>
      <c r="BY481" s="36" t="s">
        <v>801</v>
      </c>
    </row>
    <row r="482" spans="1:77" hidden="1" x14ac:dyDescent="0.35">
      <c r="A482" s="63">
        <v>20464</v>
      </c>
      <c r="B482" s="2" t="s">
        <v>35</v>
      </c>
      <c r="C482" s="45">
        <v>2020</v>
      </c>
      <c r="D482" s="3">
        <v>29.765609999999999</v>
      </c>
      <c r="E482" s="3">
        <v>-93.155619999999999</v>
      </c>
      <c r="F482" s="3">
        <v>0</v>
      </c>
      <c r="G482" s="3">
        <v>0</v>
      </c>
      <c r="H482" s="3" t="s">
        <v>462</v>
      </c>
      <c r="I482" s="43"/>
      <c r="J482" s="55">
        <v>119</v>
      </c>
      <c r="K482" s="4">
        <v>119</v>
      </c>
      <c r="L482" s="22">
        <f>IF(ISNUMBER(Table2[[#This Row],[estHD]]),ABS(Table2[[#This Row],[HD]]-Table2[[#This Row],[estHD]]),"NA")</f>
        <v>0</v>
      </c>
      <c r="M482" s="4" t="b">
        <f>Table2[[#This Row],[HD]]=Table2[[#This Row],[estHD]]</f>
        <v>1</v>
      </c>
      <c r="N482" s="4" t="str">
        <f>IF(ISNUMBER([1]!Table2[[#This Row],[hatch_date]]),[1]!Table2[[#This Row],[hatch_date]]-19,"NA")</f>
        <v>NA</v>
      </c>
      <c r="O482" s="31">
        <v>100</v>
      </c>
      <c r="P482" s="23">
        <f>IF(ISNUMBER(Table2[[#This Row],[nest_age1]]),ABS(Table2[[#This Row],[nest_age1]]-Table2[[#This Row],[nest_age_feb]]),"NA")</f>
        <v>1</v>
      </c>
      <c r="Q482" s="24">
        <f>IF(ISNUMBER(Table2[[#This Row],[final_obs_int2]]),ABS(Table2[[#This Row],[final_obs_int2]]-Table2[[#This Row],[final_obs_int_feb]]), "NA")</f>
        <v>0</v>
      </c>
      <c r="R482" s="24"/>
      <c r="S482" s="57" t="s">
        <v>88</v>
      </c>
      <c r="T482" s="57" t="str">
        <f>Table2[[#This Row],[camera_old]]</f>
        <v>N</v>
      </c>
      <c r="U482" s="24"/>
      <c r="V482" s="16" t="s">
        <v>24</v>
      </c>
      <c r="W482" s="16">
        <v>5</v>
      </c>
      <c r="X482" s="145">
        <v>2</v>
      </c>
      <c r="Y482" s="147" t="s">
        <v>25</v>
      </c>
      <c r="Z482" s="146" t="s">
        <v>25</v>
      </c>
      <c r="AA482" s="4" t="str">
        <f>Table2[[#This Row],[field_fate]]</f>
        <v>S</v>
      </c>
      <c r="AB482" s="4" t="str">
        <f>Table2[[#This Row],[field_fate2]]</f>
        <v>S</v>
      </c>
      <c r="AC482" s="4" t="str">
        <f>Table2[[#This Row],[field_fate3]]</f>
        <v>S</v>
      </c>
      <c r="AD482" s="4" t="str">
        <f>Table2[[#This Row],[field_fate4]]</f>
        <v>S</v>
      </c>
      <c r="AE482" s="4" t="str">
        <f>Table2[[#This Row],[field_fate5]]</f>
        <v>S</v>
      </c>
      <c r="AF482" s="4" t="str">
        <f>Table2[[#This Row],[field_fate5]]</f>
        <v>S</v>
      </c>
      <c r="AG482" s="4" t="str">
        <f>Table2[[#This Row],[field_fate5]]</f>
        <v>S</v>
      </c>
      <c r="AH482" s="4" t="str">
        <f>Table2[[#This Row],[field_fate2]]</f>
        <v>S</v>
      </c>
      <c r="AI482" s="4" t="str">
        <f>Table2[[#This Row],[field_fate8]]</f>
        <v>S</v>
      </c>
      <c r="AJ482" s="4" t="str">
        <f>Table2[[#This Row],[field_fate10]]</f>
        <v>S</v>
      </c>
      <c r="AK482" s="4" t="b">
        <f>Table2[[#This Row],[field_fate_feb]]=Table2[[#This Row],[field_fate10]]</f>
        <v>1</v>
      </c>
      <c r="AL482" s="43" t="s">
        <v>24</v>
      </c>
      <c r="AM482" s="43" t="b">
        <f>Table2[[#This Row],[cam_fate2]]="NA"</f>
        <v>1</v>
      </c>
      <c r="AN482" s="19" t="str">
        <f>Table2[[#This Row],[cam_fate1]]</f>
        <v>NA</v>
      </c>
      <c r="AO482" s="2" t="s">
        <v>25</v>
      </c>
      <c r="AP482" s="5" t="str">
        <f>Table2[[#This Row],[final_fate1]]</f>
        <v>S</v>
      </c>
      <c r="AQ482" s="6">
        <v>6</v>
      </c>
      <c r="AR482" s="7">
        <v>6</v>
      </c>
      <c r="AS482" s="7">
        <f>Table2[[#This Row],[final_obs_date]]-Table2[[#This Row],[init_date]]</f>
        <v>6</v>
      </c>
      <c r="AT482" s="7">
        <f>(Table2[[#This Row],[final_obs_date2]]-Table2[[#This Row],[estHD]])+16</f>
        <v>3</v>
      </c>
      <c r="AU482" s="38">
        <v>2</v>
      </c>
      <c r="AV482" s="33">
        <v>2</v>
      </c>
      <c r="AW482" s="33">
        <f>Table2[[#This Row],[final_obs_date2]]-Table2[[#This Row],[pen_obs_date]]</f>
        <v>106</v>
      </c>
      <c r="AX482" s="67">
        <v>106</v>
      </c>
      <c r="AY482" s="6">
        <f>Table2[[#This Row],[final_obs_date]]</f>
        <v>106</v>
      </c>
      <c r="AZ482" s="6"/>
      <c r="BA482" s="91" t="s">
        <v>47</v>
      </c>
      <c r="BB482" s="6" t="b">
        <f>Table2[[#This Row],[final_obs_date]]&lt;(Table2[[#This Row],[estHD]]-2)</f>
        <v>1</v>
      </c>
      <c r="BC482" s="24">
        <f>IF(Table2[[#This Row],[field_fate]]="H",1,0)</f>
        <v>0</v>
      </c>
      <c r="BD482" s="16">
        <f>IF(Table2[[#This Row],[cam_fate2]]="H",1,0)</f>
        <v>0</v>
      </c>
      <c r="BE482" s="6" t="b">
        <f>NOT(Table2[[#This Row],[HF_C]]=Table2[[#This Row],[HF]])</f>
        <v>0</v>
      </c>
      <c r="BF482" s="6" t="b">
        <f>NOT(Table2[[#This Row],[cam_fate2]]=Table2[[#This Row],[field_fate3]])</f>
        <v>1</v>
      </c>
      <c r="BG482" s="6" t="b">
        <f>OR(Table2[[#This Row],[field_fate3]]="U",Table2[[#This Row],[field_fate3]]="U-H")</f>
        <v>0</v>
      </c>
      <c r="BH482" s="8">
        <v>104</v>
      </c>
      <c r="BI482" s="8">
        <v>104</v>
      </c>
      <c r="BJ482" s="14">
        <f>IF(ISTEXT(Table2[[#This Row],[j.cam]]),Table2[[#This Row],[j]],Table2[[#This Row],[j.cam]])</f>
        <v>104</v>
      </c>
      <c r="BK482" s="9">
        <v>106</v>
      </c>
      <c r="BL482" s="15">
        <f>IF(ISTEXT(Table2[[#This Row],[k.cam]]), Table2[[#This Row],[k]], Table2[[#This Row],[k.cam]])</f>
        <v>106</v>
      </c>
      <c r="BM482" s="4" t="s">
        <v>24</v>
      </c>
      <c r="BN482" s="8" t="s">
        <v>24</v>
      </c>
      <c r="BO482" s="4">
        <v>2</v>
      </c>
      <c r="BP482" s="4">
        <f>Table2[[#This Row],[final_obs_date]]-Table2[[#This Row],[i]]</f>
        <v>2</v>
      </c>
      <c r="BQ482" s="4" t="b">
        <f>Table2[[#This Row],[final_obs_date2]]&gt;Table2[[#This Row],[estHD]]+3</f>
        <v>0</v>
      </c>
      <c r="BR482" s="4" t="s">
        <v>58</v>
      </c>
      <c r="BS482" s="4" t="s">
        <v>45</v>
      </c>
      <c r="BT482" s="79" t="s">
        <v>1310</v>
      </c>
      <c r="BU482" s="26" t="s">
        <v>117</v>
      </c>
      <c r="BV482" s="79" t="s">
        <v>1456</v>
      </c>
      <c r="BW482" s="49"/>
      <c r="BX482" s="47"/>
      <c r="BY482" s="36" t="s">
        <v>803</v>
      </c>
    </row>
    <row r="483" spans="1:77" hidden="1" x14ac:dyDescent="0.35">
      <c r="A483" s="63">
        <v>20465</v>
      </c>
      <c r="B483" s="2" t="s">
        <v>35</v>
      </c>
      <c r="C483" s="45">
        <v>2020</v>
      </c>
      <c r="D483" s="3">
        <v>29.76435</v>
      </c>
      <c r="E483" s="3">
        <v>-93.148889999999994</v>
      </c>
      <c r="F483" s="3">
        <v>40</v>
      </c>
      <c r="G483" s="3">
        <v>40</v>
      </c>
      <c r="H483" s="3" t="s">
        <v>462</v>
      </c>
      <c r="I483" s="43"/>
      <c r="J483" s="116">
        <v>106</v>
      </c>
      <c r="K483" s="4">
        <v>106</v>
      </c>
      <c r="L483" s="22">
        <f>IF(ISNUMBER(Table2[[#This Row],[estHD]]),ABS(Table2[[#This Row],[HD]]-Table2[[#This Row],[estHD]]),"NA")</f>
        <v>0</v>
      </c>
      <c r="M483" s="4" t="b">
        <f>Table2[[#This Row],[HD]]=Table2[[#This Row],[estHD]]</f>
        <v>1</v>
      </c>
      <c r="N483" s="4">
        <f>IF(ISNUMBER(Table2[[#This Row],[HD]]),Table2[[#This Row],[HD]]-19,"NA")</f>
        <v>87</v>
      </c>
      <c r="O483" s="31">
        <v>87</v>
      </c>
      <c r="P483" s="23">
        <f>IF(ISNUMBER(Table2[[#This Row],[nest_age1]]),ABS(Table2[[#This Row],[nest_age1]]-Table2[[#This Row],[nest_age_feb]]),"NA")</f>
        <v>1</v>
      </c>
      <c r="Q483" s="24">
        <f>IF(ISNUMBER(Table2[[#This Row],[final_obs_int2]]),ABS(Table2[[#This Row],[final_obs_int2]]-Table2[[#This Row],[final_obs_int_feb]]), "NA")</f>
        <v>0</v>
      </c>
      <c r="R483" s="24"/>
      <c r="S483" s="20" t="s">
        <v>75</v>
      </c>
      <c r="T483" s="20" t="str">
        <f>Table2[[#This Row],[camera_old]]</f>
        <v>Y</v>
      </c>
      <c r="U483" s="58" t="s">
        <v>909</v>
      </c>
      <c r="V483" s="16" t="s">
        <v>25</v>
      </c>
      <c r="W483" s="16">
        <v>18</v>
      </c>
      <c r="X483" s="145">
        <v>2</v>
      </c>
      <c r="Y483" s="147" t="s">
        <v>25</v>
      </c>
      <c r="Z483" s="146" t="s">
        <v>25</v>
      </c>
      <c r="AA483" s="4" t="str">
        <f>Table2[[#This Row],[field_fate]]</f>
        <v>S</v>
      </c>
      <c r="AB483" s="4" t="str">
        <f>Table2[[#This Row],[field_fate2]]</f>
        <v>S</v>
      </c>
      <c r="AC483" s="94" t="str">
        <f>Table2[[#This Row],[field_fate3]]</f>
        <v>S</v>
      </c>
      <c r="AD483" s="94" t="str">
        <f>Table2[[#This Row],[field_fate4]]</f>
        <v>S</v>
      </c>
      <c r="AE483" s="94" t="str">
        <f>Table2[[#This Row],[field_fate5]]</f>
        <v>S</v>
      </c>
      <c r="AF483" s="94" t="str">
        <f>Table2[[#This Row],[field_fate5]]</f>
        <v>S</v>
      </c>
      <c r="AG483" s="94" t="str">
        <f>Table2[[#This Row],[field_fate5]]</f>
        <v>S</v>
      </c>
      <c r="AH483" s="94" t="str">
        <f>Table2[[#This Row],[field_fate2]]</f>
        <v>S</v>
      </c>
      <c r="AI483" s="94" t="str">
        <f>Table2[[#This Row],[field_fate8]]</f>
        <v>S</v>
      </c>
      <c r="AJ483" s="94" t="str">
        <f>Table2[[#This Row],[field_fate10]]</f>
        <v>S</v>
      </c>
      <c r="AK483" s="94" t="b">
        <f>Table2[[#This Row],[field_fate_feb]]=Table2[[#This Row],[field_fate10]]</f>
        <v>1</v>
      </c>
      <c r="AL483" s="43" t="s">
        <v>25</v>
      </c>
      <c r="AM483" s="160" t="b">
        <f>Table2[[#This Row],[cam_fate2]]="NA"</f>
        <v>0</v>
      </c>
      <c r="AN483" s="19" t="str">
        <f>Table2[[#This Row],[cam_fate1]]</f>
        <v>S</v>
      </c>
      <c r="AO483" s="2" t="s">
        <v>25</v>
      </c>
      <c r="AP483" s="5" t="str">
        <f>Table2[[#This Row],[final_fate1]]</f>
        <v>S</v>
      </c>
      <c r="AQ483" s="6">
        <v>19</v>
      </c>
      <c r="AR483" s="72">
        <v>19</v>
      </c>
      <c r="AS483" s="155">
        <f>Table2[[#This Row],[final_obs_date]]-Table2[[#This Row],[init_date]]</f>
        <v>19</v>
      </c>
      <c r="AT483" s="155">
        <f>(Table2[[#This Row],[final_obs_date2]]-Table2[[#This Row],[estHD]])+19</f>
        <v>19</v>
      </c>
      <c r="AU483" s="38">
        <v>2</v>
      </c>
      <c r="AV483" s="33">
        <v>2</v>
      </c>
      <c r="AW483" s="33">
        <f>Table2[[#This Row],[final_obs_date2]]-Table2[[#This Row],[pen_obs_date]]</f>
        <v>2</v>
      </c>
      <c r="AX483" s="67">
        <v>106</v>
      </c>
      <c r="AY483" s="157">
        <f>Table2[[#This Row],[final_obs_date]]</f>
        <v>106</v>
      </c>
      <c r="AZ483" s="6">
        <v>104</v>
      </c>
      <c r="BA483" s="92" t="s">
        <v>47</v>
      </c>
      <c r="BB483" s="6" t="b">
        <f>Table2[[#This Row],[final_obs_date]]&lt;(Table2[[#This Row],[estHD]]-2)</f>
        <v>0</v>
      </c>
      <c r="BC483" s="32">
        <f>IF(Table2[[#This Row],[field_fate]]="H",1,0)</f>
        <v>0</v>
      </c>
      <c r="BD483" s="16">
        <f>IF(Table2[[#This Row],[cam_fate2]]="H",1,0)</f>
        <v>0</v>
      </c>
      <c r="BE483" s="6" t="b">
        <f>NOT(Table2[[#This Row],[HF_C]]=Table2[[#This Row],[HF]])</f>
        <v>0</v>
      </c>
      <c r="BF483" s="38" t="b">
        <f>NOT(Table2[[#This Row],[cam_fate2]]=Table2[[#This Row],[field_fate3]])</f>
        <v>0</v>
      </c>
      <c r="BG483" s="38" t="b">
        <f>OR(Table2[[#This Row],[field_fate3]]="U",Table2[[#This Row],[field_fate3]]="U-H")</f>
        <v>0</v>
      </c>
      <c r="BH483" s="8">
        <v>104</v>
      </c>
      <c r="BI483" s="8">
        <v>104</v>
      </c>
      <c r="BJ483" s="14">
        <f>IF(ISTEXT(Table2[[#This Row],[j.cam]]),Table2[[#This Row],[j]],Table2[[#This Row],[j.cam]])</f>
        <v>104</v>
      </c>
      <c r="BK483" s="8">
        <v>106</v>
      </c>
      <c r="BL483" s="14">
        <f>IF(ISTEXT(Table2[[#This Row],[k.cam]]), Table2[[#This Row],[k]], Table2[[#This Row],[k.cam]])</f>
        <v>106</v>
      </c>
      <c r="BM483" s="4" t="s">
        <v>24</v>
      </c>
      <c r="BN483" s="8" t="s">
        <v>24</v>
      </c>
      <c r="BO483" s="4">
        <v>2</v>
      </c>
      <c r="BP483" s="4">
        <f>Table2[[#This Row],[final_obs_date]]-Table2[[#This Row],[i]]</f>
        <v>2</v>
      </c>
      <c r="BQ483" s="4" t="b">
        <f>Table2[[#This Row],[final_obs_date2]]&gt;Table2[[#This Row],[estHD]]+3</f>
        <v>0</v>
      </c>
      <c r="BR483" s="3" t="s">
        <v>33</v>
      </c>
      <c r="BS483" s="3" t="s">
        <v>45</v>
      </c>
      <c r="BT483" s="125" t="s">
        <v>1310</v>
      </c>
      <c r="BU483" s="4" t="s">
        <v>87</v>
      </c>
      <c r="BV483" s="79" t="s">
        <v>1456</v>
      </c>
      <c r="BW483" s="69"/>
      <c r="BX483" s="36"/>
      <c r="BY483" s="36" t="s">
        <v>801</v>
      </c>
    </row>
    <row r="484" spans="1:77" hidden="1" x14ac:dyDescent="0.35">
      <c r="A484" s="63">
        <v>20466</v>
      </c>
      <c r="B484" s="2" t="s">
        <v>35</v>
      </c>
      <c r="C484" s="45">
        <v>2020</v>
      </c>
      <c r="D484" s="3">
        <v>29.767029999999998</v>
      </c>
      <c r="E484" s="3">
        <v>-93.161640000000006</v>
      </c>
      <c r="F484" s="3">
        <v>50</v>
      </c>
      <c r="G484" s="3">
        <v>50</v>
      </c>
      <c r="H484" s="3" t="s">
        <v>462</v>
      </c>
      <c r="I484" s="43"/>
      <c r="J484" s="116">
        <v>109</v>
      </c>
      <c r="K484" s="4">
        <v>109</v>
      </c>
      <c r="L484" s="22">
        <f>IF(ISNUMBER(Table2[[#This Row],[estHD]]),ABS(Table2[[#This Row],[HD]]-Table2[[#This Row],[estHD]]),"NA")</f>
        <v>0</v>
      </c>
      <c r="M484" s="4" t="b">
        <f>Table2[[#This Row],[HD]]=Table2[[#This Row],[estHD]]</f>
        <v>1</v>
      </c>
      <c r="N484" s="4">
        <f>IF(ISNUMBER(Table2[[#This Row],[HD]]),Table2[[#This Row],[HD]]-19,"NA")</f>
        <v>90</v>
      </c>
      <c r="O484" s="31">
        <v>90</v>
      </c>
      <c r="P484" s="23">
        <f>IF(ISNUMBER(Table2[[#This Row],[nest_age1]]),ABS(Table2[[#This Row],[nest_age1]]-Table2[[#This Row],[nest_age_feb]]),"NA")</f>
        <v>1</v>
      </c>
      <c r="Q484" s="24">
        <f>IF(ISNUMBER(Table2[[#This Row],[final_obs_int2]]),ABS(Table2[[#This Row],[final_obs_int2]]-Table2[[#This Row],[final_obs_int_feb]]), "NA")</f>
        <v>0</v>
      </c>
      <c r="R484" s="24"/>
      <c r="S484" s="20" t="s">
        <v>75</v>
      </c>
      <c r="T484" s="20" t="str">
        <f>Table2[[#This Row],[camera_old]]</f>
        <v>Y</v>
      </c>
      <c r="U484" s="22" t="s">
        <v>88</v>
      </c>
      <c r="V484" s="16" t="s">
        <v>65</v>
      </c>
      <c r="W484" s="16">
        <v>21</v>
      </c>
      <c r="X484" s="145">
        <v>4</v>
      </c>
      <c r="Y484" s="147" t="s">
        <v>36</v>
      </c>
      <c r="Z484" s="146" t="s">
        <v>36</v>
      </c>
      <c r="AA484" s="4" t="str">
        <f>Table2[[#This Row],[field_fate]]</f>
        <v>A</v>
      </c>
      <c r="AB484" s="4" t="str">
        <f>Table2[[#This Row],[field_fate2]]</f>
        <v>A</v>
      </c>
      <c r="AC484" s="94" t="str">
        <f>Table2[[#This Row],[field_fate3]]</f>
        <v>A</v>
      </c>
      <c r="AD484" s="94" t="str">
        <f>Table2[[#This Row],[field_fate4]]</f>
        <v>A</v>
      </c>
      <c r="AE484" s="94" t="str">
        <f>Table2[[#This Row],[field_fate5]]</f>
        <v>A</v>
      </c>
      <c r="AF484" s="94" t="str">
        <f>Table2[[#This Row],[field_fate5]]</f>
        <v>A</v>
      </c>
      <c r="AG484" s="94" t="str">
        <f>Table2[[#This Row],[field_fate5]]</f>
        <v>A</v>
      </c>
      <c r="AH484" s="94" t="str">
        <f>Table2[[#This Row],[field_fate2]]</f>
        <v>A</v>
      </c>
      <c r="AI484" s="94" t="str">
        <f>Table2[[#This Row],[field_fate8]]</f>
        <v>A</v>
      </c>
      <c r="AJ484" s="94" t="str">
        <f>Table2[[#This Row],[field_fate10]]</f>
        <v>A</v>
      </c>
      <c r="AK484" s="94" t="b">
        <f>Table2[[#This Row],[field_fate_feb]]=Table2[[#This Row],[field_fate10]]</f>
        <v>1</v>
      </c>
      <c r="AL484" s="43" t="s">
        <v>65</v>
      </c>
      <c r="AM484" s="160" t="b">
        <f>Table2[[#This Row],[cam_fate2]]="NA"</f>
        <v>0</v>
      </c>
      <c r="AN484" s="19" t="str">
        <f>Table2[[#This Row],[cam_fate1]]</f>
        <v>Ca</v>
      </c>
      <c r="AO484" s="2" t="s">
        <v>65</v>
      </c>
      <c r="AP484" s="5" t="str">
        <f>Table2[[#This Row],[final_fate1]]</f>
        <v>Ca</v>
      </c>
      <c r="AQ484" s="6">
        <v>22</v>
      </c>
      <c r="AR484" s="72">
        <v>22</v>
      </c>
      <c r="AS484" s="155">
        <f>Table2[[#This Row],[final_obs_date]]-Table2[[#This Row],[init_date]]</f>
        <v>22</v>
      </c>
      <c r="AT484" s="155">
        <f>(Table2[[#This Row],[final_obs_date2]]-Table2[[#This Row],[estHD]])+19</f>
        <v>22</v>
      </c>
      <c r="AU484" s="38">
        <v>4</v>
      </c>
      <c r="AV484" s="33">
        <v>4</v>
      </c>
      <c r="AW484" s="33">
        <f>Table2[[#This Row],[final_obs_date2]]-Table2[[#This Row],[pen_obs_date]]</f>
        <v>4</v>
      </c>
      <c r="AX484" s="67">
        <v>112</v>
      </c>
      <c r="AY484" s="157">
        <f>Table2[[#This Row],[final_obs_date]]</f>
        <v>112</v>
      </c>
      <c r="AZ484" s="6">
        <v>108</v>
      </c>
      <c r="BA484" s="92" t="s">
        <v>47</v>
      </c>
      <c r="BB484" s="6" t="b">
        <f>Table2[[#This Row],[final_obs_date]]&lt;(Table2[[#This Row],[estHD]]-2)</f>
        <v>0</v>
      </c>
      <c r="BC484" s="32">
        <f>IF(Table2[[#This Row],[field_fate]]="H",1,0)</f>
        <v>0</v>
      </c>
      <c r="BD484" s="16">
        <f>IF(Table2[[#This Row],[cam_fate2]]="H",1,0)</f>
        <v>0</v>
      </c>
      <c r="BE484" s="6" t="b">
        <f>NOT(Table2[[#This Row],[HF_C]]=Table2[[#This Row],[HF]])</f>
        <v>0</v>
      </c>
      <c r="BF484" s="38" t="b">
        <f>NOT(Table2[[#This Row],[cam_fate2]]=Table2[[#This Row],[field_fate3]])</f>
        <v>1</v>
      </c>
      <c r="BG484" s="38" t="b">
        <f>OR(Table2[[#This Row],[field_fate3]]="U",Table2[[#This Row],[field_fate3]]="U-H")</f>
        <v>0</v>
      </c>
      <c r="BH484" s="8">
        <v>108</v>
      </c>
      <c r="BI484" s="8">
        <v>108</v>
      </c>
      <c r="BJ484" s="14">
        <f>IF(ISTEXT(Table2[[#This Row],[j.cam]]),Table2[[#This Row],[j]],Table2[[#This Row],[j.cam]])</f>
        <v>108</v>
      </c>
      <c r="BK484" s="8">
        <v>112</v>
      </c>
      <c r="BL484" s="14">
        <f>IF(ISTEXT(Table2[[#This Row],[k.cam]]), Table2[[#This Row],[k]], Table2[[#This Row],[k.cam]])</f>
        <v>112</v>
      </c>
      <c r="BM484" s="4" t="s">
        <v>24</v>
      </c>
      <c r="BN484" s="8" t="s">
        <v>24</v>
      </c>
      <c r="BO484" s="4">
        <v>2</v>
      </c>
      <c r="BP484" s="4">
        <f>Table2[[#This Row],[final_obs_date]]-Table2[[#This Row],[i]]</f>
        <v>4</v>
      </c>
      <c r="BQ484" s="4" t="b">
        <f>Table2[[#This Row],[final_obs_date2]]&gt;Table2[[#This Row],[estHD]]+3</f>
        <v>0</v>
      </c>
      <c r="BR484" s="3" t="s">
        <v>33</v>
      </c>
      <c r="BS484" s="28" t="s">
        <v>33</v>
      </c>
      <c r="BT484" s="125" t="s">
        <v>1311</v>
      </c>
      <c r="BU484" s="4" t="s">
        <v>99</v>
      </c>
      <c r="BV484" s="79" t="s">
        <v>1429</v>
      </c>
      <c r="BW484" s="69" t="s">
        <v>989</v>
      </c>
      <c r="BX484" s="36" t="s">
        <v>1002</v>
      </c>
      <c r="BY484" s="36" t="s">
        <v>804</v>
      </c>
    </row>
    <row r="485" spans="1:77" ht="18.5" hidden="1" x14ac:dyDescent="0.35">
      <c r="A485" s="64">
        <v>30001</v>
      </c>
      <c r="B485" s="2" t="s">
        <v>35</v>
      </c>
      <c r="C485" s="46">
        <v>2021</v>
      </c>
      <c r="D485" s="3">
        <v>29.771149999999999</v>
      </c>
      <c r="E485" s="3">
        <v>-93.180779999999999</v>
      </c>
      <c r="F485" s="3">
        <v>20</v>
      </c>
      <c r="G485" s="3">
        <v>30</v>
      </c>
      <c r="H485" s="3" t="s">
        <v>26</v>
      </c>
      <c r="I485" s="43"/>
      <c r="J485" s="55">
        <v>39</v>
      </c>
      <c r="K485" s="4">
        <v>43</v>
      </c>
      <c r="L485" s="22">
        <f>IF(ISNUMBER(Table2[[#This Row],[estHD]]),ABS(Table2[[#This Row],[HD]]-Table2[[#This Row],[estHD]]),"NA")</f>
        <v>4</v>
      </c>
      <c r="M485" s="4" t="b">
        <f>Table2[[#This Row],[HD]]=Table2[[#This Row],[estHD]]</f>
        <v>0</v>
      </c>
      <c r="N485" s="4" t="str">
        <f>IF(ISNUMBER([1]!Table2[[#This Row],[hatch_date]]), [1]!Table2[[#This Row],[hatch_date]]-28, "NA")</f>
        <v>NA</v>
      </c>
      <c r="O485" s="31">
        <v>15</v>
      </c>
      <c r="P485" s="23" t="e">
        <f>IF(ISNUMBER(Table2[[#This Row],[nest_age1]]),ABS(Table2[[#This Row],[nest_age1]]-Table2[[#This Row],[nest_age_feb]]),"NA")</f>
        <v>#VALUE!</v>
      </c>
      <c r="Q485" s="24">
        <f>IF(ISNUMBER(Table2[[#This Row],[final_obs_int2]]),ABS(Table2[[#This Row],[final_obs_int2]]-Table2[[#This Row],[final_obs_int_feb]]), "NA")</f>
        <v>0</v>
      </c>
      <c r="R485" s="24"/>
      <c r="S485" s="57" t="s">
        <v>88</v>
      </c>
      <c r="T485" s="57" t="str">
        <f>Table2[[#This Row],[camera_old]]</f>
        <v>N</v>
      </c>
      <c r="U485" s="24"/>
      <c r="V485" s="16" t="s">
        <v>24</v>
      </c>
      <c r="W485" s="16" t="s">
        <v>24</v>
      </c>
      <c r="X485" s="145">
        <v>4</v>
      </c>
      <c r="Y485" s="147" t="s">
        <v>37</v>
      </c>
      <c r="Z485" s="146" t="s">
        <v>37</v>
      </c>
      <c r="AA485" s="4" t="str">
        <f>Table2[[#This Row],[field_fate]]</f>
        <v>H</v>
      </c>
      <c r="AB485" s="4" t="str">
        <f>Table2[[#This Row],[field_fate2]]</f>
        <v>H</v>
      </c>
      <c r="AC485" s="4" t="str">
        <f>Table2[[#This Row],[field_fate3]]</f>
        <v>H</v>
      </c>
      <c r="AD485" s="4" t="str">
        <f>Table2[[#This Row],[field_fate4]]</f>
        <v>H</v>
      </c>
      <c r="AE485" s="4" t="str">
        <f>Table2[[#This Row],[field_fate5]]</f>
        <v>H</v>
      </c>
      <c r="AF485" s="4" t="str">
        <f>Table2[[#This Row],[field_fate5]]</f>
        <v>H</v>
      </c>
      <c r="AG485" s="4" t="str">
        <f>Table2[[#This Row],[field_fate5]]</f>
        <v>H</v>
      </c>
      <c r="AH485" s="4" t="str">
        <f>Table2[[#This Row],[field_fate2]]</f>
        <v>H</v>
      </c>
      <c r="AI485" s="4" t="str">
        <f>Table2[[#This Row],[field_fate8]]</f>
        <v>H</v>
      </c>
      <c r="AJ485" s="4" t="str">
        <f>Table2[[#This Row],[field_fate10]]</f>
        <v>H</v>
      </c>
      <c r="AK485" s="4" t="b">
        <f>Table2[[#This Row],[field_fate_feb]]=Table2[[#This Row],[field_fate10]]</f>
        <v>1</v>
      </c>
      <c r="AL485" s="43" t="s">
        <v>24</v>
      </c>
      <c r="AM485" s="43" t="b">
        <f>Table2[[#This Row],[cam_fate2]]="NA"</f>
        <v>1</v>
      </c>
      <c r="AN485" s="19" t="str">
        <f>Table2[[#This Row],[cam_fate1]]</f>
        <v>NA</v>
      </c>
      <c r="AO485" s="2" t="s">
        <v>37</v>
      </c>
      <c r="AP485" s="5" t="str">
        <f>Table2[[#This Row],[final_fate1]]</f>
        <v>H</v>
      </c>
      <c r="AQ485" s="6">
        <v>31</v>
      </c>
      <c r="AR485" s="7">
        <v>35</v>
      </c>
      <c r="AS485" s="7">
        <f>Table2[[#This Row],[final_obs_date]]-Table2[[#This Row],[init_date]]</f>
        <v>31</v>
      </c>
      <c r="AT485" s="7">
        <f>(Table2[[#This Row],[final_obs_date2]]-Table2[[#This Row],[estHD]])+16</f>
        <v>23</v>
      </c>
      <c r="AU485" s="38">
        <v>4</v>
      </c>
      <c r="AV485" s="33">
        <v>4</v>
      </c>
      <c r="AW485" s="33">
        <f>Table2[[#This Row],[final_obs_date2]]-Table2[[#This Row],[pen_obs_date]]</f>
        <v>46</v>
      </c>
      <c r="AX485" s="67">
        <v>46</v>
      </c>
      <c r="AY485" s="6">
        <f>Table2[[#This Row],[final_obs_date]]</f>
        <v>46</v>
      </c>
      <c r="AZ485" s="6"/>
      <c r="BA485" s="91" t="s">
        <v>23</v>
      </c>
      <c r="BB485" s="6" t="b">
        <f>Table2[[#This Row],[final_obs_date]]&lt;(Table2[[#This Row],[estHD]]-2)</f>
        <v>0</v>
      </c>
      <c r="BC485" s="24">
        <f>IF(Table2[[#This Row],[field_fate]]="H",1,0)</f>
        <v>1</v>
      </c>
      <c r="BD485" s="16">
        <f>IF(Table2[[#This Row],[cam_fate2]]="H",1,0)</f>
        <v>0</v>
      </c>
      <c r="BE485" s="6" t="b">
        <f>NOT(Table2[[#This Row],[HF_C]]=Table2[[#This Row],[HF]])</f>
        <v>1</v>
      </c>
      <c r="BF485" s="6" t="b">
        <f>NOT(Table2[[#This Row],[cam_fate2]]=Table2[[#This Row],[field_fate3]])</f>
        <v>1</v>
      </c>
      <c r="BG485" s="6" t="b">
        <f>OR(Table2[[#This Row],[field_fate3]]="U",Table2[[#This Row],[field_fate3]]="U-H")</f>
        <v>0</v>
      </c>
      <c r="BH485" s="8">
        <v>16</v>
      </c>
      <c r="BI485" s="8">
        <v>43</v>
      </c>
      <c r="BJ485" s="14">
        <f>IF(ISTEXT(Table2[[#This Row],[j.cam]]),Table2[[#This Row],[j]],Table2[[#This Row],[j.cam]])</f>
        <v>43</v>
      </c>
      <c r="BK485" s="9">
        <v>43</v>
      </c>
      <c r="BL485" s="15">
        <f>IF(ISTEXT(Table2[[#This Row],[k.cam]]), Table2[[#This Row],[k]], Table2[[#This Row],[k.cam]])</f>
        <v>43</v>
      </c>
      <c r="BM485" s="4" t="s">
        <v>24</v>
      </c>
      <c r="BN485" s="8" t="s">
        <v>24</v>
      </c>
      <c r="BO485" s="4">
        <v>8</v>
      </c>
      <c r="BP485" s="4">
        <f>Table2[[#This Row],[final_obs_date]]-Table2[[#This Row],[i]]</f>
        <v>30</v>
      </c>
      <c r="BQ485" s="4" t="b">
        <f>Table2[[#This Row],[final_obs_date2]]&gt;Table2[[#This Row],[estHD]]+3</f>
        <v>1</v>
      </c>
      <c r="BR485" s="4" t="s">
        <v>27</v>
      </c>
      <c r="BS485" s="4" t="s">
        <v>45</v>
      </c>
      <c r="BT485" s="79" t="s">
        <v>1312</v>
      </c>
      <c r="BU485" s="26" t="s">
        <v>353</v>
      </c>
      <c r="BV485" s="79" t="s">
        <v>1650</v>
      </c>
      <c r="BW485" s="49"/>
      <c r="BX485" s="47"/>
      <c r="BY485" s="36" t="s">
        <v>805</v>
      </c>
    </row>
    <row r="486" spans="1:77" hidden="1" x14ac:dyDescent="0.35">
      <c r="A486" s="64">
        <v>30003</v>
      </c>
      <c r="B486" s="2" t="s">
        <v>122</v>
      </c>
      <c r="C486" s="46">
        <v>2021</v>
      </c>
      <c r="D486" s="3">
        <v>29.756869999999999</v>
      </c>
      <c r="E486" s="3">
        <v>-93.111490000000003</v>
      </c>
      <c r="F486" s="3">
        <v>0</v>
      </c>
      <c r="G486" s="3">
        <v>0</v>
      </c>
      <c r="H486" s="3" t="s">
        <v>354</v>
      </c>
      <c r="I486" s="43"/>
      <c r="J486" s="55">
        <v>39</v>
      </c>
      <c r="K486" s="4">
        <v>39</v>
      </c>
      <c r="L486" s="22">
        <f>IF(ISNUMBER(Table2[[#This Row],[estHD]]),ABS(Table2[[#This Row],[HD]]-Table2[[#This Row],[estHD]]),"NA")</f>
        <v>0</v>
      </c>
      <c r="M486" s="4" t="b">
        <f>Table2[[#This Row],[HD]]=Table2[[#This Row],[estHD]]</f>
        <v>1</v>
      </c>
      <c r="N486" s="4" t="str">
        <f>IF(ISNUMBER([1]!Table2[[#This Row],[hatch_date]]),[1]!Table2[[#This Row],[hatch_date]]-19,"NA")</f>
        <v>NA</v>
      </c>
      <c r="O486" s="31">
        <v>20</v>
      </c>
      <c r="P486" s="23" t="e">
        <f>IF(ISNUMBER(Table2[[#This Row],[nest_age1]]),ABS(Table2[[#This Row],[nest_age1]]-Table2[[#This Row],[nest_age_feb]]),"NA")</f>
        <v>#VALUE!</v>
      </c>
      <c r="Q486" s="24">
        <f>IF(ISNUMBER(Table2[[#This Row],[final_obs_int2]]),ABS(Table2[[#This Row],[final_obs_int2]]-Table2[[#This Row],[final_obs_int_feb]]), "NA")</f>
        <v>0</v>
      </c>
      <c r="R486" s="24"/>
      <c r="S486" s="57" t="s">
        <v>88</v>
      </c>
      <c r="T486" s="57" t="str">
        <f>Table2[[#This Row],[camera_old]]</f>
        <v>N</v>
      </c>
      <c r="U486" s="24"/>
      <c r="V486" s="16" t="s">
        <v>24</v>
      </c>
      <c r="W486" s="16" t="s">
        <v>24</v>
      </c>
      <c r="X486" s="145">
        <v>8</v>
      </c>
      <c r="Y486" s="147" t="s">
        <v>90</v>
      </c>
      <c r="Z486" s="146" t="s">
        <v>90</v>
      </c>
      <c r="AA486" s="4" t="str">
        <f>Table2[[#This Row],[field_fate]]</f>
        <v>U</v>
      </c>
      <c r="AB486" s="4" t="str">
        <f>Table2[[#This Row],[field_fate2]]</f>
        <v>U</v>
      </c>
      <c r="AC486" s="4" t="str">
        <f>Table2[[#This Row],[field_fate3]]</f>
        <v>U</v>
      </c>
      <c r="AD486" s="4" t="str">
        <f>Table2[[#This Row],[field_fate4]]</f>
        <v>U</v>
      </c>
      <c r="AE486" s="4" t="str">
        <f>Table2[[#This Row],[field_fate5]]</f>
        <v>U</v>
      </c>
      <c r="AF486" s="4" t="str">
        <f>Table2[[#This Row],[field_fate5]]</f>
        <v>U</v>
      </c>
      <c r="AG486" s="4" t="str">
        <f>Table2[[#This Row],[field_fate5]]</f>
        <v>U</v>
      </c>
      <c r="AH486" s="4" t="str">
        <f>Table2[[#This Row],[field_fate2]]</f>
        <v>U</v>
      </c>
      <c r="AI486" s="4" t="str">
        <f>Table2[[#This Row],[field_fate8]]</f>
        <v>U</v>
      </c>
      <c r="AJ486" s="4" t="str">
        <f>Table2[[#This Row],[field_fate10]]</f>
        <v>U</v>
      </c>
      <c r="AK486" s="4" t="b">
        <f>Table2[[#This Row],[field_fate_feb]]=Table2[[#This Row],[field_fate10]]</f>
        <v>1</v>
      </c>
      <c r="AL486" s="43" t="s">
        <v>24</v>
      </c>
      <c r="AM486" s="43" t="b">
        <f>Table2[[#This Row],[cam_fate2]]="NA"</f>
        <v>1</v>
      </c>
      <c r="AN486" s="19" t="str">
        <f>Table2[[#This Row],[cam_fate1]]</f>
        <v>NA</v>
      </c>
      <c r="AO486" s="2" t="s">
        <v>90</v>
      </c>
      <c r="AP486" s="5" t="str">
        <f>Table2[[#This Row],[final_fate1]]</f>
        <v>U</v>
      </c>
      <c r="AQ486" s="6">
        <v>23</v>
      </c>
      <c r="AR486" s="7">
        <v>23</v>
      </c>
      <c r="AS486" s="7">
        <f>Table2[[#This Row],[final_obs_date]]-Table2[[#This Row],[init_date]]</f>
        <v>23</v>
      </c>
      <c r="AT486" s="7">
        <f>(Table2[[#This Row],[final_obs_date2]]-Table2[[#This Row],[estHD]])+16</f>
        <v>20</v>
      </c>
      <c r="AU486" s="38">
        <v>8</v>
      </c>
      <c r="AV486" s="33">
        <v>8</v>
      </c>
      <c r="AW486" s="33">
        <f>Table2[[#This Row],[final_obs_date2]]-Table2[[#This Row],[pen_obs_date]]</f>
        <v>43</v>
      </c>
      <c r="AX486" s="67">
        <v>43</v>
      </c>
      <c r="AY486" s="6">
        <f>Table2[[#This Row],[final_obs_date]]</f>
        <v>43</v>
      </c>
      <c r="AZ486" s="6"/>
      <c r="BA486" s="91" t="s">
        <v>47</v>
      </c>
      <c r="BB486" s="6" t="b">
        <f>Table2[[#This Row],[final_obs_date]]&lt;(Table2[[#This Row],[estHD]]-2)</f>
        <v>0</v>
      </c>
      <c r="BC486" s="24">
        <f>IF(Table2[[#This Row],[field_fate]]="H",1,0)</f>
        <v>0</v>
      </c>
      <c r="BD486" s="16">
        <f>IF(Table2[[#This Row],[cam_fate2]]="H",1,0)</f>
        <v>0</v>
      </c>
      <c r="BE486" s="6" t="b">
        <f>NOT(Table2[[#This Row],[HF_C]]=Table2[[#This Row],[HF]])</f>
        <v>0</v>
      </c>
      <c r="BF486" s="6" t="b">
        <f>NOT(Table2[[#This Row],[cam_fate2]]=Table2[[#This Row],[field_fate3]])</f>
        <v>1</v>
      </c>
      <c r="BG486" s="6" t="b">
        <f>OR(Table2[[#This Row],[field_fate3]]="U",Table2[[#This Row],[field_fate3]]="U-H")</f>
        <v>1</v>
      </c>
      <c r="BH486" s="8">
        <v>21</v>
      </c>
      <c r="BI486" s="8">
        <v>35</v>
      </c>
      <c r="BJ486" s="14">
        <f>IF(ISTEXT(Table2[[#This Row],[j.cam]]),Table2[[#This Row],[j]],Table2[[#This Row],[j.cam]])</f>
        <v>35</v>
      </c>
      <c r="BK486" s="9">
        <v>43</v>
      </c>
      <c r="BL486" s="15">
        <f>IF(ISTEXT(Table2[[#This Row],[k.cam]]), Table2[[#This Row],[k]], Table2[[#This Row],[k.cam]])</f>
        <v>43</v>
      </c>
      <c r="BM486" s="4" t="s">
        <v>24</v>
      </c>
      <c r="BN486" s="8" t="s">
        <v>24</v>
      </c>
      <c r="BO486" s="4">
        <v>6</v>
      </c>
      <c r="BP486" s="4">
        <f>Table2[[#This Row],[final_obs_date]]-Table2[[#This Row],[i]]</f>
        <v>22</v>
      </c>
      <c r="BQ486" s="4" t="b">
        <f>Table2[[#This Row],[final_obs_date2]]&gt;Table2[[#This Row],[estHD]]+3</f>
        <v>1</v>
      </c>
      <c r="BR486" s="4" t="s">
        <v>33</v>
      </c>
      <c r="BS486" s="4" t="s">
        <v>45</v>
      </c>
      <c r="BT486" s="79" t="s">
        <v>1313</v>
      </c>
      <c r="BU486" s="26" t="s">
        <v>163</v>
      </c>
      <c r="BV486" s="79" t="s">
        <v>1651</v>
      </c>
      <c r="BW486" s="49"/>
      <c r="BX486" s="47"/>
      <c r="BY486" s="36" t="s">
        <v>24</v>
      </c>
    </row>
    <row r="487" spans="1:77" hidden="1" x14ac:dyDescent="0.35">
      <c r="A487" s="64">
        <v>30004</v>
      </c>
      <c r="B487" s="2" t="s">
        <v>122</v>
      </c>
      <c r="C487" s="46">
        <v>2021</v>
      </c>
      <c r="D487" s="3">
        <v>29.75637</v>
      </c>
      <c r="E487" s="3">
        <v>-93.109459999999999</v>
      </c>
      <c r="F487" s="3">
        <v>0</v>
      </c>
      <c r="G487" s="3">
        <v>0</v>
      </c>
      <c r="H487" s="3" t="s">
        <v>354</v>
      </c>
      <c r="I487" s="43"/>
      <c r="J487" s="55">
        <v>40</v>
      </c>
      <c r="K487" s="4">
        <v>40</v>
      </c>
      <c r="L487" s="22">
        <f>IF(ISNUMBER(Table2[[#This Row],[estHD]]),ABS(Table2[[#This Row],[HD]]-Table2[[#This Row],[estHD]]),"NA")</f>
        <v>0</v>
      </c>
      <c r="M487" s="4" t="b">
        <f>Table2[[#This Row],[HD]]=Table2[[#This Row],[estHD]]</f>
        <v>1</v>
      </c>
      <c r="N487" s="4" t="str">
        <f>IF(ISNUMBER([1]!Table2[[#This Row],[hatch_date]]),[1]!Table2[[#This Row],[hatch_date]]-19,"NA")</f>
        <v>NA</v>
      </c>
      <c r="O487" s="31">
        <v>21</v>
      </c>
      <c r="P487" s="23">
        <f>IF(ISNUMBER(Table2[[#This Row],[nest_age1]]),ABS(Table2[[#This Row],[nest_age1]]-Table2[[#This Row],[nest_age_feb]]),"NA")</f>
        <v>0</v>
      </c>
      <c r="Q487" s="24">
        <f>IF(ISNUMBER(Table2[[#This Row],[final_obs_int2]]),ABS(Table2[[#This Row],[final_obs_int2]]-Table2[[#This Row],[final_obs_int_feb]]), "NA")</f>
        <v>0</v>
      </c>
      <c r="R487" s="24"/>
      <c r="S487" s="57" t="s">
        <v>88</v>
      </c>
      <c r="T487" s="57" t="str">
        <f>Table2[[#This Row],[camera_old]]</f>
        <v>N</v>
      </c>
      <c r="U487" s="24"/>
      <c r="V487" s="16" t="s">
        <v>24</v>
      </c>
      <c r="W487" s="16">
        <v>14</v>
      </c>
      <c r="X487" s="145">
        <v>4</v>
      </c>
      <c r="Y487" s="147" t="s">
        <v>31</v>
      </c>
      <c r="Z487" s="146" t="s">
        <v>31</v>
      </c>
      <c r="AA487" s="4" t="str">
        <f>Table2[[#This Row],[field_fate]]</f>
        <v>D</v>
      </c>
      <c r="AB487" s="4" t="str">
        <f>Table2[[#This Row],[field_fate2]]</f>
        <v>D</v>
      </c>
      <c r="AC487" s="4" t="str">
        <f>Table2[[#This Row],[field_fate3]]</f>
        <v>D</v>
      </c>
      <c r="AD487" s="4" t="str">
        <f>Table2[[#This Row],[field_fate4]]</f>
        <v>D</v>
      </c>
      <c r="AE487" s="4" t="str">
        <f>Table2[[#This Row],[field_fate5]]</f>
        <v>D</v>
      </c>
      <c r="AF487" s="4" t="str">
        <f>Table2[[#This Row],[field_fate5]]</f>
        <v>D</v>
      </c>
      <c r="AG487" s="4" t="str">
        <f>Table2[[#This Row],[field_fate5]]</f>
        <v>D</v>
      </c>
      <c r="AH487" s="4" t="str">
        <f>Table2[[#This Row],[field_fate2]]</f>
        <v>D</v>
      </c>
      <c r="AI487" s="4" t="str">
        <f>Table2[[#This Row],[field_fate8]]</f>
        <v>D</v>
      </c>
      <c r="AJ487" s="4" t="str">
        <f>Table2[[#This Row],[field_fate10]]</f>
        <v>D</v>
      </c>
      <c r="AK487" s="4" t="b">
        <f>Table2[[#This Row],[field_fate_feb]]=Table2[[#This Row],[field_fate10]]</f>
        <v>1</v>
      </c>
      <c r="AL487" s="43" t="s">
        <v>24</v>
      </c>
      <c r="AM487" s="43" t="b">
        <f>Table2[[#This Row],[cam_fate2]]="NA"</f>
        <v>1</v>
      </c>
      <c r="AN487" s="19" t="str">
        <f>Table2[[#This Row],[cam_fate1]]</f>
        <v>NA</v>
      </c>
      <c r="AO487" s="2" t="s">
        <v>31</v>
      </c>
      <c r="AP487" s="5" t="str">
        <f>Table2[[#This Row],[final_fate1]]</f>
        <v>D</v>
      </c>
      <c r="AQ487" s="6">
        <v>14</v>
      </c>
      <c r="AR487" s="7">
        <v>14</v>
      </c>
      <c r="AS487" s="7">
        <f>Table2[[#This Row],[final_obs_date]]-Table2[[#This Row],[init_date]]</f>
        <v>14</v>
      </c>
      <c r="AT487" s="7">
        <f>(Table2[[#This Row],[final_obs_date2]]-Table2[[#This Row],[estHD]])+16</f>
        <v>11</v>
      </c>
      <c r="AU487" s="38">
        <v>4</v>
      </c>
      <c r="AV487" s="33">
        <v>4</v>
      </c>
      <c r="AW487" s="33">
        <f>Table2[[#This Row],[final_obs_date2]]-Table2[[#This Row],[pen_obs_date]]</f>
        <v>35</v>
      </c>
      <c r="AX487" s="67">
        <v>35</v>
      </c>
      <c r="AY487" s="6">
        <f>Table2[[#This Row],[final_obs_date]]</f>
        <v>35</v>
      </c>
      <c r="AZ487" s="6"/>
      <c r="BA487" s="91" t="s">
        <v>47</v>
      </c>
      <c r="BB487" s="6" t="b">
        <f>Table2[[#This Row],[final_obs_date]]&lt;(Table2[[#This Row],[estHD]]-2)</f>
        <v>1</v>
      </c>
      <c r="BC487" s="24">
        <f>IF(Table2[[#This Row],[field_fate]]="H",1,0)</f>
        <v>0</v>
      </c>
      <c r="BD487" s="16">
        <f>IF(Table2[[#This Row],[cam_fate2]]="H",1,0)</f>
        <v>0</v>
      </c>
      <c r="BE487" s="6" t="b">
        <f>NOT(Table2[[#This Row],[HF_C]]=Table2[[#This Row],[HF]])</f>
        <v>0</v>
      </c>
      <c r="BF487" s="6" t="b">
        <f>NOT(Table2[[#This Row],[cam_fate2]]=Table2[[#This Row],[field_fate3]])</f>
        <v>1</v>
      </c>
      <c r="BG487" s="6" t="b">
        <f>OR(Table2[[#This Row],[field_fate3]]="U",Table2[[#This Row],[field_fate3]]="U-H")</f>
        <v>0</v>
      </c>
      <c r="BH487" s="8">
        <v>21</v>
      </c>
      <c r="BI487" s="8">
        <v>31</v>
      </c>
      <c r="BJ487" s="14">
        <f>IF(ISTEXT(Table2[[#This Row],[j.cam]]),Table2[[#This Row],[j]],Table2[[#This Row],[j.cam]])</f>
        <v>31</v>
      </c>
      <c r="BK487" s="9">
        <v>35</v>
      </c>
      <c r="BL487" s="15">
        <f>IF(ISTEXT(Table2[[#This Row],[k.cam]]), Table2[[#This Row],[k]], Table2[[#This Row],[k.cam]])</f>
        <v>35</v>
      </c>
      <c r="BM487" s="4" t="s">
        <v>24</v>
      </c>
      <c r="BN487" s="8" t="s">
        <v>24</v>
      </c>
      <c r="BO487" s="4">
        <v>5</v>
      </c>
      <c r="BP487" s="4">
        <f>Table2[[#This Row],[final_obs_date]]-Table2[[#This Row],[i]]</f>
        <v>14</v>
      </c>
      <c r="BQ487" s="4" t="b">
        <f>Table2[[#This Row],[final_obs_date2]]&gt;Table2[[#This Row],[estHD]]+3</f>
        <v>0</v>
      </c>
      <c r="BR487" s="4" t="s">
        <v>33</v>
      </c>
      <c r="BS487" s="4" t="s">
        <v>31</v>
      </c>
      <c r="BT487" s="79" t="s">
        <v>1314</v>
      </c>
      <c r="BU487" s="26" t="s">
        <v>355</v>
      </c>
      <c r="BV487" s="79" t="s">
        <v>1652</v>
      </c>
      <c r="BW487" s="49"/>
      <c r="BX487" s="47"/>
      <c r="BY487" s="36" t="s">
        <v>24</v>
      </c>
    </row>
    <row r="488" spans="1:77" ht="18.5" hidden="1" x14ac:dyDescent="0.35">
      <c r="A488" s="64">
        <v>30005</v>
      </c>
      <c r="B488" s="2" t="s">
        <v>35</v>
      </c>
      <c r="C488" s="46">
        <v>2021</v>
      </c>
      <c r="D488" s="3">
        <v>29.7684</v>
      </c>
      <c r="E488" s="3">
        <v>-93.164709999999999</v>
      </c>
      <c r="F488" s="3">
        <v>0</v>
      </c>
      <c r="G488" s="3">
        <v>0</v>
      </c>
      <c r="H488" s="3" t="s">
        <v>26</v>
      </c>
      <c r="I488" s="43"/>
      <c r="J488" s="55">
        <v>36</v>
      </c>
      <c r="K488" s="4">
        <v>36</v>
      </c>
      <c r="L488" s="22">
        <f>IF(ISNUMBER(Table2[[#This Row],[estHD]]),ABS(Table2[[#This Row],[HD]]-Table2[[#This Row],[estHD]]),"NA")</f>
        <v>0</v>
      </c>
      <c r="M488" s="4" t="b">
        <f>Table2[[#This Row],[HD]]=Table2[[#This Row],[estHD]]</f>
        <v>1</v>
      </c>
      <c r="N488" s="4" t="str">
        <f>IF(ISNUMBER([1]!Table2[[#This Row],[hatch_date]]), [1]!Table2[[#This Row],[hatch_date]]-28, "NA")</f>
        <v>NA</v>
      </c>
      <c r="O488" s="31">
        <v>8</v>
      </c>
      <c r="P488" s="23" t="e">
        <f>IF(ISNUMBER(Table2[[#This Row],[nest_age1]]),ABS(Table2[[#This Row],[nest_age1]]-Table2[[#This Row],[nest_age_feb]]),"NA")</f>
        <v>#VALUE!</v>
      </c>
      <c r="Q488" s="24">
        <f>IF(ISNUMBER(Table2[[#This Row],[final_obs_int2]]),ABS(Table2[[#This Row],[final_obs_int2]]-Table2[[#This Row],[final_obs_int_feb]]), "NA")</f>
        <v>1</v>
      </c>
      <c r="R488" s="24"/>
      <c r="S488" s="57" t="s">
        <v>88</v>
      </c>
      <c r="T488" s="57" t="str">
        <f>Table2[[#This Row],[camera_old]]</f>
        <v>N</v>
      </c>
      <c r="U488" s="24"/>
      <c r="V488" s="16" t="s">
        <v>24</v>
      </c>
      <c r="W488" s="16" t="s">
        <v>24</v>
      </c>
      <c r="X488" s="145">
        <v>4</v>
      </c>
      <c r="Y488" s="147" t="s">
        <v>37</v>
      </c>
      <c r="Z488" s="146" t="s">
        <v>37</v>
      </c>
      <c r="AA488" s="4" t="str">
        <f>Table2[[#This Row],[field_fate]]</f>
        <v>H</v>
      </c>
      <c r="AB488" s="4" t="str">
        <f>Table2[[#This Row],[field_fate2]]</f>
        <v>H</v>
      </c>
      <c r="AC488" s="4" t="str">
        <f>Table2[[#This Row],[field_fate3]]</f>
        <v>H</v>
      </c>
      <c r="AD488" s="4" t="str">
        <f>Table2[[#This Row],[field_fate4]]</f>
        <v>H</v>
      </c>
      <c r="AE488" s="4" t="str">
        <f>Table2[[#This Row],[field_fate5]]</f>
        <v>H</v>
      </c>
      <c r="AF488" s="4" t="str">
        <f>Table2[[#This Row],[field_fate5]]</f>
        <v>H</v>
      </c>
      <c r="AG488" s="4" t="str">
        <f>Table2[[#This Row],[field_fate5]]</f>
        <v>H</v>
      </c>
      <c r="AH488" s="4" t="str">
        <f>Table2[[#This Row],[field_fate2]]</f>
        <v>H</v>
      </c>
      <c r="AI488" s="4" t="str">
        <f>Table2[[#This Row],[field_fate8]]</f>
        <v>H</v>
      </c>
      <c r="AJ488" s="4" t="str">
        <f>Table2[[#This Row],[field_fate10]]</f>
        <v>H</v>
      </c>
      <c r="AK488" s="4" t="b">
        <f>Table2[[#This Row],[field_fate_feb]]=Table2[[#This Row],[field_fate10]]</f>
        <v>1</v>
      </c>
      <c r="AL488" s="43" t="s">
        <v>24</v>
      </c>
      <c r="AM488" s="43" t="b">
        <f>Table2[[#This Row],[cam_fate2]]="NA"</f>
        <v>1</v>
      </c>
      <c r="AN488" s="19" t="str">
        <f>Table2[[#This Row],[cam_fate1]]</f>
        <v>NA</v>
      </c>
      <c r="AO488" s="2" t="s">
        <v>37</v>
      </c>
      <c r="AP488" s="5" t="str">
        <f>Table2[[#This Row],[final_fate1]]</f>
        <v>H</v>
      </c>
      <c r="AQ488" s="6">
        <v>34</v>
      </c>
      <c r="AR488" s="7">
        <v>34</v>
      </c>
      <c r="AS488" s="7">
        <f>Table2[[#This Row],[final_obs_date]]-Table2[[#This Row],[init_date]]</f>
        <v>34</v>
      </c>
      <c r="AT488" s="7">
        <f>(Table2[[#This Row],[final_obs_date2]]-Table2[[#This Row],[estHD]])+16</f>
        <v>22</v>
      </c>
      <c r="AU488" s="41">
        <v>3</v>
      </c>
      <c r="AV488" s="33">
        <v>3</v>
      </c>
      <c r="AW488" s="33">
        <f>Table2[[#This Row],[final_obs_date2]]-Table2[[#This Row],[pen_obs_date]]</f>
        <v>42</v>
      </c>
      <c r="AX488" s="67">
        <v>42</v>
      </c>
      <c r="AY488" s="6">
        <f>Table2[[#This Row],[final_obs_date]]</f>
        <v>42</v>
      </c>
      <c r="AZ488" s="6"/>
      <c r="BA488" s="91" t="s">
        <v>23</v>
      </c>
      <c r="BB488" s="6" t="b">
        <f>Table2[[#This Row],[final_obs_date]]&lt;(Table2[[#This Row],[estHD]]-2)</f>
        <v>0</v>
      </c>
      <c r="BC488" s="24">
        <f>IF(Table2[[#This Row],[field_fate]]="H",1,0)</f>
        <v>1</v>
      </c>
      <c r="BD488" s="16">
        <f>IF(Table2[[#This Row],[cam_fate2]]="H",1,0)</f>
        <v>0</v>
      </c>
      <c r="BE488" s="6" t="b">
        <f>NOT(Table2[[#This Row],[HF_C]]=Table2[[#This Row],[HF]])</f>
        <v>1</v>
      </c>
      <c r="BF488" s="6" t="b">
        <f>NOT(Table2[[#This Row],[cam_fate2]]=Table2[[#This Row],[field_fate3]])</f>
        <v>1</v>
      </c>
      <c r="BG488" s="6" t="b">
        <f>OR(Table2[[#This Row],[field_fate3]]="U",Table2[[#This Row],[field_fate3]]="U-H")</f>
        <v>0</v>
      </c>
      <c r="BH488" s="8">
        <v>16</v>
      </c>
      <c r="BI488" s="8">
        <v>36</v>
      </c>
      <c r="BJ488" s="14">
        <f>IF(ISTEXT(Table2[[#This Row],[j.cam]]),Table2[[#This Row],[j]],Table2[[#This Row],[j.cam]])</f>
        <v>36</v>
      </c>
      <c r="BK488" s="9">
        <v>36</v>
      </c>
      <c r="BL488" s="15">
        <f>IF(ISTEXT(Table2[[#This Row],[k.cam]]), Table2[[#This Row],[k]], Table2[[#This Row],[k.cam]])</f>
        <v>36</v>
      </c>
      <c r="BM488" s="4" t="s">
        <v>24</v>
      </c>
      <c r="BN488" s="8" t="s">
        <v>24</v>
      </c>
      <c r="BO488" s="4">
        <v>8</v>
      </c>
      <c r="BP488" s="4">
        <f>Table2[[#This Row],[final_obs_date]]-Table2[[#This Row],[i]]</f>
        <v>26</v>
      </c>
      <c r="BQ488" s="4" t="b">
        <f>Table2[[#This Row],[final_obs_date2]]&gt;Table2[[#This Row],[estHD]]+3</f>
        <v>1</v>
      </c>
      <c r="BR488" s="11" t="s">
        <v>45</v>
      </c>
      <c r="BS488" s="4" t="s">
        <v>53</v>
      </c>
      <c r="BT488" s="79" t="s">
        <v>1315</v>
      </c>
      <c r="BU488" s="26" t="s">
        <v>356</v>
      </c>
      <c r="BV488" s="79" t="s">
        <v>1653</v>
      </c>
      <c r="BW488" s="49" t="s">
        <v>465</v>
      </c>
      <c r="BX488" s="47"/>
      <c r="BY488" s="36" t="s">
        <v>806</v>
      </c>
    </row>
    <row r="489" spans="1:77" hidden="1" x14ac:dyDescent="0.35">
      <c r="A489" s="64">
        <v>30006</v>
      </c>
      <c r="B489" s="2" t="s">
        <v>35</v>
      </c>
      <c r="C489" s="46">
        <v>2021</v>
      </c>
      <c r="D489" s="3">
        <v>29.770299999999999</v>
      </c>
      <c r="E489" s="3">
        <v>-93.174499999999995</v>
      </c>
      <c r="F489" s="3" t="s">
        <v>24</v>
      </c>
      <c r="G489" s="3" t="s">
        <v>24</v>
      </c>
      <c r="H489" s="3" t="s">
        <v>26</v>
      </c>
      <c r="I489" s="43"/>
      <c r="J489" s="55">
        <v>40</v>
      </c>
      <c r="K489" s="4">
        <v>40</v>
      </c>
      <c r="L489" s="22">
        <f>IF(ISNUMBER(Table2[[#This Row],[estHD]]),ABS(Table2[[#This Row],[HD]]-Table2[[#This Row],[estHD]]),"NA")</f>
        <v>0</v>
      </c>
      <c r="M489" s="4" t="b">
        <f>Table2[[#This Row],[HD]]=Table2[[#This Row],[estHD]]</f>
        <v>1</v>
      </c>
      <c r="N489" s="4" t="str">
        <f>IF(ISNUMBER([1]!Table2[[#This Row],[hatch_date]]),[1]!Table2[[#This Row],[hatch_date]]-19,"NA")</f>
        <v>NA</v>
      </c>
      <c r="O489" s="31">
        <v>21</v>
      </c>
      <c r="P489" s="23" t="e">
        <f>IF(ISNUMBER(Table2[[#This Row],[nest_age1]]),ABS(Table2[[#This Row],[nest_age1]]-Table2[[#This Row],[nest_age_feb]]),"NA")</f>
        <v>#VALUE!</v>
      </c>
      <c r="Q489" s="24">
        <f>IF(ISNUMBER(Table2[[#This Row],[final_obs_int2]]),ABS(Table2[[#This Row],[final_obs_int2]]-Table2[[#This Row],[final_obs_int_feb]]), "NA")</f>
        <v>0</v>
      </c>
      <c r="R489" s="24"/>
      <c r="S489" s="57" t="s">
        <v>88</v>
      </c>
      <c r="T489" s="57" t="str">
        <f>Table2[[#This Row],[camera_old]]</f>
        <v>N</v>
      </c>
      <c r="U489" s="24"/>
      <c r="V489" s="16" t="s">
        <v>24</v>
      </c>
      <c r="W489" s="16" t="s">
        <v>24</v>
      </c>
      <c r="X489" s="145">
        <v>6</v>
      </c>
      <c r="Y489" s="147" t="s">
        <v>31</v>
      </c>
      <c r="Z489" s="146" t="s">
        <v>31</v>
      </c>
      <c r="AA489" s="4" t="str">
        <f>Table2[[#This Row],[field_fate]]</f>
        <v>D</v>
      </c>
      <c r="AB489" s="4" t="str">
        <f>Table2[[#This Row],[field_fate2]]</f>
        <v>D</v>
      </c>
      <c r="AC489" s="4" t="str">
        <f>Table2[[#This Row],[field_fate3]]</f>
        <v>D</v>
      </c>
      <c r="AD489" s="4" t="str">
        <f>Table2[[#This Row],[field_fate4]]</f>
        <v>D</v>
      </c>
      <c r="AE489" s="4" t="str">
        <f>Table2[[#This Row],[field_fate5]]</f>
        <v>D</v>
      </c>
      <c r="AF489" s="4" t="str">
        <f>Table2[[#This Row],[field_fate5]]</f>
        <v>D</v>
      </c>
      <c r="AG489" s="4" t="str">
        <f>Table2[[#This Row],[field_fate5]]</f>
        <v>D</v>
      </c>
      <c r="AH489" s="4" t="str">
        <f>Table2[[#This Row],[field_fate2]]</f>
        <v>D</v>
      </c>
      <c r="AI489" s="4" t="str">
        <f>Table2[[#This Row],[field_fate8]]</f>
        <v>D</v>
      </c>
      <c r="AJ489" s="4" t="str">
        <f>Table2[[#This Row],[field_fate10]]</f>
        <v>D</v>
      </c>
      <c r="AK489" s="4" t="b">
        <f>Table2[[#This Row],[field_fate_feb]]=Table2[[#This Row],[field_fate10]]</f>
        <v>1</v>
      </c>
      <c r="AL489" s="43" t="s">
        <v>24</v>
      </c>
      <c r="AM489" s="43" t="b">
        <f>Table2[[#This Row],[cam_fate2]]="NA"</f>
        <v>1</v>
      </c>
      <c r="AN489" s="19" t="str">
        <f>Table2[[#This Row],[cam_fate1]]</f>
        <v>NA</v>
      </c>
      <c r="AO489" s="2" t="s">
        <v>31</v>
      </c>
      <c r="AP489" s="5" t="str">
        <f>Table2[[#This Row],[final_fate1]]</f>
        <v>D</v>
      </c>
      <c r="AQ489" s="6">
        <v>13</v>
      </c>
      <c r="AR489" s="7">
        <v>13</v>
      </c>
      <c r="AS489" s="7">
        <f>Table2[[#This Row],[final_obs_date]]-Table2[[#This Row],[init_date]]</f>
        <v>13</v>
      </c>
      <c r="AT489" s="7">
        <f>(Table2[[#This Row],[final_obs_date2]]-Table2[[#This Row],[estHD]])+16</f>
        <v>10</v>
      </c>
      <c r="AU489" s="38">
        <v>6</v>
      </c>
      <c r="AV489" s="33">
        <v>6</v>
      </c>
      <c r="AW489" s="33">
        <f>Table2[[#This Row],[final_obs_date2]]-Table2[[#This Row],[pen_obs_date]]</f>
        <v>34</v>
      </c>
      <c r="AX489" s="67">
        <v>34</v>
      </c>
      <c r="AY489" s="6">
        <f>Table2[[#This Row],[final_obs_date]]</f>
        <v>34</v>
      </c>
      <c r="AZ489" s="6"/>
      <c r="BA489" s="91" t="s">
        <v>47</v>
      </c>
      <c r="BB489" s="6" t="b">
        <f>Table2[[#This Row],[final_obs_date]]&lt;(Table2[[#This Row],[estHD]]-2)</f>
        <v>1</v>
      </c>
      <c r="BC489" s="24">
        <f>IF(Table2[[#This Row],[field_fate]]="H",1,0)</f>
        <v>0</v>
      </c>
      <c r="BD489" s="16">
        <f>IF(Table2[[#This Row],[cam_fate2]]="H",1,0)</f>
        <v>0</v>
      </c>
      <c r="BE489" s="6" t="b">
        <f>NOT(Table2[[#This Row],[HF_C]]=Table2[[#This Row],[HF]])</f>
        <v>0</v>
      </c>
      <c r="BF489" s="6" t="b">
        <f>NOT(Table2[[#This Row],[cam_fate2]]=Table2[[#This Row],[field_fate3]])</f>
        <v>1</v>
      </c>
      <c r="BG489" s="6" t="b">
        <f>OR(Table2[[#This Row],[field_fate3]]="U",Table2[[#This Row],[field_fate3]]="U-H")</f>
        <v>0</v>
      </c>
      <c r="BH489" s="8">
        <v>24</v>
      </c>
      <c r="BI489" s="8">
        <v>28</v>
      </c>
      <c r="BJ489" s="14">
        <f>IF(ISTEXT(Table2[[#This Row],[j.cam]]),Table2[[#This Row],[j]],Table2[[#This Row],[j.cam]])</f>
        <v>28</v>
      </c>
      <c r="BK489" s="9">
        <v>34</v>
      </c>
      <c r="BL489" s="15">
        <f>IF(ISTEXT(Table2[[#This Row],[k.cam]]), Table2[[#This Row],[k]], Table2[[#This Row],[k.cam]])</f>
        <v>34</v>
      </c>
      <c r="BM489" s="4" t="s">
        <v>24</v>
      </c>
      <c r="BN489" s="8" t="s">
        <v>24</v>
      </c>
      <c r="BO489" s="4">
        <v>3</v>
      </c>
      <c r="BP489" s="4">
        <f>Table2[[#This Row],[final_obs_date]]-Table2[[#This Row],[i]]</f>
        <v>10</v>
      </c>
      <c r="BQ489" s="4" t="b">
        <f>Table2[[#This Row],[final_obs_date2]]&gt;Table2[[#This Row],[estHD]]+3</f>
        <v>0</v>
      </c>
      <c r="BR489" s="4" t="s">
        <v>33</v>
      </c>
      <c r="BS489" s="4" t="s">
        <v>31</v>
      </c>
      <c r="BT489" s="79" t="s">
        <v>1316</v>
      </c>
      <c r="BU489" s="26" t="s">
        <v>357</v>
      </c>
      <c r="BV489" s="79" t="s">
        <v>1532</v>
      </c>
      <c r="BW489" s="49"/>
      <c r="BX489" s="47"/>
      <c r="BY489" s="36" t="s">
        <v>24</v>
      </c>
    </row>
    <row r="490" spans="1:77" hidden="1" x14ac:dyDescent="0.35">
      <c r="A490" s="64">
        <v>30007</v>
      </c>
      <c r="B490" s="2" t="s">
        <v>35</v>
      </c>
      <c r="C490" s="46">
        <v>2021</v>
      </c>
      <c r="D490" s="3">
        <v>29.770320000000002</v>
      </c>
      <c r="E490" s="3">
        <v>-93.174549999999996</v>
      </c>
      <c r="F490" s="3" t="s">
        <v>24</v>
      </c>
      <c r="G490" s="3" t="s">
        <v>24</v>
      </c>
      <c r="H490" s="3" t="s">
        <v>26</v>
      </c>
      <c r="I490" s="43"/>
      <c r="J490" s="55">
        <v>41</v>
      </c>
      <c r="K490" s="4">
        <v>41</v>
      </c>
      <c r="L490" s="22">
        <f>IF(ISNUMBER(Table2[[#This Row],[estHD]]),ABS(Table2[[#This Row],[HD]]-Table2[[#This Row],[estHD]]),"NA")</f>
        <v>0</v>
      </c>
      <c r="M490" s="4" t="b">
        <f>Table2[[#This Row],[HD]]=Table2[[#This Row],[estHD]]</f>
        <v>1</v>
      </c>
      <c r="N490" s="4" t="str">
        <f>IF(ISNUMBER([1]!Table2[[#This Row],[hatch_date]]),[1]!Table2[[#This Row],[hatch_date]]-19,"NA")</f>
        <v>NA</v>
      </c>
      <c r="O490" s="31">
        <v>22</v>
      </c>
      <c r="P490" s="23" t="e">
        <f>IF(ISNUMBER(Table2[[#This Row],[nest_age1]]),ABS(Table2[[#This Row],[nest_age1]]-Table2[[#This Row],[nest_age_feb]]),"NA")</f>
        <v>#VALUE!</v>
      </c>
      <c r="Q490" s="24">
        <f>IF(ISNUMBER(Table2[[#This Row],[final_obs_int2]]),ABS(Table2[[#This Row],[final_obs_int2]]-Table2[[#This Row],[final_obs_int_feb]]), "NA")</f>
        <v>0</v>
      </c>
      <c r="R490" s="24"/>
      <c r="S490" s="57" t="s">
        <v>88</v>
      </c>
      <c r="T490" s="57" t="str">
        <f>Table2[[#This Row],[camera_old]]</f>
        <v>N</v>
      </c>
      <c r="U490" s="24"/>
      <c r="V490" s="16" t="s">
        <v>24</v>
      </c>
      <c r="W490" s="16" t="s">
        <v>24</v>
      </c>
      <c r="X490" s="145">
        <v>6</v>
      </c>
      <c r="Y490" s="148" t="s">
        <v>31</v>
      </c>
      <c r="Z490" s="146" t="s">
        <v>31</v>
      </c>
      <c r="AA490" s="4" t="str">
        <f>Table2[[#This Row],[field_fate]]</f>
        <v>D</v>
      </c>
      <c r="AB490" s="4" t="str">
        <f>Table2[[#This Row],[field_fate2]]</f>
        <v>D</v>
      </c>
      <c r="AC490" s="4" t="str">
        <f>Table2[[#This Row],[field_fate3]]</f>
        <v>D</v>
      </c>
      <c r="AD490" s="4" t="str">
        <f>Table2[[#This Row],[field_fate4]]</f>
        <v>D</v>
      </c>
      <c r="AE490" s="4" t="str">
        <f>Table2[[#This Row],[field_fate5]]</f>
        <v>D</v>
      </c>
      <c r="AF490" s="4" t="str">
        <f>Table2[[#This Row],[field_fate5]]</f>
        <v>D</v>
      </c>
      <c r="AG490" s="4" t="str">
        <f>Table2[[#This Row],[field_fate5]]</f>
        <v>D</v>
      </c>
      <c r="AH490" s="4" t="str">
        <f>Table2[[#This Row],[field_fate2]]</f>
        <v>D</v>
      </c>
      <c r="AI490" s="4" t="str">
        <f>Table2[[#This Row],[field_fate8]]</f>
        <v>D</v>
      </c>
      <c r="AJ490" s="4" t="str">
        <f>Table2[[#This Row],[field_fate10]]</f>
        <v>D</v>
      </c>
      <c r="AK490" s="4" t="b">
        <f>Table2[[#This Row],[field_fate_feb]]=Table2[[#This Row],[field_fate10]]</f>
        <v>1</v>
      </c>
      <c r="AL490" s="43" t="s">
        <v>24</v>
      </c>
      <c r="AM490" s="43" t="b">
        <f>Table2[[#This Row],[cam_fate2]]="NA"</f>
        <v>1</v>
      </c>
      <c r="AN490" s="19" t="str">
        <f>Table2[[#This Row],[cam_fate1]]</f>
        <v>NA</v>
      </c>
      <c r="AO490" s="2" t="s">
        <v>31</v>
      </c>
      <c r="AP490" s="5" t="str">
        <f>Table2[[#This Row],[final_fate1]]</f>
        <v>D</v>
      </c>
      <c r="AQ490" s="6">
        <v>12</v>
      </c>
      <c r="AR490" s="7">
        <v>12</v>
      </c>
      <c r="AS490" s="7">
        <f>Table2[[#This Row],[final_obs_date]]-Table2[[#This Row],[init_date]]</f>
        <v>12</v>
      </c>
      <c r="AT490" s="7">
        <f>(Table2[[#This Row],[final_obs_date2]]-Table2[[#This Row],[estHD]])+16</f>
        <v>9</v>
      </c>
      <c r="AU490" s="38">
        <v>6</v>
      </c>
      <c r="AV490" s="33">
        <v>6</v>
      </c>
      <c r="AW490" s="33">
        <f>Table2[[#This Row],[final_obs_date2]]-Table2[[#This Row],[pen_obs_date]]</f>
        <v>34</v>
      </c>
      <c r="AX490" s="67">
        <v>34</v>
      </c>
      <c r="AY490" s="6">
        <f>Table2[[#This Row],[final_obs_date]]</f>
        <v>34</v>
      </c>
      <c r="AZ490" s="6"/>
      <c r="BA490" s="91" t="s">
        <v>47</v>
      </c>
      <c r="BB490" s="6" t="b">
        <f>Table2[[#This Row],[final_obs_date]]&lt;(Table2[[#This Row],[estHD]]-2)</f>
        <v>1</v>
      </c>
      <c r="BC490" s="24">
        <f>IF(Table2[[#This Row],[field_fate]]="H",1,0)</f>
        <v>0</v>
      </c>
      <c r="BD490" s="16">
        <f>IF(Table2[[#This Row],[cam_fate2]]="H",1,0)</f>
        <v>0</v>
      </c>
      <c r="BE490" s="6" t="b">
        <f>NOT(Table2[[#This Row],[HF_C]]=Table2[[#This Row],[HF]])</f>
        <v>0</v>
      </c>
      <c r="BF490" s="6" t="b">
        <f>NOT(Table2[[#This Row],[cam_fate2]]=Table2[[#This Row],[field_fate3]])</f>
        <v>1</v>
      </c>
      <c r="BG490" s="6" t="b">
        <f>OR(Table2[[#This Row],[field_fate3]]="U",Table2[[#This Row],[field_fate3]]="U-H")</f>
        <v>0</v>
      </c>
      <c r="BH490" s="8">
        <v>24</v>
      </c>
      <c r="BI490" s="8">
        <v>28</v>
      </c>
      <c r="BJ490" s="14">
        <f>IF(ISTEXT(Table2[[#This Row],[j.cam]]),Table2[[#This Row],[j]],Table2[[#This Row],[j.cam]])</f>
        <v>28</v>
      </c>
      <c r="BK490" s="9">
        <v>34</v>
      </c>
      <c r="BL490" s="15">
        <f>IF(ISTEXT(Table2[[#This Row],[k.cam]]), Table2[[#This Row],[k]], Table2[[#This Row],[k.cam]])</f>
        <v>34</v>
      </c>
      <c r="BM490" s="4" t="s">
        <v>24</v>
      </c>
      <c r="BN490" s="8" t="s">
        <v>24</v>
      </c>
      <c r="BO490" s="4">
        <v>3</v>
      </c>
      <c r="BP490" s="4">
        <f>Table2[[#This Row],[final_obs_date]]-Table2[[#This Row],[i]]</f>
        <v>10</v>
      </c>
      <c r="BQ490" s="4" t="b">
        <f>Table2[[#This Row],[final_obs_date2]]&gt;Table2[[#This Row],[estHD]]+3</f>
        <v>0</v>
      </c>
      <c r="BR490" s="4" t="s">
        <v>33</v>
      </c>
      <c r="BS490" s="4" t="s">
        <v>31</v>
      </c>
      <c r="BT490" s="79" t="s">
        <v>1316</v>
      </c>
      <c r="BU490" s="26" t="s">
        <v>357</v>
      </c>
      <c r="BV490" s="79" t="s">
        <v>1532</v>
      </c>
      <c r="BW490" s="49"/>
      <c r="BX490" s="47"/>
      <c r="BY490" s="36" t="s">
        <v>24</v>
      </c>
    </row>
    <row r="491" spans="1:77" hidden="1" x14ac:dyDescent="0.35">
      <c r="A491" s="64">
        <v>30008</v>
      </c>
      <c r="B491" s="2" t="s">
        <v>35</v>
      </c>
      <c r="C491" s="46">
        <v>2021</v>
      </c>
      <c r="D491" s="3">
        <v>29.77083</v>
      </c>
      <c r="E491" s="3">
        <v>-93.176270000000002</v>
      </c>
      <c r="F491" s="3" t="s">
        <v>24</v>
      </c>
      <c r="G491" s="3" t="s">
        <v>24</v>
      </c>
      <c r="H491" s="3" t="s">
        <v>26</v>
      </c>
      <c r="I491" s="43"/>
      <c r="J491" s="55">
        <v>43</v>
      </c>
      <c r="K491" s="4">
        <v>43</v>
      </c>
      <c r="L491" s="22">
        <f>IF(ISNUMBER(Table2[[#This Row],[estHD]]),ABS(Table2[[#This Row],[HD]]-Table2[[#This Row],[estHD]]),"NA")</f>
        <v>0</v>
      </c>
      <c r="M491" s="4" t="b">
        <f>Table2[[#This Row],[HD]]=Table2[[#This Row],[estHD]]</f>
        <v>1</v>
      </c>
      <c r="N491" s="4" t="str">
        <f>IF(ISNUMBER([1]!Table2[[#This Row],[hatch_date]]),[1]!Table2[[#This Row],[hatch_date]]-19,"NA")</f>
        <v>NA</v>
      </c>
      <c r="O491" s="31">
        <v>24</v>
      </c>
      <c r="P491" s="23" t="e">
        <f>IF(ISNUMBER(Table2[[#This Row],[nest_age1]]),ABS(Table2[[#This Row],[nest_age1]]-Table2[[#This Row],[nest_age_feb]]),"NA")</f>
        <v>#VALUE!</v>
      </c>
      <c r="Q491" s="24">
        <f>IF(ISNUMBER(Table2[[#This Row],[final_obs_int2]]),ABS(Table2[[#This Row],[final_obs_int2]]-Table2[[#This Row],[final_obs_int_feb]]), "NA")</f>
        <v>0</v>
      </c>
      <c r="R491" s="24"/>
      <c r="S491" s="57" t="s">
        <v>88</v>
      </c>
      <c r="T491" s="57" t="str">
        <f>Table2[[#This Row],[camera_old]]</f>
        <v>N</v>
      </c>
      <c r="U491" s="24"/>
      <c r="V491" s="16" t="s">
        <v>24</v>
      </c>
      <c r="W491" s="16" t="s">
        <v>24</v>
      </c>
      <c r="X491" s="145">
        <v>11</v>
      </c>
      <c r="Y491" s="147" t="s">
        <v>149</v>
      </c>
      <c r="Z491" s="146" t="s">
        <v>25</v>
      </c>
      <c r="AA491" s="4" t="str">
        <f>Table2[[#This Row],[field_fate]]</f>
        <v>S</v>
      </c>
      <c r="AB491" s="4" t="str">
        <f>Table2[[#This Row],[field_fate2]]</f>
        <v>S</v>
      </c>
      <c r="AC491" s="4" t="str">
        <f>Table2[[#This Row],[field_fate3]]</f>
        <v>S</v>
      </c>
      <c r="AD491" s="4" t="str">
        <f>Table2[[#This Row],[field_fate4]]</f>
        <v>S</v>
      </c>
      <c r="AE491" s="4" t="str">
        <f>Table2[[#This Row],[field_fate5]]</f>
        <v>S</v>
      </c>
      <c r="AF491" s="4" t="str">
        <f>Table2[[#This Row],[field_fate5]]</f>
        <v>S</v>
      </c>
      <c r="AG491" s="4" t="str">
        <f>Table2[[#This Row],[field_fate5]]</f>
        <v>S</v>
      </c>
      <c r="AH491" s="4" t="str">
        <f>Table2[[#This Row],[field_fate2]]</f>
        <v>S</v>
      </c>
      <c r="AI491" s="4" t="str">
        <f>Table2[[#This Row],[field_fate8]]</f>
        <v>S</v>
      </c>
      <c r="AJ491" s="4" t="str">
        <f>Table2[[#This Row],[field_fate10]]</f>
        <v>S</v>
      </c>
      <c r="AK491" s="4" t="b">
        <f>Table2[[#This Row],[field_fate_feb]]=Table2[[#This Row],[field_fate10]]</f>
        <v>0</v>
      </c>
      <c r="AL491" s="43" t="s">
        <v>24</v>
      </c>
      <c r="AM491" s="43" t="b">
        <f>Table2[[#This Row],[cam_fate2]]="NA"</f>
        <v>1</v>
      </c>
      <c r="AN491" s="19" t="str">
        <f>Table2[[#This Row],[cam_fate1]]</f>
        <v>NA</v>
      </c>
      <c r="AO491" s="2" t="s">
        <v>25</v>
      </c>
      <c r="AP491" s="5" t="str">
        <f>Table2[[#This Row],[final_fate1]]</f>
        <v>S</v>
      </c>
      <c r="AQ491" s="6">
        <v>15</v>
      </c>
      <c r="AR491" s="7">
        <v>15</v>
      </c>
      <c r="AS491" s="7">
        <f>Table2[[#This Row],[final_obs_date]]-Table2[[#This Row],[init_date]]</f>
        <v>15</v>
      </c>
      <c r="AT491" s="7">
        <f>(Table2[[#This Row],[final_obs_date2]]-Table2[[#This Row],[estHD]])+16</f>
        <v>12</v>
      </c>
      <c r="AU491" s="38">
        <v>11</v>
      </c>
      <c r="AV491" s="33">
        <v>11</v>
      </c>
      <c r="AW491" s="33">
        <f>Table2[[#This Row],[final_obs_date2]]-Table2[[#This Row],[pen_obs_date]]</f>
        <v>39</v>
      </c>
      <c r="AX491" s="67">
        <v>39</v>
      </c>
      <c r="AY491" s="6">
        <f>Table2[[#This Row],[final_obs_date]]</f>
        <v>39</v>
      </c>
      <c r="AZ491" s="6"/>
      <c r="BA491" s="91" t="s">
        <v>47</v>
      </c>
      <c r="BB491" s="6" t="b">
        <f>Table2[[#This Row],[final_obs_date]]&lt;(Table2[[#This Row],[estHD]]-2)</f>
        <v>1</v>
      </c>
      <c r="BC491" s="24">
        <f>IF(Table2[[#This Row],[field_fate]]="H",1,0)</f>
        <v>0</v>
      </c>
      <c r="BD491" s="16">
        <f>IF(Table2[[#This Row],[cam_fate2]]="H",1,0)</f>
        <v>0</v>
      </c>
      <c r="BE491" s="6" t="b">
        <f>NOT(Table2[[#This Row],[HF_C]]=Table2[[#This Row],[HF]])</f>
        <v>0</v>
      </c>
      <c r="BF491" s="6" t="b">
        <f>NOT(Table2[[#This Row],[cam_fate2]]=Table2[[#This Row],[field_fate3]])</f>
        <v>1</v>
      </c>
      <c r="BG491" s="6" t="b">
        <f>OR(Table2[[#This Row],[field_fate3]]="U",Table2[[#This Row],[field_fate3]]="U-H")</f>
        <v>0</v>
      </c>
      <c r="BH491" s="8">
        <v>24</v>
      </c>
      <c r="BI491" s="8">
        <v>28</v>
      </c>
      <c r="BJ491" s="14">
        <f>IF(ISTEXT(Table2[[#This Row],[j.cam]]),Table2[[#This Row],[j]],Table2[[#This Row],[j.cam]])</f>
        <v>28</v>
      </c>
      <c r="BK491" s="9">
        <v>39</v>
      </c>
      <c r="BL491" s="15">
        <f>IF(ISTEXT(Table2[[#This Row],[k.cam]]), Table2[[#This Row],[k]], Table2[[#This Row],[k.cam]])</f>
        <v>39</v>
      </c>
      <c r="BM491" s="4" t="s">
        <v>24</v>
      </c>
      <c r="BN491" s="8" t="s">
        <v>24</v>
      </c>
      <c r="BO491" s="4">
        <v>3</v>
      </c>
      <c r="BP491" s="4">
        <f>Table2[[#This Row],[final_obs_date]]-Table2[[#This Row],[i]]</f>
        <v>15</v>
      </c>
      <c r="BQ491" s="4" t="b">
        <f>Table2[[#This Row],[final_obs_date2]]&gt;Table2[[#This Row],[estHD]]+3</f>
        <v>0</v>
      </c>
      <c r="BR491" s="4" t="s">
        <v>33</v>
      </c>
      <c r="BS491" s="4" t="s">
        <v>149</v>
      </c>
      <c r="BT491" s="79" t="s">
        <v>1317</v>
      </c>
      <c r="BU491" s="26" t="s">
        <v>358</v>
      </c>
      <c r="BV491" s="79" t="s">
        <v>1654</v>
      </c>
      <c r="BW491" s="49"/>
      <c r="BX491" s="47"/>
      <c r="BY491" s="36" t="s">
        <v>807</v>
      </c>
    </row>
    <row r="492" spans="1:77" hidden="1" x14ac:dyDescent="0.35">
      <c r="A492" s="64">
        <v>30009</v>
      </c>
      <c r="B492" s="2" t="s">
        <v>35</v>
      </c>
      <c r="C492" s="46">
        <v>2021</v>
      </c>
      <c r="D492" s="3">
        <v>29.77083</v>
      </c>
      <c r="E492" s="3">
        <v>-93.176299999999998</v>
      </c>
      <c r="F492" s="3" t="s">
        <v>24</v>
      </c>
      <c r="G492" s="3" t="s">
        <v>24</v>
      </c>
      <c r="H492" s="3" t="s">
        <v>26</v>
      </c>
      <c r="I492" s="43"/>
      <c r="J492" s="55">
        <v>41</v>
      </c>
      <c r="K492" s="4">
        <v>41</v>
      </c>
      <c r="L492" s="22">
        <f>IF(ISNUMBER(Table2[[#This Row],[estHD]]),ABS(Table2[[#This Row],[HD]]-Table2[[#This Row],[estHD]]),"NA")</f>
        <v>0</v>
      </c>
      <c r="M492" s="4" t="b">
        <f>Table2[[#This Row],[HD]]=Table2[[#This Row],[estHD]]</f>
        <v>1</v>
      </c>
      <c r="N492" s="4" t="str">
        <f>IF(ISNUMBER([1]!Table2[[#This Row],[hatch_date]]),[1]!Table2[[#This Row],[hatch_date]]-19,"NA")</f>
        <v>NA</v>
      </c>
      <c r="O492" s="31">
        <v>22</v>
      </c>
      <c r="P492" s="23" t="e">
        <f>IF(ISNUMBER(Table2[[#This Row],[nest_age1]]),ABS(Table2[[#This Row],[nest_age1]]-Table2[[#This Row],[nest_age_feb]]),"NA")</f>
        <v>#VALUE!</v>
      </c>
      <c r="Q492" s="24">
        <f>IF(ISNUMBER(Table2[[#This Row],[final_obs_int2]]),ABS(Table2[[#This Row],[final_obs_int2]]-Table2[[#This Row],[final_obs_int_feb]]), "NA")</f>
        <v>0</v>
      </c>
      <c r="R492" s="24"/>
      <c r="S492" s="57" t="s">
        <v>88</v>
      </c>
      <c r="T492" s="57" t="str">
        <f>Table2[[#This Row],[camera_old]]</f>
        <v>N</v>
      </c>
      <c r="U492" s="24"/>
      <c r="V492" s="16" t="s">
        <v>24</v>
      </c>
      <c r="W492" s="16" t="s">
        <v>24</v>
      </c>
      <c r="X492" s="145">
        <v>6</v>
      </c>
      <c r="Y492" s="149" t="s">
        <v>31</v>
      </c>
      <c r="Z492" s="146" t="s">
        <v>31</v>
      </c>
      <c r="AA492" s="4" t="str">
        <f>Table2[[#This Row],[field_fate]]</f>
        <v>D</v>
      </c>
      <c r="AB492" s="4" t="str">
        <f>Table2[[#This Row],[field_fate2]]</f>
        <v>D</v>
      </c>
      <c r="AC492" s="4" t="str">
        <f>Table2[[#This Row],[field_fate3]]</f>
        <v>D</v>
      </c>
      <c r="AD492" s="4" t="str">
        <f>Table2[[#This Row],[field_fate4]]</f>
        <v>D</v>
      </c>
      <c r="AE492" s="4" t="str">
        <f>Table2[[#This Row],[field_fate5]]</f>
        <v>D</v>
      </c>
      <c r="AF492" s="4" t="str">
        <f>Table2[[#This Row],[field_fate5]]</f>
        <v>D</v>
      </c>
      <c r="AG492" s="4" t="str">
        <f>Table2[[#This Row],[field_fate5]]</f>
        <v>D</v>
      </c>
      <c r="AH492" s="4" t="str">
        <f>Table2[[#This Row],[field_fate2]]</f>
        <v>D</v>
      </c>
      <c r="AI492" s="4" t="str">
        <f>Table2[[#This Row],[field_fate8]]</f>
        <v>D</v>
      </c>
      <c r="AJ492" s="4" t="str">
        <f>Table2[[#This Row],[field_fate10]]</f>
        <v>D</v>
      </c>
      <c r="AK492" s="4" t="b">
        <f>Table2[[#This Row],[field_fate_feb]]=Table2[[#This Row],[field_fate10]]</f>
        <v>1</v>
      </c>
      <c r="AL492" s="43" t="s">
        <v>24</v>
      </c>
      <c r="AM492" s="43" t="b">
        <f>Table2[[#This Row],[cam_fate2]]="NA"</f>
        <v>1</v>
      </c>
      <c r="AN492" s="19" t="str">
        <f>Table2[[#This Row],[cam_fate1]]</f>
        <v>NA</v>
      </c>
      <c r="AO492" s="2" t="s">
        <v>31</v>
      </c>
      <c r="AP492" s="5" t="str">
        <f>Table2[[#This Row],[final_fate1]]</f>
        <v>D</v>
      </c>
      <c r="AQ492" s="6">
        <v>12</v>
      </c>
      <c r="AR492" s="7">
        <v>12</v>
      </c>
      <c r="AS492" s="7">
        <f>Table2[[#This Row],[final_obs_date]]-Table2[[#This Row],[init_date]]</f>
        <v>12</v>
      </c>
      <c r="AT492" s="7">
        <f>(Table2[[#This Row],[final_obs_date2]]-Table2[[#This Row],[estHD]])+16</f>
        <v>9</v>
      </c>
      <c r="AU492" s="38">
        <v>6</v>
      </c>
      <c r="AV492" s="33">
        <v>6</v>
      </c>
      <c r="AW492" s="33">
        <f>Table2[[#This Row],[final_obs_date2]]-Table2[[#This Row],[pen_obs_date]]</f>
        <v>34</v>
      </c>
      <c r="AX492" s="67">
        <v>34</v>
      </c>
      <c r="AY492" s="6">
        <f>Table2[[#This Row],[final_obs_date]]</f>
        <v>34</v>
      </c>
      <c r="AZ492" s="6"/>
      <c r="BA492" s="91" t="s">
        <v>47</v>
      </c>
      <c r="BB492" s="6" t="b">
        <f>Table2[[#This Row],[final_obs_date]]&lt;(Table2[[#This Row],[estHD]]-2)</f>
        <v>1</v>
      </c>
      <c r="BC492" s="24">
        <f>IF(Table2[[#This Row],[field_fate]]="H",1,0)</f>
        <v>0</v>
      </c>
      <c r="BD492" s="16">
        <f>IF(Table2[[#This Row],[cam_fate2]]="H",1,0)</f>
        <v>0</v>
      </c>
      <c r="BE492" s="6" t="b">
        <f>NOT(Table2[[#This Row],[HF_C]]=Table2[[#This Row],[HF]])</f>
        <v>0</v>
      </c>
      <c r="BF492" s="6" t="b">
        <f>NOT(Table2[[#This Row],[cam_fate2]]=Table2[[#This Row],[field_fate3]])</f>
        <v>1</v>
      </c>
      <c r="BG492" s="6" t="b">
        <f>OR(Table2[[#This Row],[field_fate3]]="U",Table2[[#This Row],[field_fate3]]="U-H")</f>
        <v>0</v>
      </c>
      <c r="BH492" s="8">
        <v>24</v>
      </c>
      <c r="BI492" s="8">
        <v>28</v>
      </c>
      <c r="BJ492" s="14">
        <f>IF(ISTEXT(Table2[[#This Row],[j.cam]]),Table2[[#This Row],[j]],Table2[[#This Row],[j.cam]])</f>
        <v>28</v>
      </c>
      <c r="BK492" s="9">
        <v>34</v>
      </c>
      <c r="BL492" s="15">
        <f>IF(ISTEXT(Table2[[#This Row],[k.cam]]), Table2[[#This Row],[k]], Table2[[#This Row],[k.cam]])</f>
        <v>34</v>
      </c>
      <c r="BM492" s="4" t="s">
        <v>24</v>
      </c>
      <c r="BN492" s="8" t="s">
        <v>24</v>
      </c>
      <c r="BO492" s="4">
        <v>3</v>
      </c>
      <c r="BP492" s="4">
        <f>Table2[[#This Row],[final_obs_date]]-Table2[[#This Row],[i]]</f>
        <v>10</v>
      </c>
      <c r="BQ492" s="4" t="b">
        <f>Table2[[#This Row],[final_obs_date2]]&gt;Table2[[#This Row],[estHD]]+3</f>
        <v>0</v>
      </c>
      <c r="BR492" s="4" t="s">
        <v>33</v>
      </c>
      <c r="BS492" s="4" t="s">
        <v>31</v>
      </c>
      <c r="BT492" s="79" t="s">
        <v>1316</v>
      </c>
      <c r="BU492" s="26" t="s">
        <v>357</v>
      </c>
      <c r="BV492" s="79" t="s">
        <v>1532</v>
      </c>
      <c r="BW492" s="49"/>
      <c r="BX492" s="47"/>
      <c r="BY492" s="36" t="s">
        <v>808</v>
      </c>
    </row>
    <row r="493" spans="1:77" hidden="1" x14ac:dyDescent="0.35">
      <c r="A493" s="64">
        <v>30010</v>
      </c>
      <c r="B493" s="2" t="s">
        <v>122</v>
      </c>
      <c r="C493" s="46">
        <v>2021</v>
      </c>
      <c r="D493" s="3">
        <v>29.75705</v>
      </c>
      <c r="E493" s="3">
        <v>-93.112440000000007</v>
      </c>
      <c r="F493" s="3" t="s">
        <v>24</v>
      </c>
      <c r="G493" s="3" t="s">
        <v>24</v>
      </c>
      <c r="H493" s="3" t="s">
        <v>354</v>
      </c>
      <c r="I493" s="43"/>
      <c r="J493" s="55">
        <v>40</v>
      </c>
      <c r="K493" s="4">
        <v>40</v>
      </c>
      <c r="L493" s="22">
        <f>IF(ISNUMBER(Table2[[#This Row],[estHD]]),ABS(Table2[[#This Row],[HD]]-Table2[[#This Row],[estHD]]),"NA")</f>
        <v>0</v>
      </c>
      <c r="M493" s="4" t="b">
        <f>Table2[[#This Row],[HD]]=Table2[[#This Row],[estHD]]</f>
        <v>1</v>
      </c>
      <c r="N493" s="4" t="str">
        <f>IF(ISNUMBER([1]!Table2[[#This Row],[hatch_date]]),[1]!Table2[[#This Row],[hatch_date]]-19,"NA")</f>
        <v>NA</v>
      </c>
      <c r="O493" s="31">
        <v>21</v>
      </c>
      <c r="P493" s="23">
        <f>IF(ISNUMBER(Table2[[#This Row],[nest_age1]]),ABS(Table2[[#This Row],[nest_age1]]-Table2[[#This Row],[nest_age_feb]]),"NA")</f>
        <v>0</v>
      </c>
      <c r="Q493" s="24">
        <f>IF(ISNUMBER(Table2[[#This Row],[final_obs_int2]]),ABS(Table2[[#This Row],[final_obs_int2]]-Table2[[#This Row],[final_obs_int_feb]]), "NA")</f>
        <v>0</v>
      </c>
      <c r="R493" s="24"/>
      <c r="S493" s="57" t="s">
        <v>88</v>
      </c>
      <c r="T493" s="57" t="str">
        <f>Table2[[#This Row],[camera_old]]</f>
        <v>N</v>
      </c>
      <c r="U493" s="24"/>
      <c r="V493" s="16" t="s">
        <v>24</v>
      </c>
      <c r="W493" s="16">
        <v>14</v>
      </c>
      <c r="X493" s="145">
        <v>4</v>
      </c>
      <c r="Y493" s="147" t="s">
        <v>31</v>
      </c>
      <c r="Z493" s="146" t="s">
        <v>31</v>
      </c>
      <c r="AA493" s="4" t="str">
        <f>Table2[[#This Row],[field_fate]]</f>
        <v>D</v>
      </c>
      <c r="AB493" s="4" t="str">
        <f>Table2[[#This Row],[field_fate2]]</f>
        <v>D</v>
      </c>
      <c r="AC493" s="4" t="str">
        <f>Table2[[#This Row],[field_fate3]]</f>
        <v>D</v>
      </c>
      <c r="AD493" s="4" t="str">
        <f>Table2[[#This Row],[field_fate4]]</f>
        <v>D</v>
      </c>
      <c r="AE493" s="4" t="str">
        <f>Table2[[#This Row],[field_fate5]]</f>
        <v>D</v>
      </c>
      <c r="AF493" s="4" t="str">
        <f>Table2[[#This Row],[field_fate5]]</f>
        <v>D</v>
      </c>
      <c r="AG493" s="4" t="str">
        <f>Table2[[#This Row],[field_fate5]]</f>
        <v>D</v>
      </c>
      <c r="AH493" s="4" t="str">
        <f>Table2[[#This Row],[field_fate2]]</f>
        <v>D</v>
      </c>
      <c r="AI493" s="4" t="str">
        <f>Table2[[#This Row],[field_fate8]]</f>
        <v>D</v>
      </c>
      <c r="AJ493" s="4" t="str">
        <f>Table2[[#This Row],[field_fate10]]</f>
        <v>D</v>
      </c>
      <c r="AK493" s="4" t="b">
        <f>Table2[[#This Row],[field_fate_feb]]=Table2[[#This Row],[field_fate10]]</f>
        <v>1</v>
      </c>
      <c r="AL493" s="43" t="s">
        <v>24</v>
      </c>
      <c r="AM493" s="43" t="b">
        <f>Table2[[#This Row],[cam_fate2]]="NA"</f>
        <v>1</v>
      </c>
      <c r="AN493" s="19" t="str">
        <f>Table2[[#This Row],[cam_fate1]]</f>
        <v>NA</v>
      </c>
      <c r="AO493" s="2" t="s">
        <v>31</v>
      </c>
      <c r="AP493" s="5" t="str">
        <f>Table2[[#This Row],[final_fate1]]</f>
        <v>D</v>
      </c>
      <c r="AQ493" s="6">
        <v>14</v>
      </c>
      <c r="AR493" s="7">
        <v>14</v>
      </c>
      <c r="AS493" s="7">
        <f>Table2[[#This Row],[final_obs_date]]-Table2[[#This Row],[init_date]]</f>
        <v>14</v>
      </c>
      <c r="AT493" s="7">
        <f>(Table2[[#This Row],[final_obs_date2]]-Table2[[#This Row],[estHD]])+16</f>
        <v>11</v>
      </c>
      <c r="AU493" s="38">
        <v>4</v>
      </c>
      <c r="AV493" s="33">
        <v>4</v>
      </c>
      <c r="AW493" s="33">
        <f>Table2[[#This Row],[final_obs_date2]]-Table2[[#This Row],[pen_obs_date]]</f>
        <v>35</v>
      </c>
      <c r="AX493" s="67">
        <v>35</v>
      </c>
      <c r="AY493" s="6">
        <f>Table2[[#This Row],[final_obs_date]]</f>
        <v>35</v>
      </c>
      <c r="AZ493" s="6"/>
      <c r="BA493" s="91" t="s">
        <v>47</v>
      </c>
      <c r="BB493" s="6" t="b">
        <f>Table2[[#This Row],[final_obs_date]]&lt;(Table2[[#This Row],[estHD]]-2)</f>
        <v>1</v>
      </c>
      <c r="BC493" s="24">
        <f>IF(Table2[[#This Row],[field_fate]]="H",1,0)</f>
        <v>0</v>
      </c>
      <c r="BD493" s="16">
        <f>IF(Table2[[#This Row],[cam_fate2]]="H",1,0)</f>
        <v>0</v>
      </c>
      <c r="BE493" s="6" t="b">
        <f>NOT(Table2[[#This Row],[HF_C]]=Table2[[#This Row],[HF]])</f>
        <v>0</v>
      </c>
      <c r="BF493" s="6" t="b">
        <f>NOT(Table2[[#This Row],[cam_fate2]]=Table2[[#This Row],[field_fate3]])</f>
        <v>1</v>
      </c>
      <c r="BG493" s="6" t="b">
        <f>OR(Table2[[#This Row],[field_fate3]]="U",Table2[[#This Row],[field_fate3]]="U-H")</f>
        <v>0</v>
      </c>
      <c r="BH493" s="8">
        <v>24</v>
      </c>
      <c r="BI493" s="8">
        <v>31</v>
      </c>
      <c r="BJ493" s="14">
        <f>IF(ISTEXT(Table2[[#This Row],[j.cam]]),Table2[[#This Row],[j]],Table2[[#This Row],[j.cam]])</f>
        <v>31</v>
      </c>
      <c r="BK493" s="9">
        <v>35</v>
      </c>
      <c r="BL493" s="15">
        <f>IF(ISTEXT(Table2[[#This Row],[k.cam]]), Table2[[#This Row],[k]], Table2[[#This Row],[k.cam]])</f>
        <v>35</v>
      </c>
      <c r="BM493" s="4" t="s">
        <v>24</v>
      </c>
      <c r="BN493" s="8" t="s">
        <v>24</v>
      </c>
      <c r="BO493" s="4">
        <v>3</v>
      </c>
      <c r="BP493" s="4">
        <f>Table2[[#This Row],[final_obs_date]]-Table2[[#This Row],[i]]</f>
        <v>11</v>
      </c>
      <c r="BQ493" s="4" t="b">
        <f>Table2[[#This Row],[final_obs_date2]]&gt;Table2[[#This Row],[estHD]]+3</f>
        <v>0</v>
      </c>
      <c r="BR493" s="4" t="s">
        <v>27</v>
      </c>
      <c r="BS493" s="4" t="s">
        <v>31</v>
      </c>
      <c r="BT493" s="79" t="s">
        <v>1318</v>
      </c>
      <c r="BU493" s="26" t="s">
        <v>359</v>
      </c>
      <c r="BV493" s="79" t="s">
        <v>1655</v>
      </c>
      <c r="BW493" s="49"/>
      <c r="BX493" s="47"/>
      <c r="BY493" s="36" t="s">
        <v>24</v>
      </c>
    </row>
    <row r="494" spans="1:77" hidden="1" x14ac:dyDescent="0.35">
      <c r="A494" s="64">
        <v>30011</v>
      </c>
      <c r="B494" s="2" t="s">
        <v>35</v>
      </c>
      <c r="C494" s="46">
        <v>2021</v>
      </c>
      <c r="D494" s="3">
        <v>29.770029999999998</v>
      </c>
      <c r="E494" s="3">
        <v>-93.173540000000003</v>
      </c>
      <c r="F494" s="3">
        <v>5</v>
      </c>
      <c r="G494" s="3">
        <v>20</v>
      </c>
      <c r="H494" s="3" t="s">
        <v>26</v>
      </c>
      <c r="I494" s="43"/>
      <c r="J494" s="55">
        <v>40</v>
      </c>
      <c r="K494" s="4">
        <v>40</v>
      </c>
      <c r="L494" s="22">
        <f>IF(ISNUMBER(Table2[[#This Row],[estHD]]),ABS(Table2[[#This Row],[HD]]-Table2[[#This Row],[estHD]]),"NA")</f>
        <v>0</v>
      </c>
      <c r="M494" s="4" t="b">
        <f>Table2[[#This Row],[HD]]=Table2[[#This Row],[estHD]]</f>
        <v>1</v>
      </c>
      <c r="N494" s="4" t="str">
        <f>IF(ISNUMBER([1]!Table2[[#This Row],[hatch_date]]),[1]!Table2[[#This Row],[hatch_date]]-19,"NA")</f>
        <v>NA</v>
      </c>
      <c r="O494" s="31">
        <v>21</v>
      </c>
      <c r="P494" s="23" t="e">
        <f>IF(ISNUMBER(Table2[[#This Row],[nest_age1]]),ABS(Table2[[#This Row],[nest_age1]]-Table2[[#This Row],[nest_age_feb]]),"NA")</f>
        <v>#VALUE!</v>
      </c>
      <c r="Q494" s="24">
        <f>IF(ISNUMBER(Table2[[#This Row],[final_obs_int2]]),ABS(Table2[[#This Row],[final_obs_int2]]-Table2[[#This Row],[final_obs_int_feb]]), "NA")</f>
        <v>0</v>
      </c>
      <c r="R494" s="24"/>
      <c r="S494" s="57" t="s">
        <v>88</v>
      </c>
      <c r="T494" s="57" t="str">
        <f>Table2[[#This Row],[camera_old]]</f>
        <v>N</v>
      </c>
      <c r="U494" s="24"/>
      <c r="V494" s="16" t="s">
        <v>24</v>
      </c>
      <c r="W494" s="16" t="s">
        <v>24</v>
      </c>
      <c r="X494" s="145">
        <v>6</v>
      </c>
      <c r="Y494" s="147" t="s">
        <v>31</v>
      </c>
      <c r="Z494" s="146" t="s">
        <v>31</v>
      </c>
      <c r="AA494" s="4" t="str">
        <f>Table2[[#This Row],[field_fate]]</f>
        <v>D</v>
      </c>
      <c r="AB494" s="4" t="str">
        <f>Table2[[#This Row],[field_fate2]]</f>
        <v>D</v>
      </c>
      <c r="AC494" s="4" t="str">
        <f>Table2[[#This Row],[field_fate3]]</f>
        <v>D</v>
      </c>
      <c r="AD494" s="4" t="str">
        <f>Table2[[#This Row],[field_fate4]]</f>
        <v>D</v>
      </c>
      <c r="AE494" s="4" t="str">
        <f>Table2[[#This Row],[field_fate5]]</f>
        <v>D</v>
      </c>
      <c r="AF494" s="4" t="str">
        <f>Table2[[#This Row],[field_fate5]]</f>
        <v>D</v>
      </c>
      <c r="AG494" s="4" t="str">
        <f>Table2[[#This Row],[field_fate5]]</f>
        <v>D</v>
      </c>
      <c r="AH494" s="4" t="str">
        <f>Table2[[#This Row],[field_fate2]]</f>
        <v>D</v>
      </c>
      <c r="AI494" s="4" t="str">
        <f>Table2[[#This Row],[field_fate8]]</f>
        <v>D</v>
      </c>
      <c r="AJ494" s="4" t="str">
        <f>Table2[[#This Row],[field_fate10]]</f>
        <v>D</v>
      </c>
      <c r="AK494" s="4" t="b">
        <f>Table2[[#This Row],[field_fate_feb]]=Table2[[#This Row],[field_fate10]]</f>
        <v>1</v>
      </c>
      <c r="AL494" s="43" t="s">
        <v>24</v>
      </c>
      <c r="AM494" s="43" t="b">
        <f>Table2[[#This Row],[cam_fate2]]="NA"</f>
        <v>1</v>
      </c>
      <c r="AN494" s="19" t="str">
        <f>Table2[[#This Row],[cam_fate1]]</f>
        <v>NA</v>
      </c>
      <c r="AO494" s="2" t="s">
        <v>31</v>
      </c>
      <c r="AP494" s="5" t="str">
        <f>Table2[[#This Row],[final_fate1]]</f>
        <v>D</v>
      </c>
      <c r="AQ494" s="6">
        <v>13</v>
      </c>
      <c r="AR494" s="7">
        <v>13</v>
      </c>
      <c r="AS494" s="7">
        <f>Table2[[#This Row],[final_obs_date]]-Table2[[#This Row],[init_date]]</f>
        <v>13</v>
      </c>
      <c r="AT494" s="7">
        <f>(Table2[[#This Row],[final_obs_date2]]-Table2[[#This Row],[estHD]])+16</f>
        <v>10</v>
      </c>
      <c r="AU494" s="38">
        <v>6</v>
      </c>
      <c r="AV494" s="33">
        <v>6</v>
      </c>
      <c r="AW494" s="33">
        <f>Table2[[#This Row],[final_obs_date2]]-Table2[[#This Row],[pen_obs_date]]</f>
        <v>34</v>
      </c>
      <c r="AX494" s="67">
        <v>34</v>
      </c>
      <c r="AY494" s="6">
        <f>Table2[[#This Row],[final_obs_date]]</f>
        <v>34</v>
      </c>
      <c r="AZ494" s="6"/>
      <c r="BA494" s="91" t="s">
        <v>47</v>
      </c>
      <c r="BB494" s="6" t="b">
        <f>Table2[[#This Row],[final_obs_date]]&lt;(Table2[[#This Row],[estHD]]-2)</f>
        <v>1</v>
      </c>
      <c r="BC494" s="24">
        <f>IF(Table2[[#This Row],[field_fate]]="H",1,0)</f>
        <v>0</v>
      </c>
      <c r="BD494" s="16">
        <f>IF(Table2[[#This Row],[cam_fate2]]="H",1,0)</f>
        <v>0</v>
      </c>
      <c r="BE494" s="6" t="b">
        <f>NOT(Table2[[#This Row],[HF_C]]=Table2[[#This Row],[HF]])</f>
        <v>0</v>
      </c>
      <c r="BF494" s="6" t="b">
        <f>NOT(Table2[[#This Row],[cam_fate2]]=Table2[[#This Row],[field_fate3]])</f>
        <v>1</v>
      </c>
      <c r="BG494" s="6" t="b">
        <f>OR(Table2[[#This Row],[field_fate3]]="U",Table2[[#This Row],[field_fate3]]="U-H")</f>
        <v>0</v>
      </c>
      <c r="BH494" s="8">
        <v>28</v>
      </c>
      <c r="BI494" s="8">
        <v>28</v>
      </c>
      <c r="BJ494" s="14">
        <f>IF(ISTEXT(Table2[[#This Row],[j.cam]]),Table2[[#This Row],[j]],Table2[[#This Row],[j.cam]])</f>
        <v>28</v>
      </c>
      <c r="BK494" s="9">
        <v>34</v>
      </c>
      <c r="BL494" s="15">
        <f>IF(ISTEXT(Table2[[#This Row],[k.cam]]), Table2[[#This Row],[k]], Table2[[#This Row],[k.cam]])</f>
        <v>34</v>
      </c>
      <c r="BM494" s="4" t="s">
        <v>24</v>
      </c>
      <c r="BN494" s="8" t="s">
        <v>24</v>
      </c>
      <c r="BO494" s="4">
        <v>2</v>
      </c>
      <c r="BP494" s="4">
        <f>Table2[[#This Row],[final_obs_date]]-Table2[[#This Row],[i]]</f>
        <v>6</v>
      </c>
      <c r="BQ494" s="4" t="b">
        <f>Table2[[#This Row],[final_obs_date2]]&gt;Table2[[#This Row],[estHD]]+3</f>
        <v>0</v>
      </c>
      <c r="BR494" s="4" t="s">
        <v>27</v>
      </c>
      <c r="BS494" s="4" t="s">
        <v>31</v>
      </c>
      <c r="BT494" s="79" t="s">
        <v>1319</v>
      </c>
      <c r="BU494" s="26" t="s">
        <v>360</v>
      </c>
      <c r="BV494" s="79" t="s">
        <v>1437</v>
      </c>
      <c r="BW494" s="49"/>
      <c r="BX494" s="47"/>
      <c r="BY494" s="36" t="s">
        <v>24</v>
      </c>
    </row>
    <row r="495" spans="1:77" hidden="1" x14ac:dyDescent="0.35">
      <c r="A495" s="64">
        <v>30012</v>
      </c>
      <c r="B495" s="2" t="s">
        <v>35</v>
      </c>
      <c r="C495" s="46">
        <v>2021</v>
      </c>
      <c r="D495" s="3">
        <v>29.770160000000001</v>
      </c>
      <c r="E495" s="3">
        <v>-93.174750000000003</v>
      </c>
      <c r="F495" s="3">
        <v>35</v>
      </c>
      <c r="G495" s="3">
        <v>30</v>
      </c>
      <c r="H495" s="3" t="s">
        <v>26</v>
      </c>
      <c r="I495" s="43"/>
      <c r="J495" s="55">
        <v>43</v>
      </c>
      <c r="K495" s="4">
        <v>43</v>
      </c>
      <c r="L495" s="22">
        <f>IF(ISNUMBER(Table2[[#This Row],[estHD]]),ABS(Table2[[#This Row],[HD]]-Table2[[#This Row],[estHD]]),"NA")</f>
        <v>0</v>
      </c>
      <c r="M495" s="4" t="b">
        <f>Table2[[#This Row],[HD]]=Table2[[#This Row],[estHD]]</f>
        <v>1</v>
      </c>
      <c r="N495" s="4" t="str">
        <f>IF(ISNUMBER([1]!Table2[[#This Row],[hatch_date]]),[1]!Table2[[#This Row],[hatch_date]]-19,"NA")</f>
        <v>NA</v>
      </c>
      <c r="O495" s="31">
        <v>24</v>
      </c>
      <c r="P495" s="23" t="e">
        <f>IF(ISNUMBER(Table2[[#This Row],[nest_age1]]),ABS(Table2[[#This Row],[nest_age1]]-Table2[[#This Row],[nest_age_feb]]),"NA")</f>
        <v>#VALUE!</v>
      </c>
      <c r="Q495" s="24">
        <f>IF(ISNUMBER(Table2[[#This Row],[final_obs_int2]]),ABS(Table2[[#This Row],[final_obs_int2]]-Table2[[#This Row],[final_obs_int_feb]]), "NA")</f>
        <v>0</v>
      </c>
      <c r="R495" s="24"/>
      <c r="S495" s="57" t="s">
        <v>88</v>
      </c>
      <c r="T495" s="57" t="str">
        <f>Table2[[#This Row],[camera_old]]</f>
        <v>N</v>
      </c>
      <c r="U495" s="24"/>
      <c r="V495" s="16" t="s">
        <v>24</v>
      </c>
      <c r="W495" s="16" t="s">
        <v>24</v>
      </c>
      <c r="X495" s="145">
        <v>6</v>
      </c>
      <c r="Y495" s="147" t="s">
        <v>31</v>
      </c>
      <c r="Z495" s="146" t="s">
        <v>31</v>
      </c>
      <c r="AA495" s="4" t="str">
        <f>Table2[[#This Row],[field_fate]]</f>
        <v>D</v>
      </c>
      <c r="AB495" s="4" t="str">
        <f>Table2[[#This Row],[field_fate2]]</f>
        <v>D</v>
      </c>
      <c r="AC495" s="4" t="str">
        <f>Table2[[#This Row],[field_fate3]]</f>
        <v>D</v>
      </c>
      <c r="AD495" s="4" t="str">
        <f>Table2[[#This Row],[field_fate4]]</f>
        <v>D</v>
      </c>
      <c r="AE495" s="4" t="str">
        <f>Table2[[#This Row],[field_fate5]]</f>
        <v>D</v>
      </c>
      <c r="AF495" s="4" t="str">
        <f>Table2[[#This Row],[field_fate5]]</f>
        <v>D</v>
      </c>
      <c r="AG495" s="4" t="str">
        <f>Table2[[#This Row],[field_fate5]]</f>
        <v>D</v>
      </c>
      <c r="AH495" s="4" t="str">
        <f>Table2[[#This Row],[field_fate2]]</f>
        <v>D</v>
      </c>
      <c r="AI495" s="4" t="str">
        <f>Table2[[#This Row],[field_fate8]]</f>
        <v>D</v>
      </c>
      <c r="AJ495" s="4" t="str">
        <f>Table2[[#This Row],[field_fate10]]</f>
        <v>D</v>
      </c>
      <c r="AK495" s="4" t="b">
        <f>Table2[[#This Row],[field_fate_feb]]=Table2[[#This Row],[field_fate10]]</f>
        <v>1</v>
      </c>
      <c r="AL495" s="43" t="s">
        <v>24</v>
      </c>
      <c r="AM495" s="43" t="b">
        <f>Table2[[#This Row],[cam_fate2]]="NA"</f>
        <v>1</v>
      </c>
      <c r="AN495" s="19" t="str">
        <f>Table2[[#This Row],[cam_fate1]]</f>
        <v>NA</v>
      </c>
      <c r="AO495" s="2" t="s">
        <v>31</v>
      </c>
      <c r="AP495" s="5" t="str">
        <f>Table2[[#This Row],[final_fate1]]</f>
        <v>D</v>
      </c>
      <c r="AQ495" s="6">
        <v>10</v>
      </c>
      <c r="AR495" s="7">
        <v>10</v>
      </c>
      <c r="AS495" s="7">
        <f>Table2[[#This Row],[final_obs_date]]-Table2[[#This Row],[init_date]]</f>
        <v>10</v>
      </c>
      <c r="AT495" s="7">
        <f>(Table2[[#This Row],[final_obs_date2]]-Table2[[#This Row],[estHD]])+16</f>
        <v>7</v>
      </c>
      <c r="AU495" s="38">
        <v>6</v>
      </c>
      <c r="AV495" s="33">
        <v>6</v>
      </c>
      <c r="AW495" s="33">
        <f>Table2[[#This Row],[final_obs_date2]]-Table2[[#This Row],[pen_obs_date]]</f>
        <v>34</v>
      </c>
      <c r="AX495" s="67">
        <v>34</v>
      </c>
      <c r="AY495" s="6">
        <f>Table2[[#This Row],[final_obs_date]]</f>
        <v>34</v>
      </c>
      <c r="AZ495" s="6"/>
      <c r="BA495" s="91" t="s">
        <v>47</v>
      </c>
      <c r="BB495" s="6" t="b">
        <f>Table2[[#This Row],[final_obs_date]]&lt;(Table2[[#This Row],[estHD]]-2)</f>
        <v>1</v>
      </c>
      <c r="BC495" s="24">
        <f>IF(Table2[[#This Row],[field_fate]]="H",1,0)</f>
        <v>0</v>
      </c>
      <c r="BD495" s="16">
        <f>IF(Table2[[#This Row],[cam_fate2]]="H",1,0)</f>
        <v>0</v>
      </c>
      <c r="BE495" s="6" t="b">
        <f>NOT(Table2[[#This Row],[HF_C]]=Table2[[#This Row],[HF]])</f>
        <v>0</v>
      </c>
      <c r="BF495" s="6" t="b">
        <f>NOT(Table2[[#This Row],[cam_fate2]]=Table2[[#This Row],[field_fate3]])</f>
        <v>1</v>
      </c>
      <c r="BG495" s="6" t="b">
        <f>OR(Table2[[#This Row],[field_fate3]]="U",Table2[[#This Row],[field_fate3]]="U-H")</f>
        <v>0</v>
      </c>
      <c r="BH495" s="8">
        <v>28</v>
      </c>
      <c r="BI495" s="8">
        <v>28</v>
      </c>
      <c r="BJ495" s="14">
        <f>IF(ISTEXT(Table2[[#This Row],[j.cam]]),Table2[[#This Row],[j]],Table2[[#This Row],[j.cam]])</f>
        <v>28</v>
      </c>
      <c r="BK495" s="9">
        <v>34</v>
      </c>
      <c r="BL495" s="15">
        <f>IF(ISTEXT(Table2[[#This Row],[k.cam]]), Table2[[#This Row],[k]], Table2[[#This Row],[k.cam]])</f>
        <v>34</v>
      </c>
      <c r="BM495" s="4" t="s">
        <v>24</v>
      </c>
      <c r="BN495" s="8" t="s">
        <v>24</v>
      </c>
      <c r="BO495" s="4">
        <v>2</v>
      </c>
      <c r="BP495" s="4">
        <f>Table2[[#This Row],[final_obs_date]]-Table2[[#This Row],[i]]</f>
        <v>6</v>
      </c>
      <c r="BQ495" s="4" t="b">
        <f>Table2[[#This Row],[final_obs_date2]]&gt;Table2[[#This Row],[estHD]]+3</f>
        <v>0</v>
      </c>
      <c r="BR495" s="4" t="s">
        <v>27</v>
      </c>
      <c r="BS495" s="4" t="s">
        <v>31</v>
      </c>
      <c r="BT495" s="79" t="s">
        <v>1319</v>
      </c>
      <c r="BU495" s="26" t="s">
        <v>360</v>
      </c>
      <c r="BV495" s="79" t="s">
        <v>1437</v>
      </c>
      <c r="BW495" s="49"/>
      <c r="BX495" s="47"/>
      <c r="BY495" s="36" t="s">
        <v>24</v>
      </c>
    </row>
    <row r="496" spans="1:77" hidden="1" x14ac:dyDescent="0.35">
      <c r="A496" s="64">
        <v>30013</v>
      </c>
      <c r="B496" s="2" t="s">
        <v>35</v>
      </c>
      <c r="C496" s="46">
        <v>2021</v>
      </c>
      <c r="D496" s="3">
        <v>29.77093</v>
      </c>
      <c r="E496" s="3">
        <v>-93.176429999999996</v>
      </c>
      <c r="F496" s="3">
        <v>0</v>
      </c>
      <c r="G496" s="3">
        <v>0</v>
      </c>
      <c r="H496" s="3" t="s">
        <v>26</v>
      </c>
      <c r="I496" s="43"/>
      <c r="J496" s="55">
        <v>47</v>
      </c>
      <c r="K496" s="4">
        <v>47</v>
      </c>
      <c r="L496" s="22">
        <f>IF(ISNUMBER(Table2[[#This Row],[estHD]]),ABS(Table2[[#This Row],[HD]]-Table2[[#This Row],[estHD]]),"NA")</f>
        <v>0</v>
      </c>
      <c r="M496" s="4" t="b">
        <f>Table2[[#This Row],[HD]]=Table2[[#This Row],[estHD]]</f>
        <v>1</v>
      </c>
      <c r="N496" s="4" t="str">
        <f>IF(ISNUMBER([1]!Table2[[#This Row],[hatch_date]]),[1]!Table2[[#This Row],[hatch_date]]-19,"NA")</f>
        <v>NA</v>
      </c>
      <c r="O496" s="31">
        <v>28</v>
      </c>
      <c r="P496" s="23" t="e">
        <f>IF(ISNUMBER(Table2[[#This Row],[nest_age1]]),ABS(Table2[[#This Row],[nest_age1]]-Table2[[#This Row],[nest_age_feb]]),"NA")</f>
        <v>#VALUE!</v>
      </c>
      <c r="Q496" s="24">
        <f>IF(ISNUMBER(Table2[[#This Row],[final_obs_int2]]),ABS(Table2[[#This Row],[final_obs_int2]]-Table2[[#This Row],[final_obs_int_feb]]), "NA")</f>
        <v>0</v>
      </c>
      <c r="R496" s="24"/>
      <c r="S496" s="57" t="s">
        <v>88</v>
      </c>
      <c r="T496" s="57" t="str">
        <f>Table2[[#This Row],[camera_old]]</f>
        <v>N</v>
      </c>
      <c r="U496" s="24"/>
      <c r="V496" s="16" t="s">
        <v>24</v>
      </c>
      <c r="W496" s="16" t="s">
        <v>24</v>
      </c>
      <c r="X496" s="145">
        <v>6</v>
      </c>
      <c r="Y496" s="147" t="s">
        <v>31</v>
      </c>
      <c r="Z496" s="146" t="s">
        <v>31</v>
      </c>
      <c r="AA496" s="4" t="str">
        <f>Table2[[#This Row],[field_fate]]</f>
        <v>D</v>
      </c>
      <c r="AB496" s="4" t="str">
        <f>Table2[[#This Row],[field_fate2]]</f>
        <v>D</v>
      </c>
      <c r="AC496" s="4" t="str">
        <f>Table2[[#This Row],[field_fate3]]</f>
        <v>D</v>
      </c>
      <c r="AD496" s="4" t="str">
        <f>Table2[[#This Row],[field_fate4]]</f>
        <v>D</v>
      </c>
      <c r="AE496" s="4" t="str">
        <f>Table2[[#This Row],[field_fate5]]</f>
        <v>D</v>
      </c>
      <c r="AF496" s="4" t="str">
        <f>Table2[[#This Row],[field_fate5]]</f>
        <v>D</v>
      </c>
      <c r="AG496" s="4" t="str">
        <f>Table2[[#This Row],[field_fate5]]</f>
        <v>D</v>
      </c>
      <c r="AH496" s="4" t="str">
        <f>Table2[[#This Row],[field_fate2]]</f>
        <v>D</v>
      </c>
      <c r="AI496" s="4" t="str">
        <f>Table2[[#This Row],[field_fate8]]</f>
        <v>D</v>
      </c>
      <c r="AJ496" s="4" t="str">
        <f>Table2[[#This Row],[field_fate10]]</f>
        <v>D</v>
      </c>
      <c r="AK496" s="4" t="b">
        <f>Table2[[#This Row],[field_fate_feb]]=Table2[[#This Row],[field_fate10]]</f>
        <v>1</v>
      </c>
      <c r="AL496" s="43" t="s">
        <v>24</v>
      </c>
      <c r="AM496" s="43" t="b">
        <f>Table2[[#This Row],[cam_fate2]]="NA"</f>
        <v>1</v>
      </c>
      <c r="AN496" s="19" t="str">
        <f>Table2[[#This Row],[cam_fate1]]</f>
        <v>NA</v>
      </c>
      <c r="AO496" s="2" t="s">
        <v>31</v>
      </c>
      <c r="AP496" s="5" t="str">
        <f>Table2[[#This Row],[final_fate1]]</f>
        <v>D</v>
      </c>
      <c r="AQ496" s="6">
        <v>6</v>
      </c>
      <c r="AR496" s="7">
        <v>6</v>
      </c>
      <c r="AS496" s="7">
        <f>Table2[[#This Row],[final_obs_date]]-Table2[[#This Row],[init_date]]</f>
        <v>6</v>
      </c>
      <c r="AT496" s="7">
        <f>(Table2[[#This Row],[final_obs_date2]]-Table2[[#This Row],[estHD]])+16</f>
        <v>3</v>
      </c>
      <c r="AU496" s="38">
        <v>6</v>
      </c>
      <c r="AV496" s="33">
        <v>6</v>
      </c>
      <c r="AW496" s="33">
        <f>Table2[[#This Row],[final_obs_date2]]-Table2[[#This Row],[pen_obs_date]]</f>
        <v>34</v>
      </c>
      <c r="AX496" s="67">
        <v>34</v>
      </c>
      <c r="AY496" s="6">
        <f>Table2[[#This Row],[final_obs_date]]</f>
        <v>34</v>
      </c>
      <c r="AZ496" s="6"/>
      <c r="BA496" s="91" t="s">
        <v>47</v>
      </c>
      <c r="BB496" s="6" t="b">
        <f>Table2[[#This Row],[final_obs_date]]&lt;(Table2[[#This Row],[estHD]]-2)</f>
        <v>1</v>
      </c>
      <c r="BC496" s="24">
        <f>IF(Table2[[#This Row],[field_fate]]="H",1,0)</f>
        <v>0</v>
      </c>
      <c r="BD496" s="16">
        <f>IF(Table2[[#This Row],[cam_fate2]]="H",1,0)</f>
        <v>0</v>
      </c>
      <c r="BE496" s="6" t="b">
        <f>NOT(Table2[[#This Row],[HF_C]]=Table2[[#This Row],[HF]])</f>
        <v>0</v>
      </c>
      <c r="BF496" s="6" t="b">
        <f>NOT(Table2[[#This Row],[cam_fate2]]=Table2[[#This Row],[field_fate3]])</f>
        <v>1</v>
      </c>
      <c r="BG496" s="6" t="b">
        <f>OR(Table2[[#This Row],[field_fate3]]="U",Table2[[#This Row],[field_fate3]]="U-H")</f>
        <v>0</v>
      </c>
      <c r="BH496" s="8">
        <v>28</v>
      </c>
      <c r="BI496" s="8">
        <v>28</v>
      </c>
      <c r="BJ496" s="14">
        <f>IF(ISTEXT(Table2[[#This Row],[j.cam]]),Table2[[#This Row],[j]],Table2[[#This Row],[j.cam]])</f>
        <v>28</v>
      </c>
      <c r="BK496" s="9">
        <v>34</v>
      </c>
      <c r="BL496" s="15">
        <f>IF(ISTEXT(Table2[[#This Row],[k.cam]]), Table2[[#This Row],[k]], Table2[[#This Row],[k.cam]])</f>
        <v>34</v>
      </c>
      <c r="BM496" s="4" t="s">
        <v>24</v>
      </c>
      <c r="BN496" s="8" t="s">
        <v>24</v>
      </c>
      <c r="BO496" s="4">
        <v>2</v>
      </c>
      <c r="BP496" s="4">
        <f>Table2[[#This Row],[final_obs_date]]-Table2[[#This Row],[i]]</f>
        <v>6</v>
      </c>
      <c r="BQ496" s="4" t="b">
        <f>Table2[[#This Row],[final_obs_date2]]&gt;Table2[[#This Row],[estHD]]+3</f>
        <v>0</v>
      </c>
      <c r="BR496" s="4" t="s">
        <v>58</v>
      </c>
      <c r="BS496" s="4" t="s">
        <v>31</v>
      </c>
      <c r="BT496" s="79" t="s">
        <v>1319</v>
      </c>
      <c r="BU496" s="26" t="s">
        <v>361</v>
      </c>
      <c r="BV496" s="79" t="s">
        <v>1437</v>
      </c>
      <c r="BW496" s="49"/>
      <c r="BX496" s="47"/>
      <c r="BY496" s="36" t="s">
        <v>24</v>
      </c>
    </row>
    <row r="497" spans="1:77" hidden="1" x14ac:dyDescent="0.35">
      <c r="A497" s="64">
        <v>30014</v>
      </c>
      <c r="B497" s="2" t="s">
        <v>35</v>
      </c>
      <c r="C497" s="46">
        <v>2021</v>
      </c>
      <c r="D497" s="3">
        <v>29.771180000000001</v>
      </c>
      <c r="E497" s="3">
        <v>-93.176630000000003</v>
      </c>
      <c r="F497" s="3">
        <v>0</v>
      </c>
      <c r="G497" s="3">
        <v>0</v>
      </c>
      <c r="H497" s="3" t="s">
        <v>26</v>
      </c>
      <c r="I497" s="43"/>
      <c r="J497" s="55">
        <v>43</v>
      </c>
      <c r="K497" s="4">
        <v>43</v>
      </c>
      <c r="L497" s="22">
        <f>IF(ISNUMBER(Table2[[#This Row],[estHD]]),ABS(Table2[[#This Row],[HD]]-Table2[[#This Row],[estHD]]),"NA")</f>
        <v>0</v>
      </c>
      <c r="M497" s="4" t="b">
        <f>Table2[[#This Row],[HD]]=Table2[[#This Row],[estHD]]</f>
        <v>1</v>
      </c>
      <c r="N497" s="4" t="str">
        <f>IF(ISNUMBER([1]!Table2[[#This Row],[hatch_date]]),[1]!Table2[[#This Row],[hatch_date]]-19,"NA")</f>
        <v>NA</v>
      </c>
      <c r="O497" s="31">
        <v>24</v>
      </c>
      <c r="P497" s="23" t="e">
        <f>IF(ISNUMBER(Table2[[#This Row],[nest_age1]]),ABS(Table2[[#This Row],[nest_age1]]-Table2[[#This Row],[nest_age_feb]]),"NA")</f>
        <v>#VALUE!</v>
      </c>
      <c r="Q497" s="24">
        <f>IF(ISNUMBER(Table2[[#This Row],[final_obs_int2]]),ABS(Table2[[#This Row],[final_obs_int2]]-Table2[[#This Row],[final_obs_int_feb]]), "NA")</f>
        <v>0</v>
      </c>
      <c r="R497" s="24"/>
      <c r="S497" s="57" t="s">
        <v>88</v>
      </c>
      <c r="T497" s="57" t="str">
        <f>Table2[[#This Row],[camera_old]]</f>
        <v>N</v>
      </c>
      <c r="U497" s="24"/>
      <c r="V497" s="16" t="s">
        <v>24</v>
      </c>
      <c r="W497" s="16" t="s">
        <v>24</v>
      </c>
      <c r="X497" s="145">
        <v>6</v>
      </c>
      <c r="Y497" s="147" t="s">
        <v>31</v>
      </c>
      <c r="Z497" s="146" t="s">
        <v>31</v>
      </c>
      <c r="AA497" s="4" t="str">
        <f>Table2[[#This Row],[field_fate]]</f>
        <v>D</v>
      </c>
      <c r="AB497" s="4" t="str">
        <f>Table2[[#This Row],[field_fate2]]</f>
        <v>D</v>
      </c>
      <c r="AC497" s="4" t="str">
        <f>Table2[[#This Row],[field_fate3]]</f>
        <v>D</v>
      </c>
      <c r="AD497" s="4" t="str">
        <f>Table2[[#This Row],[field_fate4]]</f>
        <v>D</v>
      </c>
      <c r="AE497" s="4" t="str">
        <f>Table2[[#This Row],[field_fate5]]</f>
        <v>D</v>
      </c>
      <c r="AF497" s="4" t="str">
        <f>Table2[[#This Row],[field_fate5]]</f>
        <v>D</v>
      </c>
      <c r="AG497" s="4" t="str">
        <f>Table2[[#This Row],[field_fate5]]</f>
        <v>D</v>
      </c>
      <c r="AH497" s="4" t="str">
        <f>Table2[[#This Row],[field_fate2]]</f>
        <v>D</v>
      </c>
      <c r="AI497" s="4" t="str">
        <f>Table2[[#This Row],[field_fate8]]</f>
        <v>D</v>
      </c>
      <c r="AJ497" s="4" t="str">
        <f>Table2[[#This Row],[field_fate10]]</f>
        <v>D</v>
      </c>
      <c r="AK497" s="4" t="b">
        <f>Table2[[#This Row],[field_fate_feb]]=Table2[[#This Row],[field_fate10]]</f>
        <v>1</v>
      </c>
      <c r="AL497" s="43" t="s">
        <v>24</v>
      </c>
      <c r="AM497" s="43" t="b">
        <f>Table2[[#This Row],[cam_fate2]]="NA"</f>
        <v>1</v>
      </c>
      <c r="AN497" s="19" t="str">
        <f>Table2[[#This Row],[cam_fate1]]</f>
        <v>NA</v>
      </c>
      <c r="AO497" s="2" t="s">
        <v>31</v>
      </c>
      <c r="AP497" s="5" t="str">
        <f>Table2[[#This Row],[final_fate1]]</f>
        <v>D</v>
      </c>
      <c r="AQ497" s="6">
        <v>10</v>
      </c>
      <c r="AR497" s="7">
        <v>10</v>
      </c>
      <c r="AS497" s="7">
        <f>Table2[[#This Row],[final_obs_date]]-Table2[[#This Row],[init_date]]</f>
        <v>10</v>
      </c>
      <c r="AT497" s="7">
        <f>(Table2[[#This Row],[final_obs_date2]]-Table2[[#This Row],[estHD]])+16</f>
        <v>7</v>
      </c>
      <c r="AU497" s="38">
        <v>6</v>
      </c>
      <c r="AV497" s="33">
        <v>6</v>
      </c>
      <c r="AW497" s="33">
        <f>Table2[[#This Row],[final_obs_date2]]-Table2[[#This Row],[pen_obs_date]]</f>
        <v>34</v>
      </c>
      <c r="AX497" s="67">
        <v>34</v>
      </c>
      <c r="AY497" s="6">
        <f>Table2[[#This Row],[final_obs_date]]</f>
        <v>34</v>
      </c>
      <c r="AZ497" s="6"/>
      <c r="BA497" s="91" t="s">
        <v>47</v>
      </c>
      <c r="BB497" s="6" t="b">
        <f>Table2[[#This Row],[final_obs_date]]&lt;(Table2[[#This Row],[estHD]]-2)</f>
        <v>1</v>
      </c>
      <c r="BC497" s="24">
        <f>IF(Table2[[#This Row],[field_fate]]="H",1,0)</f>
        <v>0</v>
      </c>
      <c r="BD497" s="16">
        <f>IF(Table2[[#This Row],[cam_fate2]]="H",1,0)</f>
        <v>0</v>
      </c>
      <c r="BE497" s="6" t="b">
        <f>NOT(Table2[[#This Row],[HF_C]]=Table2[[#This Row],[HF]])</f>
        <v>0</v>
      </c>
      <c r="BF497" s="6" t="b">
        <f>NOT(Table2[[#This Row],[cam_fate2]]=Table2[[#This Row],[field_fate3]])</f>
        <v>1</v>
      </c>
      <c r="BG497" s="6" t="b">
        <f>OR(Table2[[#This Row],[field_fate3]]="U",Table2[[#This Row],[field_fate3]]="U-H")</f>
        <v>0</v>
      </c>
      <c r="BH497" s="8">
        <v>28</v>
      </c>
      <c r="BI497" s="8">
        <v>28</v>
      </c>
      <c r="BJ497" s="14">
        <f>IF(ISTEXT(Table2[[#This Row],[j.cam]]),Table2[[#This Row],[j]],Table2[[#This Row],[j.cam]])</f>
        <v>28</v>
      </c>
      <c r="BK497" s="9">
        <v>34</v>
      </c>
      <c r="BL497" s="15">
        <f>IF(ISTEXT(Table2[[#This Row],[k.cam]]), Table2[[#This Row],[k]], Table2[[#This Row],[k.cam]])</f>
        <v>34</v>
      </c>
      <c r="BM497" s="4" t="s">
        <v>24</v>
      </c>
      <c r="BN497" s="8" t="s">
        <v>24</v>
      </c>
      <c r="BO497" s="4">
        <v>2</v>
      </c>
      <c r="BP497" s="4">
        <f>Table2[[#This Row],[final_obs_date]]-Table2[[#This Row],[i]]</f>
        <v>6</v>
      </c>
      <c r="BQ497" s="4" t="b">
        <f>Table2[[#This Row],[final_obs_date2]]&gt;Table2[[#This Row],[estHD]]+3</f>
        <v>0</v>
      </c>
      <c r="BR497" s="4" t="s">
        <v>27</v>
      </c>
      <c r="BS497" s="4" t="s">
        <v>31</v>
      </c>
      <c r="BT497" s="79" t="s">
        <v>1319</v>
      </c>
      <c r="BU497" s="26" t="s">
        <v>360</v>
      </c>
      <c r="BV497" s="79" t="s">
        <v>1437</v>
      </c>
      <c r="BW497" s="49"/>
      <c r="BX497" s="47"/>
      <c r="BY497" s="36" t="s">
        <v>24</v>
      </c>
    </row>
    <row r="498" spans="1:77" hidden="1" x14ac:dyDescent="0.35">
      <c r="A498" s="64">
        <v>30015</v>
      </c>
      <c r="B498" s="2" t="s">
        <v>35</v>
      </c>
      <c r="C498" s="46">
        <v>2021</v>
      </c>
      <c r="D498" s="3">
        <v>29.7714</v>
      </c>
      <c r="E498" s="3">
        <v>-93.177170000000004</v>
      </c>
      <c r="F498" s="3">
        <v>0</v>
      </c>
      <c r="G498" s="3">
        <v>0</v>
      </c>
      <c r="H498" s="3" t="s">
        <v>26</v>
      </c>
      <c r="I498" s="43"/>
      <c r="J498" s="55">
        <v>42</v>
      </c>
      <c r="K498" s="4">
        <v>42</v>
      </c>
      <c r="L498" s="22">
        <f>IF(ISNUMBER(Table2[[#This Row],[estHD]]),ABS(Table2[[#This Row],[HD]]-Table2[[#This Row],[estHD]]),"NA")</f>
        <v>0</v>
      </c>
      <c r="M498" s="4" t="b">
        <f>Table2[[#This Row],[HD]]=Table2[[#This Row],[estHD]]</f>
        <v>1</v>
      </c>
      <c r="N498" s="4" t="str">
        <f>IF(ISNUMBER([1]!Table2[[#This Row],[hatch_date]]),[1]!Table2[[#This Row],[hatch_date]]-19,"NA")</f>
        <v>NA</v>
      </c>
      <c r="O498" s="31">
        <v>23</v>
      </c>
      <c r="P498" s="23" t="e">
        <f>IF(ISNUMBER(Table2[[#This Row],[nest_age1]]),ABS(Table2[[#This Row],[nest_age1]]-Table2[[#This Row],[nest_age_feb]]),"NA")</f>
        <v>#VALUE!</v>
      </c>
      <c r="Q498" s="24">
        <f>IF(ISNUMBER(Table2[[#This Row],[final_obs_int2]]),ABS(Table2[[#This Row],[final_obs_int2]]-Table2[[#This Row],[final_obs_int_feb]]), "NA")</f>
        <v>0</v>
      </c>
      <c r="R498" s="24"/>
      <c r="S498" s="57" t="s">
        <v>88</v>
      </c>
      <c r="T498" s="57" t="str">
        <f>Table2[[#This Row],[camera_old]]</f>
        <v>N</v>
      </c>
      <c r="U498" s="24"/>
      <c r="V498" s="16" t="s">
        <v>24</v>
      </c>
      <c r="W498" s="16" t="s">
        <v>24</v>
      </c>
      <c r="X498" s="145">
        <v>6</v>
      </c>
      <c r="Y498" s="147" t="s">
        <v>31</v>
      </c>
      <c r="Z498" s="146" t="s">
        <v>31</v>
      </c>
      <c r="AA498" s="4" t="str">
        <f>Table2[[#This Row],[field_fate]]</f>
        <v>D</v>
      </c>
      <c r="AB498" s="4" t="str">
        <f>Table2[[#This Row],[field_fate2]]</f>
        <v>D</v>
      </c>
      <c r="AC498" s="4" t="str">
        <f>Table2[[#This Row],[field_fate3]]</f>
        <v>D</v>
      </c>
      <c r="AD498" s="4" t="str">
        <f>Table2[[#This Row],[field_fate4]]</f>
        <v>D</v>
      </c>
      <c r="AE498" s="4" t="str">
        <f>Table2[[#This Row],[field_fate5]]</f>
        <v>D</v>
      </c>
      <c r="AF498" s="4" t="str">
        <f>Table2[[#This Row],[field_fate5]]</f>
        <v>D</v>
      </c>
      <c r="AG498" s="4" t="str">
        <f>Table2[[#This Row],[field_fate5]]</f>
        <v>D</v>
      </c>
      <c r="AH498" s="4" t="str">
        <f>Table2[[#This Row],[field_fate2]]</f>
        <v>D</v>
      </c>
      <c r="AI498" s="4" t="str">
        <f>Table2[[#This Row],[field_fate8]]</f>
        <v>D</v>
      </c>
      <c r="AJ498" s="4" t="str">
        <f>Table2[[#This Row],[field_fate10]]</f>
        <v>D</v>
      </c>
      <c r="AK498" s="4" t="b">
        <f>Table2[[#This Row],[field_fate_feb]]=Table2[[#This Row],[field_fate10]]</f>
        <v>1</v>
      </c>
      <c r="AL498" s="43" t="s">
        <v>24</v>
      </c>
      <c r="AM498" s="43" t="b">
        <f>Table2[[#This Row],[cam_fate2]]="NA"</f>
        <v>1</v>
      </c>
      <c r="AN498" s="19" t="str">
        <f>Table2[[#This Row],[cam_fate1]]</f>
        <v>NA</v>
      </c>
      <c r="AO498" s="2" t="s">
        <v>31</v>
      </c>
      <c r="AP498" s="5" t="str">
        <f>Table2[[#This Row],[final_fate1]]</f>
        <v>D</v>
      </c>
      <c r="AQ498" s="6">
        <v>11</v>
      </c>
      <c r="AR498" s="7">
        <v>11</v>
      </c>
      <c r="AS498" s="7">
        <f>Table2[[#This Row],[final_obs_date]]-Table2[[#This Row],[init_date]]</f>
        <v>11</v>
      </c>
      <c r="AT498" s="7">
        <f>(Table2[[#This Row],[final_obs_date2]]-Table2[[#This Row],[estHD]])+16</f>
        <v>8</v>
      </c>
      <c r="AU498" s="38">
        <v>6</v>
      </c>
      <c r="AV498" s="33">
        <v>6</v>
      </c>
      <c r="AW498" s="33">
        <f>Table2[[#This Row],[final_obs_date2]]-Table2[[#This Row],[pen_obs_date]]</f>
        <v>34</v>
      </c>
      <c r="AX498" s="67">
        <v>34</v>
      </c>
      <c r="AY498" s="6">
        <f>Table2[[#This Row],[final_obs_date]]</f>
        <v>34</v>
      </c>
      <c r="AZ498" s="6"/>
      <c r="BA498" s="91" t="s">
        <v>47</v>
      </c>
      <c r="BB498" s="6" t="b">
        <f>Table2[[#This Row],[final_obs_date]]&lt;(Table2[[#This Row],[estHD]]-2)</f>
        <v>1</v>
      </c>
      <c r="BC498" s="24">
        <f>IF(Table2[[#This Row],[field_fate]]="H",1,0)</f>
        <v>0</v>
      </c>
      <c r="BD498" s="16">
        <f>IF(Table2[[#This Row],[cam_fate2]]="H",1,0)</f>
        <v>0</v>
      </c>
      <c r="BE498" s="6" t="b">
        <f>NOT(Table2[[#This Row],[HF_C]]=Table2[[#This Row],[HF]])</f>
        <v>0</v>
      </c>
      <c r="BF498" s="6" t="b">
        <f>NOT(Table2[[#This Row],[cam_fate2]]=Table2[[#This Row],[field_fate3]])</f>
        <v>1</v>
      </c>
      <c r="BG498" s="6" t="b">
        <f>OR(Table2[[#This Row],[field_fate3]]="U",Table2[[#This Row],[field_fate3]]="U-H")</f>
        <v>0</v>
      </c>
      <c r="BH498" s="8">
        <v>28</v>
      </c>
      <c r="BI498" s="8">
        <v>28</v>
      </c>
      <c r="BJ498" s="14">
        <f>IF(ISTEXT(Table2[[#This Row],[j.cam]]),Table2[[#This Row],[j]],Table2[[#This Row],[j.cam]])</f>
        <v>28</v>
      </c>
      <c r="BK498" s="9">
        <v>34</v>
      </c>
      <c r="BL498" s="15">
        <f>IF(ISTEXT(Table2[[#This Row],[k.cam]]), Table2[[#This Row],[k]], Table2[[#This Row],[k.cam]])</f>
        <v>34</v>
      </c>
      <c r="BM498" s="4" t="s">
        <v>24</v>
      </c>
      <c r="BN498" s="8" t="s">
        <v>24</v>
      </c>
      <c r="BO498" s="4">
        <v>2</v>
      </c>
      <c r="BP498" s="4">
        <f>Table2[[#This Row],[final_obs_date]]-Table2[[#This Row],[i]]</f>
        <v>6</v>
      </c>
      <c r="BQ498" s="4" t="b">
        <f>Table2[[#This Row],[final_obs_date2]]&gt;Table2[[#This Row],[estHD]]+3</f>
        <v>0</v>
      </c>
      <c r="BR498" s="4" t="s">
        <v>33</v>
      </c>
      <c r="BS498" s="4" t="s">
        <v>31</v>
      </c>
      <c r="BT498" s="79" t="s">
        <v>1319</v>
      </c>
      <c r="BU498" s="26" t="s">
        <v>362</v>
      </c>
      <c r="BV498" s="79" t="s">
        <v>1437</v>
      </c>
      <c r="BW498" s="49"/>
      <c r="BX498" s="47"/>
      <c r="BY498" s="36" t="s">
        <v>24</v>
      </c>
    </row>
    <row r="499" spans="1:77" hidden="1" x14ac:dyDescent="0.35">
      <c r="A499" s="64">
        <v>30016</v>
      </c>
      <c r="B499" s="2" t="s">
        <v>35</v>
      </c>
      <c r="C499" s="46">
        <v>2021</v>
      </c>
      <c r="D499" s="3">
        <v>29.77094</v>
      </c>
      <c r="E499" s="3">
        <v>-93.178619999999995</v>
      </c>
      <c r="F499" s="3">
        <v>15</v>
      </c>
      <c r="G499" s="3">
        <v>10</v>
      </c>
      <c r="H499" s="3" t="s">
        <v>26</v>
      </c>
      <c r="I499" s="43"/>
      <c r="J499" s="55">
        <v>47</v>
      </c>
      <c r="K499" s="4">
        <v>47</v>
      </c>
      <c r="L499" s="22">
        <f>IF(ISNUMBER(Table2[[#This Row],[estHD]]),ABS(Table2[[#This Row],[HD]]-Table2[[#This Row],[estHD]]),"NA")</f>
        <v>0</v>
      </c>
      <c r="M499" s="4" t="b">
        <f>Table2[[#This Row],[HD]]=Table2[[#This Row],[estHD]]</f>
        <v>1</v>
      </c>
      <c r="N499" s="4" t="str">
        <f>IF(ISNUMBER([1]!Table2[[#This Row],[hatch_date]]),[1]!Table2[[#This Row],[hatch_date]]-19,"NA")</f>
        <v>NA</v>
      </c>
      <c r="O499" s="31">
        <v>28</v>
      </c>
      <c r="P499" s="23" t="e">
        <f>IF(ISNUMBER(Table2[[#This Row],[nest_age1]]),ABS(Table2[[#This Row],[nest_age1]]-Table2[[#This Row],[nest_age_feb]]),"NA")</f>
        <v>#VALUE!</v>
      </c>
      <c r="Q499" s="24">
        <f>IF(ISNUMBER(Table2[[#This Row],[final_obs_int2]]),ABS(Table2[[#This Row],[final_obs_int2]]-Table2[[#This Row],[final_obs_int_feb]]), "NA")</f>
        <v>0</v>
      </c>
      <c r="R499" s="24"/>
      <c r="S499" s="57" t="s">
        <v>88</v>
      </c>
      <c r="T499" s="57" t="str">
        <f>Table2[[#This Row],[camera_old]]</f>
        <v>N</v>
      </c>
      <c r="U499" s="24"/>
      <c r="V499" s="16" t="s">
        <v>24</v>
      </c>
      <c r="W499" s="16" t="s">
        <v>24</v>
      </c>
      <c r="X499" s="145">
        <v>6</v>
      </c>
      <c r="Y499" s="147" t="s">
        <v>31</v>
      </c>
      <c r="Z499" s="146" t="s">
        <v>31</v>
      </c>
      <c r="AA499" s="4" t="str">
        <f>Table2[[#This Row],[field_fate]]</f>
        <v>D</v>
      </c>
      <c r="AB499" s="4" t="str">
        <f>Table2[[#This Row],[field_fate2]]</f>
        <v>D</v>
      </c>
      <c r="AC499" s="4" t="str">
        <f>Table2[[#This Row],[field_fate3]]</f>
        <v>D</v>
      </c>
      <c r="AD499" s="4" t="str">
        <f>Table2[[#This Row],[field_fate4]]</f>
        <v>D</v>
      </c>
      <c r="AE499" s="4" t="str">
        <f>Table2[[#This Row],[field_fate5]]</f>
        <v>D</v>
      </c>
      <c r="AF499" s="4" t="str">
        <f>Table2[[#This Row],[field_fate5]]</f>
        <v>D</v>
      </c>
      <c r="AG499" s="4" t="str">
        <f>Table2[[#This Row],[field_fate5]]</f>
        <v>D</v>
      </c>
      <c r="AH499" s="4" t="str">
        <f>Table2[[#This Row],[field_fate2]]</f>
        <v>D</v>
      </c>
      <c r="AI499" s="4" t="str">
        <f>Table2[[#This Row],[field_fate8]]</f>
        <v>D</v>
      </c>
      <c r="AJ499" s="4" t="str">
        <f>Table2[[#This Row],[field_fate10]]</f>
        <v>D</v>
      </c>
      <c r="AK499" s="4" t="b">
        <f>Table2[[#This Row],[field_fate_feb]]=Table2[[#This Row],[field_fate10]]</f>
        <v>1</v>
      </c>
      <c r="AL499" s="43" t="s">
        <v>24</v>
      </c>
      <c r="AM499" s="43" t="b">
        <f>Table2[[#This Row],[cam_fate2]]="NA"</f>
        <v>1</v>
      </c>
      <c r="AN499" s="19" t="str">
        <f>Table2[[#This Row],[cam_fate1]]</f>
        <v>NA</v>
      </c>
      <c r="AO499" s="2" t="s">
        <v>31</v>
      </c>
      <c r="AP499" s="5" t="str">
        <f>Table2[[#This Row],[final_fate1]]</f>
        <v>D</v>
      </c>
      <c r="AQ499" s="6">
        <v>6</v>
      </c>
      <c r="AR499" s="7">
        <v>6</v>
      </c>
      <c r="AS499" s="7">
        <f>Table2[[#This Row],[final_obs_date]]-Table2[[#This Row],[init_date]]</f>
        <v>6</v>
      </c>
      <c r="AT499" s="7">
        <f>(Table2[[#This Row],[final_obs_date2]]-Table2[[#This Row],[estHD]])+16</f>
        <v>3</v>
      </c>
      <c r="AU499" s="38">
        <v>6</v>
      </c>
      <c r="AV499" s="33">
        <v>6</v>
      </c>
      <c r="AW499" s="33">
        <f>Table2[[#This Row],[final_obs_date2]]-Table2[[#This Row],[pen_obs_date]]</f>
        <v>34</v>
      </c>
      <c r="AX499" s="67">
        <v>34</v>
      </c>
      <c r="AY499" s="6">
        <f>Table2[[#This Row],[final_obs_date]]</f>
        <v>34</v>
      </c>
      <c r="AZ499" s="6"/>
      <c r="BA499" s="91" t="s">
        <v>47</v>
      </c>
      <c r="BB499" s="6" t="b">
        <f>Table2[[#This Row],[final_obs_date]]&lt;(Table2[[#This Row],[estHD]]-2)</f>
        <v>1</v>
      </c>
      <c r="BC499" s="24">
        <f>IF(Table2[[#This Row],[field_fate]]="H",1,0)</f>
        <v>0</v>
      </c>
      <c r="BD499" s="16">
        <f>IF(Table2[[#This Row],[cam_fate2]]="H",1,0)</f>
        <v>0</v>
      </c>
      <c r="BE499" s="6" t="b">
        <f>NOT(Table2[[#This Row],[HF_C]]=Table2[[#This Row],[HF]])</f>
        <v>0</v>
      </c>
      <c r="BF499" s="6" t="b">
        <f>NOT(Table2[[#This Row],[cam_fate2]]=Table2[[#This Row],[field_fate3]])</f>
        <v>1</v>
      </c>
      <c r="BG499" s="6" t="b">
        <f>OR(Table2[[#This Row],[field_fate3]]="U",Table2[[#This Row],[field_fate3]]="U-H")</f>
        <v>0</v>
      </c>
      <c r="BH499" s="8">
        <v>28</v>
      </c>
      <c r="BI499" s="8">
        <v>28</v>
      </c>
      <c r="BJ499" s="14">
        <f>IF(ISTEXT(Table2[[#This Row],[j.cam]]),Table2[[#This Row],[j]],Table2[[#This Row],[j.cam]])</f>
        <v>28</v>
      </c>
      <c r="BK499" s="9">
        <v>34</v>
      </c>
      <c r="BL499" s="15">
        <f>IF(ISTEXT(Table2[[#This Row],[k.cam]]), Table2[[#This Row],[k]], Table2[[#This Row],[k.cam]])</f>
        <v>34</v>
      </c>
      <c r="BM499" s="4" t="s">
        <v>24</v>
      </c>
      <c r="BN499" s="8" t="s">
        <v>24</v>
      </c>
      <c r="BO499" s="4">
        <v>2</v>
      </c>
      <c r="BP499" s="4">
        <f>Table2[[#This Row],[final_obs_date]]-Table2[[#This Row],[i]]</f>
        <v>6</v>
      </c>
      <c r="BQ499" s="4" t="b">
        <f>Table2[[#This Row],[final_obs_date2]]&gt;Table2[[#This Row],[estHD]]+3</f>
        <v>0</v>
      </c>
      <c r="BR499" s="4" t="s">
        <v>58</v>
      </c>
      <c r="BS499" s="4" t="s">
        <v>31</v>
      </c>
      <c r="BT499" s="79" t="s">
        <v>1319</v>
      </c>
      <c r="BU499" s="26" t="s">
        <v>361</v>
      </c>
      <c r="BV499" s="79" t="s">
        <v>1437</v>
      </c>
      <c r="BW499" s="49"/>
      <c r="BX499" s="47"/>
      <c r="BY499" s="36" t="s">
        <v>24</v>
      </c>
    </row>
    <row r="500" spans="1:77" hidden="1" x14ac:dyDescent="0.35">
      <c r="A500" s="64">
        <v>30017</v>
      </c>
      <c r="B500" s="2" t="s">
        <v>122</v>
      </c>
      <c r="C500" s="46">
        <v>2021</v>
      </c>
      <c r="D500" s="3">
        <v>29.7593</v>
      </c>
      <c r="E500" s="3">
        <v>-93.120779999999996</v>
      </c>
      <c r="F500" s="3" t="s">
        <v>24</v>
      </c>
      <c r="G500" s="3" t="s">
        <v>24</v>
      </c>
      <c r="H500" s="3" t="s">
        <v>354</v>
      </c>
      <c r="I500" s="43"/>
      <c r="J500" s="55">
        <v>50</v>
      </c>
      <c r="K500" s="4">
        <v>52</v>
      </c>
      <c r="L500" s="22">
        <f>IF(ISNUMBER(Table2[[#This Row],[estHD]]),ABS(Table2[[#This Row],[HD]]-Table2[[#This Row],[estHD]]),"NA")</f>
        <v>2</v>
      </c>
      <c r="M500" s="4" t="b">
        <f>Table2[[#This Row],[HD]]=Table2[[#This Row],[estHD]]</f>
        <v>0</v>
      </c>
      <c r="N500" s="4" t="str">
        <f>IF(ISNUMBER([1]!Table2[[#This Row],[hatch_date]]),[1]!Table2[[#This Row],[hatch_date]]-19,"NA")</f>
        <v>NA</v>
      </c>
      <c r="O500" s="31">
        <v>33</v>
      </c>
      <c r="P500" s="23">
        <f>IF(ISNUMBER(Table2[[#This Row],[nest_age1]]),ABS(Table2[[#This Row],[nest_age1]]-Table2[[#This Row],[nest_age_feb]]),"NA")</f>
        <v>2</v>
      </c>
      <c r="Q500" s="24">
        <f>IF(ISNUMBER(Table2[[#This Row],[final_obs_int2]]),ABS(Table2[[#This Row],[final_obs_int2]]-Table2[[#This Row],[final_obs_int_feb]]), "NA")</f>
        <v>0</v>
      </c>
      <c r="R500" s="24"/>
      <c r="S500" s="57" t="s">
        <v>88</v>
      </c>
      <c r="T500" s="57" t="str">
        <f>Table2[[#This Row],[camera_old]]</f>
        <v>N</v>
      </c>
      <c r="U500" s="24"/>
      <c r="V500" s="16" t="s">
        <v>24</v>
      </c>
      <c r="W500" s="16">
        <v>21</v>
      </c>
      <c r="X500" s="145">
        <v>6</v>
      </c>
      <c r="Y500" s="147" t="s">
        <v>37</v>
      </c>
      <c r="Z500" s="146" t="s">
        <v>37</v>
      </c>
      <c r="AA500" s="4" t="str">
        <f>Table2[[#This Row],[field_fate]]</f>
        <v>H</v>
      </c>
      <c r="AB500" s="4" t="str">
        <f>Table2[[#This Row],[field_fate2]]</f>
        <v>H</v>
      </c>
      <c r="AC500" s="4" t="str">
        <f>Table2[[#This Row],[field_fate3]]</f>
        <v>H</v>
      </c>
      <c r="AD500" s="4" t="str">
        <f>Table2[[#This Row],[field_fate4]]</f>
        <v>H</v>
      </c>
      <c r="AE500" s="4" t="str">
        <f>Table2[[#This Row],[field_fate5]]</f>
        <v>H</v>
      </c>
      <c r="AF500" s="4" t="str">
        <f>Table2[[#This Row],[field_fate5]]</f>
        <v>H</v>
      </c>
      <c r="AG500" s="4" t="str">
        <f>Table2[[#This Row],[field_fate5]]</f>
        <v>H</v>
      </c>
      <c r="AH500" s="4" t="str">
        <f>Table2[[#This Row],[field_fate2]]</f>
        <v>H</v>
      </c>
      <c r="AI500" s="4" t="str">
        <f>Table2[[#This Row],[field_fate8]]</f>
        <v>H</v>
      </c>
      <c r="AJ500" s="4" t="str">
        <f>Table2[[#This Row],[field_fate10]]</f>
        <v>H</v>
      </c>
      <c r="AK500" s="4" t="b">
        <f>Table2[[#This Row],[field_fate_feb]]=Table2[[#This Row],[field_fate10]]</f>
        <v>1</v>
      </c>
      <c r="AL500" s="43" t="s">
        <v>24</v>
      </c>
      <c r="AM500" s="43" t="b">
        <f>Table2[[#This Row],[cam_fate2]]="NA"</f>
        <v>1</v>
      </c>
      <c r="AN500" s="19" t="str">
        <f>Table2[[#This Row],[cam_fate1]]</f>
        <v>NA</v>
      </c>
      <c r="AO500" s="2" t="s">
        <v>37</v>
      </c>
      <c r="AP500" s="5" t="str">
        <f>Table2[[#This Row],[final_fate1]]</f>
        <v>H</v>
      </c>
      <c r="AQ500" s="6">
        <v>19</v>
      </c>
      <c r="AR500" s="7">
        <v>21</v>
      </c>
      <c r="AS500" s="7">
        <f>Table2[[#This Row],[final_obs_date]]-Table2[[#This Row],[init_date]]</f>
        <v>19</v>
      </c>
      <c r="AT500" s="7">
        <f>(Table2[[#This Row],[final_obs_date2]]-Table2[[#This Row],[estHD]])+16</f>
        <v>18</v>
      </c>
      <c r="AU500" s="38">
        <v>6</v>
      </c>
      <c r="AV500" s="33">
        <v>6</v>
      </c>
      <c r="AW500" s="33">
        <f>Table2[[#This Row],[final_obs_date2]]-Table2[[#This Row],[pen_obs_date]]</f>
        <v>52</v>
      </c>
      <c r="AX500" s="67">
        <v>52</v>
      </c>
      <c r="AY500" s="6">
        <f>Table2[[#This Row],[final_obs_date]]</f>
        <v>52</v>
      </c>
      <c r="AZ500" s="6"/>
      <c r="BA500" s="91" t="s">
        <v>47</v>
      </c>
      <c r="BB500" s="6" t="b">
        <f>Table2[[#This Row],[final_obs_date]]&lt;(Table2[[#This Row],[estHD]]-2)</f>
        <v>0</v>
      </c>
      <c r="BC500" s="24">
        <f>IF(Table2[[#This Row],[field_fate]]="H",1,0)</f>
        <v>1</v>
      </c>
      <c r="BD500" s="16">
        <f>IF(Table2[[#This Row],[cam_fate2]]="H",1,0)</f>
        <v>0</v>
      </c>
      <c r="BE500" s="6" t="b">
        <f>NOT(Table2[[#This Row],[HF_C]]=Table2[[#This Row],[HF]])</f>
        <v>1</v>
      </c>
      <c r="BF500" s="6" t="b">
        <f>NOT(Table2[[#This Row],[cam_fate2]]=Table2[[#This Row],[field_fate3]])</f>
        <v>1</v>
      </c>
      <c r="BG500" s="6" t="b">
        <f>OR(Table2[[#This Row],[field_fate3]]="U",Table2[[#This Row],[field_fate3]]="U-H")</f>
        <v>0</v>
      </c>
      <c r="BH500" s="8">
        <v>31</v>
      </c>
      <c r="BI500" s="8">
        <v>52</v>
      </c>
      <c r="BJ500" s="14">
        <f>IF(ISTEXT(Table2[[#This Row],[j.cam]]),Table2[[#This Row],[j]],Table2[[#This Row],[j.cam]])</f>
        <v>52</v>
      </c>
      <c r="BK500" s="9">
        <v>52</v>
      </c>
      <c r="BL500" s="15">
        <f>IF(ISTEXT(Table2[[#This Row],[k.cam]]), Table2[[#This Row],[k]], Table2[[#This Row],[k.cam]])</f>
        <v>52</v>
      </c>
      <c r="BM500" s="4" t="s">
        <v>24</v>
      </c>
      <c r="BN500" s="8" t="s">
        <v>24</v>
      </c>
      <c r="BO500" s="4">
        <v>5</v>
      </c>
      <c r="BP500" s="4">
        <f>Table2[[#This Row],[final_obs_date]]-Table2[[#This Row],[i]]</f>
        <v>21</v>
      </c>
      <c r="BQ500" s="4" t="b">
        <f>Table2[[#This Row],[final_obs_date2]]&gt;Table2[[#This Row],[estHD]]+3</f>
        <v>0</v>
      </c>
      <c r="BR500" s="4" t="s">
        <v>33</v>
      </c>
      <c r="BS500" s="4" t="s">
        <v>139</v>
      </c>
      <c r="BT500" s="79" t="s">
        <v>1320</v>
      </c>
      <c r="BU500" s="26" t="s">
        <v>363</v>
      </c>
      <c r="BV500" s="79" t="s">
        <v>1656</v>
      </c>
      <c r="BW500" s="49"/>
      <c r="BX500" s="47"/>
      <c r="BY500" s="36" t="s">
        <v>24</v>
      </c>
    </row>
    <row r="501" spans="1:77" hidden="1" x14ac:dyDescent="0.35">
      <c r="A501" s="64">
        <v>30018</v>
      </c>
      <c r="B501" s="2" t="s">
        <v>122</v>
      </c>
      <c r="C501" s="46">
        <v>2021</v>
      </c>
      <c r="D501" s="3">
        <v>29.756959999999999</v>
      </c>
      <c r="E501" s="3">
        <v>-93.112170000000006</v>
      </c>
      <c r="F501" s="3" t="s">
        <v>24</v>
      </c>
      <c r="G501" s="3" t="s">
        <v>24</v>
      </c>
      <c r="H501" s="3" t="s">
        <v>354</v>
      </c>
      <c r="I501" s="43"/>
      <c r="J501" s="55">
        <v>51</v>
      </c>
      <c r="K501" s="4">
        <v>51</v>
      </c>
      <c r="L501" s="22">
        <f>IF(ISNUMBER(Table2[[#This Row],[estHD]]),ABS(Table2[[#This Row],[HD]]-Table2[[#This Row],[estHD]]),"NA")</f>
        <v>0</v>
      </c>
      <c r="M501" s="4" t="b">
        <f>Table2[[#This Row],[HD]]=Table2[[#This Row],[estHD]]</f>
        <v>1</v>
      </c>
      <c r="N501" s="4" t="str">
        <f>IF(ISNUMBER([1]!Table2[[#This Row],[hatch_date]]),[1]!Table2[[#This Row],[hatch_date]]-19,"NA")</f>
        <v>NA</v>
      </c>
      <c r="O501" s="31">
        <v>32</v>
      </c>
      <c r="P501" s="23">
        <f>IF(ISNUMBER(Table2[[#This Row],[nest_age1]]),ABS(Table2[[#This Row],[nest_age1]]-Table2[[#This Row],[nest_age_feb]]),"NA")</f>
        <v>0</v>
      </c>
      <c r="Q501" s="24">
        <f>IF(ISNUMBER(Table2[[#This Row],[final_obs_int2]]),ABS(Table2[[#This Row],[final_obs_int2]]-Table2[[#This Row],[final_obs_int_feb]]), "NA")</f>
        <v>0</v>
      </c>
      <c r="R501" s="24"/>
      <c r="S501" s="21" t="s">
        <v>172</v>
      </c>
      <c r="T501" s="21" t="str">
        <f>Table2[[#This Row],[camera_old]]</f>
        <v>Y?</v>
      </c>
      <c r="U501" s="52" t="s">
        <v>75</v>
      </c>
      <c r="V501" s="16" t="s">
        <v>31</v>
      </c>
      <c r="W501" s="16">
        <v>3</v>
      </c>
      <c r="X501" s="145">
        <v>4</v>
      </c>
      <c r="Y501" s="147" t="s">
        <v>31</v>
      </c>
      <c r="Z501" s="146" t="s">
        <v>31</v>
      </c>
      <c r="AA501" s="4" t="str">
        <f>Table2[[#This Row],[field_fate]]</f>
        <v>D</v>
      </c>
      <c r="AB501" s="4" t="str">
        <f>Table2[[#This Row],[field_fate2]]</f>
        <v>D</v>
      </c>
      <c r="AC501" s="4" t="str">
        <f>Table2[[#This Row],[field_fate3]]</f>
        <v>D</v>
      </c>
      <c r="AD501" s="4" t="str">
        <f>Table2[[#This Row],[field_fate4]]</f>
        <v>D</v>
      </c>
      <c r="AE501" s="4" t="str">
        <f>Table2[[#This Row],[field_fate5]]</f>
        <v>D</v>
      </c>
      <c r="AF501" s="4" t="str">
        <f>Table2[[#This Row],[field_fate5]]</f>
        <v>D</v>
      </c>
      <c r="AG501" s="4" t="str">
        <f>Table2[[#This Row],[field_fate5]]</f>
        <v>D</v>
      </c>
      <c r="AH501" s="4" t="str">
        <f>Table2[[#This Row],[field_fate2]]</f>
        <v>D</v>
      </c>
      <c r="AI501" s="4" t="str">
        <f>Table2[[#This Row],[field_fate8]]</f>
        <v>D</v>
      </c>
      <c r="AJ501" s="4" t="str">
        <f>Table2[[#This Row],[field_fate10]]</f>
        <v>D</v>
      </c>
      <c r="AK501" s="4" t="b">
        <f>Table2[[#This Row],[field_fate_feb]]=Table2[[#This Row],[field_fate10]]</f>
        <v>1</v>
      </c>
      <c r="AL501" s="43" t="s">
        <v>31</v>
      </c>
      <c r="AM501" s="43" t="b">
        <f>Table2[[#This Row],[cam_fate2]]="NA"</f>
        <v>1</v>
      </c>
      <c r="AN501" s="19" t="s">
        <v>24</v>
      </c>
      <c r="AO501" s="2" t="s">
        <v>31</v>
      </c>
      <c r="AP501" s="5" t="s">
        <v>24</v>
      </c>
      <c r="AQ501" s="6">
        <v>3</v>
      </c>
      <c r="AR501" s="7">
        <v>3</v>
      </c>
      <c r="AS501" s="7">
        <f>Table2[[#This Row],[final_obs_date]]-Table2[[#This Row],[init_date]]</f>
        <v>3</v>
      </c>
      <c r="AT501" s="7">
        <f>(Table2[[#This Row],[final_obs_date2]]-Table2[[#This Row],[estHD]])+16</f>
        <v>0</v>
      </c>
      <c r="AU501" s="38">
        <v>4</v>
      </c>
      <c r="AV501" s="33">
        <v>4</v>
      </c>
      <c r="AW501" s="33">
        <f>Table2[[#This Row],[final_obs_date2]]-Table2[[#This Row],[pen_obs_date]]</f>
        <v>35</v>
      </c>
      <c r="AX501" s="67">
        <v>35</v>
      </c>
      <c r="AY501" s="6">
        <f>Table2[[#This Row],[final_obs_date]]</f>
        <v>35</v>
      </c>
      <c r="AZ501" s="6"/>
      <c r="BA501" s="91" t="s">
        <v>47</v>
      </c>
      <c r="BB501" s="6" t="b">
        <f>Table2[[#This Row],[final_obs_date]]&lt;(Table2[[#This Row],[estHD]]-2)</f>
        <v>1</v>
      </c>
      <c r="BC501" s="32">
        <f>IF(Table2[[#This Row],[field_fate]]="H",1,0)</f>
        <v>0</v>
      </c>
      <c r="BD501" s="16">
        <f>IF(Table2[[#This Row],[cam_fate2]]="H",1,0)</f>
        <v>0</v>
      </c>
      <c r="BE501" s="6" t="b">
        <f>NOT(Table2[[#This Row],[HF_C]]=Table2[[#This Row],[HF]])</f>
        <v>0</v>
      </c>
      <c r="BF501" s="38" t="b">
        <f>NOT(Table2[[#This Row],[cam_fate2]]=Table2[[#This Row],[field_fate3]])</f>
        <v>1</v>
      </c>
      <c r="BG501" s="38" t="b">
        <f>OR(Table2[[#This Row],[field_fate3]]="U",Table2[[#This Row],[field_fate3]]="U-H")</f>
        <v>0</v>
      </c>
      <c r="BH501" s="8">
        <v>31</v>
      </c>
      <c r="BI501" s="8">
        <v>31</v>
      </c>
      <c r="BJ501" s="14">
        <f>IF(ISTEXT(Table2[[#This Row],[j.cam]]),Table2[[#This Row],[j]],Table2[[#This Row],[j.cam]])</f>
        <v>31</v>
      </c>
      <c r="BK501" s="8">
        <v>35</v>
      </c>
      <c r="BL501" s="14">
        <f>IF(ISTEXT(Table2[[#This Row],[k.cam]]), Table2[[#This Row],[k]], Table2[[#This Row],[k.cam]])</f>
        <v>35</v>
      </c>
      <c r="BM501" s="4" t="s">
        <v>24</v>
      </c>
      <c r="BN501" s="8" t="s">
        <v>24</v>
      </c>
      <c r="BO501" s="4">
        <v>2</v>
      </c>
      <c r="BP501" s="4">
        <f>Table2[[#This Row],[final_obs_date]]-Table2[[#This Row],[i]]</f>
        <v>4</v>
      </c>
      <c r="BQ501" s="4" t="b">
        <f>Table2[[#This Row],[final_obs_date2]]&gt;Table2[[#This Row],[estHD]]+3</f>
        <v>0</v>
      </c>
      <c r="BR501" s="3" t="s">
        <v>33</v>
      </c>
      <c r="BS501" s="3" t="s">
        <v>31</v>
      </c>
      <c r="BT501" s="79" t="s">
        <v>1197</v>
      </c>
      <c r="BU501" s="26" t="s">
        <v>362</v>
      </c>
      <c r="BV501" s="79" t="s">
        <v>1429</v>
      </c>
      <c r="BW501" s="49"/>
      <c r="BX501" s="47"/>
      <c r="BY501" s="36" t="s">
        <v>24</v>
      </c>
    </row>
    <row r="502" spans="1:77" hidden="1" x14ac:dyDescent="0.35">
      <c r="A502" s="64">
        <v>30019</v>
      </c>
      <c r="B502" s="2" t="s">
        <v>122</v>
      </c>
      <c r="C502" s="46">
        <v>2021</v>
      </c>
      <c r="D502" s="3">
        <v>29.75695</v>
      </c>
      <c r="E502" s="3">
        <v>-93.112070000000003</v>
      </c>
      <c r="F502" s="3" t="s">
        <v>24</v>
      </c>
      <c r="G502" s="3" t="s">
        <v>24</v>
      </c>
      <c r="H502" s="3" t="s">
        <v>354</v>
      </c>
      <c r="I502" s="43"/>
      <c r="J502" s="55">
        <v>53</v>
      </c>
      <c r="K502" s="4">
        <v>53</v>
      </c>
      <c r="L502" s="22">
        <f>IF(ISNUMBER(Table2[[#This Row],[estHD]]),ABS(Table2[[#This Row],[HD]]-Table2[[#This Row],[estHD]]),"NA")</f>
        <v>0</v>
      </c>
      <c r="M502" s="4" t="b">
        <f>Table2[[#This Row],[HD]]=Table2[[#This Row],[estHD]]</f>
        <v>1</v>
      </c>
      <c r="N502" s="4" t="str">
        <f>IF(ISNUMBER([1]!Table2[[#This Row],[hatch_date]]),[1]!Table2[[#This Row],[hatch_date]]-19,"NA")</f>
        <v>NA</v>
      </c>
      <c r="O502" s="31">
        <v>34</v>
      </c>
      <c r="P502" s="23">
        <f>IF(ISNUMBER(Table2[[#This Row],[nest_age1]]),ABS(Table2[[#This Row],[nest_age1]]-Table2[[#This Row],[nest_age_feb]]),"NA")</f>
        <v>0</v>
      </c>
      <c r="Q502" s="24">
        <f>IF(ISNUMBER(Table2[[#This Row],[final_obs_int2]]),ABS(Table2[[#This Row],[final_obs_int2]]-Table2[[#This Row],[final_obs_int_feb]]), "NA")</f>
        <v>0</v>
      </c>
      <c r="R502" s="24"/>
      <c r="S502" s="57" t="s">
        <v>88</v>
      </c>
      <c r="T502" s="57" t="str">
        <f>Table2[[#This Row],[camera_old]]</f>
        <v>N</v>
      </c>
      <c r="U502" s="24"/>
      <c r="V502" s="16" t="s">
        <v>24</v>
      </c>
      <c r="W502" s="16">
        <v>1</v>
      </c>
      <c r="X502" s="145">
        <v>4</v>
      </c>
      <c r="Y502" s="147" t="s">
        <v>31</v>
      </c>
      <c r="Z502" s="146" t="s">
        <v>31</v>
      </c>
      <c r="AA502" s="4" t="str">
        <f>Table2[[#This Row],[field_fate]]</f>
        <v>D</v>
      </c>
      <c r="AB502" s="4" t="str">
        <f>Table2[[#This Row],[field_fate2]]</f>
        <v>D</v>
      </c>
      <c r="AC502" s="4" t="str">
        <f>Table2[[#This Row],[field_fate3]]</f>
        <v>D</v>
      </c>
      <c r="AD502" s="4" t="str">
        <f>Table2[[#This Row],[field_fate4]]</f>
        <v>D</v>
      </c>
      <c r="AE502" s="4" t="str">
        <f>Table2[[#This Row],[field_fate5]]</f>
        <v>D</v>
      </c>
      <c r="AF502" s="4" t="str">
        <f>Table2[[#This Row],[field_fate5]]</f>
        <v>D</v>
      </c>
      <c r="AG502" s="4" t="str">
        <f>Table2[[#This Row],[field_fate5]]</f>
        <v>D</v>
      </c>
      <c r="AH502" s="4" t="str">
        <f>Table2[[#This Row],[field_fate2]]</f>
        <v>D</v>
      </c>
      <c r="AI502" s="4" t="str">
        <f>Table2[[#This Row],[field_fate8]]</f>
        <v>D</v>
      </c>
      <c r="AJ502" s="4" t="str">
        <f>Table2[[#This Row],[field_fate10]]</f>
        <v>D</v>
      </c>
      <c r="AK502" s="4" t="b">
        <f>Table2[[#This Row],[field_fate_feb]]=Table2[[#This Row],[field_fate10]]</f>
        <v>1</v>
      </c>
      <c r="AL502" s="43" t="s">
        <v>24</v>
      </c>
      <c r="AM502" s="43" t="b">
        <f>Table2[[#This Row],[cam_fate2]]="NA"</f>
        <v>1</v>
      </c>
      <c r="AN502" s="19" t="str">
        <f>Table2[[#This Row],[cam_fate1]]</f>
        <v>NA</v>
      </c>
      <c r="AO502" s="2" t="s">
        <v>31</v>
      </c>
      <c r="AP502" s="5" t="str">
        <f>Table2[[#This Row],[final_fate1]]</f>
        <v>D</v>
      </c>
      <c r="AQ502" s="6">
        <v>1</v>
      </c>
      <c r="AR502" s="7">
        <v>1</v>
      </c>
      <c r="AS502" s="7">
        <f>Table2[[#This Row],[final_obs_date]]-Table2[[#This Row],[init_date]]</f>
        <v>1</v>
      </c>
      <c r="AT502" s="7">
        <f>(Table2[[#This Row],[final_obs_date2]]-Table2[[#This Row],[estHD]])+16</f>
        <v>-2</v>
      </c>
      <c r="AU502" s="38">
        <v>4</v>
      </c>
      <c r="AV502" s="33">
        <v>4</v>
      </c>
      <c r="AW502" s="33">
        <f>Table2[[#This Row],[final_obs_date2]]-Table2[[#This Row],[pen_obs_date]]</f>
        <v>35</v>
      </c>
      <c r="AX502" s="67">
        <v>35</v>
      </c>
      <c r="AY502" s="6">
        <f>Table2[[#This Row],[final_obs_date]]</f>
        <v>35</v>
      </c>
      <c r="AZ502" s="6"/>
      <c r="BA502" s="91" t="s">
        <v>47</v>
      </c>
      <c r="BB502" s="6" t="b">
        <f>Table2[[#This Row],[final_obs_date]]&lt;(Table2[[#This Row],[estHD]]-2)</f>
        <v>1</v>
      </c>
      <c r="BC502" s="24">
        <f>IF(Table2[[#This Row],[field_fate]]="H",1,0)</f>
        <v>0</v>
      </c>
      <c r="BD502" s="16">
        <f>IF(Table2[[#This Row],[cam_fate2]]="H",1,0)</f>
        <v>0</v>
      </c>
      <c r="BE502" s="6" t="b">
        <f>NOT(Table2[[#This Row],[HF_C]]=Table2[[#This Row],[HF]])</f>
        <v>0</v>
      </c>
      <c r="BF502" s="6" t="b">
        <f>NOT(Table2[[#This Row],[cam_fate2]]=Table2[[#This Row],[field_fate3]])</f>
        <v>1</v>
      </c>
      <c r="BG502" s="6" t="b">
        <f>OR(Table2[[#This Row],[field_fate3]]="U",Table2[[#This Row],[field_fate3]]="U-H")</f>
        <v>0</v>
      </c>
      <c r="BH502" s="8">
        <v>31</v>
      </c>
      <c r="BI502" s="8">
        <v>31</v>
      </c>
      <c r="BJ502" s="14">
        <f>IF(ISTEXT(Table2[[#This Row],[j.cam]]),Table2[[#This Row],[j]],Table2[[#This Row],[j.cam]])</f>
        <v>31</v>
      </c>
      <c r="BK502" s="9">
        <v>35</v>
      </c>
      <c r="BL502" s="15">
        <f>IF(ISTEXT(Table2[[#This Row],[k.cam]]), Table2[[#This Row],[k]], Table2[[#This Row],[k.cam]])</f>
        <v>35</v>
      </c>
      <c r="BM502" s="4" t="s">
        <v>24</v>
      </c>
      <c r="BN502" s="8" t="s">
        <v>24</v>
      </c>
      <c r="BO502" s="4">
        <v>2</v>
      </c>
      <c r="BP502" s="4">
        <f>Table2[[#This Row],[final_obs_date]]-Table2[[#This Row],[i]]</f>
        <v>4</v>
      </c>
      <c r="BQ502" s="4" t="b">
        <f>Table2[[#This Row],[final_obs_date2]]&gt;Table2[[#This Row],[estHD]]+3</f>
        <v>0</v>
      </c>
      <c r="BR502" s="4" t="s">
        <v>33</v>
      </c>
      <c r="BS502" s="4" t="s">
        <v>31</v>
      </c>
      <c r="BT502" s="79" t="s">
        <v>1197</v>
      </c>
      <c r="BU502" s="26" t="s">
        <v>362</v>
      </c>
      <c r="BV502" s="79" t="s">
        <v>1429</v>
      </c>
      <c r="BW502" s="49"/>
      <c r="BX502" s="47"/>
      <c r="BY502" s="36" t="s">
        <v>24</v>
      </c>
    </row>
    <row r="503" spans="1:77" hidden="1" x14ac:dyDescent="0.35">
      <c r="A503" s="64">
        <v>30020</v>
      </c>
      <c r="B503" s="2" t="s">
        <v>122</v>
      </c>
      <c r="C503" s="46">
        <v>2021</v>
      </c>
      <c r="D503" s="3">
        <v>29.756920000000001</v>
      </c>
      <c r="E503" s="3">
        <v>-93.111850000000004</v>
      </c>
      <c r="F503" s="3" t="s">
        <v>24</v>
      </c>
      <c r="G503" s="3" t="s">
        <v>24</v>
      </c>
      <c r="H503" s="3" t="s">
        <v>354</v>
      </c>
      <c r="I503" s="43"/>
      <c r="J503" s="55">
        <v>53</v>
      </c>
      <c r="K503" s="4">
        <v>53</v>
      </c>
      <c r="L503" s="22">
        <f>IF(ISNUMBER(Table2[[#This Row],[estHD]]),ABS(Table2[[#This Row],[HD]]-Table2[[#This Row],[estHD]]),"NA")</f>
        <v>0</v>
      </c>
      <c r="M503" s="4" t="b">
        <f>Table2[[#This Row],[HD]]=Table2[[#This Row],[estHD]]</f>
        <v>1</v>
      </c>
      <c r="N503" s="4" t="str">
        <f>IF(ISNUMBER([1]!Table2[[#This Row],[hatch_date]]),[1]!Table2[[#This Row],[hatch_date]]-19,"NA")</f>
        <v>NA</v>
      </c>
      <c r="O503" s="31">
        <v>34</v>
      </c>
      <c r="P503" s="23">
        <f>IF(ISNUMBER(Table2[[#This Row],[nest_age1]]),ABS(Table2[[#This Row],[nest_age1]]-Table2[[#This Row],[nest_age_feb]]),"NA")</f>
        <v>0</v>
      </c>
      <c r="Q503" s="24">
        <f>IF(ISNUMBER(Table2[[#This Row],[final_obs_int2]]),ABS(Table2[[#This Row],[final_obs_int2]]-Table2[[#This Row],[final_obs_int_feb]]), "NA")</f>
        <v>0</v>
      </c>
      <c r="R503" s="24"/>
      <c r="S503" s="57" t="s">
        <v>88</v>
      </c>
      <c r="T503" s="57" t="str">
        <f>Table2[[#This Row],[camera_old]]</f>
        <v>N</v>
      </c>
      <c r="U503" s="24"/>
      <c r="V503" s="16" t="s">
        <v>24</v>
      </c>
      <c r="W503" s="16">
        <v>9</v>
      </c>
      <c r="X503" s="145">
        <v>8</v>
      </c>
      <c r="Y503" s="147" t="s">
        <v>48</v>
      </c>
      <c r="Z503" s="146" t="s">
        <v>48</v>
      </c>
      <c r="AA503" s="4" t="str">
        <f>Table2[[#This Row],[field_fate]]</f>
        <v>F</v>
      </c>
      <c r="AB503" s="4" t="str">
        <f>Table2[[#This Row],[field_fate2]]</f>
        <v>F</v>
      </c>
      <c r="AC503" s="4" t="str">
        <f>Table2[[#This Row],[field_fate3]]</f>
        <v>F</v>
      </c>
      <c r="AD503" s="4" t="str">
        <f>Table2[[#This Row],[field_fate4]]</f>
        <v>F</v>
      </c>
      <c r="AE503" s="4" t="str">
        <f>Table2[[#This Row],[field_fate5]]</f>
        <v>F</v>
      </c>
      <c r="AF503" s="4" t="str">
        <f>Table2[[#This Row],[field_fate5]]</f>
        <v>F</v>
      </c>
      <c r="AG503" s="4" t="str">
        <f>Table2[[#This Row],[field_fate5]]</f>
        <v>F</v>
      </c>
      <c r="AH503" s="4" t="str">
        <f>Table2[[#This Row],[field_fate2]]</f>
        <v>F</v>
      </c>
      <c r="AI503" s="4" t="str">
        <f>Table2[[#This Row],[field_fate8]]</f>
        <v>F</v>
      </c>
      <c r="AJ503" s="4" t="str">
        <f>Table2[[#This Row],[field_fate10]]</f>
        <v>F</v>
      </c>
      <c r="AK503" s="4" t="b">
        <f>Table2[[#This Row],[field_fate_feb]]=Table2[[#This Row],[field_fate10]]</f>
        <v>1</v>
      </c>
      <c r="AL503" s="43" t="s">
        <v>24</v>
      </c>
      <c r="AM503" s="43" t="b">
        <f>Table2[[#This Row],[cam_fate2]]="NA"</f>
        <v>1</v>
      </c>
      <c r="AN503" s="19" t="str">
        <f>Table2[[#This Row],[cam_fate1]]</f>
        <v>NA</v>
      </c>
      <c r="AO503" s="2" t="s">
        <v>48</v>
      </c>
      <c r="AP503" s="5" t="str">
        <f>Table2[[#This Row],[final_fate1]]</f>
        <v>F</v>
      </c>
      <c r="AQ503" s="6">
        <v>9</v>
      </c>
      <c r="AR503" s="7">
        <v>9</v>
      </c>
      <c r="AS503" s="7">
        <f>Table2[[#This Row],[final_obs_date]]-Table2[[#This Row],[init_date]]</f>
        <v>9</v>
      </c>
      <c r="AT503" s="7">
        <f>(Table2[[#This Row],[final_obs_date2]]-Table2[[#This Row],[estHD]])+16</f>
        <v>6</v>
      </c>
      <c r="AU503" s="38">
        <v>8</v>
      </c>
      <c r="AV503" s="33">
        <v>8</v>
      </c>
      <c r="AW503" s="33">
        <f>Table2[[#This Row],[final_obs_date2]]-Table2[[#This Row],[pen_obs_date]]</f>
        <v>43</v>
      </c>
      <c r="AX503" s="67">
        <v>43</v>
      </c>
      <c r="AY503" s="6">
        <f>Table2[[#This Row],[final_obs_date]]</f>
        <v>43</v>
      </c>
      <c r="AZ503" s="6"/>
      <c r="BA503" s="91" t="s">
        <v>47</v>
      </c>
      <c r="BB503" s="6" t="b">
        <f>Table2[[#This Row],[final_obs_date]]&lt;(Table2[[#This Row],[estHD]]-2)</f>
        <v>1</v>
      </c>
      <c r="BC503" s="24">
        <f>IF(Table2[[#This Row],[field_fate]]="H",1,0)</f>
        <v>0</v>
      </c>
      <c r="BD503" s="16">
        <f>IF(Table2[[#This Row],[cam_fate2]]="H",1,0)</f>
        <v>0</v>
      </c>
      <c r="BE503" s="6" t="b">
        <f>NOT(Table2[[#This Row],[HF_C]]=Table2[[#This Row],[HF]])</f>
        <v>0</v>
      </c>
      <c r="BF503" s="6" t="b">
        <f>NOT(Table2[[#This Row],[cam_fate2]]=Table2[[#This Row],[field_fate3]])</f>
        <v>1</v>
      </c>
      <c r="BG503" s="6" t="b">
        <f>OR(Table2[[#This Row],[field_fate3]]="U",Table2[[#This Row],[field_fate3]]="U-H")</f>
        <v>0</v>
      </c>
      <c r="BH503" s="8">
        <v>31</v>
      </c>
      <c r="BI503" s="8">
        <v>35</v>
      </c>
      <c r="BJ503" s="14">
        <f>IF(ISTEXT(Table2[[#This Row],[j.cam]]),Table2[[#This Row],[j]],Table2[[#This Row],[j.cam]])</f>
        <v>35</v>
      </c>
      <c r="BK503" s="9">
        <v>43</v>
      </c>
      <c r="BL503" s="15">
        <f>IF(ISTEXT(Table2[[#This Row],[k.cam]]), Table2[[#This Row],[k]], Table2[[#This Row],[k.cam]])</f>
        <v>43</v>
      </c>
      <c r="BM503" s="4" t="s">
        <v>24</v>
      </c>
      <c r="BN503" s="8" t="s">
        <v>24</v>
      </c>
      <c r="BO503" s="4">
        <v>3</v>
      </c>
      <c r="BP503" s="4">
        <f>Table2[[#This Row],[final_obs_date]]-Table2[[#This Row],[i]]</f>
        <v>12</v>
      </c>
      <c r="BQ503" s="4" t="b">
        <f>Table2[[#This Row],[final_obs_date2]]&gt;Table2[[#This Row],[estHD]]+3</f>
        <v>0</v>
      </c>
      <c r="BR503" s="4" t="s">
        <v>66</v>
      </c>
      <c r="BS503" s="4" t="s">
        <v>45</v>
      </c>
      <c r="BT503" s="79" t="s">
        <v>1321</v>
      </c>
      <c r="BU503" s="26" t="s">
        <v>273</v>
      </c>
      <c r="BV503" s="79" t="s">
        <v>1657</v>
      </c>
      <c r="BW503" s="49"/>
      <c r="BX503" s="47"/>
      <c r="BY503" s="36" t="s">
        <v>24</v>
      </c>
    </row>
    <row r="504" spans="1:77" hidden="1" x14ac:dyDescent="0.35">
      <c r="A504" s="64">
        <v>30021</v>
      </c>
      <c r="B504" s="2" t="s">
        <v>111</v>
      </c>
      <c r="C504" s="46">
        <v>2021</v>
      </c>
      <c r="D504" s="3">
        <v>29.775320000000001</v>
      </c>
      <c r="E504" s="3">
        <v>-93.282070000000004</v>
      </c>
      <c r="F504" s="3" t="s">
        <v>24</v>
      </c>
      <c r="G504" s="3" t="s">
        <v>24</v>
      </c>
      <c r="H504" s="3" t="s">
        <v>26</v>
      </c>
      <c r="I504" s="43"/>
      <c r="J504" s="55">
        <v>53</v>
      </c>
      <c r="K504" s="4">
        <v>53</v>
      </c>
      <c r="L504" s="22">
        <f>IF(ISNUMBER(Table2[[#This Row],[estHD]]),ABS(Table2[[#This Row],[HD]]-Table2[[#This Row],[estHD]]),"NA")</f>
        <v>0</v>
      </c>
      <c r="M504" s="4" t="b">
        <f>Table2[[#This Row],[HD]]=Table2[[#This Row],[estHD]]</f>
        <v>1</v>
      </c>
      <c r="N504" s="4" t="str">
        <f>IF(ISNUMBER([1]!Table2[[#This Row],[hatch_date]]), [1]!Table2[[#This Row],[hatch_date]]-28, "NA")</f>
        <v>NA</v>
      </c>
      <c r="O504" s="31">
        <v>25</v>
      </c>
      <c r="P504" s="23">
        <f>IF(ISNUMBER(Table2[[#This Row],[nest_age1]]),ABS(Table2[[#This Row],[nest_age1]]-Table2[[#This Row],[nest_age_feb]]),"NA")</f>
        <v>0</v>
      </c>
      <c r="Q504" s="24">
        <f>IF(ISNUMBER(Table2[[#This Row],[final_obs_int2]]),ABS(Table2[[#This Row],[final_obs_int2]]-Table2[[#This Row],[final_obs_int_feb]]), "NA")</f>
        <v>0</v>
      </c>
      <c r="R504" s="24"/>
      <c r="S504" s="57" t="s">
        <v>88</v>
      </c>
      <c r="T504" s="57" t="str">
        <f>Table2[[#This Row],[camera_old]]</f>
        <v>N</v>
      </c>
      <c r="U504" s="24"/>
      <c r="V504" s="16" t="s">
        <v>24</v>
      </c>
      <c r="W504" s="16">
        <v>15</v>
      </c>
      <c r="X504" s="145">
        <v>6</v>
      </c>
      <c r="Y504" s="147" t="s">
        <v>25</v>
      </c>
      <c r="Z504" s="146" t="s">
        <v>25</v>
      </c>
      <c r="AA504" s="4" t="str">
        <f>Table2[[#This Row],[field_fate]]</f>
        <v>S</v>
      </c>
      <c r="AB504" s="4" t="str">
        <f>Table2[[#This Row],[field_fate2]]</f>
        <v>S</v>
      </c>
      <c r="AC504" s="4" t="str">
        <f>Table2[[#This Row],[field_fate3]]</f>
        <v>S</v>
      </c>
      <c r="AD504" s="4" t="str">
        <f>Table2[[#This Row],[field_fate4]]</f>
        <v>S</v>
      </c>
      <c r="AE504" s="4" t="str">
        <f>Table2[[#This Row],[field_fate5]]</f>
        <v>S</v>
      </c>
      <c r="AF504" s="4" t="str">
        <f>Table2[[#This Row],[field_fate5]]</f>
        <v>S</v>
      </c>
      <c r="AG504" s="4" t="str">
        <f>Table2[[#This Row],[field_fate5]]</f>
        <v>S</v>
      </c>
      <c r="AH504" s="4" t="str">
        <f>Table2[[#This Row],[field_fate2]]</f>
        <v>S</v>
      </c>
      <c r="AI504" s="4" t="str">
        <f>Table2[[#This Row],[field_fate8]]</f>
        <v>S</v>
      </c>
      <c r="AJ504" s="4" t="str">
        <f>Table2[[#This Row],[field_fate10]]</f>
        <v>S</v>
      </c>
      <c r="AK504" s="4" t="b">
        <f>Table2[[#This Row],[field_fate_feb]]=Table2[[#This Row],[field_fate10]]</f>
        <v>1</v>
      </c>
      <c r="AL504" s="43" t="s">
        <v>24</v>
      </c>
      <c r="AM504" s="43" t="b">
        <f>Table2[[#This Row],[cam_fate2]]="NA"</f>
        <v>1</v>
      </c>
      <c r="AN504" s="19" t="str">
        <f>Table2[[#This Row],[cam_fate1]]</f>
        <v>NA</v>
      </c>
      <c r="AO504" s="2" t="s">
        <v>25</v>
      </c>
      <c r="AP504" s="5" t="str">
        <f>Table2[[#This Row],[final_fate1]]</f>
        <v>S</v>
      </c>
      <c r="AQ504" s="6">
        <v>15</v>
      </c>
      <c r="AR504" s="7">
        <v>15</v>
      </c>
      <c r="AS504" s="7">
        <f>Table2[[#This Row],[final_obs_date]]-Table2[[#This Row],[init_date]]</f>
        <v>15</v>
      </c>
      <c r="AT504" s="7">
        <f>(Table2[[#This Row],[final_obs_date2]]-Table2[[#This Row],[estHD]])+16</f>
        <v>3</v>
      </c>
      <c r="AU504" s="38">
        <v>6</v>
      </c>
      <c r="AV504" s="33">
        <v>6</v>
      </c>
      <c r="AW504" s="33">
        <f>Table2[[#This Row],[final_obs_date2]]-Table2[[#This Row],[pen_obs_date]]</f>
        <v>40</v>
      </c>
      <c r="AX504" s="67">
        <v>40</v>
      </c>
      <c r="AY504" s="6">
        <f>Table2[[#This Row],[final_obs_date]]</f>
        <v>40</v>
      </c>
      <c r="AZ504" s="6"/>
      <c r="BA504" s="91" t="s">
        <v>23</v>
      </c>
      <c r="BB504" s="6" t="b">
        <f>Table2[[#This Row],[final_obs_date]]&lt;(Table2[[#This Row],[estHD]]-2)</f>
        <v>1</v>
      </c>
      <c r="BC504" s="24">
        <f>IF(Table2[[#This Row],[field_fate]]="H",1,0)</f>
        <v>0</v>
      </c>
      <c r="BD504" s="16">
        <f>IF(Table2[[#This Row],[cam_fate2]]="H",1,0)</f>
        <v>0</v>
      </c>
      <c r="BE504" s="6" t="b">
        <f>NOT(Table2[[#This Row],[HF_C]]=Table2[[#This Row],[HF]])</f>
        <v>0</v>
      </c>
      <c r="BF504" s="6" t="b">
        <f>NOT(Table2[[#This Row],[cam_fate2]]=Table2[[#This Row],[field_fate3]])</f>
        <v>1</v>
      </c>
      <c r="BG504" s="6" t="b">
        <f>OR(Table2[[#This Row],[field_fate3]]="U",Table2[[#This Row],[field_fate3]]="U-H")</f>
        <v>0</v>
      </c>
      <c r="BH504" s="8">
        <v>34</v>
      </c>
      <c r="BI504" s="8">
        <v>34</v>
      </c>
      <c r="BJ504" s="14">
        <f>IF(ISTEXT(Table2[[#This Row],[j.cam]]),Table2[[#This Row],[j]],Table2[[#This Row],[j.cam]])</f>
        <v>34</v>
      </c>
      <c r="BK504" s="9">
        <v>40</v>
      </c>
      <c r="BL504" s="15">
        <f>IF(ISTEXT(Table2[[#This Row],[k.cam]]), Table2[[#This Row],[k]], Table2[[#This Row],[k.cam]])</f>
        <v>40</v>
      </c>
      <c r="BM504" s="4" t="s">
        <v>24</v>
      </c>
      <c r="BN504" s="8" t="s">
        <v>24</v>
      </c>
      <c r="BO504" s="4">
        <v>2</v>
      </c>
      <c r="BP504" s="4">
        <f>Table2[[#This Row],[final_obs_date]]-Table2[[#This Row],[i]]</f>
        <v>6</v>
      </c>
      <c r="BQ504" s="4" t="b">
        <f>Table2[[#This Row],[final_obs_date2]]&gt;Table2[[#This Row],[estHD]]+3</f>
        <v>0</v>
      </c>
      <c r="BR504" s="4" t="s">
        <v>27</v>
      </c>
      <c r="BS504" s="4" t="s">
        <v>45</v>
      </c>
      <c r="BT504" s="79" t="s">
        <v>1322</v>
      </c>
      <c r="BU504" s="26" t="s">
        <v>183</v>
      </c>
      <c r="BV504" s="79" t="s">
        <v>1437</v>
      </c>
      <c r="BW504" s="49"/>
      <c r="BX504" s="47"/>
      <c r="BY504" s="36" t="s">
        <v>809</v>
      </c>
    </row>
    <row r="505" spans="1:77" hidden="1" x14ac:dyDescent="0.35">
      <c r="A505" s="64">
        <v>30022</v>
      </c>
      <c r="B505" s="2" t="s">
        <v>35</v>
      </c>
      <c r="C505" s="46">
        <v>2021</v>
      </c>
      <c r="D505" s="3">
        <v>29.770769999999999</v>
      </c>
      <c r="E505" s="3">
        <v>-93.178340000000006</v>
      </c>
      <c r="F505" s="3" t="s">
        <v>24</v>
      </c>
      <c r="G505" s="3" t="s">
        <v>24</v>
      </c>
      <c r="H505" s="3" t="s">
        <v>26</v>
      </c>
      <c r="I505" s="43"/>
      <c r="J505" s="55">
        <v>40</v>
      </c>
      <c r="K505" s="4">
        <v>40</v>
      </c>
      <c r="L505" s="22">
        <f>IF(ISNUMBER(Table2[[#This Row],[estHD]]),ABS(Table2[[#This Row],[HD]]-Table2[[#This Row],[estHD]]),"NA")</f>
        <v>0</v>
      </c>
      <c r="M505" s="4" t="b">
        <f>Table2[[#This Row],[HD]]=Table2[[#This Row],[estHD]]</f>
        <v>1</v>
      </c>
      <c r="N505" s="4" t="str">
        <f>IF(ISNUMBER([1]!Table2[[#This Row],[hatch_date]]),[1]!Table2[[#This Row],[hatch_date]]-19,"NA")</f>
        <v>NA</v>
      </c>
      <c r="O505" s="31">
        <v>21</v>
      </c>
      <c r="P505" s="23" t="e">
        <f>IF(ISNUMBER(Table2[[#This Row],[nest_age1]]),ABS(Table2[[#This Row],[nest_age1]]-Table2[[#This Row],[nest_age_feb]]),"NA")</f>
        <v>#VALUE!</v>
      </c>
      <c r="Q505" s="24">
        <f>IF(ISNUMBER(Table2[[#This Row],[final_obs_int2]]),ABS(Table2[[#This Row],[final_obs_int2]]-Table2[[#This Row],[final_obs_int_feb]]), "NA")</f>
        <v>0</v>
      </c>
      <c r="R505" s="24"/>
      <c r="S505" s="57" t="s">
        <v>88</v>
      </c>
      <c r="T505" s="57" t="str">
        <f>Table2[[#This Row],[camera_old]]</f>
        <v>N</v>
      </c>
      <c r="U505" s="24"/>
      <c r="V505" s="16" t="s">
        <v>24</v>
      </c>
      <c r="W505" s="16" t="s">
        <v>24</v>
      </c>
      <c r="X505" s="145">
        <v>5</v>
      </c>
      <c r="Y505" s="148" t="s">
        <v>25</v>
      </c>
      <c r="Z505" s="146" t="s">
        <v>25</v>
      </c>
      <c r="AA505" s="4" t="str">
        <f>Table2[[#This Row],[field_fate]]</f>
        <v>S</v>
      </c>
      <c r="AB505" s="4" t="str">
        <f>Table2[[#This Row],[field_fate2]]</f>
        <v>S</v>
      </c>
      <c r="AC505" s="4" t="str">
        <f>Table2[[#This Row],[field_fate3]]</f>
        <v>S</v>
      </c>
      <c r="AD505" s="4" t="str">
        <f>Table2[[#This Row],[field_fate4]]</f>
        <v>S</v>
      </c>
      <c r="AE505" s="4" t="str">
        <f>Table2[[#This Row],[field_fate5]]</f>
        <v>S</v>
      </c>
      <c r="AF505" s="4" t="str">
        <f>Table2[[#This Row],[field_fate5]]</f>
        <v>S</v>
      </c>
      <c r="AG505" s="4" t="str">
        <f>Table2[[#This Row],[field_fate5]]</f>
        <v>S</v>
      </c>
      <c r="AH505" s="4" t="str">
        <f>Table2[[#This Row],[field_fate2]]</f>
        <v>S</v>
      </c>
      <c r="AI505" s="4" t="str">
        <f>Table2[[#This Row],[field_fate8]]</f>
        <v>S</v>
      </c>
      <c r="AJ505" s="4" t="str">
        <f>Table2[[#This Row],[field_fate10]]</f>
        <v>S</v>
      </c>
      <c r="AK505" s="4" t="b">
        <f>Table2[[#This Row],[field_fate_feb]]=Table2[[#This Row],[field_fate10]]</f>
        <v>1</v>
      </c>
      <c r="AL505" s="43" t="s">
        <v>24</v>
      </c>
      <c r="AM505" s="43" t="b">
        <f>Table2[[#This Row],[cam_fate2]]="NA"</f>
        <v>1</v>
      </c>
      <c r="AN505" s="19" t="str">
        <f>Table2[[#This Row],[cam_fate1]]</f>
        <v>NA</v>
      </c>
      <c r="AO505" s="2" t="s">
        <v>25</v>
      </c>
      <c r="AP505" s="5" t="str">
        <f>Table2[[#This Row],[final_fate1]]</f>
        <v>S</v>
      </c>
      <c r="AQ505" s="6">
        <v>18</v>
      </c>
      <c r="AR505" s="7">
        <v>18</v>
      </c>
      <c r="AS505" s="7">
        <f>Table2[[#This Row],[final_obs_date]]-Table2[[#This Row],[init_date]]</f>
        <v>18</v>
      </c>
      <c r="AT505" s="7">
        <f>(Table2[[#This Row],[final_obs_date2]]-Table2[[#This Row],[estHD]])+16</f>
        <v>15</v>
      </c>
      <c r="AU505" s="38">
        <v>5</v>
      </c>
      <c r="AV505" s="33">
        <v>5</v>
      </c>
      <c r="AW505" s="33">
        <f>Table2[[#This Row],[final_obs_date2]]-Table2[[#This Row],[pen_obs_date]]</f>
        <v>39</v>
      </c>
      <c r="AX505" s="67">
        <v>39</v>
      </c>
      <c r="AY505" s="6">
        <f>Table2[[#This Row],[final_obs_date]]</f>
        <v>39</v>
      </c>
      <c r="AZ505" s="6"/>
      <c r="BA505" s="91" t="s">
        <v>47</v>
      </c>
      <c r="BB505" s="6" t="b">
        <f>Table2[[#This Row],[final_obs_date]]&lt;(Table2[[#This Row],[estHD]]-2)</f>
        <v>0</v>
      </c>
      <c r="BC505" s="24">
        <f>IF(Table2[[#This Row],[field_fate]]="H",1,0)</f>
        <v>0</v>
      </c>
      <c r="BD505" s="16">
        <f>IF(Table2[[#This Row],[cam_fate2]]="H",1,0)</f>
        <v>0</v>
      </c>
      <c r="BE505" s="6" t="b">
        <f>NOT(Table2[[#This Row],[HF_C]]=Table2[[#This Row],[HF]])</f>
        <v>0</v>
      </c>
      <c r="BF505" s="6" t="b">
        <f>NOT(Table2[[#This Row],[cam_fate2]]=Table2[[#This Row],[field_fate3]])</f>
        <v>1</v>
      </c>
      <c r="BG505" s="6" t="b">
        <f>OR(Table2[[#This Row],[field_fate3]]="U",Table2[[#This Row],[field_fate3]]="U-H")</f>
        <v>0</v>
      </c>
      <c r="BH505" s="8">
        <v>34</v>
      </c>
      <c r="BI505" s="8">
        <v>34</v>
      </c>
      <c r="BJ505" s="14">
        <f>IF(ISTEXT(Table2[[#This Row],[j.cam]]),Table2[[#This Row],[j]],Table2[[#This Row],[j.cam]])</f>
        <v>34</v>
      </c>
      <c r="BK505" s="9">
        <v>39</v>
      </c>
      <c r="BL505" s="15">
        <f>IF(ISTEXT(Table2[[#This Row],[k.cam]]), Table2[[#This Row],[k]], Table2[[#This Row],[k.cam]])</f>
        <v>39</v>
      </c>
      <c r="BM505" s="4" t="s">
        <v>24</v>
      </c>
      <c r="BN505" s="8" t="s">
        <v>24</v>
      </c>
      <c r="BO505" s="4">
        <v>2</v>
      </c>
      <c r="BP505" s="4">
        <f>Table2[[#This Row],[final_obs_date]]-Table2[[#This Row],[i]]</f>
        <v>5</v>
      </c>
      <c r="BQ505" s="4" t="b">
        <f>Table2[[#This Row],[final_obs_date2]]&gt;Table2[[#This Row],[estHD]]+3</f>
        <v>0</v>
      </c>
      <c r="BR505" s="4" t="s">
        <v>33</v>
      </c>
      <c r="BS505" s="4" t="s">
        <v>45</v>
      </c>
      <c r="BT505" s="79" t="s">
        <v>1323</v>
      </c>
      <c r="BU505" s="26" t="s">
        <v>87</v>
      </c>
      <c r="BV505" s="79" t="s">
        <v>1464</v>
      </c>
      <c r="BW505" s="49"/>
      <c r="BX505" s="47"/>
      <c r="BY505" s="36" t="s">
        <v>810</v>
      </c>
    </row>
    <row r="506" spans="1:77" hidden="1" x14ac:dyDescent="0.35">
      <c r="A506" s="64">
        <v>30023</v>
      </c>
      <c r="B506" s="2" t="s">
        <v>35</v>
      </c>
      <c r="C506" s="46">
        <v>2021</v>
      </c>
      <c r="D506" s="3">
        <v>29.770399999999999</v>
      </c>
      <c r="E506" s="3">
        <v>-93.17586</v>
      </c>
      <c r="F506" s="3" t="s">
        <v>24</v>
      </c>
      <c r="G506" s="3" t="s">
        <v>24</v>
      </c>
      <c r="H506" s="3" t="s">
        <v>26</v>
      </c>
      <c r="I506" s="43"/>
      <c r="J506" s="55">
        <v>51</v>
      </c>
      <c r="K506" s="4">
        <v>51</v>
      </c>
      <c r="L506" s="22">
        <f>IF(ISNUMBER(Table2[[#This Row],[estHD]]),ABS(Table2[[#This Row],[HD]]-Table2[[#This Row],[estHD]]),"NA")</f>
        <v>0</v>
      </c>
      <c r="M506" s="4" t="b">
        <f>Table2[[#This Row],[HD]]=Table2[[#This Row],[estHD]]</f>
        <v>1</v>
      </c>
      <c r="N506" s="4" t="str">
        <f>IF(ISNUMBER([1]!Table2[[#This Row],[hatch_date]]),[1]!Table2[[#This Row],[hatch_date]]-19,"NA")</f>
        <v>NA</v>
      </c>
      <c r="O506" s="31">
        <v>32</v>
      </c>
      <c r="P506" s="23" t="e">
        <f>IF(ISNUMBER(Table2[[#This Row],[nest_age1]]),ABS(Table2[[#This Row],[nest_age1]]-Table2[[#This Row],[nest_age_feb]]),"NA")</f>
        <v>#VALUE!</v>
      </c>
      <c r="Q506" s="24">
        <f>IF(ISNUMBER(Table2[[#This Row],[final_obs_int2]]),ABS(Table2[[#This Row],[final_obs_int2]]-Table2[[#This Row],[final_obs_int_feb]]), "NA")</f>
        <v>0</v>
      </c>
      <c r="R506" s="24"/>
      <c r="S506" s="57" t="s">
        <v>88</v>
      </c>
      <c r="T506" s="57" t="str">
        <f>Table2[[#This Row],[camera_old]]</f>
        <v>N</v>
      </c>
      <c r="U506" s="24"/>
      <c r="V506" s="16" t="s">
        <v>24</v>
      </c>
      <c r="W506" s="16" t="s">
        <v>24</v>
      </c>
      <c r="X506" s="145">
        <v>5</v>
      </c>
      <c r="Y506" s="147" t="s">
        <v>149</v>
      </c>
      <c r="Z506" s="146" t="s">
        <v>25</v>
      </c>
      <c r="AA506" s="4" t="str">
        <f>Table2[[#This Row],[field_fate]]</f>
        <v>S</v>
      </c>
      <c r="AB506" s="4" t="str">
        <f>Table2[[#This Row],[field_fate2]]</f>
        <v>S</v>
      </c>
      <c r="AC506" s="4" t="str">
        <f>Table2[[#This Row],[field_fate3]]</f>
        <v>S</v>
      </c>
      <c r="AD506" s="4" t="str">
        <f>Table2[[#This Row],[field_fate4]]</f>
        <v>S</v>
      </c>
      <c r="AE506" s="4" t="str">
        <f>Table2[[#This Row],[field_fate5]]</f>
        <v>S</v>
      </c>
      <c r="AF506" s="4" t="str">
        <f>Table2[[#This Row],[field_fate5]]</f>
        <v>S</v>
      </c>
      <c r="AG506" s="4" t="str">
        <f>Table2[[#This Row],[field_fate5]]</f>
        <v>S</v>
      </c>
      <c r="AH506" s="4" t="str">
        <f>Table2[[#This Row],[field_fate2]]</f>
        <v>S</v>
      </c>
      <c r="AI506" s="4" t="str">
        <f>Table2[[#This Row],[field_fate8]]</f>
        <v>S</v>
      </c>
      <c r="AJ506" s="4" t="str">
        <f>Table2[[#This Row],[field_fate10]]</f>
        <v>S</v>
      </c>
      <c r="AK506" s="4" t="b">
        <f>Table2[[#This Row],[field_fate_feb]]=Table2[[#This Row],[field_fate10]]</f>
        <v>0</v>
      </c>
      <c r="AL506" s="43" t="s">
        <v>24</v>
      </c>
      <c r="AM506" s="43" t="b">
        <f>Table2[[#This Row],[cam_fate2]]="NA"</f>
        <v>1</v>
      </c>
      <c r="AN506" s="19" t="str">
        <f>Table2[[#This Row],[cam_fate1]]</f>
        <v>NA</v>
      </c>
      <c r="AO506" s="2" t="s">
        <v>25</v>
      </c>
      <c r="AP506" s="5" t="str">
        <f>Table2[[#This Row],[final_fate1]]</f>
        <v>S</v>
      </c>
      <c r="AQ506" s="6">
        <v>7</v>
      </c>
      <c r="AR506" s="7">
        <v>7</v>
      </c>
      <c r="AS506" s="7">
        <f>Table2[[#This Row],[final_obs_date]]-Table2[[#This Row],[init_date]]</f>
        <v>7</v>
      </c>
      <c r="AT506" s="7">
        <f>(Table2[[#This Row],[final_obs_date2]]-Table2[[#This Row],[estHD]])+16</f>
        <v>4</v>
      </c>
      <c r="AU506" s="38">
        <v>5</v>
      </c>
      <c r="AV506" s="33">
        <v>5</v>
      </c>
      <c r="AW506" s="33">
        <f>Table2[[#This Row],[final_obs_date2]]-Table2[[#This Row],[pen_obs_date]]</f>
        <v>39</v>
      </c>
      <c r="AX506" s="67">
        <v>39</v>
      </c>
      <c r="AY506" s="6">
        <f>Table2[[#This Row],[final_obs_date]]</f>
        <v>39</v>
      </c>
      <c r="AZ506" s="6"/>
      <c r="BA506" s="91" t="s">
        <v>47</v>
      </c>
      <c r="BB506" s="6" t="b">
        <f>Table2[[#This Row],[final_obs_date]]&lt;(Table2[[#This Row],[estHD]]-2)</f>
        <v>1</v>
      </c>
      <c r="BC506" s="24">
        <f>IF(Table2[[#This Row],[field_fate]]="H",1,0)</f>
        <v>0</v>
      </c>
      <c r="BD506" s="16">
        <f>IF(Table2[[#This Row],[cam_fate2]]="H",1,0)</f>
        <v>0</v>
      </c>
      <c r="BE506" s="6" t="b">
        <f>NOT(Table2[[#This Row],[HF_C]]=Table2[[#This Row],[HF]])</f>
        <v>0</v>
      </c>
      <c r="BF506" s="6" t="b">
        <f>NOT(Table2[[#This Row],[cam_fate2]]=Table2[[#This Row],[field_fate3]])</f>
        <v>1</v>
      </c>
      <c r="BG506" s="6" t="b">
        <f>OR(Table2[[#This Row],[field_fate3]]="U",Table2[[#This Row],[field_fate3]]="U-H")</f>
        <v>0</v>
      </c>
      <c r="BH506" s="8">
        <v>34</v>
      </c>
      <c r="BI506" s="8">
        <v>34</v>
      </c>
      <c r="BJ506" s="14">
        <f>IF(ISTEXT(Table2[[#This Row],[j.cam]]),Table2[[#This Row],[j]],Table2[[#This Row],[j.cam]])</f>
        <v>34</v>
      </c>
      <c r="BK506" s="9">
        <v>39</v>
      </c>
      <c r="BL506" s="15">
        <f>IF(ISTEXT(Table2[[#This Row],[k.cam]]), Table2[[#This Row],[k]], Table2[[#This Row],[k.cam]])</f>
        <v>39</v>
      </c>
      <c r="BM506" s="4" t="s">
        <v>24</v>
      </c>
      <c r="BN506" s="8" t="s">
        <v>24</v>
      </c>
      <c r="BO506" s="4">
        <v>2</v>
      </c>
      <c r="BP506" s="4">
        <f>Table2[[#This Row],[final_obs_date]]-Table2[[#This Row],[i]]</f>
        <v>5</v>
      </c>
      <c r="BQ506" s="4" t="b">
        <f>Table2[[#This Row],[final_obs_date2]]&gt;Table2[[#This Row],[estHD]]+3</f>
        <v>0</v>
      </c>
      <c r="BR506" s="4" t="s">
        <v>33</v>
      </c>
      <c r="BS506" s="4" t="s">
        <v>45</v>
      </c>
      <c r="BT506" s="79" t="s">
        <v>1323</v>
      </c>
      <c r="BU506" s="26" t="s">
        <v>87</v>
      </c>
      <c r="BV506" s="79" t="s">
        <v>1464</v>
      </c>
      <c r="BW506" s="49"/>
      <c r="BX506" s="47"/>
      <c r="BY506" s="36" t="s">
        <v>807</v>
      </c>
    </row>
    <row r="507" spans="1:77" hidden="1" x14ac:dyDescent="0.35">
      <c r="A507" s="64">
        <v>30024</v>
      </c>
      <c r="B507" s="2" t="s">
        <v>35</v>
      </c>
      <c r="C507" s="46">
        <v>2021</v>
      </c>
      <c r="D507" s="3">
        <v>29.769680000000001</v>
      </c>
      <c r="E507" s="3">
        <v>-93.171459999999996</v>
      </c>
      <c r="F507" s="3" t="s">
        <v>24</v>
      </c>
      <c r="G507" s="3" t="s">
        <v>24</v>
      </c>
      <c r="H507" s="3" t="s">
        <v>26</v>
      </c>
      <c r="I507" s="43"/>
      <c r="J507" s="55">
        <v>39</v>
      </c>
      <c r="K507" s="4">
        <v>39</v>
      </c>
      <c r="L507" s="22">
        <f>IF(ISNUMBER(Table2[[#This Row],[estHD]]),ABS(Table2[[#This Row],[HD]]-Table2[[#This Row],[estHD]]),"NA")</f>
        <v>0</v>
      </c>
      <c r="M507" s="4" t="b">
        <f>Table2[[#This Row],[HD]]=Table2[[#This Row],[estHD]]</f>
        <v>1</v>
      </c>
      <c r="N507" s="4" t="str">
        <f>IF(ISNUMBER([1]!Table2[[#This Row],[hatch_date]]),[1]!Table2[[#This Row],[hatch_date]]-19,"NA")</f>
        <v>NA</v>
      </c>
      <c r="O507" s="31">
        <v>20</v>
      </c>
      <c r="P507" s="23" t="e">
        <f>IF(ISNUMBER(Table2[[#This Row],[nest_age1]]),ABS(Table2[[#This Row],[nest_age1]]-Table2[[#This Row],[nest_age_feb]]),"NA")</f>
        <v>#VALUE!</v>
      </c>
      <c r="Q507" s="24">
        <f>IF(ISNUMBER(Table2[[#This Row],[final_obs_int2]]),ABS(Table2[[#This Row],[final_obs_int2]]-Table2[[#This Row],[final_obs_int_feb]]), "NA")</f>
        <v>0</v>
      </c>
      <c r="R507" s="24"/>
      <c r="S507" s="57" t="s">
        <v>88</v>
      </c>
      <c r="T507" s="57" t="str">
        <f>Table2[[#This Row],[camera_old]]</f>
        <v>N</v>
      </c>
      <c r="U507" s="24"/>
      <c r="V507" s="16" t="s">
        <v>24</v>
      </c>
      <c r="W507" s="16" t="s">
        <v>24</v>
      </c>
      <c r="X507" s="145">
        <v>3</v>
      </c>
      <c r="Y507" s="149" t="s">
        <v>90</v>
      </c>
      <c r="Z507" s="146" t="s">
        <v>90</v>
      </c>
      <c r="AA507" s="4" t="str">
        <f>Table2[[#This Row],[field_fate]]</f>
        <v>U</v>
      </c>
      <c r="AB507" s="4" t="str">
        <f>Table2[[#This Row],[field_fate2]]</f>
        <v>U</v>
      </c>
      <c r="AC507" s="4" t="str">
        <f>Table2[[#This Row],[field_fate3]]</f>
        <v>U</v>
      </c>
      <c r="AD507" s="4" t="str">
        <f>Table2[[#This Row],[field_fate4]]</f>
        <v>U</v>
      </c>
      <c r="AE507" s="4" t="str">
        <f>Table2[[#This Row],[field_fate5]]</f>
        <v>U</v>
      </c>
      <c r="AF507" s="4" t="str">
        <f>Table2[[#This Row],[field_fate5]]</f>
        <v>U</v>
      </c>
      <c r="AG507" s="4" t="str">
        <f>Table2[[#This Row],[field_fate5]]</f>
        <v>U</v>
      </c>
      <c r="AH507" s="4" t="str">
        <f>Table2[[#This Row],[field_fate2]]</f>
        <v>U</v>
      </c>
      <c r="AI507" s="4" t="str">
        <f>Table2[[#This Row],[field_fate8]]</f>
        <v>U</v>
      </c>
      <c r="AJ507" s="4" t="str">
        <f>Table2[[#This Row],[field_fate10]]</f>
        <v>U</v>
      </c>
      <c r="AK507" s="4" t="b">
        <f>Table2[[#This Row],[field_fate_feb]]=Table2[[#This Row],[field_fate10]]</f>
        <v>1</v>
      </c>
      <c r="AL507" s="43" t="s">
        <v>24</v>
      </c>
      <c r="AM507" s="43" t="b">
        <f>Table2[[#This Row],[cam_fate2]]="NA"</f>
        <v>1</v>
      </c>
      <c r="AN507" s="19" t="str">
        <f>Table2[[#This Row],[cam_fate1]]</f>
        <v>NA</v>
      </c>
      <c r="AO507" s="2" t="s">
        <v>90</v>
      </c>
      <c r="AP507" s="5" t="str">
        <f>Table2[[#This Row],[final_fate1]]</f>
        <v>U</v>
      </c>
      <c r="AQ507" s="6">
        <v>22</v>
      </c>
      <c r="AR507" s="7">
        <v>22</v>
      </c>
      <c r="AS507" s="7">
        <f>Table2[[#This Row],[final_obs_date]]-Table2[[#This Row],[init_date]]</f>
        <v>22</v>
      </c>
      <c r="AT507" s="7">
        <f>(Table2[[#This Row],[final_obs_date2]]-Table2[[#This Row],[estHD]])+16</f>
        <v>19</v>
      </c>
      <c r="AU507" s="38">
        <v>3</v>
      </c>
      <c r="AV507" s="33">
        <v>3</v>
      </c>
      <c r="AW507" s="33">
        <f>Table2[[#This Row],[final_obs_date2]]-Table2[[#This Row],[pen_obs_date]]</f>
        <v>42</v>
      </c>
      <c r="AX507" s="67">
        <v>42</v>
      </c>
      <c r="AY507" s="6">
        <f>Table2[[#This Row],[final_obs_date]]</f>
        <v>42</v>
      </c>
      <c r="AZ507" s="6"/>
      <c r="BA507" s="91" t="s">
        <v>47</v>
      </c>
      <c r="BB507" s="6" t="b">
        <f>Table2[[#This Row],[final_obs_date]]&lt;(Table2[[#This Row],[estHD]]-2)</f>
        <v>0</v>
      </c>
      <c r="BC507" s="24">
        <f>IF(Table2[[#This Row],[field_fate]]="H",1,0)</f>
        <v>0</v>
      </c>
      <c r="BD507" s="16">
        <f>IF(Table2[[#This Row],[cam_fate2]]="H",1,0)</f>
        <v>0</v>
      </c>
      <c r="BE507" s="6" t="b">
        <f>NOT(Table2[[#This Row],[HF_C]]=Table2[[#This Row],[HF]])</f>
        <v>0</v>
      </c>
      <c r="BF507" s="6" t="b">
        <f>NOT(Table2[[#This Row],[cam_fate2]]=Table2[[#This Row],[field_fate3]])</f>
        <v>1</v>
      </c>
      <c r="BG507" s="6" t="b">
        <f>OR(Table2[[#This Row],[field_fate3]]="U",Table2[[#This Row],[field_fate3]]="U-H")</f>
        <v>1</v>
      </c>
      <c r="BH507" s="8">
        <v>34</v>
      </c>
      <c r="BI507" s="8">
        <v>39</v>
      </c>
      <c r="BJ507" s="14">
        <f>IF(ISTEXT(Table2[[#This Row],[j.cam]]),Table2[[#This Row],[j]],Table2[[#This Row],[j.cam]])</f>
        <v>39</v>
      </c>
      <c r="BK507" s="9">
        <v>42</v>
      </c>
      <c r="BL507" s="15">
        <f>IF(ISTEXT(Table2[[#This Row],[k.cam]]), Table2[[#This Row],[k]], Table2[[#This Row],[k.cam]])</f>
        <v>42</v>
      </c>
      <c r="BM507" s="4" t="s">
        <v>24</v>
      </c>
      <c r="BN507" s="8" t="s">
        <v>24</v>
      </c>
      <c r="BO507" s="4">
        <v>3</v>
      </c>
      <c r="BP507" s="4">
        <f>Table2[[#This Row],[final_obs_date]]-Table2[[#This Row],[i]]</f>
        <v>8</v>
      </c>
      <c r="BQ507" s="4" t="b">
        <f>Table2[[#This Row],[final_obs_date2]]&gt;Table2[[#This Row],[estHD]]+3</f>
        <v>0</v>
      </c>
      <c r="BR507" s="4" t="s">
        <v>27</v>
      </c>
      <c r="BS507" s="4" t="s">
        <v>90</v>
      </c>
      <c r="BT507" s="79" t="s">
        <v>1324</v>
      </c>
      <c r="BU507" s="26" t="s">
        <v>364</v>
      </c>
      <c r="BV507" s="79" t="s">
        <v>1434</v>
      </c>
      <c r="BW507" s="49"/>
      <c r="BX507" s="47"/>
      <c r="BY507" s="36" t="s">
        <v>811</v>
      </c>
    </row>
    <row r="508" spans="1:77" hidden="1" x14ac:dyDescent="0.35">
      <c r="A508" s="64">
        <v>30025</v>
      </c>
      <c r="B508" s="2" t="s">
        <v>122</v>
      </c>
      <c r="C508" s="46">
        <v>2021</v>
      </c>
      <c r="D508" s="3">
        <v>29.758569999999999</v>
      </c>
      <c r="E508" s="3">
        <v>-93.118600000000001</v>
      </c>
      <c r="F508" s="3" t="s">
        <v>24</v>
      </c>
      <c r="G508" s="3" t="s">
        <v>24</v>
      </c>
      <c r="H508" s="3" t="s">
        <v>354</v>
      </c>
      <c r="I508" s="43"/>
      <c r="J508" s="55">
        <v>50</v>
      </c>
      <c r="K508" s="4">
        <v>50</v>
      </c>
      <c r="L508" s="22">
        <f>IF(ISNUMBER(Table2[[#This Row],[estHD]]),ABS(Table2[[#This Row],[HD]]-Table2[[#This Row],[estHD]]),"NA")</f>
        <v>0</v>
      </c>
      <c r="M508" s="4" t="b">
        <f>Table2[[#This Row],[HD]]=Table2[[#This Row],[estHD]]</f>
        <v>1</v>
      </c>
      <c r="N508" s="4" t="str">
        <f>IF(ISNUMBER([1]!Table2[[#This Row],[hatch_date]]),[1]!Table2[[#This Row],[hatch_date]]-19,"NA")</f>
        <v>NA</v>
      </c>
      <c r="O508" s="31">
        <v>31</v>
      </c>
      <c r="P508" s="23">
        <f>IF(ISNUMBER(Table2[[#This Row],[nest_age1]]),ABS(Table2[[#This Row],[nest_age1]]-Table2[[#This Row],[nest_age_feb]]),"NA")</f>
        <v>0</v>
      </c>
      <c r="Q508" s="24">
        <f>IF(ISNUMBER(Table2[[#This Row],[final_obs_int2]]),ABS(Table2[[#This Row],[final_obs_int2]]-Table2[[#This Row],[final_obs_int_feb]]), "NA")</f>
        <v>0</v>
      </c>
      <c r="R508" s="24"/>
      <c r="S508" s="57" t="s">
        <v>88</v>
      </c>
      <c r="T508" s="57" t="str">
        <f>Table2[[#This Row],[camera_old]]</f>
        <v>N</v>
      </c>
      <c r="U508" s="24"/>
      <c r="V508" s="16" t="s">
        <v>24</v>
      </c>
      <c r="W508" s="16">
        <v>8</v>
      </c>
      <c r="X508" s="145">
        <v>4</v>
      </c>
      <c r="Y508" s="147" t="s">
        <v>31</v>
      </c>
      <c r="Z508" s="146" t="s">
        <v>31</v>
      </c>
      <c r="AA508" s="4" t="str">
        <f>Table2[[#This Row],[field_fate]]</f>
        <v>D</v>
      </c>
      <c r="AB508" s="4" t="str">
        <f>Table2[[#This Row],[field_fate2]]</f>
        <v>D</v>
      </c>
      <c r="AC508" s="4" t="str">
        <f>Table2[[#This Row],[field_fate3]]</f>
        <v>D</v>
      </c>
      <c r="AD508" s="4" t="str">
        <f>Table2[[#This Row],[field_fate4]]</f>
        <v>D</v>
      </c>
      <c r="AE508" s="4" t="str">
        <f>Table2[[#This Row],[field_fate5]]</f>
        <v>D</v>
      </c>
      <c r="AF508" s="4" t="str">
        <f>Table2[[#This Row],[field_fate5]]</f>
        <v>D</v>
      </c>
      <c r="AG508" s="4" t="str">
        <f>Table2[[#This Row],[field_fate5]]</f>
        <v>D</v>
      </c>
      <c r="AH508" s="4" t="str">
        <f>Table2[[#This Row],[field_fate2]]</f>
        <v>D</v>
      </c>
      <c r="AI508" s="4" t="str">
        <f>Table2[[#This Row],[field_fate8]]</f>
        <v>D</v>
      </c>
      <c r="AJ508" s="4" t="str">
        <f>Table2[[#This Row],[field_fate10]]</f>
        <v>D</v>
      </c>
      <c r="AK508" s="4" t="b">
        <f>Table2[[#This Row],[field_fate_feb]]=Table2[[#This Row],[field_fate10]]</f>
        <v>1</v>
      </c>
      <c r="AL508" s="43" t="s">
        <v>24</v>
      </c>
      <c r="AM508" s="43" t="b">
        <f>Table2[[#This Row],[cam_fate2]]="NA"</f>
        <v>1</v>
      </c>
      <c r="AN508" s="19" t="str">
        <f>Table2[[#This Row],[cam_fate1]]</f>
        <v>NA</v>
      </c>
      <c r="AO508" s="2" t="s">
        <v>31</v>
      </c>
      <c r="AP508" s="5" t="str">
        <f>Table2[[#This Row],[final_fate1]]</f>
        <v>D</v>
      </c>
      <c r="AQ508" s="6">
        <v>8</v>
      </c>
      <c r="AR508" s="7">
        <v>8</v>
      </c>
      <c r="AS508" s="7">
        <f>Table2[[#This Row],[final_obs_date]]-Table2[[#This Row],[init_date]]</f>
        <v>8</v>
      </c>
      <c r="AT508" s="7">
        <f>(Table2[[#This Row],[final_obs_date2]]-Table2[[#This Row],[estHD]])+16</f>
        <v>5</v>
      </c>
      <c r="AU508" s="38">
        <v>4</v>
      </c>
      <c r="AV508" s="33">
        <v>4</v>
      </c>
      <c r="AW508" s="33">
        <f>Table2[[#This Row],[final_obs_date2]]-Table2[[#This Row],[pen_obs_date]]</f>
        <v>39</v>
      </c>
      <c r="AX508" s="67">
        <v>39</v>
      </c>
      <c r="AY508" s="6">
        <f>Table2[[#This Row],[final_obs_date]]</f>
        <v>39</v>
      </c>
      <c r="AZ508" s="6"/>
      <c r="BA508" s="91" t="s">
        <v>47</v>
      </c>
      <c r="BB508" s="6" t="b">
        <f>Table2[[#This Row],[final_obs_date]]&lt;(Table2[[#This Row],[estHD]]-2)</f>
        <v>1</v>
      </c>
      <c r="BC508" s="24">
        <f>IF(Table2[[#This Row],[field_fate]]="H",1,0)</f>
        <v>0</v>
      </c>
      <c r="BD508" s="16">
        <f>IF(Table2[[#This Row],[cam_fate2]]="H",1,0)</f>
        <v>0</v>
      </c>
      <c r="BE508" s="6" t="b">
        <f>NOT(Table2[[#This Row],[HF_C]]=Table2[[#This Row],[HF]])</f>
        <v>0</v>
      </c>
      <c r="BF508" s="6" t="b">
        <f>NOT(Table2[[#This Row],[cam_fate2]]=Table2[[#This Row],[field_fate3]])</f>
        <v>1</v>
      </c>
      <c r="BG508" s="6" t="b">
        <f>OR(Table2[[#This Row],[field_fate3]]="U",Table2[[#This Row],[field_fate3]]="U-H")</f>
        <v>0</v>
      </c>
      <c r="BH508" s="8">
        <v>35</v>
      </c>
      <c r="BI508" s="8">
        <v>35</v>
      </c>
      <c r="BJ508" s="14">
        <f>IF(ISTEXT(Table2[[#This Row],[j.cam]]),Table2[[#This Row],[j]],Table2[[#This Row],[j.cam]])</f>
        <v>35</v>
      </c>
      <c r="BK508" s="9">
        <v>39</v>
      </c>
      <c r="BL508" s="15">
        <f>IF(ISTEXT(Table2[[#This Row],[k.cam]]), Table2[[#This Row],[k]], Table2[[#This Row],[k.cam]])</f>
        <v>39</v>
      </c>
      <c r="BM508" s="4" t="s">
        <v>24</v>
      </c>
      <c r="BN508" s="8" t="s">
        <v>24</v>
      </c>
      <c r="BO508" s="4">
        <v>2</v>
      </c>
      <c r="BP508" s="4">
        <f>Table2[[#This Row],[final_obs_date]]-Table2[[#This Row],[i]]</f>
        <v>4</v>
      </c>
      <c r="BQ508" s="4" t="b">
        <f>Table2[[#This Row],[final_obs_date2]]&gt;Table2[[#This Row],[estHD]]+3</f>
        <v>0</v>
      </c>
      <c r="BR508" s="4" t="s">
        <v>33</v>
      </c>
      <c r="BS508" s="4" t="s">
        <v>45</v>
      </c>
      <c r="BT508" s="79" t="s">
        <v>1325</v>
      </c>
      <c r="BU508" s="26" t="s">
        <v>87</v>
      </c>
      <c r="BV508" s="79" t="s">
        <v>1429</v>
      </c>
      <c r="BW508" s="49"/>
      <c r="BX508" s="47"/>
      <c r="BY508" s="36" t="s">
        <v>24</v>
      </c>
    </row>
    <row r="509" spans="1:77" hidden="1" x14ac:dyDescent="0.35">
      <c r="A509" s="64">
        <v>30026</v>
      </c>
      <c r="B509" s="2" t="s">
        <v>122</v>
      </c>
      <c r="C509" s="46">
        <v>2021</v>
      </c>
      <c r="D509" s="3">
        <v>29.75835</v>
      </c>
      <c r="E509" s="3">
        <v>-93.118520000000004</v>
      </c>
      <c r="F509" s="3" t="s">
        <v>24</v>
      </c>
      <c r="G509" s="3" t="s">
        <v>24</v>
      </c>
      <c r="H509" s="3" t="s">
        <v>354</v>
      </c>
      <c r="I509" s="43"/>
      <c r="J509" s="55">
        <v>44</v>
      </c>
      <c r="K509" s="4">
        <v>44</v>
      </c>
      <c r="L509" s="22">
        <f>IF(ISNUMBER(Table2[[#This Row],[estHD]]),ABS(Table2[[#This Row],[HD]]-Table2[[#This Row],[estHD]]),"NA")</f>
        <v>0</v>
      </c>
      <c r="M509" s="4" t="b">
        <f>Table2[[#This Row],[HD]]=Table2[[#This Row],[estHD]]</f>
        <v>1</v>
      </c>
      <c r="N509" s="4" t="str">
        <f>IF(ISNUMBER([1]!Table2[[#This Row],[hatch_date]]),[1]!Table2[[#This Row],[hatch_date]]-19,"NA")</f>
        <v>NA</v>
      </c>
      <c r="O509" s="31">
        <v>25</v>
      </c>
      <c r="P509" s="23">
        <f>IF(ISNUMBER(Table2[[#This Row],[nest_age1]]),ABS(Table2[[#This Row],[nest_age1]]-Table2[[#This Row],[nest_age_feb]]),"NA")</f>
        <v>0</v>
      </c>
      <c r="Q509" s="24">
        <f>IF(ISNUMBER(Table2[[#This Row],[final_obs_int2]]),ABS(Table2[[#This Row],[final_obs_int2]]-Table2[[#This Row],[final_obs_int_feb]]), "NA")</f>
        <v>0</v>
      </c>
      <c r="R509" s="24"/>
      <c r="S509" s="57" t="s">
        <v>88</v>
      </c>
      <c r="T509" s="57" t="str">
        <f>Table2[[#This Row],[camera_old]]</f>
        <v>N</v>
      </c>
      <c r="U509" s="24"/>
      <c r="V509" s="16" t="s">
        <v>24</v>
      </c>
      <c r="W509" s="16">
        <v>14</v>
      </c>
      <c r="X509" s="145">
        <v>4</v>
      </c>
      <c r="Y509" s="147" t="s">
        <v>31</v>
      </c>
      <c r="Z509" s="146" t="s">
        <v>31</v>
      </c>
      <c r="AA509" s="4" t="str">
        <f>Table2[[#This Row],[field_fate]]</f>
        <v>D</v>
      </c>
      <c r="AB509" s="4" t="str">
        <f>Table2[[#This Row],[field_fate2]]</f>
        <v>D</v>
      </c>
      <c r="AC509" s="4" t="str">
        <f>Table2[[#This Row],[field_fate3]]</f>
        <v>D</v>
      </c>
      <c r="AD509" s="4" t="str">
        <f>Table2[[#This Row],[field_fate4]]</f>
        <v>D</v>
      </c>
      <c r="AE509" s="4" t="str">
        <f>Table2[[#This Row],[field_fate5]]</f>
        <v>D</v>
      </c>
      <c r="AF509" s="4" t="str">
        <f>Table2[[#This Row],[field_fate5]]</f>
        <v>D</v>
      </c>
      <c r="AG509" s="4" t="str">
        <f>Table2[[#This Row],[field_fate5]]</f>
        <v>D</v>
      </c>
      <c r="AH509" s="4" t="str">
        <f>Table2[[#This Row],[field_fate2]]</f>
        <v>D</v>
      </c>
      <c r="AI509" s="4" t="str">
        <f>Table2[[#This Row],[field_fate8]]</f>
        <v>D</v>
      </c>
      <c r="AJ509" s="4" t="str">
        <f>Table2[[#This Row],[field_fate10]]</f>
        <v>D</v>
      </c>
      <c r="AK509" s="4" t="b">
        <f>Table2[[#This Row],[field_fate_feb]]=Table2[[#This Row],[field_fate10]]</f>
        <v>1</v>
      </c>
      <c r="AL509" s="43" t="s">
        <v>24</v>
      </c>
      <c r="AM509" s="43" t="b">
        <f>Table2[[#This Row],[cam_fate2]]="NA"</f>
        <v>1</v>
      </c>
      <c r="AN509" s="19" t="str">
        <f>Table2[[#This Row],[cam_fate1]]</f>
        <v>NA</v>
      </c>
      <c r="AO509" s="2" t="s">
        <v>31</v>
      </c>
      <c r="AP509" s="5" t="str">
        <f>Table2[[#This Row],[final_fate1]]</f>
        <v>D</v>
      </c>
      <c r="AQ509" s="6">
        <v>14</v>
      </c>
      <c r="AR509" s="7">
        <v>14</v>
      </c>
      <c r="AS509" s="7">
        <f>Table2[[#This Row],[final_obs_date]]-Table2[[#This Row],[init_date]]</f>
        <v>14</v>
      </c>
      <c r="AT509" s="7">
        <f>(Table2[[#This Row],[final_obs_date2]]-Table2[[#This Row],[estHD]])+16</f>
        <v>11</v>
      </c>
      <c r="AU509" s="38">
        <v>4</v>
      </c>
      <c r="AV509" s="33">
        <v>4</v>
      </c>
      <c r="AW509" s="33">
        <f>Table2[[#This Row],[final_obs_date2]]-Table2[[#This Row],[pen_obs_date]]</f>
        <v>39</v>
      </c>
      <c r="AX509" s="67">
        <v>39</v>
      </c>
      <c r="AY509" s="6">
        <f>Table2[[#This Row],[final_obs_date]]</f>
        <v>39</v>
      </c>
      <c r="AZ509" s="6"/>
      <c r="BA509" s="91" t="s">
        <v>47</v>
      </c>
      <c r="BB509" s="6" t="b">
        <f>Table2[[#This Row],[final_obs_date]]&lt;(Table2[[#This Row],[estHD]]-2)</f>
        <v>1</v>
      </c>
      <c r="BC509" s="24">
        <f>IF(Table2[[#This Row],[field_fate]]="H",1,0)</f>
        <v>0</v>
      </c>
      <c r="BD509" s="16">
        <f>IF(Table2[[#This Row],[cam_fate2]]="H",1,0)</f>
        <v>0</v>
      </c>
      <c r="BE509" s="6" t="b">
        <f>NOT(Table2[[#This Row],[HF_C]]=Table2[[#This Row],[HF]])</f>
        <v>0</v>
      </c>
      <c r="BF509" s="6" t="b">
        <f>NOT(Table2[[#This Row],[cam_fate2]]=Table2[[#This Row],[field_fate3]])</f>
        <v>1</v>
      </c>
      <c r="BG509" s="6" t="b">
        <f>OR(Table2[[#This Row],[field_fate3]]="U",Table2[[#This Row],[field_fate3]]="U-H")</f>
        <v>0</v>
      </c>
      <c r="BH509" s="8">
        <v>35</v>
      </c>
      <c r="BI509" s="8">
        <v>35</v>
      </c>
      <c r="BJ509" s="14">
        <f>IF(ISTEXT(Table2[[#This Row],[j.cam]]),Table2[[#This Row],[j]],Table2[[#This Row],[j.cam]])</f>
        <v>35</v>
      </c>
      <c r="BK509" s="9">
        <v>39</v>
      </c>
      <c r="BL509" s="15">
        <f>IF(ISTEXT(Table2[[#This Row],[k.cam]]), Table2[[#This Row],[k]], Table2[[#This Row],[k.cam]])</f>
        <v>39</v>
      </c>
      <c r="BM509" s="4" t="s">
        <v>24</v>
      </c>
      <c r="BN509" s="8" t="s">
        <v>24</v>
      </c>
      <c r="BO509" s="4">
        <v>2</v>
      </c>
      <c r="BP509" s="4">
        <f>Table2[[#This Row],[final_obs_date]]-Table2[[#This Row],[i]]</f>
        <v>4</v>
      </c>
      <c r="BQ509" s="4" t="b">
        <f>Table2[[#This Row],[final_obs_date2]]&gt;Table2[[#This Row],[estHD]]+3</f>
        <v>0</v>
      </c>
      <c r="BR509" s="4" t="s">
        <v>33</v>
      </c>
      <c r="BS509" s="4" t="s">
        <v>45</v>
      </c>
      <c r="BT509" s="79" t="s">
        <v>1325</v>
      </c>
      <c r="BU509" s="26" t="s">
        <v>87</v>
      </c>
      <c r="BV509" s="79" t="s">
        <v>1429</v>
      </c>
      <c r="BW509" s="49"/>
      <c r="BX509" s="47"/>
      <c r="BY509" s="36" t="s">
        <v>24</v>
      </c>
    </row>
    <row r="510" spans="1:77" hidden="1" x14ac:dyDescent="0.35">
      <c r="A510" s="64">
        <v>30027</v>
      </c>
      <c r="B510" s="2" t="s">
        <v>122</v>
      </c>
      <c r="C510" s="46">
        <v>2021</v>
      </c>
      <c r="D510" s="3">
        <v>29.757390000000001</v>
      </c>
      <c r="E510" s="3">
        <v>-93.114069999999998</v>
      </c>
      <c r="F510" s="3" t="s">
        <v>24</v>
      </c>
      <c r="G510" s="3" t="s">
        <v>24</v>
      </c>
      <c r="H510" s="3" t="s">
        <v>354</v>
      </c>
      <c r="I510" s="43"/>
      <c r="J510" s="55">
        <v>46</v>
      </c>
      <c r="K510" s="4">
        <v>46</v>
      </c>
      <c r="L510" s="22">
        <f>IF(ISNUMBER(Table2[[#This Row],[estHD]]),ABS(Table2[[#This Row],[HD]]-Table2[[#This Row],[estHD]]),"NA")</f>
        <v>0</v>
      </c>
      <c r="M510" s="4" t="b">
        <f>Table2[[#This Row],[HD]]=Table2[[#This Row],[estHD]]</f>
        <v>1</v>
      </c>
      <c r="N510" s="4" t="str">
        <f>IF(ISNUMBER([1]!Table2[[#This Row],[hatch_date]]),[1]!Table2[[#This Row],[hatch_date]]-19,"NA")</f>
        <v>NA</v>
      </c>
      <c r="O510" s="31">
        <v>27</v>
      </c>
      <c r="P510" s="23">
        <f>IF(ISNUMBER(Table2[[#This Row],[nest_age1]]),ABS(Table2[[#This Row],[nest_age1]]-Table2[[#This Row],[nest_age_feb]]),"NA")</f>
        <v>0</v>
      </c>
      <c r="Q510" s="24">
        <f>IF(ISNUMBER(Table2[[#This Row],[final_obs_int2]]),ABS(Table2[[#This Row],[final_obs_int2]]-Table2[[#This Row],[final_obs_int_feb]]), "NA")</f>
        <v>0</v>
      </c>
      <c r="R510" s="24"/>
      <c r="S510" s="57" t="s">
        <v>88</v>
      </c>
      <c r="T510" s="57" t="str">
        <f>Table2[[#This Row],[camera_old]]</f>
        <v>N</v>
      </c>
      <c r="U510" s="24"/>
      <c r="V510" s="16" t="s">
        <v>24</v>
      </c>
      <c r="W510" s="16">
        <v>12</v>
      </c>
      <c r="X510" s="145">
        <v>4</v>
      </c>
      <c r="Y510" s="147" t="s">
        <v>31</v>
      </c>
      <c r="Z510" s="146" t="s">
        <v>31</v>
      </c>
      <c r="AA510" s="4" t="str">
        <f>Table2[[#This Row],[field_fate]]</f>
        <v>D</v>
      </c>
      <c r="AB510" s="4" t="str">
        <f>Table2[[#This Row],[field_fate2]]</f>
        <v>D</v>
      </c>
      <c r="AC510" s="4" t="str">
        <f>Table2[[#This Row],[field_fate3]]</f>
        <v>D</v>
      </c>
      <c r="AD510" s="4" t="str">
        <f>Table2[[#This Row],[field_fate4]]</f>
        <v>D</v>
      </c>
      <c r="AE510" s="4" t="str">
        <f>Table2[[#This Row],[field_fate5]]</f>
        <v>D</v>
      </c>
      <c r="AF510" s="4" t="str">
        <f>Table2[[#This Row],[field_fate5]]</f>
        <v>D</v>
      </c>
      <c r="AG510" s="4" t="str">
        <f>Table2[[#This Row],[field_fate5]]</f>
        <v>D</v>
      </c>
      <c r="AH510" s="4" t="str">
        <f>Table2[[#This Row],[field_fate2]]</f>
        <v>D</v>
      </c>
      <c r="AI510" s="4" t="str">
        <f>Table2[[#This Row],[field_fate8]]</f>
        <v>D</v>
      </c>
      <c r="AJ510" s="4" t="str">
        <f>Table2[[#This Row],[field_fate10]]</f>
        <v>D</v>
      </c>
      <c r="AK510" s="4" t="b">
        <f>Table2[[#This Row],[field_fate_feb]]=Table2[[#This Row],[field_fate10]]</f>
        <v>1</v>
      </c>
      <c r="AL510" s="43" t="s">
        <v>24</v>
      </c>
      <c r="AM510" s="43" t="b">
        <f>Table2[[#This Row],[cam_fate2]]="NA"</f>
        <v>1</v>
      </c>
      <c r="AN510" s="19" t="str">
        <f>Table2[[#This Row],[cam_fate1]]</f>
        <v>NA</v>
      </c>
      <c r="AO510" s="2" t="s">
        <v>31</v>
      </c>
      <c r="AP510" s="5" t="str">
        <f>Table2[[#This Row],[final_fate1]]</f>
        <v>D</v>
      </c>
      <c r="AQ510" s="6">
        <v>12</v>
      </c>
      <c r="AR510" s="7">
        <v>12</v>
      </c>
      <c r="AS510" s="7">
        <f>Table2[[#This Row],[final_obs_date]]-Table2[[#This Row],[init_date]]</f>
        <v>12</v>
      </c>
      <c r="AT510" s="7">
        <f>(Table2[[#This Row],[final_obs_date2]]-Table2[[#This Row],[estHD]])+16</f>
        <v>9</v>
      </c>
      <c r="AU510" s="38">
        <v>4</v>
      </c>
      <c r="AV510" s="33">
        <v>4</v>
      </c>
      <c r="AW510" s="33">
        <f>Table2[[#This Row],[final_obs_date2]]-Table2[[#This Row],[pen_obs_date]]</f>
        <v>39</v>
      </c>
      <c r="AX510" s="67">
        <v>39</v>
      </c>
      <c r="AY510" s="6">
        <f>Table2[[#This Row],[final_obs_date]]</f>
        <v>39</v>
      </c>
      <c r="AZ510" s="6"/>
      <c r="BA510" s="91" t="s">
        <v>47</v>
      </c>
      <c r="BB510" s="6" t="b">
        <f>Table2[[#This Row],[final_obs_date]]&lt;(Table2[[#This Row],[estHD]]-2)</f>
        <v>1</v>
      </c>
      <c r="BC510" s="24">
        <f>IF(Table2[[#This Row],[field_fate]]="H",1,0)</f>
        <v>0</v>
      </c>
      <c r="BD510" s="16">
        <f>IF(Table2[[#This Row],[cam_fate2]]="H",1,0)</f>
        <v>0</v>
      </c>
      <c r="BE510" s="6" t="b">
        <f>NOT(Table2[[#This Row],[HF_C]]=Table2[[#This Row],[HF]])</f>
        <v>0</v>
      </c>
      <c r="BF510" s="6" t="b">
        <f>NOT(Table2[[#This Row],[cam_fate2]]=Table2[[#This Row],[field_fate3]])</f>
        <v>1</v>
      </c>
      <c r="BG510" s="6" t="b">
        <f>OR(Table2[[#This Row],[field_fate3]]="U",Table2[[#This Row],[field_fate3]]="U-H")</f>
        <v>0</v>
      </c>
      <c r="BH510" s="8">
        <v>35</v>
      </c>
      <c r="BI510" s="8">
        <v>35</v>
      </c>
      <c r="BJ510" s="14">
        <f>IF(ISTEXT(Table2[[#This Row],[j.cam]]),Table2[[#This Row],[j]],Table2[[#This Row],[j.cam]])</f>
        <v>35</v>
      </c>
      <c r="BK510" s="9">
        <v>39</v>
      </c>
      <c r="BL510" s="15">
        <f>IF(ISTEXT(Table2[[#This Row],[k.cam]]), Table2[[#This Row],[k]], Table2[[#This Row],[k.cam]])</f>
        <v>39</v>
      </c>
      <c r="BM510" s="4" t="s">
        <v>24</v>
      </c>
      <c r="BN510" s="8" t="s">
        <v>24</v>
      </c>
      <c r="BO510" s="4">
        <v>2</v>
      </c>
      <c r="BP510" s="4">
        <f>Table2[[#This Row],[final_obs_date]]-Table2[[#This Row],[i]]</f>
        <v>4</v>
      </c>
      <c r="BQ510" s="4" t="b">
        <f>Table2[[#This Row],[final_obs_date2]]&gt;Table2[[#This Row],[estHD]]+3</f>
        <v>0</v>
      </c>
      <c r="BR510" s="4" t="s">
        <v>33</v>
      </c>
      <c r="BS510" s="4" t="s">
        <v>45</v>
      </c>
      <c r="BT510" s="79" t="s">
        <v>1325</v>
      </c>
      <c r="BU510" s="26" t="s">
        <v>87</v>
      </c>
      <c r="BV510" s="79" t="s">
        <v>1429</v>
      </c>
      <c r="BW510" s="49"/>
      <c r="BX510" s="47"/>
      <c r="BY510" s="36" t="s">
        <v>24</v>
      </c>
    </row>
    <row r="511" spans="1:77" hidden="1" x14ac:dyDescent="0.35">
      <c r="A511" s="64">
        <v>30028</v>
      </c>
      <c r="B511" s="2" t="s">
        <v>122</v>
      </c>
      <c r="C511" s="46">
        <v>2021</v>
      </c>
      <c r="D511" s="3">
        <v>29.756740000000001</v>
      </c>
      <c r="E511" s="3">
        <v>-93.111270000000005</v>
      </c>
      <c r="F511" s="3" t="s">
        <v>24</v>
      </c>
      <c r="G511" s="3" t="s">
        <v>24</v>
      </c>
      <c r="H511" s="3" t="s">
        <v>354</v>
      </c>
      <c r="I511" s="43"/>
      <c r="J511" s="55">
        <v>39</v>
      </c>
      <c r="K511" s="4">
        <v>39</v>
      </c>
      <c r="L511" s="22">
        <f>IF(ISNUMBER(Table2[[#This Row],[estHD]]),ABS(Table2[[#This Row],[HD]]-Table2[[#This Row],[estHD]]),"NA")</f>
        <v>0</v>
      </c>
      <c r="M511" s="4" t="b">
        <f>Table2[[#This Row],[HD]]=Table2[[#This Row],[estHD]]</f>
        <v>1</v>
      </c>
      <c r="N511" s="4" t="str">
        <f>IF(ISNUMBER([1]!Table2[[#This Row],[hatch_date]]),[1]!Table2[[#This Row],[hatch_date]]-19,"NA")</f>
        <v>NA</v>
      </c>
      <c r="O511" s="31">
        <v>20</v>
      </c>
      <c r="P511" s="23" t="e">
        <f>IF(ISNUMBER(Table2[[#This Row],[nest_age1]]),ABS(Table2[[#This Row],[nest_age1]]-Table2[[#This Row],[nest_age_feb]]),"NA")</f>
        <v>#VALUE!</v>
      </c>
      <c r="Q511" s="24">
        <f>IF(ISNUMBER(Table2[[#This Row],[final_obs_int2]]),ABS(Table2[[#This Row],[final_obs_int2]]-Table2[[#This Row],[final_obs_int_feb]]), "NA")</f>
        <v>0</v>
      </c>
      <c r="R511" s="24"/>
      <c r="S511" s="57" t="s">
        <v>88</v>
      </c>
      <c r="T511" s="57" t="str">
        <f>Table2[[#This Row],[camera_old]]</f>
        <v>N</v>
      </c>
      <c r="U511" s="24"/>
      <c r="V511" s="16" t="s">
        <v>24</v>
      </c>
      <c r="W511" s="16" t="s">
        <v>24</v>
      </c>
      <c r="X511" s="145">
        <v>4</v>
      </c>
      <c r="Y511" s="147" t="s">
        <v>90</v>
      </c>
      <c r="Z511" s="146" t="s">
        <v>90</v>
      </c>
      <c r="AA511" s="4" t="str">
        <f>Table2[[#This Row],[field_fate]]</f>
        <v>U</v>
      </c>
      <c r="AB511" s="4" t="str">
        <f>Table2[[#This Row],[field_fate2]]</f>
        <v>U</v>
      </c>
      <c r="AC511" s="4" t="str">
        <f>Table2[[#This Row],[field_fate3]]</f>
        <v>U</v>
      </c>
      <c r="AD511" s="4" t="str">
        <f>Table2[[#This Row],[field_fate4]]</f>
        <v>U</v>
      </c>
      <c r="AE511" s="4" t="str">
        <f>Table2[[#This Row],[field_fate5]]</f>
        <v>U</v>
      </c>
      <c r="AF511" s="4" t="str">
        <f>Table2[[#This Row],[field_fate5]]</f>
        <v>U</v>
      </c>
      <c r="AG511" s="4" t="str">
        <f>Table2[[#This Row],[field_fate5]]</f>
        <v>U</v>
      </c>
      <c r="AH511" s="4" t="str">
        <f>Table2[[#This Row],[field_fate2]]</f>
        <v>U</v>
      </c>
      <c r="AI511" s="4" t="str">
        <f>Table2[[#This Row],[field_fate8]]</f>
        <v>U</v>
      </c>
      <c r="AJ511" s="4" t="str">
        <f>Table2[[#This Row],[field_fate10]]</f>
        <v>U</v>
      </c>
      <c r="AK511" s="4" t="b">
        <f>Table2[[#This Row],[field_fate_feb]]=Table2[[#This Row],[field_fate10]]</f>
        <v>1</v>
      </c>
      <c r="AL511" s="43" t="s">
        <v>24</v>
      </c>
      <c r="AM511" s="43" t="b">
        <f>Table2[[#This Row],[cam_fate2]]="NA"</f>
        <v>1</v>
      </c>
      <c r="AN511" s="19" t="str">
        <f>Table2[[#This Row],[cam_fate1]]</f>
        <v>NA</v>
      </c>
      <c r="AO511" s="2" t="s">
        <v>90</v>
      </c>
      <c r="AP511" s="5" t="str">
        <f>Table2[[#This Row],[final_fate1]]</f>
        <v>U</v>
      </c>
      <c r="AQ511" s="6">
        <v>23</v>
      </c>
      <c r="AR511" s="7">
        <v>23</v>
      </c>
      <c r="AS511" s="7">
        <f>Table2[[#This Row],[final_obs_date]]-Table2[[#This Row],[init_date]]</f>
        <v>23</v>
      </c>
      <c r="AT511" s="7">
        <f>(Table2[[#This Row],[final_obs_date2]]-Table2[[#This Row],[estHD]])+16</f>
        <v>20</v>
      </c>
      <c r="AU511" s="38">
        <v>4</v>
      </c>
      <c r="AV511" s="33">
        <v>4</v>
      </c>
      <c r="AW511" s="33">
        <f>Table2[[#This Row],[final_obs_date2]]-Table2[[#This Row],[pen_obs_date]]</f>
        <v>43</v>
      </c>
      <c r="AX511" s="67">
        <v>43</v>
      </c>
      <c r="AY511" s="6">
        <f>Table2[[#This Row],[final_obs_date]]</f>
        <v>43</v>
      </c>
      <c r="AZ511" s="6"/>
      <c r="BA511" s="91" t="s">
        <v>47</v>
      </c>
      <c r="BB511" s="6" t="b">
        <f>Table2[[#This Row],[final_obs_date]]&lt;(Table2[[#This Row],[estHD]]-2)</f>
        <v>0</v>
      </c>
      <c r="BC511" s="24">
        <f>IF(Table2[[#This Row],[field_fate]]="H",1,0)</f>
        <v>0</v>
      </c>
      <c r="BD511" s="16">
        <f>IF(Table2[[#This Row],[cam_fate2]]="H",1,0)</f>
        <v>0</v>
      </c>
      <c r="BE511" s="6" t="b">
        <f>NOT(Table2[[#This Row],[HF_C]]=Table2[[#This Row],[HF]])</f>
        <v>0</v>
      </c>
      <c r="BF511" s="6" t="b">
        <f>NOT(Table2[[#This Row],[cam_fate2]]=Table2[[#This Row],[field_fate3]])</f>
        <v>1</v>
      </c>
      <c r="BG511" s="6" t="b">
        <f>OR(Table2[[#This Row],[field_fate3]]="U",Table2[[#This Row],[field_fate3]]="U-H")</f>
        <v>1</v>
      </c>
      <c r="BH511" s="8">
        <v>35</v>
      </c>
      <c r="BI511" s="8">
        <v>39</v>
      </c>
      <c r="BJ511" s="14">
        <f>IF(ISTEXT(Table2[[#This Row],[j.cam]]),Table2[[#This Row],[j]],Table2[[#This Row],[j.cam]])</f>
        <v>39</v>
      </c>
      <c r="BK511" s="9">
        <v>43</v>
      </c>
      <c r="BL511" s="15">
        <f>IF(ISTEXT(Table2[[#This Row],[k.cam]]), Table2[[#This Row],[k]], Table2[[#This Row],[k.cam]])</f>
        <v>43</v>
      </c>
      <c r="BM511" s="4" t="s">
        <v>24</v>
      </c>
      <c r="BN511" s="8" t="s">
        <v>24</v>
      </c>
      <c r="BO511" s="4">
        <v>3</v>
      </c>
      <c r="BP511" s="4">
        <f>Table2[[#This Row],[final_obs_date]]-Table2[[#This Row],[i]]</f>
        <v>8</v>
      </c>
      <c r="BQ511" s="4" t="b">
        <f>Table2[[#This Row],[final_obs_date2]]&gt;Table2[[#This Row],[estHD]]+3</f>
        <v>1</v>
      </c>
      <c r="BR511" s="4" t="s">
        <v>33</v>
      </c>
      <c r="BS511" s="4" t="s">
        <v>45</v>
      </c>
      <c r="BT511" s="79" t="s">
        <v>1326</v>
      </c>
      <c r="BU511" s="26" t="s">
        <v>132</v>
      </c>
      <c r="BV511" s="79" t="s">
        <v>1454</v>
      </c>
      <c r="BW511" s="49"/>
      <c r="BX511" s="47"/>
      <c r="BY511" s="36" t="s">
        <v>24</v>
      </c>
    </row>
    <row r="512" spans="1:77" hidden="1" x14ac:dyDescent="0.35">
      <c r="A512" s="64">
        <v>30029</v>
      </c>
      <c r="B512" s="2" t="s">
        <v>122</v>
      </c>
      <c r="C512" s="46">
        <v>2021</v>
      </c>
      <c r="D512" s="3">
        <v>29.756710000000002</v>
      </c>
      <c r="E512" s="3">
        <v>-93.109530000000007</v>
      </c>
      <c r="F512" s="3" t="s">
        <v>24</v>
      </c>
      <c r="G512" s="3" t="s">
        <v>24</v>
      </c>
      <c r="H512" s="3" t="s">
        <v>354</v>
      </c>
      <c r="I512" s="43"/>
      <c r="J512" s="55">
        <v>56</v>
      </c>
      <c r="K512" s="4">
        <v>56</v>
      </c>
      <c r="L512" s="22">
        <f>IF(ISNUMBER(Table2[[#This Row],[estHD]]),ABS(Table2[[#This Row],[HD]]-Table2[[#This Row],[estHD]]),"NA")</f>
        <v>0</v>
      </c>
      <c r="M512" s="4" t="b">
        <f>Table2[[#This Row],[HD]]=Table2[[#This Row],[estHD]]</f>
        <v>1</v>
      </c>
      <c r="N512" s="4" t="str">
        <f>IF(ISNUMBER([1]!Table2[[#This Row],[hatch_date]]), [1]!Table2[[#This Row],[hatch_date]]-28, "NA")</f>
        <v>NA</v>
      </c>
      <c r="O512" s="31">
        <v>28</v>
      </c>
      <c r="P512" s="23">
        <f>IF(ISNUMBER(Table2[[#This Row],[nest_age1]]),ABS(Table2[[#This Row],[nest_age1]]-Table2[[#This Row],[nest_age_feb]]),"NA")</f>
        <v>0</v>
      </c>
      <c r="Q512" s="24">
        <f>IF(ISNUMBER(Table2[[#This Row],[final_obs_int2]]),ABS(Table2[[#This Row],[final_obs_int2]]-Table2[[#This Row],[final_obs_int_feb]]), "NA")</f>
        <v>0</v>
      </c>
      <c r="R512" s="24"/>
      <c r="S512" s="57" t="s">
        <v>88</v>
      </c>
      <c r="T512" s="57" t="str">
        <f>Table2[[#This Row],[camera_old]]</f>
        <v>N</v>
      </c>
      <c r="U512" s="24"/>
      <c r="V512" s="16" t="s">
        <v>24</v>
      </c>
      <c r="W512" s="16">
        <v>15</v>
      </c>
      <c r="X512" s="145">
        <v>4</v>
      </c>
      <c r="Y512" s="147" t="s">
        <v>48</v>
      </c>
      <c r="Z512" s="146" t="s">
        <v>48</v>
      </c>
      <c r="AA512" s="4" t="str">
        <f>Table2[[#This Row],[field_fate]]</f>
        <v>F</v>
      </c>
      <c r="AB512" s="4" t="str">
        <f>Table2[[#This Row],[field_fate2]]</f>
        <v>F</v>
      </c>
      <c r="AC512" s="4" t="str">
        <f>Table2[[#This Row],[field_fate3]]</f>
        <v>F</v>
      </c>
      <c r="AD512" s="4" t="str">
        <f>Table2[[#This Row],[field_fate4]]</f>
        <v>F</v>
      </c>
      <c r="AE512" s="4" t="str">
        <f>Table2[[#This Row],[field_fate5]]</f>
        <v>F</v>
      </c>
      <c r="AF512" s="4" t="str">
        <f>Table2[[#This Row],[field_fate5]]</f>
        <v>F</v>
      </c>
      <c r="AG512" s="4" t="str">
        <f>Table2[[#This Row],[field_fate5]]</f>
        <v>F</v>
      </c>
      <c r="AH512" s="4" t="str">
        <f>Table2[[#This Row],[field_fate2]]</f>
        <v>F</v>
      </c>
      <c r="AI512" s="4" t="str">
        <f>Table2[[#This Row],[field_fate8]]</f>
        <v>F</v>
      </c>
      <c r="AJ512" s="4" t="str">
        <f>Table2[[#This Row],[field_fate10]]</f>
        <v>F</v>
      </c>
      <c r="AK512" s="4" t="b">
        <f>Table2[[#This Row],[field_fate_feb]]=Table2[[#This Row],[field_fate10]]</f>
        <v>1</v>
      </c>
      <c r="AL512" s="43" t="s">
        <v>24</v>
      </c>
      <c r="AM512" s="43" t="b">
        <f>Table2[[#This Row],[cam_fate2]]="NA"</f>
        <v>1</v>
      </c>
      <c r="AN512" s="19" t="str">
        <f>Table2[[#This Row],[cam_fate1]]</f>
        <v>NA</v>
      </c>
      <c r="AO512" s="2" t="s">
        <v>48</v>
      </c>
      <c r="AP512" s="5" t="str">
        <f>Table2[[#This Row],[final_fate1]]</f>
        <v>F</v>
      </c>
      <c r="AQ512" s="6">
        <v>15</v>
      </c>
      <c r="AR512" s="7">
        <v>15</v>
      </c>
      <c r="AS512" s="7">
        <f>Table2[[#This Row],[final_obs_date]]-Table2[[#This Row],[init_date]]</f>
        <v>15</v>
      </c>
      <c r="AT512" s="7">
        <f>(Table2[[#This Row],[final_obs_date2]]-Table2[[#This Row],[estHD]])+16</f>
        <v>3</v>
      </c>
      <c r="AU512" s="38">
        <v>4</v>
      </c>
      <c r="AV512" s="33">
        <v>4</v>
      </c>
      <c r="AW512" s="33">
        <f>Table2[[#This Row],[final_obs_date2]]-Table2[[#This Row],[pen_obs_date]]</f>
        <v>43</v>
      </c>
      <c r="AX512" s="67">
        <v>43</v>
      </c>
      <c r="AY512" s="6">
        <f>Table2[[#This Row],[final_obs_date]]</f>
        <v>43</v>
      </c>
      <c r="AZ512" s="6"/>
      <c r="BA512" s="91" t="s">
        <v>23</v>
      </c>
      <c r="BB512" s="6" t="b">
        <f>Table2[[#This Row],[final_obs_date]]&lt;(Table2[[#This Row],[estHD]]-2)</f>
        <v>1</v>
      </c>
      <c r="BC512" s="24">
        <f>IF(Table2[[#This Row],[field_fate]]="H",1,0)</f>
        <v>0</v>
      </c>
      <c r="BD512" s="16">
        <f>IF(Table2[[#This Row],[cam_fate2]]="H",1,0)</f>
        <v>0</v>
      </c>
      <c r="BE512" s="6" t="b">
        <f>NOT(Table2[[#This Row],[HF_C]]=Table2[[#This Row],[HF]])</f>
        <v>0</v>
      </c>
      <c r="BF512" s="6" t="b">
        <f>NOT(Table2[[#This Row],[cam_fate2]]=Table2[[#This Row],[field_fate3]])</f>
        <v>1</v>
      </c>
      <c r="BG512" s="6" t="b">
        <f>OR(Table2[[#This Row],[field_fate3]]="U",Table2[[#This Row],[field_fate3]]="U-H")</f>
        <v>0</v>
      </c>
      <c r="BH512" s="8">
        <v>35</v>
      </c>
      <c r="BI512" s="8">
        <v>39</v>
      </c>
      <c r="BJ512" s="14">
        <f>IF(ISTEXT(Table2[[#This Row],[j.cam]]),Table2[[#This Row],[j]],Table2[[#This Row],[j.cam]])</f>
        <v>39</v>
      </c>
      <c r="BK512" s="9">
        <v>43</v>
      </c>
      <c r="BL512" s="15">
        <f>IF(ISTEXT(Table2[[#This Row],[k.cam]]), Table2[[#This Row],[k]], Table2[[#This Row],[k.cam]])</f>
        <v>43</v>
      </c>
      <c r="BM512" s="4" t="s">
        <v>24</v>
      </c>
      <c r="BN512" s="8" t="s">
        <v>24</v>
      </c>
      <c r="BO512" s="4">
        <v>3</v>
      </c>
      <c r="BP512" s="4">
        <f>Table2[[#This Row],[final_obs_date]]-Table2[[#This Row],[i]]</f>
        <v>8</v>
      </c>
      <c r="BQ512" s="4" t="b">
        <f>Table2[[#This Row],[final_obs_date2]]&gt;Table2[[#This Row],[estHD]]+3</f>
        <v>0</v>
      </c>
      <c r="BR512" s="4" t="s">
        <v>27</v>
      </c>
      <c r="BS512" s="4" t="s">
        <v>45</v>
      </c>
      <c r="BT512" s="79" t="s">
        <v>1326</v>
      </c>
      <c r="BU512" s="26" t="s">
        <v>170</v>
      </c>
      <c r="BV512" s="79" t="s">
        <v>1454</v>
      </c>
      <c r="BW512" s="49"/>
      <c r="BX512" s="47"/>
      <c r="BY512" s="36" t="s">
        <v>812</v>
      </c>
    </row>
    <row r="513" spans="1:77" hidden="1" x14ac:dyDescent="0.35">
      <c r="A513" s="64">
        <v>30030</v>
      </c>
      <c r="B513" s="2" t="s">
        <v>122</v>
      </c>
      <c r="C513" s="46">
        <v>2021</v>
      </c>
      <c r="D513" s="3">
        <v>29.756460000000001</v>
      </c>
      <c r="E513" s="3">
        <v>-93.108940000000004</v>
      </c>
      <c r="F513" s="3">
        <v>0</v>
      </c>
      <c r="G513" s="3">
        <v>0</v>
      </c>
      <c r="H513" s="3" t="s">
        <v>354</v>
      </c>
      <c r="I513" s="43"/>
      <c r="J513" s="55">
        <v>39</v>
      </c>
      <c r="K513" s="4">
        <v>39</v>
      </c>
      <c r="L513" s="22">
        <f>IF(ISNUMBER(Table2[[#This Row],[estHD]]),ABS(Table2[[#This Row],[HD]]-Table2[[#This Row],[estHD]]),"NA")</f>
        <v>0</v>
      </c>
      <c r="M513" s="4" t="b">
        <f>Table2[[#This Row],[HD]]=Table2[[#This Row],[estHD]]</f>
        <v>1</v>
      </c>
      <c r="N513" s="4" t="str">
        <f>IF(ISNUMBER([1]!Table2[[#This Row],[hatch_date]]),[1]!Table2[[#This Row],[hatch_date]]-19,"NA")</f>
        <v>NA</v>
      </c>
      <c r="O513" s="31">
        <v>20</v>
      </c>
      <c r="P513" s="23" t="e">
        <f>IF(ISNUMBER(Table2[[#This Row],[nest_age1]]),ABS(Table2[[#This Row],[nest_age1]]-Table2[[#This Row],[nest_age_feb]]),"NA")</f>
        <v>#VALUE!</v>
      </c>
      <c r="Q513" s="24">
        <f>IF(ISNUMBER(Table2[[#This Row],[final_obs_int2]]),ABS(Table2[[#This Row],[final_obs_int2]]-Table2[[#This Row],[final_obs_int_feb]]), "NA")</f>
        <v>0</v>
      </c>
      <c r="R513" s="24"/>
      <c r="S513" s="57" t="s">
        <v>88</v>
      </c>
      <c r="T513" s="57" t="str">
        <f>Table2[[#This Row],[camera_old]]</f>
        <v>N</v>
      </c>
      <c r="U513" s="24"/>
      <c r="V513" s="16" t="s">
        <v>24</v>
      </c>
      <c r="W513" s="16" t="s">
        <v>24</v>
      </c>
      <c r="X513" s="145">
        <v>4</v>
      </c>
      <c r="Y513" s="147" t="s">
        <v>90</v>
      </c>
      <c r="Z513" s="146" t="s">
        <v>90</v>
      </c>
      <c r="AA513" s="4" t="str">
        <f>Table2[[#This Row],[field_fate]]</f>
        <v>U</v>
      </c>
      <c r="AB513" s="4" t="str">
        <f>Table2[[#This Row],[field_fate2]]</f>
        <v>U</v>
      </c>
      <c r="AC513" s="4" t="str">
        <f>Table2[[#This Row],[field_fate3]]</f>
        <v>U</v>
      </c>
      <c r="AD513" s="4" t="str">
        <f>Table2[[#This Row],[field_fate4]]</f>
        <v>U</v>
      </c>
      <c r="AE513" s="4" t="str">
        <f>Table2[[#This Row],[field_fate5]]</f>
        <v>U</v>
      </c>
      <c r="AF513" s="4" t="str">
        <f>Table2[[#This Row],[field_fate5]]</f>
        <v>U</v>
      </c>
      <c r="AG513" s="4" t="str">
        <f>Table2[[#This Row],[field_fate5]]</f>
        <v>U</v>
      </c>
      <c r="AH513" s="4" t="str">
        <f>Table2[[#This Row],[field_fate2]]</f>
        <v>U</v>
      </c>
      <c r="AI513" s="4" t="str">
        <f>Table2[[#This Row],[field_fate8]]</f>
        <v>U</v>
      </c>
      <c r="AJ513" s="4" t="str">
        <f>Table2[[#This Row],[field_fate10]]</f>
        <v>U</v>
      </c>
      <c r="AK513" s="4" t="b">
        <f>Table2[[#This Row],[field_fate_feb]]=Table2[[#This Row],[field_fate10]]</f>
        <v>1</v>
      </c>
      <c r="AL513" s="43" t="s">
        <v>24</v>
      </c>
      <c r="AM513" s="43" t="b">
        <f>Table2[[#This Row],[cam_fate2]]="NA"</f>
        <v>1</v>
      </c>
      <c r="AN513" s="19" t="str">
        <f>Table2[[#This Row],[cam_fate1]]</f>
        <v>NA</v>
      </c>
      <c r="AO513" s="2" t="s">
        <v>90</v>
      </c>
      <c r="AP513" s="5" t="str">
        <f>Table2[[#This Row],[final_fate1]]</f>
        <v>U</v>
      </c>
      <c r="AQ513" s="6">
        <v>19</v>
      </c>
      <c r="AR513" s="7">
        <v>19</v>
      </c>
      <c r="AS513" s="7">
        <f>Table2[[#This Row],[final_obs_date]]-Table2[[#This Row],[init_date]]</f>
        <v>19</v>
      </c>
      <c r="AT513" s="7">
        <f>(Table2[[#This Row],[final_obs_date2]]-Table2[[#This Row],[estHD]])+16</f>
        <v>16</v>
      </c>
      <c r="AU513" s="38">
        <v>4</v>
      </c>
      <c r="AV513" s="33">
        <v>4</v>
      </c>
      <c r="AW513" s="33">
        <f>Table2[[#This Row],[final_obs_date2]]-Table2[[#This Row],[pen_obs_date]]</f>
        <v>39</v>
      </c>
      <c r="AX513" s="67">
        <v>39</v>
      </c>
      <c r="AY513" s="6">
        <f>Table2[[#This Row],[final_obs_date]]</f>
        <v>39</v>
      </c>
      <c r="AZ513" s="6"/>
      <c r="BA513" s="91" t="s">
        <v>47</v>
      </c>
      <c r="BB513" s="6" t="b">
        <f>Table2[[#This Row],[final_obs_date]]&lt;(Table2[[#This Row],[estHD]]-2)</f>
        <v>0</v>
      </c>
      <c r="BC513" s="24">
        <f>IF(Table2[[#This Row],[field_fate]]="H",1,0)</f>
        <v>0</v>
      </c>
      <c r="BD513" s="16">
        <f>IF(Table2[[#This Row],[cam_fate2]]="H",1,0)</f>
        <v>0</v>
      </c>
      <c r="BE513" s="6" t="b">
        <f>NOT(Table2[[#This Row],[HF_C]]=Table2[[#This Row],[HF]])</f>
        <v>0</v>
      </c>
      <c r="BF513" s="6" t="b">
        <f>NOT(Table2[[#This Row],[cam_fate2]]=Table2[[#This Row],[field_fate3]])</f>
        <v>1</v>
      </c>
      <c r="BG513" s="6" t="b">
        <f>OR(Table2[[#This Row],[field_fate3]]="U",Table2[[#This Row],[field_fate3]]="U-H")</f>
        <v>1</v>
      </c>
      <c r="BH513" s="8">
        <v>35</v>
      </c>
      <c r="BI513" s="8">
        <v>35</v>
      </c>
      <c r="BJ513" s="14">
        <f>IF(ISTEXT(Table2[[#This Row],[j.cam]]),Table2[[#This Row],[j]],Table2[[#This Row],[j.cam]])</f>
        <v>35</v>
      </c>
      <c r="BK513" s="9">
        <v>39</v>
      </c>
      <c r="BL513" s="15">
        <f>IF(ISTEXT(Table2[[#This Row],[k.cam]]), Table2[[#This Row],[k]], Table2[[#This Row],[k.cam]])</f>
        <v>39</v>
      </c>
      <c r="BM513" s="4" t="s">
        <v>24</v>
      </c>
      <c r="BN513" s="8" t="s">
        <v>24</v>
      </c>
      <c r="BO513" s="4">
        <v>2</v>
      </c>
      <c r="BP513" s="4">
        <f>Table2[[#This Row],[final_obs_date]]-Table2[[#This Row],[i]]</f>
        <v>4</v>
      </c>
      <c r="BQ513" s="4" t="b">
        <f>Table2[[#This Row],[final_obs_date2]]&gt;Table2[[#This Row],[estHD]]+3</f>
        <v>0</v>
      </c>
      <c r="BR513" s="4" t="s">
        <v>27</v>
      </c>
      <c r="BS513" s="4" t="s">
        <v>45</v>
      </c>
      <c r="BT513" s="79" t="s">
        <v>1325</v>
      </c>
      <c r="BU513" s="26" t="s">
        <v>183</v>
      </c>
      <c r="BV513" s="79" t="s">
        <v>1429</v>
      </c>
      <c r="BW513" s="49"/>
      <c r="BX513" s="47"/>
      <c r="BY513" s="36" t="s">
        <v>813</v>
      </c>
    </row>
    <row r="514" spans="1:77" hidden="1" x14ac:dyDescent="0.35">
      <c r="A514" s="64">
        <v>30031</v>
      </c>
      <c r="B514" s="2" t="s">
        <v>122</v>
      </c>
      <c r="C514" s="46">
        <v>2021</v>
      </c>
      <c r="D514" s="3">
        <v>29.759</v>
      </c>
      <c r="E514" s="3">
        <v>-93.122010000000003</v>
      </c>
      <c r="F514" s="3">
        <v>0</v>
      </c>
      <c r="G514" s="3">
        <v>0</v>
      </c>
      <c r="H514" s="3" t="s">
        <v>354</v>
      </c>
      <c r="I514" s="43"/>
      <c r="J514" s="55">
        <v>60</v>
      </c>
      <c r="K514" s="4">
        <v>60</v>
      </c>
      <c r="L514" s="22">
        <f>IF(ISNUMBER(Table2[[#This Row],[estHD]]),ABS(Table2[[#This Row],[HD]]-Table2[[#This Row],[estHD]]),"NA")</f>
        <v>0</v>
      </c>
      <c r="M514" s="4" t="b">
        <f>Table2[[#This Row],[HD]]=Table2[[#This Row],[estHD]]</f>
        <v>1</v>
      </c>
      <c r="N514" s="4" t="str">
        <f>IF(ISNUMBER([1]!Table2[[#This Row],[hatch_date]]),[1]!Table2[[#This Row],[hatch_date]]-19,"NA")</f>
        <v>NA</v>
      </c>
      <c r="O514" s="31">
        <v>41</v>
      </c>
      <c r="P514" s="23">
        <f>IF(ISNUMBER(Table2[[#This Row],[nest_age1]]),ABS(Table2[[#This Row],[nest_age1]]-Table2[[#This Row],[nest_age_feb]]),"NA")</f>
        <v>0</v>
      </c>
      <c r="Q514" s="24">
        <f>IF(ISNUMBER(Table2[[#This Row],[final_obs_int2]]),ABS(Table2[[#This Row],[final_obs_int2]]-Table2[[#This Row],[final_obs_int_feb]]), "NA")</f>
        <v>0</v>
      </c>
      <c r="R514" s="24"/>
      <c r="S514" s="57" t="s">
        <v>88</v>
      </c>
      <c r="T514" s="57" t="str">
        <f>Table2[[#This Row],[camera_old]]</f>
        <v>N</v>
      </c>
      <c r="U514" s="24"/>
      <c r="V514" s="16" t="s">
        <v>24</v>
      </c>
      <c r="W514" s="16">
        <v>16</v>
      </c>
      <c r="X514" s="145">
        <v>5</v>
      </c>
      <c r="Y514" s="147" t="s">
        <v>31</v>
      </c>
      <c r="Z514" s="146" t="s">
        <v>31</v>
      </c>
      <c r="AA514" s="4" t="str">
        <f>Table2[[#This Row],[field_fate]]</f>
        <v>D</v>
      </c>
      <c r="AB514" s="4" t="str">
        <f>Table2[[#This Row],[field_fate2]]</f>
        <v>D</v>
      </c>
      <c r="AC514" s="4" t="str">
        <f>Table2[[#This Row],[field_fate3]]</f>
        <v>D</v>
      </c>
      <c r="AD514" s="4" t="str">
        <f>Table2[[#This Row],[field_fate4]]</f>
        <v>D</v>
      </c>
      <c r="AE514" s="4" t="str">
        <f>Table2[[#This Row],[field_fate5]]</f>
        <v>D</v>
      </c>
      <c r="AF514" s="4" t="str">
        <f>Table2[[#This Row],[field_fate5]]</f>
        <v>D</v>
      </c>
      <c r="AG514" s="4" t="str">
        <f>Table2[[#This Row],[field_fate5]]</f>
        <v>D</v>
      </c>
      <c r="AH514" s="4" t="str">
        <f>Table2[[#This Row],[field_fate2]]</f>
        <v>D</v>
      </c>
      <c r="AI514" s="4" t="str">
        <f>Table2[[#This Row],[field_fate8]]</f>
        <v>D</v>
      </c>
      <c r="AJ514" s="4" t="str">
        <f>Table2[[#This Row],[field_fate10]]</f>
        <v>D</v>
      </c>
      <c r="AK514" s="4" t="b">
        <f>Table2[[#This Row],[field_fate_feb]]=Table2[[#This Row],[field_fate10]]</f>
        <v>1</v>
      </c>
      <c r="AL514" s="43" t="s">
        <v>24</v>
      </c>
      <c r="AM514" s="43" t="b">
        <f>Table2[[#This Row],[cam_fate2]]="NA"</f>
        <v>1</v>
      </c>
      <c r="AN514" s="19" t="str">
        <f>Table2[[#This Row],[cam_fate1]]</f>
        <v>NA</v>
      </c>
      <c r="AO514" s="2" t="s">
        <v>31</v>
      </c>
      <c r="AP514" s="5" t="str">
        <f>Table2[[#This Row],[final_fate1]]</f>
        <v>D</v>
      </c>
      <c r="AQ514" s="6">
        <v>16</v>
      </c>
      <c r="AR514" s="7">
        <v>16</v>
      </c>
      <c r="AS514" s="7">
        <f>Table2[[#This Row],[final_obs_date]]-Table2[[#This Row],[init_date]]</f>
        <v>16</v>
      </c>
      <c r="AT514" s="7">
        <f>(Table2[[#This Row],[final_obs_date2]]-Table2[[#This Row],[estHD]])+16</f>
        <v>13</v>
      </c>
      <c r="AU514" s="38">
        <v>5</v>
      </c>
      <c r="AV514" s="33">
        <v>5</v>
      </c>
      <c r="AW514" s="33">
        <f>Table2[[#This Row],[final_obs_date2]]-Table2[[#This Row],[pen_obs_date]]</f>
        <v>57</v>
      </c>
      <c r="AX514" s="67">
        <v>57</v>
      </c>
      <c r="AY514" s="6">
        <f>Table2[[#This Row],[final_obs_date]]</f>
        <v>57</v>
      </c>
      <c r="AZ514" s="6"/>
      <c r="BA514" s="91" t="s">
        <v>47</v>
      </c>
      <c r="BB514" s="6" t="b">
        <f>Table2[[#This Row],[final_obs_date]]&lt;(Table2[[#This Row],[estHD]]-2)</f>
        <v>1</v>
      </c>
      <c r="BC514" s="24">
        <f>IF(Table2[[#This Row],[field_fate]]="H",1,0)</f>
        <v>0</v>
      </c>
      <c r="BD514" s="16">
        <f>IF(Table2[[#This Row],[cam_fate2]]="H",1,0)</f>
        <v>0</v>
      </c>
      <c r="BE514" s="6" t="b">
        <f>NOT(Table2[[#This Row],[HF_C]]=Table2[[#This Row],[HF]])</f>
        <v>0</v>
      </c>
      <c r="BF514" s="6" t="b">
        <f>NOT(Table2[[#This Row],[cam_fate2]]=Table2[[#This Row],[field_fate3]])</f>
        <v>1</v>
      </c>
      <c r="BG514" s="6" t="b">
        <f>OR(Table2[[#This Row],[field_fate3]]="U",Table2[[#This Row],[field_fate3]]="U-H")</f>
        <v>0</v>
      </c>
      <c r="BH514" s="8">
        <v>43</v>
      </c>
      <c r="BI514" s="8">
        <v>52</v>
      </c>
      <c r="BJ514" s="14">
        <f>IF(ISTEXT(Table2[[#This Row],[j.cam]]),Table2[[#This Row],[j]],Table2[[#This Row],[j.cam]])</f>
        <v>52</v>
      </c>
      <c r="BK514" s="9">
        <v>57</v>
      </c>
      <c r="BL514" s="15">
        <f>IF(ISTEXT(Table2[[#This Row],[k.cam]]), Table2[[#This Row],[k]], Table2[[#This Row],[k.cam]])</f>
        <v>57</v>
      </c>
      <c r="BM514" s="4" t="s">
        <v>24</v>
      </c>
      <c r="BN514" s="8" t="s">
        <v>24</v>
      </c>
      <c r="BO514" s="4">
        <v>3</v>
      </c>
      <c r="BP514" s="4">
        <f>Table2[[#This Row],[final_obs_date]]-Table2[[#This Row],[i]]</f>
        <v>14</v>
      </c>
      <c r="BQ514" s="4" t="b">
        <f>Table2[[#This Row],[final_obs_date2]]&gt;Table2[[#This Row],[estHD]]+3</f>
        <v>0</v>
      </c>
      <c r="BR514" s="4" t="s">
        <v>66</v>
      </c>
      <c r="BS514" s="4" t="s">
        <v>45</v>
      </c>
      <c r="BT514" s="79" t="s">
        <v>1327</v>
      </c>
      <c r="BU514" s="26" t="s">
        <v>273</v>
      </c>
      <c r="BV514" s="79" t="s">
        <v>1458</v>
      </c>
      <c r="BW514" s="49"/>
      <c r="BX514" s="47"/>
      <c r="BY514" s="36" t="s">
        <v>24</v>
      </c>
    </row>
    <row r="515" spans="1:77" hidden="1" x14ac:dyDescent="0.35">
      <c r="A515" s="64">
        <v>30032</v>
      </c>
      <c r="B515" s="2" t="s">
        <v>122</v>
      </c>
      <c r="C515" s="46">
        <v>2021</v>
      </c>
      <c r="D515" s="3">
        <v>29.758369999999999</v>
      </c>
      <c r="E515" s="3">
        <v>-93.119119999999995</v>
      </c>
      <c r="F515" s="3">
        <v>0</v>
      </c>
      <c r="G515" s="3">
        <v>0</v>
      </c>
      <c r="H515" s="3" t="s">
        <v>354</v>
      </c>
      <c r="I515" s="43"/>
      <c r="J515" s="55">
        <v>60</v>
      </c>
      <c r="K515" s="4">
        <v>60</v>
      </c>
      <c r="L515" s="22">
        <f>IF(ISNUMBER(Table2[[#This Row],[estHD]]),ABS(Table2[[#This Row],[HD]]-Table2[[#This Row],[estHD]]),"NA")</f>
        <v>0</v>
      </c>
      <c r="M515" s="4" t="b">
        <f>Table2[[#This Row],[HD]]=Table2[[#This Row],[estHD]]</f>
        <v>1</v>
      </c>
      <c r="N515" s="4" t="str">
        <f>IF(ISNUMBER([1]!Table2[[#This Row],[hatch_date]]),[1]!Table2[[#This Row],[hatch_date]]-19,"NA")</f>
        <v>NA</v>
      </c>
      <c r="O515" s="31">
        <v>41</v>
      </c>
      <c r="P515" s="23">
        <f>IF(ISNUMBER(Table2[[#This Row],[nest_age1]]),ABS(Table2[[#This Row],[nest_age1]]-Table2[[#This Row],[nest_age_feb]]),"NA")</f>
        <v>0</v>
      </c>
      <c r="Q515" s="24">
        <f>IF(ISNUMBER(Table2[[#This Row],[final_obs_int2]]),ABS(Table2[[#This Row],[final_obs_int2]]-Table2[[#This Row],[final_obs_int_feb]]), "NA")</f>
        <v>0</v>
      </c>
      <c r="R515" s="24"/>
      <c r="S515" s="57" t="s">
        <v>88</v>
      </c>
      <c r="T515" s="57" t="str">
        <f>Table2[[#This Row],[camera_old]]</f>
        <v>N</v>
      </c>
      <c r="U515" s="24"/>
      <c r="V515" s="16" t="s">
        <v>24</v>
      </c>
      <c r="W515" s="16">
        <v>11</v>
      </c>
      <c r="X515" s="145">
        <v>9</v>
      </c>
      <c r="Y515" s="147" t="s">
        <v>48</v>
      </c>
      <c r="Z515" s="146" t="s">
        <v>48</v>
      </c>
      <c r="AA515" s="4" t="str">
        <f>Table2[[#This Row],[field_fate]]</f>
        <v>F</v>
      </c>
      <c r="AB515" s="4" t="str">
        <f>Table2[[#This Row],[field_fate2]]</f>
        <v>F</v>
      </c>
      <c r="AC515" s="4" t="str">
        <f>Table2[[#This Row],[field_fate3]]</f>
        <v>F</v>
      </c>
      <c r="AD515" s="4" t="str">
        <f>Table2[[#This Row],[field_fate4]]</f>
        <v>F</v>
      </c>
      <c r="AE515" s="4" t="str">
        <f>Table2[[#This Row],[field_fate5]]</f>
        <v>F</v>
      </c>
      <c r="AF515" s="4" t="str">
        <f>Table2[[#This Row],[field_fate5]]</f>
        <v>F</v>
      </c>
      <c r="AG515" s="4" t="str">
        <f>Table2[[#This Row],[field_fate5]]</f>
        <v>F</v>
      </c>
      <c r="AH515" s="4" t="str">
        <f>Table2[[#This Row],[field_fate2]]</f>
        <v>F</v>
      </c>
      <c r="AI515" s="4" t="str">
        <f>Table2[[#This Row],[field_fate8]]</f>
        <v>F</v>
      </c>
      <c r="AJ515" s="4" t="str">
        <f>Table2[[#This Row],[field_fate10]]</f>
        <v>F</v>
      </c>
      <c r="AK515" s="4" t="b">
        <f>Table2[[#This Row],[field_fate_feb]]=Table2[[#This Row],[field_fate10]]</f>
        <v>1</v>
      </c>
      <c r="AL515" s="43" t="s">
        <v>24</v>
      </c>
      <c r="AM515" s="43" t="b">
        <f>Table2[[#This Row],[cam_fate2]]="NA"</f>
        <v>1</v>
      </c>
      <c r="AN515" s="19" t="str">
        <f>Table2[[#This Row],[cam_fate1]]</f>
        <v>NA</v>
      </c>
      <c r="AO515" s="2" t="s">
        <v>48</v>
      </c>
      <c r="AP515" s="5" t="str">
        <f>Table2[[#This Row],[final_fate1]]</f>
        <v>F</v>
      </c>
      <c r="AQ515" s="6">
        <v>11</v>
      </c>
      <c r="AR515" s="7">
        <v>11</v>
      </c>
      <c r="AS515" s="7">
        <f>Table2[[#This Row],[final_obs_date]]-Table2[[#This Row],[init_date]]</f>
        <v>11</v>
      </c>
      <c r="AT515" s="7">
        <f>(Table2[[#This Row],[final_obs_date2]]-Table2[[#This Row],[estHD]])+16</f>
        <v>8</v>
      </c>
      <c r="AU515" s="38">
        <v>9</v>
      </c>
      <c r="AV515" s="33">
        <v>9</v>
      </c>
      <c r="AW515" s="33">
        <f>Table2[[#This Row],[final_obs_date2]]-Table2[[#This Row],[pen_obs_date]]</f>
        <v>52</v>
      </c>
      <c r="AX515" s="67">
        <v>52</v>
      </c>
      <c r="AY515" s="6">
        <f>Table2[[#This Row],[final_obs_date]]</f>
        <v>52</v>
      </c>
      <c r="AZ515" s="6"/>
      <c r="BA515" s="91" t="s">
        <v>47</v>
      </c>
      <c r="BB515" s="6" t="b">
        <f>Table2[[#This Row],[final_obs_date]]&lt;(Table2[[#This Row],[estHD]]-2)</f>
        <v>1</v>
      </c>
      <c r="BC515" s="24">
        <f>IF(Table2[[#This Row],[field_fate]]="H",1,0)</f>
        <v>0</v>
      </c>
      <c r="BD515" s="16">
        <f>IF(Table2[[#This Row],[cam_fate2]]="H",1,0)</f>
        <v>0</v>
      </c>
      <c r="BE515" s="6" t="b">
        <f>NOT(Table2[[#This Row],[HF_C]]=Table2[[#This Row],[HF]])</f>
        <v>0</v>
      </c>
      <c r="BF515" s="6" t="b">
        <f>NOT(Table2[[#This Row],[cam_fate2]]=Table2[[#This Row],[field_fate3]])</f>
        <v>1</v>
      </c>
      <c r="BG515" s="6" t="b">
        <f>OR(Table2[[#This Row],[field_fate3]]="U",Table2[[#This Row],[field_fate3]]="U-H")</f>
        <v>0</v>
      </c>
      <c r="BH515" s="8">
        <v>43</v>
      </c>
      <c r="BI515" s="8">
        <v>43</v>
      </c>
      <c r="BJ515" s="14">
        <f>IF(ISTEXT(Table2[[#This Row],[j.cam]]),Table2[[#This Row],[j]],Table2[[#This Row],[j.cam]])</f>
        <v>43</v>
      </c>
      <c r="BK515" s="9">
        <v>52</v>
      </c>
      <c r="BL515" s="15">
        <f>IF(ISTEXT(Table2[[#This Row],[k.cam]]), Table2[[#This Row],[k]], Table2[[#This Row],[k.cam]])</f>
        <v>52</v>
      </c>
      <c r="BM515" s="4" t="s">
        <v>24</v>
      </c>
      <c r="BN515" s="8" t="s">
        <v>24</v>
      </c>
      <c r="BO515" s="4">
        <v>2</v>
      </c>
      <c r="BP515" s="4">
        <f>Table2[[#This Row],[final_obs_date]]-Table2[[#This Row],[i]]</f>
        <v>9</v>
      </c>
      <c r="BQ515" s="4" t="b">
        <f>Table2[[#This Row],[final_obs_date2]]&gt;Table2[[#This Row],[estHD]]+3</f>
        <v>0</v>
      </c>
      <c r="BR515" s="4" t="s">
        <v>33</v>
      </c>
      <c r="BS515" s="4" t="s">
        <v>45</v>
      </c>
      <c r="BT515" s="79" t="s">
        <v>1328</v>
      </c>
      <c r="BU515" s="26" t="s">
        <v>87</v>
      </c>
      <c r="BV515" s="79" t="s">
        <v>1457</v>
      </c>
      <c r="BW515" s="49"/>
      <c r="BX515" s="47"/>
      <c r="BY515" s="36" t="s">
        <v>24</v>
      </c>
    </row>
    <row r="516" spans="1:77" hidden="1" x14ac:dyDescent="0.35">
      <c r="A516" s="64">
        <v>30033</v>
      </c>
      <c r="B516" s="2" t="s">
        <v>122</v>
      </c>
      <c r="C516" s="46">
        <v>2021</v>
      </c>
      <c r="D516" s="3">
        <v>29.75826</v>
      </c>
      <c r="E516" s="3">
        <v>-93.119140000000002</v>
      </c>
      <c r="F516" s="3">
        <v>0</v>
      </c>
      <c r="G516" s="3">
        <v>0</v>
      </c>
      <c r="H516" s="3" t="s">
        <v>354</v>
      </c>
      <c r="I516" s="43"/>
      <c r="J516" s="55">
        <v>60</v>
      </c>
      <c r="K516" s="4">
        <v>60</v>
      </c>
      <c r="L516" s="22">
        <f>IF(ISNUMBER(Table2[[#This Row],[estHD]]),ABS(Table2[[#This Row],[HD]]-Table2[[#This Row],[estHD]]),"NA")</f>
        <v>0</v>
      </c>
      <c r="M516" s="4" t="b">
        <f>Table2[[#This Row],[HD]]=Table2[[#This Row],[estHD]]</f>
        <v>1</v>
      </c>
      <c r="N516" s="4" t="str">
        <f>IF(ISNUMBER([1]!Table2[[#This Row],[hatch_date]]),[1]!Table2[[#This Row],[hatch_date]]-19,"NA")</f>
        <v>NA</v>
      </c>
      <c r="O516" s="31">
        <v>41</v>
      </c>
      <c r="P516" s="23">
        <f>IF(ISNUMBER(Table2[[#This Row],[nest_age1]]),ABS(Table2[[#This Row],[nest_age1]]-Table2[[#This Row],[nest_age_feb]]),"NA")</f>
        <v>0</v>
      </c>
      <c r="Q516" s="24">
        <f>IF(ISNUMBER(Table2[[#This Row],[final_obs_int2]]),ABS(Table2[[#This Row],[final_obs_int2]]-Table2[[#This Row],[final_obs_int_feb]]), "NA")</f>
        <v>0</v>
      </c>
      <c r="R516" s="24"/>
      <c r="S516" s="57" t="s">
        <v>88</v>
      </c>
      <c r="T516" s="57" t="str">
        <f>Table2[[#This Row],[camera_old]]</f>
        <v>N</v>
      </c>
      <c r="U516" s="24"/>
      <c r="V516" s="16" t="s">
        <v>24</v>
      </c>
      <c r="W516" s="16">
        <v>11</v>
      </c>
      <c r="X516" s="145">
        <v>9</v>
      </c>
      <c r="Y516" s="147" t="s">
        <v>48</v>
      </c>
      <c r="Z516" s="146" t="s">
        <v>48</v>
      </c>
      <c r="AA516" s="4" t="str">
        <f>Table2[[#This Row],[field_fate]]</f>
        <v>F</v>
      </c>
      <c r="AB516" s="4" t="str">
        <f>Table2[[#This Row],[field_fate2]]</f>
        <v>F</v>
      </c>
      <c r="AC516" s="4" t="str">
        <f>Table2[[#This Row],[field_fate3]]</f>
        <v>F</v>
      </c>
      <c r="AD516" s="4" t="str">
        <f>Table2[[#This Row],[field_fate4]]</f>
        <v>F</v>
      </c>
      <c r="AE516" s="4" t="str">
        <f>Table2[[#This Row],[field_fate5]]</f>
        <v>F</v>
      </c>
      <c r="AF516" s="4" t="str">
        <f>Table2[[#This Row],[field_fate5]]</f>
        <v>F</v>
      </c>
      <c r="AG516" s="4" t="str">
        <f>Table2[[#This Row],[field_fate5]]</f>
        <v>F</v>
      </c>
      <c r="AH516" s="4" t="str">
        <f>Table2[[#This Row],[field_fate2]]</f>
        <v>F</v>
      </c>
      <c r="AI516" s="4" t="str">
        <f>Table2[[#This Row],[field_fate8]]</f>
        <v>F</v>
      </c>
      <c r="AJ516" s="4" t="str">
        <f>Table2[[#This Row],[field_fate10]]</f>
        <v>F</v>
      </c>
      <c r="AK516" s="4" t="b">
        <f>Table2[[#This Row],[field_fate_feb]]=Table2[[#This Row],[field_fate10]]</f>
        <v>1</v>
      </c>
      <c r="AL516" s="43" t="s">
        <v>24</v>
      </c>
      <c r="AM516" s="43" t="b">
        <f>Table2[[#This Row],[cam_fate2]]="NA"</f>
        <v>1</v>
      </c>
      <c r="AN516" s="19" t="str">
        <f>Table2[[#This Row],[cam_fate1]]</f>
        <v>NA</v>
      </c>
      <c r="AO516" s="2" t="s">
        <v>48</v>
      </c>
      <c r="AP516" s="5" t="str">
        <f>Table2[[#This Row],[final_fate1]]</f>
        <v>F</v>
      </c>
      <c r="AQ516" s="6">
        <v>11</v>
      </c>
      <c r="AR516" s="7">
        <v>11</v>
      </c>
      <c r="AS516" s="7">
        <f>Table2[[#This Row],[final_obs_date]]-Table2[[#This Row],[init_date]]</f>
        <v>11</v>
      </c>
      <c r="AT516" s="7">
        <f>(Table2[[#This Row],[final_obs_date2]]-Table2[[#This Row],[estHD]])+16</f>
        <v>8</v>
      </c>
      <c r="AU516" s="38">
        <v>9</v>
      </c>
      <c r="AV516" s="33">
        <v>9</v>
      </c>
      <c r="AW516" s="33">
        <f>Table2[[#This Row],[final_obs_date2]]-Table2[[#This Row],[pen_obs_date]]</f>
        <v>52</v>
      </c>
      <c r="AX516" s="67">
        <v>52</v>
      </c>
      <c r="AY516" s="6">
        <f>Table2[[#This Row],[final_obs_date]]</f>
        <v>52</v>
      </c>
      <c r="AZ516" s="6"/>
      <c r="BA516" s="91" t="s">
        <v>47</v>
      </c>
      <c r="BB516" s="6" t="b">
        <f>Table2[[#This Row],[final_obs_date]]&lt;(Table2[[#This Row],[estHD]]-2)</f>
        <v>1</v>
      </c>
      <c r="BC516" s="24">
        <f>IF(Table2[[#This Row],[field_fate]]="H",1,0)</f>
        <v>0</v>
      </c>
      <c r="BD516" s="16">
        <f>IF(Table2[[#This Row],[cam_fate2]]="H",1,0)</f>
        <v>0</v>
      </c>
      <c r="BE516" s="6" t="b">
        <f>NOT(Table2[[#This Row],[HF_C]]=Table2[[#This Row],[HF]])</f>
        <v>0</v>
      </c>
      <c r="BF516" s="6" t="b">
        <f>NOT(Table2[[#This Row],[cam_fate2]]=Table2[[#This Row],[field_fate3]])</f>
        <v>1</v>
      </c>
      <c r="BG516" s="6" t="b">
        <f>OR(Table2[[#This Row],[field_fate3]]="U",Table2[[#This Row],[field_fate3]]="U-H")</f>
        <v>0</v>
      </c>
      <c r="BH516" s="8">
        <v>43</v>
      </c>
      <c r="BI516" s="8">
        <v>43</v>
      </c>
      <c r="BJ516" s="14">
        <f>IF(ISTEXT(Table2[[#This Row],[j.cam]]),Table2[[#This Row],[j]],Table2[[#This Row],[j.cam]])</f>
        <v>43</v>
      </c>
      <c r="BK516" s="9">
        <v>52</v>
      </c>
      <c r="BL516" s="15">
        <f>IF(ISTEXT(Table2[[#This Row],[k.cam]]), Table2[[#This Row],[k]], Table2[[#This Row],[k.cam]])</f>
        <v>52</v>
      </c>
      <c r="BM516" s="4" t="s">
        <v>24</v>
      </c>
      <c r="BN516" s="8" t="s">
        <v>24</v>
      </c>
      <c r="BO516" s="4">
        <v>2</v>
      </c>
      <c r="BP516" s="4">
        <f>Table2[[#This Row],[final_obs_date]]-Table2[[#This Row],[i]]</f>
        <v>9</v>
      </c>
      <c r="BQ516" s="4" t="b">
        <f>Table2[[#This Row],[final_obs_date2]]&gt;Table2[[#This Row],[estHD]]+3</f>
        <v>0</v>
      </c>
      <c r="BR516" s="4" t="s">
        <v>58</v>
      </c>
      <c r="BS516" s="4" t="s">
        <v>45</v>
      </c>
      <c r="BT516" s="79" t="s">
        <v>1328</v>
      </c>
      <c r="BU516" s="26" t="s">
        <v>117</v>
      </c>
      <c r="BV516" s="79" t="s">
        <v>1457</v>
      </c>
      <c r="BW516" s="49"/>
      <c r="BX516" s="47"/>
      <c r="BY516" s="36" t="s">
        <v>24</v>
      </c>
    </row>
    <row r="517" spans="1:77" hidden="1" x14ac:dyDescent="0.35">
      <c r="A517" s="64">
        <v>30034</v>
      </c>
      <c r="B517" s="2" t="s">
        <v>122</v>
      </c>
      <c r="C517" s="46">
        <v>2021</v>
      </c>
      <c r="D517" s="3">
        <v>29.755990000000001</v>
      </c>
      <c r="E517" s="3">
        <v>-93.108339999999998</v>
      </c>
      <c r="F517" s="3">
        <v>0</v>
      </c>
      <c r="G517" s="3">
        <v>0</v>
      </c>
      <c r="H517" s="3" t="s">
        <v>354</v>
      </c>
      <c r="I517" s="43"/>
      <c r="J517" s="55">
        <v>58</v>
      </c>
      <c r="K517" s="4">
        <v>58</v>
      </c>
      <c r="L517" s="22">
        <f>IF(ISNUMBER(Table2[[#This Row],[estHD]]),ABS(Table2[[#This Row],[HD]]-Table2[[#This Row],[estHD]]),"NA")</f>
        <v>0</v>
      </c>
      <c r="M517" s="4" t="b">
        <f>Table2[[#This Row],[HD]]=Table2[[#This Row],[estHD]]</f>
        <v>1</v>
      </c>
      <c r="N517" s="4" t="str">
        <f>IF(ISNUMBER([1]!Table2[[#This Row],[hatch_date]]),[1]!Table2[[#This Row],[hatch_date]]-19,"NA")</f>
        <v>NA</v>
      </c>
      <c r="O517" s="31">
        <v>39</v>
      </c>
      <c r="P517" s="23">
        <f>IF(ISNUMBER(Table2[[#This Row],[nest_age1]]),ABS(Table2[[#This Row],[nest_age1]]-Table2[[#This Row],[nest_age_feb]]),"NA")</f>
        <v>0</v>
      </c>
      <c r="Q517" s="24">
        <f>IF(ISNUMBER(Table2[[#This Row],[final_obs_int2]]),ABS(Table2[[#This Row],[final_obs_int2]]-Table2[[#This Row],[final_obs_int_feb]]), "NA")</f>
        <v>0</v>
      </c>
      <c r="R517" s="24"/>
      <c r="S517" s="57" t="s">
        <v>88</v>
      </c>
      <c r="T517" s="57" t="str">
        <f>Table2[[#This Row],[camera_old]]</f>
        <v>N</v>
      </c>
      <c r="U517" s="24"/>
      <c r="V517" s="16" t="s">
        <v>24</v>
      </c>
      <c r="W517" s="16">
        <v>13</v>
      </c>
      <c r="X517" s="145">
        <v>6</v>
      </c>
      <c r="Y517" s="147" t="s">
        <v>31</v>
      </c>
      <c r="Z517" s="146" t="s">
        <v>31</v>
      </c>
      <c r="AA517" s="4" t="str">
        <f>Table2[[#This Row],[field_fate]]</f>
        <v>D</v>
      </c>
      <c r="AB517" s="4" t="str">
        <f>Table2[[#This Row],[field_fate2]]</f>
        <v>D</v>
      </c>
      <c r="AC517" s="4" t="str">
        <f>Table2[[#This Row],[field_fate3]]</f>
        <v>D</v>
      </c>
      <c r="AD517" s="4" t="str">
        <f>Table2[[#This Row],[field_fate4]]</f>
        <v>D</v>
      </c>
      <c r="AE517" s="4" t="str">
        <f>Table2[[#This Row],[field_fate5]]</f>
        <v>D</v>
      </c>
      <c r="AF517" s="4" t="str">
        <f>Table2[[#This Row],[field_fate5]]</f>
        <v>D</v>
      </c>
      <c r="AG517" s="4" t="str">
        <f>Table2[[#This Row],[field_fate5]]</f>
        <v>D</v>
      </c>
      <c r="AH517" s="4" t="str">
        <f>Table2[[#This Row],[field_fate2]]</f>
        <v>D</v>
      </c>
      <c r="AI517" s="4" t="str">
        <f>Table2[[#This Row],[field_fate8]]</f>
        <v>D</v>
      </c>
      <c r="AJ517" s="4" t="str">
        <f>Table2[[#This Row],[field_fate10]]</f>
        <v>D</v>
      </c>
      <c r="AK517" s="4" t="b">
        <f>Table2[[#This Row],[field_fate_feb]]=Table2[[#This Row],[field_fate10]]</f>
        <v>1</v>
      </c>
      <c r="AL517" s="43" t="s">
        <v>24</v>
      </c>
      <c r="AM517" s="43" t="b">
        <f>Table2[[#This Row],[cam_fate2]]="NA"</f>
        <v>1</v>
      </c>
      <c r="AN517" s="19" t="str">
        <f>Table2[[#This Row],[cam_fate1]]</f>
        <v>NA</v>
      </c>
      <c r="AO517" s="2" t="s">
        <v>31</v>
      </c>
      <c r="AP517" s="5" t="str">
        <f>Table2[[#This Row],[final_fate1]]</f>
        <v>D</v>
      </c>
      <c r="AQ517" s="6">
        <v>13</v>
      </c>
      <c r="AR517" s="7">
        <v>13</v>
      </c>
      <c r="AS517" s="7">
        <f>Table2[[#This Row],[final_obs_date]]-Table2[[#This Row],[init_date]]</f>
        <v>13</v>
      </c>
      <c r="AT517" s="7">
        <f>(Table2[[#This Row],[final_obs_date2]]-Table2[[#This Row],[estHD]])+16</f>
        <v>10</v>
      </c>
      <c r="AU517" s="38">
        <v>6</v>
      </c>
      <c r="AV517" s="33">
        <v>6</v>
      </c>
      <c r="AW517" s="33">
        <f>Table2[[#This Row],[final_obs_date2]]-Table2[[#This Row],[pen_obs_date]]</f>
        <v>52</v>
      </c>
      <c r="AX517" s="67">
        <v>52</v>
      </c>
      <c r="AY517" s="6">
        <f>Table2[[#This Row],[final_obs_date]]</f>
        <v>52</v>
      </c>
      <c r="AZ517" s="6"/>
      <c r="BA517" s="91" t="s">
        <v>47</v>
      </c>
      <c r="BB517" s="6" t="b">
        <f>Table2[[#This Row],[final_obs_date]]&lt;(Table2[[#This Row],[estHD]]-2)</f>
        <v>1</v>
      </c>
      <c r="BC517" s="24">
        <f>IF(Table2[[#This Row],[field_fate]]="H",1,0)</f>
        <v>0</v>
      </c>
      <c r="BD517" s="16">
        <f>IF(Table2[[#This Row],[cam_fate2]]="H",1,0)</f>
        <v>0</v>
      </c>
      <c r="BE517" s="6" t="b">
        <f>NOT(Table2[[#This Row],[HF_C]]=Table2[[#This Row],[HF]])</f>
        <v>0</v>
      </c>
      <c r="BF517" s="6" t="b">
        <f>NOT(Table2[[#This Row],[cam_fate2]]=Table2[[#This Row],[field_fate3]])</f>
        <v>1</v>
      </c>
      <c r="BG517" s="6" t="b">
        <f>OR(Table2[[#This Row],[field_fate3]]="U",Table2[[#This Row],[field_fate3]]="U-H")</f>
        <v>0</v>
      </c>
      <c r="BH517" s="8">
        <v>43</v>
      </c>
      <c r="BI517" s="8">
        <v>46</v>
      </c>
      <c r="BJ517" s="14">
        <f>IF(ISTEXT(Table2[[#This Row],[j.cam]]),Table2[[#This Row],[j]],Table2[[#This Row],[j.cam]])</f>
        <v>46</v>
      </c>
      <c r="BK517" s="9">
        <v>52</v>
      </c>
      <c r="BL517" s="15">
        <f>IF(ISTEXT(Table2[[#This Row],[k.cam]]), Table2[[#This Row],[k]], Table2[[#This Row],[k.cam]])</f>
        <v>52</v>
      </c>
      <c r="BM517" s="4" t="s">
        <v>24</v>
      </c>
      <c r="BN517" s="8" t="s">
        <v>24</v>
      </c>
      <c r="BO517" s="4">
        <v>3</v>
      </c>
      <c r="BP517" s="4">
        <f>Table2[[#This Row],[final_obs_date]]-Table2[[#This Row],[i]]</f>
        <v>9</v>
      </c>
      <c r="BQ517" s="4" t="b">
        <f>Table2[[#This Row],[final_obs_date2]]&gt;Table2[[#This Row],[estHD]]+3</f>
        <v>0</v>
      </c>
      <c r="BR517" s="4" t="s">
        <v>33</v>
      </c>
      <c r="BS517" s="4" t="s">
        <v>365</v>
      </c>
      <c r="BT517" s="79" t="s">
        <v>1329</v>
      </c>
      <c r="BU517" s="26" t="s">
        <v>366</v>
      </c>
      <c r="BV517" s="79" t="s">
        <v>1459</v>
      </c>
      <c r="BW517" s="49"/>
      <c r="BX517" s="47"/>
      <c r="BY517" s="36" t="s">
        <v>24</v>
      </c>
    </row>
    <row r="518" spans="1:77" hidden="1" x14ac:dyDescent="0.35">
      <c r="A518" s="64">
        <v>30035</v>
      </c>
      <c r="B518" s="2" t="s">
        <v>122</v>
      </c>
      <c r="C518" s="46">
        <v>2021</v>
      </c>
      <c r="D518" s="3">
        <v>29.755030000000001</v>
      </c>
      <c r="E518" s="3">
        <v>-93.105930000000001</v>
      </c>
      <c r="F518" s="3">
        <v>90</v>
      </c>
      <c r="G518" s="3">
        <v>80</v>
      </c>
      <c r="H518" s="3" t="s">
        <v>354</v>
      </c>
      <c r="I518" s="43"/>
      <c r="J518" s="55">
        <v>63</v>
      </c>
      <c r="K518" s="4">
        <v>63</v>
      </c>
      <c r="L518" s="22">
        <f>IF(ISNUMBER(Table2[[#This Row],[estHD]]),ABS(Table2[[#This Row],[HD]]-Table2[[#This Row],[estHD]]),"NA")</f>
        <v>0</v>
      </c>
      <c r="M518" s="4" t="b">
        <f>Table2[[#This Row],[HD]]=Table2[[#This Row],[estHD]]</f>
        <v>1</v>
      </c>
      <c r="N518" s="4" t="str">
        <f>IF(ISNUMBER([1]!Table2[[#This Row],[hatch_date]]), [1]!Table2[[#This Row],[hatch_date]]-28, "NA")</f>
        <v>NA</v>
      </c>
      <c r="O518" s="31">
        <v>35</v>
      </c>
      <c r="P518" s="23">
        <f>IF(ISNUMBER(Table2[[#This Row],[nest_age1]]),ABS(Table2[[#This Row],[nest_age1]]-Table2[[#This Row],[nest_age_feb]]),"NA")</f>
        <v>0</v>
      </c>
      <c r="Q518" s="24">
        <f>IF(ISNUMBER(Table2[[#This Row],[final_obs_int2]]),ABS(Table2[[#This Row],[final_obs_int2]]-Table2[[#This Row],[final_obs_int_feb]]), "NA")</f>
        <v>0</v>
      </c>
      <c r="R518" s="24"/>
      <c r="S518" s="57" t="s">
        <v>88</v>
      </c>
      <c r="T518" s="57" t="str">
        <f>Table2[[#This Row],[camera_old]]</f>
        <v>N</v>
      </c>
      <c r="U518" s="24"/>
      <c r="V518" s="16" t="s">
        <v>24</v>
      </c>
      <c r="W518" s="16">
        <v>22</v>
      </c>
      <c r="X518" s="145">
        <v>5</v>
      </c>
      <c r="Y518" s="147" t="s">
        <v>48</v>
      </c>
      <c r="Z518" s="146" t="s">
        <v>48</v>
      </c>
      <c r="AA518" s="4" t="str">
        <f>Table2[[#This Row],[field_fate]]</f>
        <v>F</v>
      </c>
      <c r="AB518" s="4" t="str">
        <f>Table2[[#This Row],[field_fate2]]</f>
        <v>F</v>
      </c>
      <c r="AC518" s="4" t="str">
        <f>Table2[[#This Row],[field_fate3]]</f>
        <v>F</v>
      </c>
      <c r="AD518" s="4" t="str">
        <f>Table2[[#This Row],[field_fate4]]</f>
        <v>F</v>
      </c>
      <c r="AE518" s="4" t="str">
        <f>Table2[[#This Row],[field_fate5]]</f>
        <v>F</v>
      </c>
      <c r="AF518" s="4" t="str">
        <f>Table2[[#This Row],[field_fate5]]</f>
        <v>F</v>
      </c>
      <c r="AG518" s="4" t="str">
        <f>Table2[[#This Row],[field_fate5]]</f>
        <v>F</v>
      </c>
      <c r="AH518" s="4" t="str">
        <f>Table2[[#This Row],[field_fate2]]</f>
        <v>F</v>
      </c>
      <c r="AI518" s="4" t="str">
        <f>Table2[[#This Row],[field_fate8]]</f>
        <v>F</v>
      </c>
      <c r="AJ518" s="4" t="str">
        <f>Table2[[#This Row],[field_fate10]]</f>
        <v>F</v>
      </c>
      <c r="AK518" s="4" t="b">
        <f>Table2[[#This Row],[field_fate_feb]]=Table2[[#This Row],[field_fate10]]</f>
        <v>1</v>
      </c>
      <c r="AL518" s="43" t="s">
        <v>24</v>
      </c>
      <c r="AM518" s="43" t="b">
        <f>Table2[[#This Row],[cam_fate2]]="NA"</f>
        <v>1</v>
      </c>
      <c r="AN518" s="19" t="str">
        <f>Table2[[#This Row],[cam_fate1]]</f>
        <v>NA</v>
      </c>
      <c r="AO518" s="2" t="s">
        <v>48</v>
      </c>
      <c r="AP518" s="5" t="str">
        <f>Table2[[#This Row],[final_fate1]]</f>
        <v>F</v>
      </c>
      <c r="AQ518" s="6">
        <v>22</v>
      </c>
      <c r="AR518" s="7">
        <v>22</v>
      </c>
      <c r="AS518" s="7">
        <f>Table2[[#This Row],[final_obs_date]]-Table2[[#This Row],[init_date]]</f>
        <v>22</v>
      </c>
      <c r="AT518" s="7">
        <f>(Table2[[#This Row],[final_obs_date2]]-Table2[[#This Row],[estHD]])+16</f>
        <v>10</v>
      </c>
      <c r="AU518" s="38">
        <v>5</v>
      </c>
      <c r="AV518" s="33">
        <v>5</v>
      </c>
      <c r="AW518" s="33">
        <f>Table2[[#This Row],[final_obs_date2]]-Table2[[#This Row],[pen_obs_date]]</f>
        <v>57</v>
      </c>
      <c r="AX518" s="67">
        <v>57</v>
      </c>
      <c r="AY518" s="6">
        <f>Table2[[#This Row],[final_obs_date]]</f>
        <v>57</v>
      </c>
      <c r="AZ518" s="6"/>
      <c r="BA518" s="91" t="s">
        <v>23</v>
      </c>
      <c r="BB518" s="6" t="b">
        <f>Table2[[#This Row],[final_obs_date]]&lt;(Table2[[#This Row],[estHD]]-2)</f>
        <v>1</v>
      </c>
      <c r="BC518" s="24">
        <f>IF(Table2[[#This Row],[field_fate]]="H",1,0)</f>
        <v>0</v>
      </c>
      <c r="BD518" s="16">
        <f>IF(Table2[[#This Row],[cam_fate2]]="H",1,0)</f>
        <v>0</v>
      </c>
      <c r="BE518" s="6" t="b">
        <f>NOT(Table2[[#This Row],[HF_C]]=Table2[[#This Row],[HF]])</f>
        <v>0</v>
      </c>
      <c r="BF518" s="6" t="b">
        <f>NOT(Table2[[#This Row],[cam_fate2]]=Table2[[#This Row],[field_fate3]])</f>
        <v>1</v>
      </c>
      <c r="BG518" s="6" t="b">
        <f>OR(Table2[[#This Row],[field_fate3]]="U",Table2[[#This Row],[field_fate3]]="U-H")</f>
        <v>0</v>
      </c>
      <c r="BH518" s="8">
        <v>46</v>
      </c>
      <c r="BI518" s="8">
        <v>52</v>
      </c>
      <c r="BJ518" s="14">
        <f>IF(ISTEXT(Table2[[#This Row],[j.cam]]),Table2[[#This Row],[j]],Table2[[#This Row],[j.cam]])</f>
        <v>52</v>
      </c>
      <c r="BK518" s="9">
        <v>57</v>
      </c>
      <c r="BL518" s="15">
        <f>IF(ISTEXT(Table2[[#This Row],[k.cam]]), Table2[[#This Row],[k]], Table2[[#This Row],[k.cam]])</f>
        <v>57</v>
      </c>
      <c r="BM518" s="4" t="s">
        <v>24</v>
      </c>
      <c r="BN518" s="8" t="s">
        <v>24</v>
      </c>
      <c r="BO518" s="4">
        <v>3</v>
      </c>
      <c r="BP518" s="4">
        <f>Table2[[#This Row],[final_obs_date]]-Table2[[#This Row],[i]]</f>
        <v>11</v>
      </c>
      <c r="BQ518" s="4" t="b">
        <f>Table2[[#This Row],[final_obs_date2]]&gt;Table2[[#This Row],[estHD]]+3</f>
        <v>0</v>
      </c>
      <c r="BR518" s="4" t="s">
        <v>27</v>
      </c>
      <c r="BS518" s="4" t="s">
        <v>45</v>
      </c>
      <c r="BT518" s="79" t="s">
        <v>1330</v>
      </c>
      <c r="BU518" s="26" t="s">
        <v>170</v>
      </c>
      <c r="BV518" s="79" t="s">
        <v>1510</v>
      </c>
      <c r="BW518" s="49"/>
      <c r="BX518" s="47"/>
      <c r="BY518" s="36" t="s">
        <v>24</v>
      </c>
    </row>
    <row r="519" spans="1:77" hidden="1" x14ac:dyDescent="0.35">
      <c r="A519" s="64">
        <v>30036</v>
      </c>
      <c r="B519" s="2" t="s">
        <v>122</v>
      </c>
      <c r="C519" s="46">
        <v>2021</v>
      </c>
      <c r="D519" s="3">
        <v>29.759429999999998</v>
      </c>
      <c r="E519" s="3">
        <v>-93.122119999999995</v>
      </c>
      <c r="F519" s="3">
        <v>0</v>
      </c>
      <c r="G519" s="3">
        <v>0</v>
      </c>
      <c r="H519" s="3" t="s">
        <v>354</v>
      </c>
      <c r="I519" s="43"/>
      <c r="J519" s="55">
        <v>65</v>
      </c>
      <c r="K519" s="4">
        <v>65</v>
      </c>
      <c r="L519" s="22">
        <f>IF(ISNUMBER(Table2[[#This Row],[estHD]]),ABS(Table2[[#This Row],[HD]]-Table2[[#This Row],[estHD]]),"NA")</f>
        <v>0</v>
      </c>
      <c r="M519" s="4" t="b">
        <f>Table2[[#This Row],[HD]]=Table2[[#This Row],[estHD]]</f>
        <v>1</v>
      </c>
      <c r="N519" s="4" t="str">
        <f>IF(ISNUMBER([1]!Table2[[#This Row],[hatch_date]]),[1]!Table2[[#This Row],[hatch_date]]-19,"NA")</f>
        <v>NA</v>
      </c>
      <c r="O519" s="31">
        <v>46</v>
      </c>
      <c r="P519" s="23">
        <f>IF(ISNUMBER(Table2[[#This Row],[nest_age1]]),ABS(Table2[[#This Row],[nest_age1]]-Table2[[#This Row],[nest_age_feb]]),"NA")</f>
        <v>0</v>
      </c>
      <c r="Q519" s="24">
        <f>IF(ISNUMBER(Table2[[#This Row],[final_obs_int2]]),ABS(Table2[[#This Row],[final_obs_int2]]-Table2[[#This Row],[final_obs_int_feb]]), "NA")</f>
        <v>0</v>
      </c>
      <c r="R519" s="24"/>
      <c r="S519" s="57" t="s">
        <v>88</v>
      </c>
      <c r="T519" s="57" t="str">
        <f>Table2[[#This Row],[camera_old]]</f>
        <v>N</v>
      </c>
      <c r="U519" s="24"/>
      <c r="V519" s="16" t="s">
        <v>24</v>
      </c>
      <c r="W519" s="16">
        <v>11</v>
      </c>
      <c r="X519" s="145">
        <v>5</v>
      </c>
      <c r="Y519" s="147" t="s">
        <v>48</v>
      </c>
      <c r="Z519" s="146" t="s">
        <v>48</v>
      </c>
      <c r="AA519" s="4" t="str">
        <f>Table2[[#This Row],[field_fate]]</f>
        <v>F</v>
      </c>
      <c r="AB519" s="4" t="str">
        <f>Table2[[#This Row],[field_fate2]]</f>
        <v>F</v>
      </c>
      <c r="AC519" s="4" t="str">
        <f>Table2[[#This Row],[field_fate3]]</f>
        <v>F</v>
      </c>
      <c r="AD519" s="4" t="str">
        <f>Table2[[#This Row],[field_fate4]]</f>
        <v>F</v>
      </c>
      <c r="AE519" s="4" t="str">
        <f>Table2[[#This Row],[field_fate5]]</f>
        <v>F</v>
      </c>
      <c r="AF519" s="4" t="str">
        <f>Table2[[#This Row],[field_fate5]]</f>
        <v>F</v>
      </c>
      <c r="AG519" s="4" t="str">
        <f>Table2[[#This Row],[field_fate5]]</f>
        <v>F</v>
      </c>
      <c r="AH519" s="4" t="str">
        <f>Table2[[#This Row],[field_fate2]]</f>
        <v>F</v>
      </c>
      <c r="AI519" s="4" t="str">
        <f>Table2[[#This Row],[field_fate8]]</f>
        <v>F</v>
      </c>
      <c r="AJ519" s="4" t="str">
        <f>Table2[[#This Row],[field_fate10]]</f>
        <v>F</v>
      </c>
      <c r="AK519" s="4" t="b">
        <f>Table2[[#This Row],[field_fate_feb]]=Table2[[#This Row],[field_fate10]]</f>
        <v>1</v>
      </c>
      <c r="AL519" s="43" t="s">
        <v>24</v>
      </c>
      <c r="AM519" s="43" t="b">
        <f>Table2[[#This Row],[cam_fate2]]="NA"</f>
        <v>1</v>
      </c>
      <c r="AN519" s="19" t="str">
        <f>Table2[[#This Row],[cam_fate1]]</f>
        <v>NA</v>
      </c>
      <c r="AO519" s="2" t="s">
        <v>48</v>
      </c>
      <c r="AP519" s="5" t="str">
        <f>Table2[[#This Row],[final_fate1]]</f>
        <v>F</v>
      </c>
      <c r="AQ519" s="6">
        <v>11</v>
      </c>
      <c r="AR519" s="7">
        <v>11</v>
      </c>
      <c r="AS519" s="7">
        <f>Table2[[#This Row],[final_obs_date]]-Table2[[#This Row],[init_date]]</f>
        <v>11</v>
      </c>
      <c r="AT519" s="7">
        <f>(Table2[[#This Row],[final_obs_date2]]-Table2[[#This Row],[estHD]])+16</f>
        <v>8</v>
      </c>
      <c r="AU519" s="38">
        <v>5</v>
      </c>
      <c r="AV519" s="33">
        <v>5</v>
      </c>
      <c r="AW519" s="33">
        <f>Table2[[#This Row],[final_obs_date2]]-Table2[[#This Row],[pen_obs_date]]</f>
        <v>57</v>
      </c>
      <c r="AX519" s="67">
        <v>57</v>
      </c>
      <c r="AY519" s="6">
        <f>Table2[[#This Row],[final_obs_date]]</f>
        <v>57</v>
      </c>
      <c r="AZ519" s="6"/>
      <c r="BA519" s="91" t="s">
        <v>47</v>
      </c>
      <c r="BB519" s="6" t="b">
        <f>Table2[[#This Row],[final_obs_date]]&lt;(Table2[[#This Row],[estHD]]-2)</f>
        <v>1</v>
      </c>
      <c r="BC519" s="24">
        <f>IF(Table2[[#This Row],[field_fate]]="H",1,0)</f>
        <v>0</v>
      </c>
      <c r="BD519" s="16">
        <f>IF(Table2[[#This Row],[cam_fate2]]="H",1,0)</f>
        <v>0</v>
      </c>
      <c r="BE519" s="6" t="b">
        <f>NOT(Table2[[#This Row],[HF_C]]=Table2[[#This Row],[HF]])</f>
        <v>0</v>
      </c>
      <c r="BF519" s="6" t="b">
        <f>NOT(Table2[[#This Row],[cam_fate2]]=Table2[[#This Row],[field_fate3]])</f>
        <v>1</v>
      </c>
      <c r="BG519" s="6" t="b">
        <f>OR(Table2[[#This Row],[field_fate3]]="U",Table2[[#This Row],[field_fate3]]="U-H")</f>
        <v>0</v>
      </c>
      <c r="BH519" s="8">
        <v>52</v>
      </c>
      <c r="BI519" s="8">
        <v>52</v>
      </c>
      <c r="BJ519" s="14">
        <f>IF(ISTEXT(Table2[[#This Row],[j.cam]]),Table2[[#This Row],[j]],Table2[[#This Row],[j.cam]])</f>
        <v>52</v>
      </c>
      <c r="BK519" s="9">
        <v>57</v>
      </c>
      <c r="BL519" s="15">
        <f>IF(ISTEXT(Table2[[#This Row],[k.cam]]), Table2[[#This Row],[k]], Table2[[#This Row],[k.cam]])</f>
        <v>57</v>
      </c>
      <c r="BM519" s="4" t="s">
        <v>24</v>
      </c>
      <c r="BN519" s="8" t="s">
        <v>24</v>
      </c>
      <c r="BO519" s="4">
        <v>2</v>
      </c>
      <c r="BP519" s="4">
        <f>Table2[[#This Row],[final_obs_date]]-Table2[[#This Row],[i]]</f>
        <v>5</v>
      </c>
      <c r="BQ519" s="4" t="b">
        <f>Table2[[#This Row],[final_obs_date2]]&gt;Table2[[#This Row],[estHD]]+3</f>
        <v>0</v>
      </c>
      <c r="BR519" s="4" t="s">
        <v>33</v>
      </c>
      <c r="BS519" s="4" t="s">
        <v>45</v>
      </c>
      <c r="BT519" s="79" t="s">
        <v>1331</v>
      </c>
      <c r="BU519" s="26" t="s">
        <v>87</v>
      </c>
      <c r="BV519" s="79" t="s">
        <v>1464</v>
      </c>
      <c r="BW519" s="49"/>
      <c r="BX519" s="47"/>
      <c r="BY519" s="36" t="s">
        <v>24</v>
      </c>
    </row>
    <row r="520" spans="1:77" hidden="1" x14ac:dyDescent="0.35">
      <c r="A520" s="64">
        <v>30037</v>
      </c>
      <c r="B520" s="2" t="s">
        <v>122</v>
      </c>
      <c r="C520" s="46">
        <v>2021</v>
      </c>
      <c r="D520" s="3">
        <v>29.759119999999999</v>
      </c>
      <c r="E520" s="3">
        <v>-93.121350000000007</v>
      </c>
      <c r="F520" s="3">
        <v>0</v>
      </c>
      <c r="G520" s="3">
        <v>0</v>
      </c>
      <c r="H520" s="3" t="s">
        <v>354</v>
      </c>
      <c r="I520" s="43"/>
      <c r="J520" s="55">
        <v>64</v>
      </c>
      <c r="K520" s="4">
        <v>64</v>
      </c>
      <c r="L520" s="22">
        <f>IF(ISNUMBER(Table2[[#This Row],[estHD]]),ABS(Table2[[#This Row],[HD]]-Table2[[#This Row],[estHD]]),"NA")</f>
        <v>0</v>
      </c>
      <c r="M520" s="4" t="b">
        <f>Table2[[#This Row],[HD]]=Table2[[#This Row],[estHD]]</f>
        <v>1</v>
      </c>
      <c r="N520" s="4" t="str">
        <f>IF(ISNUMBER([1]!Table2[[#This Row],[hatch_date]]),[1]!Table2[[#This Row],[hatch_date]]-19,"NA")</f>
        <v>NA</v>
      </c>
      <c r="O520" s="31">
        <v>45</v>
      </c>
      <c r="P520" s="23">
        <f>IF(ISNUMBER(Table2[[#This Row],[nest_age1]]),ABS(Table2[[#This Row],[nest_age1]]-Table2[[#This Row],[nest_age_feb]]),"NA")</f>
        <v>0</v>
      </c>
      <c r="Q520" s="24">
        <f>IF(ISNUMBER(Table2[[#This Row],[final_obs_int2]]),ABS(Table2[[#This Row],[final_obs_int2]]-Table2[[#This Row],[final_obs_int_feb]]), "NA")</f>
        <v>0</v>
      </c>
      <c r="R520" s="24"/>
      <c r="S520" s="57" t="s">
        <v>88</v>
      </c>
      <c r="T520" s="57" t="str">
        <f>Table2[[#This Row],[camera_old]]</f>
        <v>N</v>
      </c>
      <c r="U520" s="24"/>
      <c r="V520" s="16" t="s">
        <v>24</v>
      </c>
      <c r="W520" s="16">
        <v>12</v>
      </c>
      <c r="X520" s="145">
        <v>5</v>
      </c>
      <c r="Y520" s="147" t="s">
        <v>48</v>
      </c>
      <c r="Z520" s="146" t="s">
        <v>48</v>
      </c>
      <c r="AA520" s="4" t="str">
        <f>Table2[[#This Row],[field_fate]]</f>
        <v>F</v>
      </c>
      <c r="AB520" s="4" t="str">
        <f>Table2[[#This Row],[field_fate2]]</f>
        <v>F</v>
      </c>
      <c r="AC520" s="4" t="str">
        <f>Table2[[#This Row],[field_fate3]]</f>
        <v>F</v>
      </c>
      <c r="AD520" s="4" t="str">
        <f>Table2[[#This Row],[field_fate4]]</f>
        <v>F</v>
      </c>
      <c r="AE520" s="4" t="str">
        <f>Table2[[#This Row],[field_fate5]]</f>
        <v>F</v>
      </c>
      <c r="AF520" s="4" t="str">
        <f>Table2[[#This Row],[field_fate5]]</f>
        <v>F</v>
      </c>
      <c r="AG520" s="4" t="str">
        <f>Table2[[#This Row],[field_fate5]]</f>
        <v>F</v>
      </c>
      <c r="AH520" s="4" t="str">
        <f>Table2[[#This Row],[field_fate2]]</f>
        <v>F</v>
      </c>
      <c r="AI520" s="4" t="str">
        <f>Table2[[#This Row],[field_fate8]]</f>
        <v>F</v>
      </c>
      <c r="AJ520" s="4" t="str">
        <f>Table2[[#This Row],[field_fate10]]</f>
        <v>F</v>
      </c>
      <c r="AK520" s="4" t="b">
        <f>Table2[[#This Row],[field_fate_feb]]=Table2[[#This Row],[field_fate10]]</f>
        <v>1</v>
      </c>
      <c r="AL520" s="43" t="s">
        <v>24</v>
      </c>
      <c r="AM520" s="43" t="b">
        <f>Table2[[#This Row],[cam_fate2]]="NA"</f>
        <v>1</v>
      </c>
      <c r="AN520" s="19" t="str">
        <f>Table2[[#This Row],[cam_fate1]]</f>
        <v>NA</v>
      </c>
      <c r="AO520" s="2" t="s">
        <v>48</v>
      </c>
      <c r="AP520" s="5" t="str">
        <f>Table2[[#This Row],[final_fate1]]</f>
        <v>F</v>
      </c>
      <c r="AQ520" s="6">
        <v>12</v>
      </c>
      <c r="AR520" s="7">
        <v>12</v>
      </c>
      <c r="AS520" s="7">
        <f>Table2[[#This Row],[final_obs_date]]-Table2[[#This Row],[init_date]]</f>
        <v>12</v>
      </c>
      <c r="AT520" s="7">
        <f>(Table2[[#This Row],[final_obs_date2]]-Table2[[#This Row],[estHD]])+16</f>
        <v>9</v>
      </c>
      <c r="AU520" s="38">
        <v>5</v>
      </c>
      <c r="AV520" s="33">
        <v>5</v>
      </c>
      <c r="AW520" s="33">
        <f>Table2[[#This Row],[final_obs_date2]]-Table2[[#This Row],[pen_obs_date]]</f>
        <v>57</v>
      </c>
      <c r="AX520" s="67">
        <v>57</v>
      </c>
      <c r="AY520" s="6">
        <f>Table2[[#This Row],[final_obs_date]]</f>
        <v>57</v>
      </c>
      <c r="AZ520" s="6"/>
      <c r="BA520" s="91" t="s">
        <v>47</v>
      </c>
      <c r="BB520" s="6" t="b">
        <f>Table2[[#This Row],[final_obs_date]]&lt;(Table2[[#This Row],[estHD]]-2)</f>
        <v>1</v>
      </c>
      <c r="BC520" s="24">
        <f>IF(Table2[[#This Row],[field_fate]]="H",1,0)</f>
        <v>0</v>
      </c>
      <c r="BD520" s="16">
        <f>IF(Table2[[#This Row],[cam_fate2]]="H",1,0)</f>
        <v>0</v>
      </c>
      <c r="BE520" s="6" t="b">
        <f>NOT(Table2[[#This Row],[HF_C]]=Table2[[#This Row],[HF]])</f>
        <v>0</v>
      </c>
      <c r="BF520" s="6" t="b">
        <f>NOT(Table2[[#This Row],[cam_fate2]]=Table2[[#This Row],[field_fate3]])</f>
        <v>1</v>
      </c>
      <c r="BG520" s="6" t="b">
        <f>OR(Table2[[#This Row],[field_fate3]]="U",Table2[[#This Row],[field_fate3]]="U-H")</f>
        <v>0</v>
      </c>
      <c r="BH520" s="8">
        <v>52</v>
      </c>
      <c r="BI520" s="8">
        <v>52</v>
      </c>
      <c r="BJ520" s="14">
        <f>IF(ISTEXT(Table2[[#This Row],[j.cam]]),Table2[[#This Row],[j]],Table2[[#This Row],[j.cam]])</f>
        <v>52</v>
      </c>
      <c r="BK520" s="9">
        <v>57</v>
      </c>
      <c r="BL520" s="15">
        <f>IF(ISTEXT(Table2[[#This Row],[k.cam]]), Table2[[#This Row],[k]], Table2[[#This Row],[k.cam]])</f>
        <v>57</v>
      </c>
      <c r="BM520" s="4" t="s">
        <v>24</v>
      </c>
      <c r="BN520" s="8" t="s">
        <v>24</v>
      </c>
      <c r="BO520" s="4">
        <v>2</v>
      </c>
      <c r="BP520" s="4">
        <f>Table2[[#This Row],[final_obs_date]]-Table2[[#This Row],[i]]</f>
        <v>5</v>
      </c>
      <c r="BQ520" s="4" t="b">
        <f>Table2[[#This Row],[final_obs_date2]]&gt;Table2[[#This Row],[estHD]]+3</f>
        <v>0</v>
      </c>
      <c r="BR520" s="4" t="s">
        <v>27</v>
      </c>
      <c r="BS520" s="4" t="s">
        <v>45</v>
      </c>
      <c r="BT520" s="79" t="s">
        <v>1331</v>
      </c>
      <c r="BU520" s="26" t="s">
        <v>183</v>
      </c>
      <c r="BV520" s="79" t="s">
        <v>1464</v>
      </c>
      <c r="BW520" s="49"/>
      <c r="BX520" s="47"/>
      <c r="BY520" s="36" t="s">
        <v>24</v>
      </c>
    </row>
    <row r="521" spans="1:77" hidden="1" x14ac:dyDescent="0.35">
      <c r="A521" s="64">
        <v>30038</v>
      </c>
      <c r="B521" s="2" t="s">
        <v>122</v>
      </c>
      <c r="C521" s="46">
        <v>2021</v>
      </c>
      <c r="D521" s="3">
        <v>29.758870000000002</v>
      </c>
      <c r="E521" s="3">
        <v>-93.120699999999999</v>
      </c>
      <c r="F521" s="3">
        <v>2</v>
      </c>
      <c r="G521" s="3">
        <v>1</v>
      </c>
      <c r="H521" s="3" t="s">
        <v>354</v>
      </c>
      <c r="I521" s="43"/>
      <c r="J521" s="55">
        <v>69</v>
      </c>
      <c r="K521" s="4">
        <v>69</v>
      </c>
      <c r="L521" s="22">
        <f>IF(ISNUMBER(Table2[[#This Row],[estHD]]),ABS(Table2[[#This Row],[HD]]-Table2[[#This Row],[estHD]]),"NA")</f>
        <v>0</v>
      </c>
      <c r="M521" s="4" t="b">
        <f>Table2[[#This Row],[HD]]=Table2[[#This Row],[estHD]]</f>
        <v>1</v>
      </c>
      <c r="N521" s="4" t="str">
        <f>IF(ISNUMBER([1]!Table2[[#This Row],[hatch_date]]), [1]!Table2[[#This Row],[hatch_date]]-16, "NA")</f>
        <v>NA</v>
      </c>
      <c r="O521" s="31">
        <v>53</v>
      </c>
      <c r="P521" s="23">
        <f>IF(ISNUMBER(Table2[[#This Row],[nest_age1]]),ABS(Table2[[#This Row],[nest_age1]]-Table2[[#This Row],[nest_age_feb]]),"NA")</f>
        <v>3</v>
      </c>
      <c r="Q521" s="24">
        <f>IF(ISNUMBER(Table2[[#This Row],[final_obs_int2]]),ABS(Table2[[#This Row],[final_obs_int2]]-Table2[[#This Row],[final_obs_int_feb]]), "NA")</f>
        <v>1</v>
      </c>
      <c r="R521" s="24"/>
      <c r="S521" s="57" t="s">
        <v>88</v>
      </c>
      <c r="T521" s="57" t="str">
        <f>Table2[[#This Row],[camera_old]]</f>
        <v>N</v>
      </c>
      <c r="U521" s="24"/>
      <c r="V521" s="16" t="s">
        <v>37</v>
      </c>
      <c r="W521" s="16">
        <v>16</v>
      </c>
      <c r="X521" s="145">
        <v>3</v>
      </c>
      <c r="Y521" s="147" t="s">
        <v>37</v>
      </c>
      <c r="Z521" s="146" t="s">
        <v>37</v>
      </c>
      <c r="AA521" s="4" t="str">
        <f>Table2[[#This Row],[field_fate]]</f>
        <v>H</v>
      </c>
      <c r="AB521" s="4" t="str">
        <f>Table2[[#This Row],[field_fate2]]</f>
        <v>H</v>
      </c>
      <c r="AC521" s="4" t="str">
        <f>Table2[[#This Row],[field_fate3]]</f>
        <v>H</v>
      </c>
      <c r="AD521" s="4" t="str">
        <f>Table2[[#This Row],[field_fate4]]</f>
        <v>H</v>
      </c>
      <c r="AE521" s="4" t="str">
        <f>Table2[[#This Row],[field_fate5]]</f>
        <v>H</v>
      </c>
      <c r="AF521" s="4" t="str">
        <f>Table2[[#This Row],[field_fate5]]</f>
        <v>H</v>
      </c>
      <c r="AG521" s="4" t="str">
        <f>Table2[[#This Row],[field_fate5]]</f>
        <v>H</v>
      </c>
      <c r="AH521" s="4" t="str">
        <f>Table2[[#This Row],[field_fate2]]</f>
        <v>H</v>
      </c>
      <c r="AI521" s="4" t="str">
        <f>Table2[[#This Row],[field_fate8]]</f>
        <v>H</v>
      </c>
      <c r="AJ521" s="4" t="str">
        <f>Table2[[#This Row],[field_fate10]]</f>
        <v>H</v>
      </c>
      <c r="AK521" s="4" t="b">
        <f>Table2[[#This Row],[field_fate_feb]]=Table2[[#This Row],[field_fate10]]</f>
        <v>1</v>
      </c>
      <c r="AL521" s="43" t="s">
        <v>24</v>
      </c>
      <c r="AM521" s="43" t="b">
        <f>Table2[[#This Row],[cam_fate2]]="NA"</f>
        <v>1</v>
      </c>
      <c r="AN521" s="19" t="str">
        <f>Table2[[#This Row],[cam_fate1]]</f>
        <v>NA</v>
      </c>
      <c r="AO521" s="2" t="s">
        <v>24</v>
      </c>
      <c r="AP521" s="5" t="str">
        <f>Table2[[#This Row],[final_fate1]]</f>
        <v>NA</v>
      </c>
      <c r="AQ521" s="6">
        <v>19</v>
      </c>
      <c r="AR521" s="7">
        <v>19</v>
      </c>
      <c r="AS521" s="7">
        <f>Table2[[#This Row],[final_obs_date]]-Table2[[#This Row],[init_date]]</f>
        <v>19</v>
      </c>
      <c r="AT521" s="7">
        <f>(Table2[[#This Row],[final_obs_date2]]-Table2[[#This Row],[estHD]])+16</f>
        <v>19</v>
      </c>
      <c r="AU521" s="38">
        <v>2</v>
      </c>
      <c r="AV521" s="33">
        <v>2</v>
      </c>
      <c r="AW521" s="33">
        <f>Table2[[#This Row],[final_obs_date2]]-Table2[[#This Row],[pen_obs_date]]</f>
        <v>72</v>
      </c>
      <c r="AX521" s="67">
        <v>72</v>
      </c>
      <c r="AY521" s="6">
        <f>Table2[[#This Row],[final_obs_date]]</f>
        <v>72</v>
      </c>
      <c r="AZ521" s="6"/>
      <c r="BA521" s="91" t="s">
        <v>60</v>
      </c>
      <c r="BB521" s="6" t="b">
        <f>Table2[[#This Row],[final_obs_date]]&lt;(Table2[[#This Row],[estHD]]-2)</f>
        <v>0</v>
      </c>
      <c r="BC521" s="24">
        <f>IF(Table2[[#This Row],[field_fate]]="H",1,0)</f>
        <v>1</v>
      </c>
      <c r="BD521" s="16">
        <f>IF(Table2[[#This Row],[cam_fate2]]="H",1,0)</f>
        <v>0</v>
      </c>
      <c r="BE521" s="6" t="b">
        <f>NOT(Table2[[#This Row],[HF_C]]=Table2[[#This Row],[HF]])</f>
        <v>1</v>
      </c>
      <c r="BF521" s="6" t="b">
        <f>NOT(Table2[[#This Row],[cam_fate2]]=Table2[[#This Row],[field_fate3]])</f>
        <v>1</v>
      </c>
      <c r="BG521" s="6" t="b">
        <f>OR(Table2[[#This Row],[field_fate3]]="U",Table2[[#This Row],[field_fate3]]="U-H")</f>
        <v>0</v>
      </c>
      <c r="BH521" s="8">
        <v>52</v>
      </c>
      <c r="BI521" s="8">
        <v>70</v>
      </c>
      <c r="BJ521" s="14">
        <f>IF(ISTEXT(Table2[[#This Row],[j.cam]]),Table2[[#This Row],[j]],Table2[[#This Row],[j.cam]])</f>
        <v>70</v>
      </c>
      <c r="BK521" s="9">
        <v>70</v>
      </c>
      <c r="BL521" s="15">
        <f>IF(ISTEXT(Table2[[#This Row],[k.cam]]), Table2[[#This Row],[k]], Table2[[#This Row],[k.cam]])</f>
        <v>70</v>
      </c>
      <c r="BM521" s="4" t="s">
        <v>24</v>
      </c>
      <c r="BN521" s="8" t="s">
        <v>24</v>
      </c>
      <c r="BO521" s="4">
        <v>6</v>
      </c>
      <c r="BP521" s="4">
        <f>Table2[[#This Row],[final_obs_date]]-Table2[[#This Row],[i]]</f>
        <v>20</v>
      </c>
      <c r="BQ521" s="4" t="b">
        <f>Table2[[#This Row],[final_obs_date2]]&gt;Table2[[#This Row],[estHD]]+3</f>
        <v>0</v>
      </c>
      <c r="BR521" s="4" t="s">
        <v>33</v>
      </c>
      <c r="BS521" s="4" t="s">
        <v>53</v>
      </c>
      <c r="BT521" s="79" t="s">
        <v>1332</v>
      </c>
      <c r="BU521" s="26" t="s">
        <v>367</v>
      </c>
      <c r="BV521" s="79" t="s">
        <v>1585</v>
      </c>
      <c r="BW521" s="49"/>
      <c r="BX521" s="47"/>
      <c r="BY521" s="36" t="s">
        <v>814</v>
      </c>
    </row>
    <row r="522" spans="1:77" hidden="1" x14ac:dyDescent="0.35">
      <c r="A522" s="64">
        <v>30039</v>
      </c>
      <c r="B522" s="2" t="s">
        <v>122</v>
      </c>
      <c r="C522" s="46">
        <v>2021</v>
      </c>
      <c r="D522" s="3">
        <v>29.75872</v>
      </c>
      <c r="E522" s="3">
        <v>-93.120140000000006</v>
      </c>
      <c r="F522" s="3">
        <v>0</v>
      </c>
      <c r="G522" s="3">
        <v>0</v>
      </c>
      <c r="H522" s="3" t="s">
        <v>354</v>
      </c>
      <c r="I522" s="43"/>
      <c r="J522" s="55">
        <v>65</v>
      </c>
      <c r="K522" s="4">
        <v>69</v>
      </c>
      <c r="L522" s="22">
        <f>IF(ISNUMBER(Table2[[#This Row],[estHD]]),ABS(Table2[[#This Row],[HD]]-Table2[[#This Row],[estHD]]),"NA")</f>
        <v>4</v>
      </c>
      <c r="M522" s="4" t="b">
        <f>Table2[[#This Row],[HD]]=Table2[[#This Row],[estHD]]</f>
        <v>0</v>
      </c>
      <c r="N522" s="4" t="str">
        <f>IF(ISNUMBER([1]!Table2[[#This Row],[hatch_date]]),[1]!Table2[[#This Row],[hatch_date]]-19,"NA")</f>
        <v>NA</v>
      </c>
      <c r="O522" s="31">
        <v>50</v>
      </c>
      <c r="P522" s="23">
        <f>IF(ISNUMBER(Table2[[#This Row],[nest_age1]]),ABS(Table2[[#This Row],[nest_age1]]-Table2[[#This Row],[nest_age_feb]]),"NA")</f>
        <v>4</v>
      </c>
      <c r="Q522" s="24">
        <f>IF(ISNUMBER(Table2[[#This Row],[final_obs_int2]]),ABS(Table2[[#This Row],[final_obs_int2]]-Table2[[#This Row],[final_obs_int_feb]]), "NA")</f>
        <v>0</v>
      </c>
      <c r="R522" s="24"/>
      <c r="S522" s="57" t="s">
        <v>88</v>
      </c>
      <c r="T522" s="57" t="str">
        <f>Table2[[#This Row],[camera_old]]</f>
        <v>N</v>
      </c>
      <c r="U522" s="24"/>
      <c r="V522" s="16" t="s">
        <v>24</v>
      </c>
      <c r="W522" s="16">
        <v>23</v>
      </c>
      <c r="X522" s="145">
        <v>4</v>
      </c>
      <c r="Y522" s="147" t="s">
        <v>37</v>
      </c>
      <c r="Z522" s="146" t="s">
        <v>37</v>
      </c>
      <c r="AA522" s="4" t="str">
        <f>Table2[[#This Row],[field_fate]]</f>
        <v>H</v>
      </c>
      <c r="AB522" s="4" t="str">
        <f>Table2[[#This Row],[field_fate2]]</f>
        <v>H</v>
      </c>
      <c r="AC522" s="4" t="str">
        <f>Table2[[#This Row],[field_fate3]]</f>
        <v>H</v>
      </c>
      <c r="AD522" s="4" t="str">
        <f>Table2[[#This Row],[field_fate4]]</f>
        <v>H</v>
      </c>
      <c r="AE522" s="4" t="str">
        <f>Table2[[#This Row],[field_fate5]]</f>
        <v>H</v>
      </c>
      <c r="AF522" s="4" t="str">
        <f>Table2[[#This Row],[field_fate5]]</f>
        <v>H</v>
      </c>
      <c r="AG522" s="4" t="str">
        <f>Table2[[#This Row],[field_fate5]]</f>
        <v>H</v>
      </c>
      <c r="AH522" s="4" t="str">
        <f>Table2[[#This Row],[field_fate2]]</f>
        <v>H</v>
      </c>
      <c r="AI522" s="4" t="str">
        <f>Table2[[#This Row],[field_fate8]]</f>
        <v>H</v>
      </c>
      <c r="AJ522" s="4" t="str">
        <f>Table2[[#This Row],[field_fate10]]</f>
        <v>H</v>
      </c>
      <c r="AK522" s="4" t="b">
        <f>Table2[[#This Row],[field_fate_feb]]=Table2[[#This Row],[field_fate10]]</f>
        <v>1</v>
      </c>
      <c r="AL522" s="43" t="s">
        <v>24</v>
      </c>
      <c r="AM522" s="43" t="b">
        <f>Table2[[#This Row],[cam_fate2]]="NA"</f>
        <v>1</v>
      </c>
      <c r="AN522" s="19" t="str">
        <f>Table2[[#This Row],[cam_fate1]]</f>
        <v>NA</v>
      </c>
      <c r="AO522" s="2" t="s">
        <v>37</v>
      </c>
      <c r="AP522" s="5" t="str">
        <f>Table2[[#This Row],[final_fate1]]</f>
        <v>H</v>
      </c>
      <c r="AQ522" s="6">
        <v>19</v>
      </c>
      <c r="AR522" s="7">
        <v>23</v>
      </c>
      <c r="AS522" s="7">
        <f>Table2[[#This Row],[final_obs_date]]-Table2[[#This Row],[init_date]]</f>
        <v>19</v>
      </c>
      <c r="AT522" s="7">
        <f>(Table2[[#This Row],[final_obs_date2]]-Table2[[#This Row],[estHD]])+16</f>
        <v>20</v>
      </c>
      <c r="AU522" s="38">
        <v>4</v>
      </c>
      <c r="AV522" s="33">
        <v>4</v>
      </c>
      <c r="AW522" s="33">
        <f>Table2[[#This Row],[final_obs_date2]]-Table2[[#This Row],[pen_obs_date]]</f>
        <v>69</v>
      </c>
      <c r="AX522" s="67">
        <v>69</v>
      </c>
      <c r="AY522" s="6">
        <f>Table2[[#This Row],[final_obs_date]]</f>
        <v>69</v>
      </c>
      <c r="AZ522" s="6"/>
      <c r="BA522" s="91" t="s">
        <v>47</v>
      </c>
      <c r="BB522" s="6" t="b">
        <f>Table2[[#This Row],[final_obs_date]]&lt;(Table2[[#This Row],[estHD]]-2)</f>
        <v>0</v>
      </c>
      <c r="BC522" s="24">
        <f>IF(Table2[[#This Row],[field_fate]]="H",1,0)</f>
        <v>1</v>
      </c>
      <c r="BD522" s="16">
        <f>IF(Table2[[#This Row],[cam_fate2]]="H",1,0)</f>
        <v>0</v>
      </c>
      <c r="BE522" s="6" t="b">
        <f>NOT(Table2[[#This Row],[HF_C]]=Table2[[#This Row],[HF]])</f>
        <v>1</v>
      </c>
      <c r="BF522" s="6" t="b">
        <f>NOT(Table2[[#This Row],[cam_fate2]]=Table2[[#This Row],[field_fate3]])</f>
        <v>1</v>
      </c>
      <c r="BG522" s="6" t="b">
        <f>OR(Table2[[#This Row],[field_fate3]]="U",Table2[[#This Row],[field_fate3]]="U-H")</f>
        <v>0</v>
      </c>
      <c r="BH522" s="8">
        <v>52</v>
      </c>
      <c r="BI522" s="8">
        <v>69</v>
      </c>
      <c r="BJ522" s="14">
        <f>IF(ISTEXT(Table2[[#This Row],[j.cam]]),Table2[[#This Row],[j]],Table2[[#This Row],[j.cam]])</f>
        <v>69</v>
      </c>
      <c r="BK522" s="9">
        <v>69</v>
      </c>
      <c r="BL522" s="15">
        <f>IF(ISTEXT(Table2[[#This Row],[k.cam]]), Table2[[#This Row],[k]], Table2[[#This Row],[k.cam]])</f>
        <v>69</v>
      </c>
      <c r="BM522" s="4" t="s">
        <v>24</v>
      </c>
      <c r="BN522" s="8" t="s">
        <v>24</v>
      </c>
      <c r="BO522" s="4">
        <v>5</v>
      </c>
      <c r="BP522" s="4">
        <f>Table2[[#This Row],[final_obs_date]]-Table2[[#This Row],[i]]</f>
        <v>17</v>
      </c>
      <c r="BQ522" s="4" t="b">
        <f>Table2[[#This Row],[final_obs_date2]]&gt;Table2[[#This Row],[estHD]]+3</f>
        <v>1</v>
      </c>
      <c r="BR522" s="4" t="s">
        <v>27</v>
      </c>
      <c r="BS522" s="4" t="s">
        <v>45</v>
      </c>
      <c r="BT522" s="79" t="s">
        <v>1333</v>
      </c>
      <c r="BU522" s="26" t="s">
        <v>368</v>
      </c>
      <c r="BV522" s="79" t="s">
        <v>1658</v>
      </c>
      <c r="BW522" s="49"/>
      <c r="BX522" s="47"/>
      <c r="BY522" s="36" t="s">
        <v>24</v>
      </c>
    </row>
    <row r="523" spans="1:77" hidden="1" x14ac:dyDescent="0.35">
      <c r="A523" s="64">
        <v>30040</v>
      </c>
      <c r="B523" s="2" t="s">
        <v>122</v>
      </c>
      <c r="C523" s="46">
        <v>2021</v>
      </c>
      <c r="D523" s="3">
        <v>29.758289999999999</v>
      </c>
      <c r="E523" s="3">
        <v>-93.118830000000003</v>
      </c>
      <c r="F523" s="3">
        <v>0</v>
      </c>
      <c r="G523" s="3">
        <v>0</v>
      </c>
      <c r="H523" s="3" t="s">
        <v>354</v>
      </c>
      <c r="I523" s="43"/>
      <c r="J523" s="55">
        <v>67</v>
      </c>
      <c r="K523" s="4">
        <v>67</v>
      </c>
      <c r="L523" s="22">
        <f>IF(ISNUMBER(Table2[[#This Row],[estHD]]),ABS(Table2[[#This Row],[HD]]-Table2[[#This Row],[estHD]]),"NA")</f>
        <v>0</v>
      </c>
      <c r="M523" s="4" t="b">
        <f>Table2[[#This Row],[HD]]=Table2[[#This Row],[estHD]]</f>
        <v>1</v>
      </c>
      <c r="N523" s="4" t="str">
        <f>IF(ISNUMBER([1]!Table2[[#This Row],[hatch_date]]),[1]!Table2[[#This Row],[hatch_date]]-19,"NA")</f>
        <v>NA</v>
      </c>
      <c r="O523" s="31">
        <v>48</v>
      </c>
      <c r="P523" s="23">
        <f>IF(ISNUMBER(Table2[[#This Row],[nest_age1]]),ABS(Table2[[#This Row],[nest_age1]]-Table2[[#This Row],[nest_age_feb]]),"NA")</f>
        <v>0</v>
      </c>
      <c r="Q523" s="24">
        <f>IF(ISNUMBER(Table2[[#This Row],[final_obs_int2]]),ABS(Table2[[#This Row],[final_obs_int2]]-Table2[[#This Row],[final_obs_int_feb]]), "NA")</f>
        <v>0</v>
      </c>
      <c r="R523" s="24"/>
      <c r="S523" s="57" t="s">
        <v>88</v>
      </c>
      <c r="T523" s="57" t="str">
        <f>Table2[[#This Row],[camera_old]]</f>
        <v>N</v>
      </c>
      <c r="U523" s="24"/>
      <c r="V523" s="16" t="s">
        <v>24</v>
      </c>
      <c r="W523" s="16">
        <v>9</v>
      </c>
      <c r="X523" s="145">
        <v>5</v>
      </c>
      <c r="Y523" s="147" t="s">
        <v>48</v>
      </c>
      <c r="Z523" s="146" t="s">
        <v>48</v>
      </c>
      <c r="AA523" s="4" t="str">
        <f>Table2[[#This Row],[field_fate]]</f>
        <v>F</v>
      </c>
      <c r="AB523" s="4" t="str">
        <f>Table2[[#This Row],[field_fate2]]</f>
        <v>F</v>
      </c>
      <c r="AC523" s="4" t="str">
        <f>Table2[[#This Row],[field_fate3]]</f>
        <v>F</v>
      </c>
      <c r="AD523" s="4" t="str">
        <f>Table2[[#This Row],[field_fate4]]</f>
        <v>F</v>
      </c>
      <c r="AE523" s="4" t="str">
        <f>Table2[[#This Row],[field_fate5]]</f>
        <v>F</v>
      </c>
      <c r="AF523" s="4" t="str">
        <f>Table2[[#This Row],[field_fate5]]</f>
        <v>F</v>
      </c>
      <c r="AG523" s="4" t="str">
        <f>Table2[[#This Row],[field_fate5]]</f>
        <v>F</v>
      </c>
      <c r="AH523" s="4" t="str">
        <f>Table2[[#This Row],[field_fate2]]</f>
        <v>F</v>
      </c>
      <c r="AI523" s="4" t="str">
        <f>Table2[[#This Row],[field_fate8]]</f>
        <v>F</v>
      </c>
      <c r="AJ523" s="4" t="str">
        <f>Table2[[#This Row],[field_fate10]]</f>
        <v>F</v>
      </c>
      <c r="AK523" s="4" t="b">
        <f>Table2[[#This Row],[field_fate_feb]]=Table2[[#This Row],[field_fate10]]</f>
        <v>1</v>
      </c>
      <c r="AL523" s="43" t="s">
        <v>24</v>
      </c>
      <c r="AM523" s="43" t="b">
        <f>Table2[[#This Row],[cam_fate2]]="NA"</f>
        <v>1</v>
      </c>
      <c r="AN523" s="19" t="str">
        <f>Table2[[#This Row],[cam_fate1]]</f>
        <v>NA</v>
      </c>
      <c r="AO523" s="2" t="s">
        <v>48</v>
      </c>
      <c r="AP523" s="5" t="str">
        <f>Table2[[#This Row],[final_fate1]]</f>
        <v>F</v>
      </c>
      <c r="AQ523" s="6">
        <v>9</v>
      </c>
      <c r="AR523" s="7">
        <v>9</v>
      </c>
      <c r="AS523" s="7">
        <f>Table2[[#This Row],[final_obs_date]]-Table2[[#This Row],[init_date]]</f>
        <v>9</v>
      </c>
      <c r="AT523" s="7">
        <f>(Table2[[#This Row],[final_obs_date2]]-Table2[[#This Row],[estHD]])+16</f>
        <v>6</v>
      </c>
      <c r="AU523" s="38">
        <v>5</v>
      </c>
      <c r="AV523" s="33">
        <v>5</v>
      </c>
      <c r="AW523" s="33">
        <f>Table2[[#This Row],[final_obs_date2]]-Table2[[#This Row],[pen_obs_date]]</f>
        <v>57</v>
      </c>
      <c r="AX523" s="67">
        <v>57</v>
      </c>
      <c r="AY523" s="6">
        <f>Table2[[#This Row],[final_obs_date]]</f>
        <v>57</v>
      </c>
      <c r="AZ523" s="6"/>
      <c r="BA523" s="91" t="s">
        <v>47</v>
      </c>
      <c r="BB523" s="6" t="b">
        <f>Table2[[#This Row],[final_obs_date]]&lt;(Table2[[#This Row],[estHD]]-2)</f>
        <v>1</v>
      </c>
      <c r="BC523" s="24">
        <f>IF(Table2[[#This Row],[field_fate]]="H",1,0)</f>
        <v>0</v>
      </c>
      <c r="BD523" s="16">
        <f>IF(Table2[[#This Row],[cam_fate2]]="H",1,0)</f>
        <v>0</v>
      </c>
      <c r="BE523" s="6" t="b">
        <f>NOT(Table2[[#This Row],[HF_C]]=Table2[[#This Row],[HF]])</f>
        <v>0</v>
      </c>
      <c r="BF523" s="6" t="b">
        <f>NOT(Table2[[#This Row],[cam_fate2]]=Table2[[#This Row],[field_fate3]])</f>
        <v>1</v>
      </c>
      <c r="BG523" s="6" t="b">
        <f>OR(Table2[[#This Row],[field_fate3]]="U",Table2[[#This Row],[field_fate3]]="U-H")</f>
        <v>0</v>
      </c>
      <c r="BH523" s="8">
        <v>52</v>
      </c>
      <c r="BI523" s="8">
        <v>52</v>
      </c>
      <c r="BJ523" s="14">
        <f>IF(ISTEXT(Table2[[#This Row],[j.cam]]),Table2[[#This Row],[j]],Table2[[#This Row],[j.cam]])</f>
        <v>52</v>
      </c>
      <c r="BK523" s="9">
        <v>57</v>
      </c>
      <c r="BL523" s="15">
        <f>IF(ISTEXT(Table2[[#This Row],[k.cam]]), Table2[[#This Row],[k]], Table2[[#This Row],[k.cam]])</f>
        <v>57</v>
      </c>
      <c r="BM523" s="4" t="s">
        <v>24</v>
      </c>
      <c r="BN523" s="8" t="s">
        <v>24</v>
      </c>
      <c r="BO523" s="4">
        <v>2</v>
      </c>
      <c r="BP523" s="4">
        <f>Table2[[#This Row],[final_obs_date]]-Table2[[#This Row],[i]]</f>
        <v>5</v>
      </c>
      <c r="BQ523" s="4" t="b">
        <f>Table2[[#This Row],[final_obs_date2]]&gt;Table2[[#This Row],[estHD]]+3</f>
        <v>0</v>
      </c>
      <c r="BR523" s="4" t="s">
        <v>33</v>
      </c>
      <c r="BS523" s="4" t="s">
        <v>45</v>
      </c>
      <c r="BT523" s="79" t="s">
        <v>1331</v>
      </c>
      <c r="BU523" s="26" t="s">
        <v>87</v>
      </c>
      <c r="BV523" s="79" t="s">
        <v>1464</v>
      </c>
      <c r="BW523" s="49"/>
      <c r="BX523" s="47"/>
      <c r="BY523" s="36" t="s">
        <v>24</v>
      </c>
    </row>
    <row r="524" spans="1:77" hidden="1" x14ac:dyDescent="0.35">
      <c r="A524" s="64">
        <v>30041</v>
      </c>
      <c r="B524" s="2" t="s">
        <v>122</v>
      </c>
      <c r="C524" s="46">
        <v>2021</v>
      </c>
      <c r="D524" s="3">
        <v>29.7575</v>
      </c>
      <c r="E524" s="3">
        <v>-93.115430000000003</v>
      </c>
      <c r="F524" s="3">
        <v>0</v>
      </c>
      <c r="G524" s="3">
        <v>0</v>
      </c>
      <c r="H524" s="3" t="s">
        <v>354</v>
      </c>
      <c r="I524" s="43"/>
      <c r="J524" s="55">
        <v>64</v>
      </c>
      <c r="K524" s="4">
        <v>64</v>
      </c>
      <c r="L524" s="22">
        <f>IF(ISNUMBER(Table2[[#This Row],[estHD]]),ABS(Table2[[#This Row],[HD]]-Table2[[#This Row],[estHD]]),"NA")</f>
        <v>0</v>
      </c>
      <c r="M524" s="4" t="b">
        <f>Table2[[#This Row],[HD]]=Table2[[#This Row],[estHD]]</f>
        <v>1</v>
      </c>
      <c r="N524" s="4" t="str">
        <f>IF(ISNUMBER([1]!Table2[[#This Row],[hatch_date]]),[1]!Table2[[#This Row],[hatch_date]]-19,"NA")</f>
        <v>NA</v>
      </c>
      <c r="O524" s="31">
        <v>45</v>
      </c>
      <c r="P524" s="23">
        <f>IF(ISNUMBER(Table2[[#This Row],[nest_age1]]),ABS(Table2[[#This Row],[nest_age1]]-Table2[[#This Row],[nest_age_feb]]),"NA")</f>
        <v>0</v>
      </c>
      <c r="Q524" s="24">
        <f>IF(ISNUMBER(Table2[[#This Row],[final_obs_int2]]),ABS(Table2[[#This Row],[final_obs_int2]]-Table2[[#This Row],[final_obs_int_feb]]), "NA")</f>
        <v>0</v>
      </c>
      <c r="R524" s="24"/>
      <c r="S524" s="57" t="s">
        <v>88</v>
      </c>
      <c r="T524" s="57" t="str">
        <f>Table2[[#This Row],[camera_old]]</f>
        <v>N</v>
      </c>
      <c r="U524" s="24"/>
      <c r="V524" s="16" t="s">
        <v>24</v>
      </c>
      <c r="W524" s="16">
        <v>12</v>
      </c>
      <c r="X524" s="145">
        <v>5</v>
      </c>
      <c r="Y524" s="147" t="s">
        <v>48</v>
      </c>
      <c r="Z524" s="146" t="s">
        <v>48</v>
      </c>
      <c r="AA524" s="4" t="str">
        <f>Table2[[#This Row],[field_fate]]</f>
        <v>F</v>
      </c>
      <c r="AB524" s="4" t="str">
        <f>Table2[[#This Row],[field_fate2]]</f>
        <v>F</v>
      </c>
      <c r="AC524" s="4" t="str">
        <f>Table2[[#This Row],[field_fate3]]</f>
        <v>F</v>
      </c>
      <c r="AD524" s="4" t="str">
        <f>Table2[[#This Row],[field_fate4]]</f>
        <v>F</v>
      </c>
      <c r="AE524" s="4" t="str">
        <f>Table2[[#This Row],[field_fate5]]</f>
        <v>F</v>
      </c>
      <c r="AF524" s="4" t="str">
        <f>Table2[[#This Row],[field_fate5]]</f>
        <v>F</v>
      </c>
      <c r="AG524" s="4" t="str">
        <f>Table2[[#This Row],[field_fate5]]</f>
        <v>F</v>
      </c>
      <c r="AH524" s="4" t="str">
        <f>Table2[[#This Row],[field_fate2]]</f>
        <v>F</v>
      </c>
      <c r="AI524" s="4" t="str">
        <f>Table2[[#This Row],[field_fate8]]</f>
        <v>F</v>
      </c>
      <c r="AJ524" s="4" t="str">
        <f>Table2[[#This Row],[field_fate10]]</f>
        <v>F</v>
      </c>
      <c r="AK524" s="4" t="b">
        <f>Table2[[#This Row],[field_fate_feb]]=Table2[[#This Row],[field_fate10]]</f>
        <v>1</v>
      </c>
      <c r="AL524" s="43" t="s">
        <v>24</v>
      </c>
      <c r="AM524" s="43" t="b">
        <f>Table2[[#This Row],[cam_fate2]]="NA"</f>
        <v>1</v>
      </c>
      <c r="AN524" s="19" t="str">
        <f>Table2[[#This Row],[cam_fate1]]</f>
        <v>NA</v>
      </c>
      <c r="AO524" s="2" t="s">
        <v>48</v>
      </c>
      <c r="AP524" s="5" t="str">
        <f>Table2[[#This Row],[final_fate1]]</f>
        <v>F</v>
      </c>
      <c r="AQ524" s="6">
        <v>12</v>
      </c>
      <c r="AR524" s="7">
        <v>12</v>
      </c>
      <c r="AS524" s="7">
        <f>Table2[[#This Row],[final_obs_date]]-Table2[[#This Row],[init_date]]</f>
        <v>12</v>
      </c>
      <c r="AT524" s="7">
        <f>(Table2[[#This Row],[final_obs_date2]]-Table2[[#This Row],[estHD]])+16</f>
        <v>9</v>
      </c>
      <c r="AU524" s="38">
        <v>5</v>
      </c>
      <c r="AV524" s="33">
        <v>5</v>
      </c>
      <c r="AW524" s="33">
        <f>Table2[[#This Row],[final_obs_date2]]-Table2[[#This Row],[pen_obs_date]]</f>
        <v>57</v>
      </c>
      <c r="AX524" s="67">
        <v>57</v>
      </c>
      <c r="AY524" s="6">
        <f>Table2[[#This Row],[final_obs_date]]</f>
        <v>57</v>
      </c>
      <c r="AZ524" s="6"/>
      <c r="BA524" s="91" t="s">
        <v>47</v>
      </c>
      <c r="BB524" s="6" t="b">
        <f>Table2[[#This Row],[final_obs_date]]&lt;(Table2[[#This Row],[estHD]]-2)</f>
        <v>1</v>
      </c>
      <c r="BC524" s="24">
        <f>IF(Table2[[#This Row],[field_fate]]="H",1,0)</f>
        <v>0</v>
      </c>
      <c r="BD524" s="16">
        <f>IF(Table2[[#This Row],[cam_fate2]]="H",1,0)</f>
        <v>0</v>
      </c>
      <c r="BE524" s="6" t="b">
        <f>NOT(Table2[[#This Row],[HF_C]]=Table2[[#This Row],[HF]])</f>
        <v>0</v>
      </c>
      <c r="BF524" s="6" t="b">
        <f>NOT(Table2[[#This Row],[cam_fate2]]=Table2[[#This Row],[field_fate3]])</f>
        <v>1</v>
      </c>
      <c r="BG524" s="6" t="b">
        <f>OR(Table2[[#This Row],[field_fate3]]="U",Table2[[#This Row],[field_fate3]]="U-H")</f>
        <v>0</v>
      </c>
      <c r="BH524" s="8">
        <v>52</v>
      </c>
      <c r="BI524" s="8">
        <v>52</v>
      </c>
      <c r="BJ524" s="14">
        <f>IF(ISTEXT(Table2[[#This Row],[j.cam]]),Table2[[#This Row],[j]],Table2[[#This Row],[j.cam]])</f>
        <v>52</v>
      </c>
      <c r="BK524" s="9">
        <v>57</v>
      </c>
      <c r="BL524" s="15">
        <f>IF(ISTEXT(Table2[[#This Row],[k.cam]]), Table2[[#This Row],[k]], Table2[[#This Row],[k.cam]])</f>
        <v>57</v>
      </c>
      <c r="BM524" s="4" t="s">
        <v>24</v>
      </c>
      <c r="BN524" s="8" t="s">
        <v>24</v>
      </c>
      <c r="BO524" s="4">
        <v>2</v>
      </c>
      <c r="BP524" s="4">
        <f>Table2[[#This Row],[final_obs_date]]-Table2[[#This Row],[i]]</f>
        <v>5</v>
      </c>
      <c r="BQ524" s="4" t="b">
        <f>Table2[[#This Row],[final_obs_date2]]&gt;Table2[[#This Row],[estHD]]+3</f>
        <v>0</v>
      </c>
      <c r="BR524" s="4" t="s">
        <v>27</v>
      </c>
      <c r="BS524" s="4" t="s">
        <v>45</v>
      </c>
      <c r="BT524" s="79" t="s">
        <v>1331</v>
      </c>
      <c r="BU524" s="26" t="s">
        <v>183</v>
      </c>
      <c r="BV524" s="79" t="s">
        <v>1464</v>
      </c>
      <c r="BW524" s="49"/>
      <c r="BX524" s="47"/>
      <c r="BY524" s="36" t="s">
        <v>24</v>
      </c>
    </row>
    <row r="525" spans="1:77" hidden="1" x14ac:dyDescent="0.35">
      <c r="A525" s="64">
        <v>30042</v>
      </c>
      <c r="B525" s="2" t="s">
        <v>122</v>
      </c>
      <c r="C525" s="46">
        <v>2021</v>
      </c>
      <c r="D525" s="3">
        <v>29.757390000000001</v>
      </c>
      <c r="E525" s="3">
        <v>-93.115049999999997</v>
      </c>
      <c r="F525" s="3">
        <v>0</v>
      </c>
      <c r="G525" s="3">
        <v>0</v>
      </c>
      <c r="H525" s="3" t="s">
        <v>354</v>
      </c>
      <c r="I525" s="43"/>
      <c r="J525" s="55">
        <v>65</v>
      </c>
      <c r="K525" s="4">
        <v>65</v>
      </c>
      <c r="L525" s="22">
        <f>IF(ISNUMBER(Table2[[#This Row],[estHD]]),ABS(Table2[[#This Row],[HD]]-Table2[[#This Row],[estHD]]),"NA")</f>
        <v>0</v>
      </c>
      <c r="M525" s="4" t="b">
        <f>Table2[[#This Row],[HD]]=Table2[[#This Row],[estHD]]</f>
        <v>1</v>
      </c>
      <c r="N525" s="4" t="str">
        <f>IF(ISNUMBER([1]!Table2[[#This Row],[hatch_date]]),[1]!Table2[[#This Row],[hatch_date]]-19,"NA")</f>
        <v>NA</v>
      </c>
      <c r="O525" s="31">
        <v>46</v>
      </c>
      <c r="P525" s="23">
        <f>IF(ISNUMBER(Table2[[#This Row],[nest_age1]]),ABS(Table2[[#This Row],[nest_age1]]-Table2[[#This Row],[nest_age_feb]]),"NA")</f>
        <v>0</v>
      </c>
      <c r="Q525" s="24">
        <f>IF(ISNUMBER(Table2[[#This Row],[final_obs_int2]]),ABS(Table2[[#This Row],[final_obs_int2]]-Table2[[#This Row],[final_obs_int_feb]]), "NA")</f>
        <v>0</v>
      </c>
      <c r="R525" s="24"/>
      <c r="S525" s="57" t="s">
        <v>88</v>
      </c>
      <c r="T525" s="57" t="str">
        <f>Table2[[#This Row],[camera_old]]</f>
        <v>N</v>
      </c>
      <c r="U525" s="24"/>
      <c r="V525" s="16" t="s">
        <v>24</v>
      </c>
      <c r="W525" s="16">
        <v>11</v>
      </c>
      <c r="X525" s="145">
        <v>5</v>
      </c>
      <c r="Y525" s="147" t="s">
        <v>48</v>
      </c>
      <c r="Z525" s="146" t="s">
        <v>48</v>
      </c>
      <c r="AA525" s="4" t="str">
        <f>Table2[[#This Row],[field_fate]]</f>
        <v>F</v>
      </c>
      <c r="AB525" s="4" t="str">
        <f>Table2[[#This Row],[field_fate2]]</f>
        <v>F</v>
      </c>
      <c r="AC525" s="4" t="str">
        <f>Table2[[#This Row],[field_fate3]]</f>
        <v>F</v>
      </c>
      <c r="AD525" s="4" t="str">
        <f>Table2[[#This Row],[field_fate4]]</f>
        <v>F</v>
      </c>
      <c r="AE525" s="4" t="str">
        <f>Table2[[#This Row],[field_fate5]]</f>
        <v>F</v>
      </c>
      <c r="AF525" s="4" t="str">
        <f>Table2[[#This Row],[field_fate5]]</f>
        <v>F</v>
      </c>
      <c r="AG525" s="4" t="str">
        <f>Table2[[#This Row],[field_fate5]]</f>
        <v>F</v>
      </c>
      <c r="AH525" s="4" t="str">
        <f>Table2[[#This Row],[field_fate2]]</f>
        <v>F</v>
      </c>
      <c r="AI525" s="4" t="str">
        <f>Table2[[#This Row],[field_fate8]]</f>
        <v>F</v>
      </c>
      <c r="AJ525" s="4" t="str">
        <f>Table2[[#This Row],[field_fate10]]</f>
        <v>F</v>
      </c>
      <c r="AK525" s="4" t="b">
        <f>Table2[[#This Row],[field_fate_feb]]=Table2[[#This Row],[field_fate10]]</f>
        <v>1</v>
      </c>
      <c r="AL525" s="43" t="s">
        <v>24</v>
      </c>
      <c r="AM525" s="43" t="b">
        <f>Table2[[#This Row],[cam_fate2]]="NA"</f>
        <v>1</v>
      </c>
      <c r="AN525" s="19" t="str">
        <f>Table2[[#This Row],[cam_fate1]]</f>
        <v>NA</v>
      </c>
      <c r="AO525" s="2" t="s">
        <v>48</v>
      </c>
      <c r="AP525" s="5" t="str">
        <f>Table2[[#This Row],[final_fate1]]</f>
        <v>F</v>
      </c>
      <c r="AQ525" s="6">
        <v>11</v>
      </c>
      <c r="AR525" s="7">
        <v>11</v>
      </c>
      <c r="AS525" s="7">
        <f>Table2[[#This Row],[final_obs_date]]-Table2[[#This Row],[init_date]]</f>
        <v>11</v>
      </c>
      <c r="AT525" s="7">
        <f>(Table2[[#This Row],[final_obs_date2]]-Table2[[#This Row],[estHD]])+16</f>
        <v>8</v>
      </c>
      <c r="AU525" s="38">
        <v>5</v>
      </c>
      <c r="AV525" s="33">
        <v>5</v>
      </c>
      <c r="AW525" s="33">
        <f>Table2[[#This Row],[final_obs_date2]]-Table2[[#This Row],[pen_obs_date]]</f>
        <v>57</v>
      </c>
      <c r="AX525" s="67">
        <v>57</v>
      </c>
      <c r="AY525" s="6">
        <f>Table2[[#This Row],[final_obs_date]]</f>
        <v>57</v>
      </c>
      <c r="AZ525" s="6"/>
      <c r="BA525" s="91" t="s">
        <v>47</v>
      </c>
      <c r="BB525" s="6" t="b">
        <f>Table2[[#This Row],[final_obs_date]]&lt;(Table2[[#This Row],[estHD]]-2)</f>
        <v>1</v>
      </c>
      <c r="BC525" s="24">
        <f>IF(Table2[[#This Row],[field_fate]]="H",1,0)</f>
        <v>0</v>
      </c>
      <c r="BD525" s="16">
        <f>IF(Table2[[#This Row],[cam_fate2]]="H",1,0)</f>
        <v>0</v>
      </c>
      <c r="BE525" s="6" t="b">
        <f>NOT(Table2[[#This Row],[HF_C]]=Table2[[#This Row],[HF]])</f>
        <v>0</v>
      </c>
      <c r="BF525" s="6" t="b">
        <f>NOT(Table2[[#This Row],[cam_fate2]]=Table2[[#This Row],[field_fate3]])</f>
        <v>1</v>
      </c>
      <c r="BG525" s="6" t="b">
        <f>OR(Table2[[#This Row],[field_fate3]]="U",Table2[[#This Row],[field_fate3]]="U-H")</f>
        <v>0</v>
      </c>
      <c r="BH525" s="8">
        <v>52</v>
      </c>
      <c r="BI525" s="8">
        <v>52</v>
      </c>
      <c r="BJ525" s="14">
        <f>IF(ISTEXT(Table2[[#This Row],[j.cam]]),Table2[[#This Row],[j]],Table2[[#This Row],[j.cam]])</f>
        <v>52</v>
      </c>
      <c r="BK525" s="9">
        <v>57</v>
      </c>
      <c r="BL525" s="15">
        <f>IF(ISTEXT(Table2[[#This Row],[k.cam]]), Table2[[#This Row],[k]], Table2[[#This Row],[k.cam]])</f>
        <v>57</v>
      </c>
      <c r="BM525" s="4" t="s">
        <v>24</v>
      </c>
      <c r="BN525" s="8" t="s">
        <v>24</v>
      </c>
      <c r="BO525" s="4">
        <v>2</v>
      </c>
      <c r="BP525" s="4">
        <f>Table2[[#This Row],[final_obs_date]]-Table2[[#This Row],[i]]</f>
        <v>5</v>
      </c>
      <c r="BQ525" s="4" t="b">
        <f>Table2[[#This Row],[final_obs_date2]]&gt;Table2[[#This Row],[estHD]]+3</f>
        <v>0</v>
      </c>
      <c r="BR525" s="4" t="s">
        <v>33</v>
      </c>
      <c r="BS525" s="4" t="s">
        <v>45</v>
      </c>
      <c r="BT525" s="79" t="s">
        <v>1331</v>
      </c>
      <c r="BU525" s="26" t="s">
        <v>87</v>
      </c>
      <c r="BV525" s="79" t="s">
        <v>1464</v>
      </c>
      <c r="BW525" s="49"/>
      <c r="BX525" s="47"/>
      <c r="BY525" s="36" t="s">
        <v>24</v>
      </c>
    </row>
    <row r="526" spans="1:77" hidden="1" x14ac:dyDescent="0.35">
      <c r="A526" s="64">
        <v>30043</v>
      </c>
      <c r="B526" s="2" t="s">
        <v>122</v>
      </c>
      <c r="C526" s="46">
        <v>2021</v>
      </c>
      <c r="D526" s="3">
        <v>29.757449999999999</v>
      </c>
      <c r="E526" s="3">
        <v>-93.114159999999998</v>
      </c>
      <c r="F526" s="3">
        <v>0</v>
      </c>
      <c r="G526" s="3">
        <v>0</v>
      </c>
      <c r="H526" s="3" t="s">
        <v>354</v>
      </c>
      <c r="I526" s="43"/>
      <c r="J526" s="55">
        <v>69</v>
      </c>
      <c r="K526" s="4">
        <v>69</v>
      </c>
      <c r="L526" s="22">
        <f>IF(ISNUMBER(Table2[[#This Row],[estHD]]),ABS(Table2[[#This Row],[HD]]-Table2[[#This Row],[estHD]]),"NA")</f>
        <v>0</v>
      </c>
      <c r="M526" s="4" t="b">
        <f>Table2[[#This Row],[HD]]=Table2[[#This Row],[estHD]]</f>
        <v>1</v>
      </c>
      <c r="N526" s="4" t="str">
        <f>IF(ISNUMBER([1]!Table2[[#This Row],[hatch_date]]),[1]!Table2[[#This Row],[hatch_date]]-19,"NA")</f>
        <v>NA</v>
      </c>
      <c r="O526" s="31">
        <v>50</v>
      </c>
      <c r="P526" s="23">
        <f>IF(ISNUMBER(Table2[[#This Row],[nest_age1]]),ABS(Table2[[#This Row],[nest_age1]]-Table2[[#This Row],[nest_age_feb]]),"NA")</f>
        <v>0</v>
      </c>
      <c r="Q526" s="24">
        <f>IF(ISNUMBER(Table2[[#This Row],[final_obs_int2]]),ABS(Table2[[#This Row],[final_obs_int2]]-Table2[[#This Row],[final_obs_int_feb]]), "NA")</f>
        <v>0</v>
      </c>
      <c r="R526" s="24"/>
      <c r="S526" s="57" t="s">
        <v>88</v>
      </c>
      <c r="T526" s="57" t="str">
        <f>Table2[[#This Row],[camera_old]]</f>
        <v>N</v>
      </c>
      <c r="U526" s="24"/>
      <c r="V526" s="16" t="s">
        <v>24</v>
      </c>
      <c r="W526" s="16">
        <v>7</v>
      </c>
      <c r="X526" s="145">
        <v>5</v>
      </c>
      <c r="Y526" s="147" t="s">
        <v>48</v>
      </c>
      <c r="Z526" s="146" t="s">
        <v>48</v>
      </c>
      <c r="AA526" s="4" t="str">
        <f>Table2[[#This Row],[field_fate]]</f>
        <v>F</v>
      </c>
      <c r="AB526" s="4" t="str">
        <f>Table2[[#This Row],[field_fate2]]</f>
        <v>F</v>
      </c>
      <c r="AC526" s="4" t="str">
        <f>Table2[[#This Row],[field_fate3]]</f>
        <v>F</v>
      </c>
      <c r="AD526" s="4" t="str">
        <f>Table2[[#This Row],[field_fate4]]</f>
        <v>F</v>
      </c>
      <c r="AE526" s="4" t="str">
        <f>Table2[[#This Row],[field_fate5]]</f>
        <v>F</v>
      </c>
      <c r="AF526" s="4" t="str">
        <f>Table2[[#This Row],[field_fate5]]</f>
        <v>F</v>
      </c>
      <c r="AG526" s="4" t="str">
        <f>Table2[[#This Row],[field_fate5]]</f>
        <v>F</v>
      </c>
      <c r="AH526" s="4" t="str">
        <f>Table2[[#This Row],[field_fate2]]</f>
        <v>F</v>
      </c>
      <c r="AI526" s="4" t="str">
        <f>Table2[[#This Row],[field_fate8]]</f>
        <v>F</v>
      </c>
      <c r="AJ526" s="4" t="str">
        <f>Table2[[#This Row],[field_fate10]]</f>
        <v>F</v>
      </c>
      <c r="AK526" s="4" t="b">
        <f>Table2[[#This Row],[field_fate_feb]]=Table2[[#This Row],[field_fate10]]</f>
        <v>1</v>
      </c>
      <c r="AL526" s="43" t="s">
        <v>24</v>
      </c>
      <c r="AM526" s="43" t="b">
        <f>Table2[[#This Row],[cam_fate2]]="NA"</f>
        <v>1</v>
      </c>
      <c r="AN526" s="19" t="str">
        <f>Table2[[#This Row],[cam_fate1]]</f>
        <v>NA</v>
      </c>
      <c r="AO526" s="2" t="s">
        <v>48</v>
      </c>
      <c r="AP526" s="5" t="str">
        <f>Table2[[#This Row],[final_fate1]]</f>
        <v>F</v>
      </c>
      <c r="AQ526" s="6">
        <v>7</v>
      </c>
      <c r="AR526" s="7">
        <v>7</v>
      </c>
      <c r="AS526" s="7">
        <f>Table2[[#This Row],[final_obs_date]]-Table2[[#This Row],[init_date]]</f>
        <v>7</v>
      </c>
      <c r="AT526" s="7">
        <f>(Table2[[#This Row],[final_obs_date2]]-Table2[[#This Row],[estHD]])+16</f>
        <v>4</v>
      </c>
      <c r="AU526" s="38">
        <v>5</v>
      </c>
      <c r="AV526" s="33">
        <v>5</v>
      </c>
      <c r="AW526" s="33">
        <f>Table2[[#This Row],[final_obs_date2]]-Table2[[#This Row],[pen_obs_date]]</f>
        <v>57</v>
      </c>
      <c r="AX526" s="67">
        <v>57</v>
      </c>
      <c r="AY526" s="6">
        <f>Table2[[#This Row],[final_obs_date]]</f>
        <v>57</v>
      </c>
      <c r="AZ526" s="6"/>
      <c r="BA526" s="91" t="s">
        <v>47</v>
      </c>
      <c r="BB526" s="6" t="b">
        <f>Table2[[#This Row],[final_obs_date]]&lt;(Table2[[#This Row],[estHD]]-2)</f>
        <v>1</v>
      </c>
      <c r="BC526" s="24">
        <f>IF(Table2[[#This Row],[field_fate]]="H",1,0)</f>
        <v>0</v>
      </c>
      <c r="BD526" s="16">
        <f>IF(Table2[[#This Row],[cam_fate2]]="H",1,0)</f>
        <v>0</v>
      </c>
      <c r="BE526" s="6" t="b">
        <f>NOT(Table2[[#This Row],[HF_C]]=Table2[[#This Row],[HF]])</f>
        <v>0</v>
      </c>
      <c r="BF526" s="6" t="b">
        <f>NOT(Table2[[#This Row],[cam_fate2]]=Table2[[#This Row],[field_fate3]])</f>
        <v>1</v>
      </c>
      <c r="BG526" s="6" t="b">
        <f>OR(Table2[[#This Row],[field_fate3]]="U",Table2[[#This Row],[field_fate3]]="U-H")</f>
        <v>0</v>
      </c>
      <c r="BH526" s="8">
        <v>52</v>
      </c>
      <c r="BI526" s="8">
        <v>52</v>
      </c>
      <c r="BJ526" s="14">
        <f>IF(ISTEXT(Table2[[#This Row],[j.cam]]),Table2[[#This Row],[j]],Table2[[#This Row],[j.cam]])</f>
        <v>52</v>
      </c>
      <c r="BK526" s="9">
        <v>57</v>
      </c>
      <c r="BL526" s="15">
        <f>IF(ISTEXT(Table2[[#This Row],[k.cam]]), Table2[[#This Row],[k]], Table2[[#This Row],[k.cam]])</f>
        <v>57</v>
      </c>
      <c r="BM526" s="4" t="s">
        <v>24</v>
      </c>
      <c r="BN526" s="8" t="s">
        <v>24</v>
      </c>
      <c r="BO526" s="4">
        <v>2</v>
      </c>
      <c r="BP526" s="4">
        <f>Table2[[#This Row],[final_obs_date]]-Table2[[#This Row],[i]]</f>
        <v>5</v>
      </c>
      <c r="BQ526" s="4" t="b">
        <f>Table2[[#This Row],[final_obs_date2]]&gt;Table2[[#This Row],[estHD]]+3</f>
        <v>0</v>
      </c>
      <c r="BR526" s="4" t="s">
        <v>58</v>
      </c>
      <c r="BS526" s="4" t="s">
        <v>45</v>
      </c>
      <c r="BT526" s="79" t="s">
        <v>1331</v>
      </c>
      <c r="BU526" s="26" t="s">
        <v>117</v>
      </c>
      <c r="BV526" s="79" t="s">
        <v>1464</v>
      </c>
      <c r="BW526" s="49"/>
      <c r="BX526" s="47"/>
      <c r="BY526" s="36" t="s">
        <v>24</v>
      </c>
    </row>
    <row r="527" spans="1:77" hidden="1" x14ac:dyDescent="0.35">
      <c r="A527" s="64">
        <v>30044</v>
      </c>
      <c r="B527" s="2" t="s">
        <v>122</v>
      </c>
      <c r="C527" s="46">
        <v>2021</v>
      </c>
      <c r="D527" s="3">
        <v>29.756489999999999</v>
      </c>
      <c r="E527" s="3">
        <v>-93.110439999999997</v>
      </c>
      <c r="F527" s="3">
        <v>0</v>
      </c>
      <c r="G527" s="3">
        <v>0</v>
      </c>
      <c r="H527" s="3" t="s">
        <v>354</v>
      </c>
      <c r="I527" s="43"/>
      <c r="J527" s="55">
        <v>67</v>
      </c>
      <c r="K527" s="4">
        <v>67</v>
      </c>
      <c r="L527" s="22">
        <f>IF(ISNUMBER(Table2[[#This Row],[estHD]]),ABS(Table2[[#This Row],[HD]]-Table2[[#This Row],[estHD]]),"NA")</f>
        <v>0</v>
      </c>
      <c r="M527" s="4" t="b">
        <f>Table2[[#This Row],[HD]]=Table2[[#This Row],[estHD]]</f>
        <v>1</v>
      </c>
      <c r="N527" s="4" t="str">
        <f>IF(ISNUMBER([1]!Table2[[#This Row],[hatch_date]]),[1]!Table2[[#This Row],[hatch_date]]-19,"NA")</f>
        <v>NA</v>
      </c>
      <c r="O527" s="31">
        <v>48</v>
      </c>
      <c r="P527" s="23" t="e">
        <f>IF(ISNUMBER(Table2[[#This Row],[nest_age1]]),ABS(Table2[[#This Row],[nest_age1]]-Table2[[#This Row],[nest_age_feb]]),"NA")</f>
        <v>#VALUE!</v>
      </c>
      <c r="Q527" s="24">
        <f>IF(ISNUMBER(Table2[[#This Row],[final_obs_int2]]),ABS(Table2[[#This Row],[final_obs_int2]]-Table2[[#This Row],[final_obs_int_feb]]), "NA")</f>
        <v>0</v>
      </c>
      <c r="R527" s="24"/>
      <c r="S527" s="57" t="s">
        <v>88</v>
      </c>
      <c r="T527" s="57" t="str">
        <f>Table2[[#This Row],[camera_old]]</f>
        <v>N</v>
      </c>
      <c r="U527" s="24"/>
      <c r="V527" s="16" t="s">
        <v>24</v>
      </c>
      <c r="W527" s="16" t="s">
        <v>24</v>
      </c>
      <c r="X527" s="145">
        <v>4</v>
      </c>
      <c r="Y527" s="147" t="s">
        <v>90</v>
      </c>
      <c r="Z527" s="146" t="s">
        <v>90</v>
      </c>
      <c r="AA527" s="4" t="str">
        <f>Table2[[#This Row],[field_fate]]</f>
        <v>U</v>
      </c>
      <c r="AB527" s="4" t="str">
        <f>Table2[[#This Row],[field_fate2]]</f>
        <v>U</v>
      </c>
      <c r="AC527" s="4" t="str">
        <f>Table2[[#This Row],[field_fate3]]</f>
        <v>U</v>
      </c>
      <c r="AD527" s="4" t="str">
        <f>Table2[[#This Row],[field_fate4]]</f>
        <v>U</v>
      </c>
      <c r="AE527" s="4" t="str">
        <f>Table2[[#This Row],[field_fate5]]</f>
        <v>U</v>
      </c>
      <c r="AF527" s="4" t="str">
        <f>Table2[[#This Row],[field_fate5]]</f>
        <v>U</v>
      </c>
      <c r="AG527" s="4" t="str">
        <f>Table2[[#This Row],[field_fate5]]</f>
        <v>U</v>
      </c>
      <c r="AH527" s="4" t="str">
        <f>Table2[[#This Row],[field_fate2]]</f>
        <v>U</v>
      </c>
      <c r="AI527" s="4" t="str">
        <f>Table2[[#This Row],[field_fate8]]</f>
        <v>U</v>
      </c>
      <c r="AJ527" s="4" t="str">
        <f>Table2[[#This Row],[field_fate10]]</f>
        <v>U</v>
      </c>
      <c r="AK527" s="4" t="b">
        <f>Table2[[#This Row],[field_fate_feb]]=Table2[[#This Row],[field_fate10]]</f>
        <v>1</v>
      </c>
      <c r="AL527" s="43" t="s">
        <v>24</v>
      </c>
      <c r="AM527" s="43" t="b">
        <f>Table2[[#This Row],[cam_fate2]]="NA"</f>
        <v>1</v>
      </c>
      <c r="AN527" s="19" t="str">
        <f>Table2[[#This Row],[cam_fate1]]</f>
        <v>NA</v>
      </c>
      <c r="AO527" s="2" t="s">
        <v>90</v>
      </c>
      <c r="AP527" s="5" t="str">
        <f>Table2[[#This Row],[final_fate1]]</f>
        <v>U</v>
      </c>
      <c r="AQ527" s="6">
        <v>21</v>
      </c>
      <c r="AR527" s="7">
        <v>21</v>
      </c>
      <c r="AS527" s="7">
        <f>Table2[[#This Row],[final_obs_date]]-Table2[[#This Row],[init_date]]</f>
        <v>21</v>
      </c>
      <c r="AT527" s="7">
        <f>(Table2[[#This Row],[final_obs_date2]]-Table2[[#This Row],[estHD]])+16</f>
        <v>18</v>
      </c>
      <c r="AU527" s="38">
        <v>4</v>
      </c>
      <c r="AV527" s="33">
        <v>4</v>
      </c>
      <c r="AW527" s="33">
        <f>Table2[[#This Row],[final_obs_date2]]-Table2[[#This Row],[pen_obs_date]]</f>
        <v>69</v>
      </c>
      <c r="AX527" s="67">
        <v>69</v>
      </c>
      <c r="AY527" s="6">
        <f>Table2[[#This Row],[final_obs_date]]</f>
        <v>69</v>
      </c>
      <c r="AZ527" s="6"/>
      <c r="BA527" s="91" t="s">
        <v>47</v>
      </c>
      <c r="BB527" s="6" t="b">
        <f>Table2[[#This Row],[final_obs_date]]&lt;(Table2[[#This Row],[estHD]]-2)</f>
        <v>0</v>
      </c>
      <c r="BC527" s="24">
        <f>IF(Table2[[#This Row],[field_fate]]="H",1,0)</f>
        <v>0</v>
      </c>
      <c r="BD527" s="16">
        <f>IF(Table2[[#This Row],[cam_fate2]]="H",1,0)</f>
        <v>0</v>
      </c>
      <c r="BE527" s="6" t="b">
        <f>NOT(Table2[[#This Row],[HF_C]]=Table2[[#This Row],[HF]])</f>
        <v>0</v>
      </c>
      <c r="BF527" s="6" t="b">
        <f>NOT(Table2[[#This Row],[cam_fate2]]=Table2[[#This Row],[field_fate3]])</f>
        <v>1</v>
      </c>
      <c r="BG527" s="6" t="b">
        <f>OR(Table2[[#This Row],[field_fate3]]="U",Table2[[#This Row],[field_fate3]]="U-H")</f>
        <v>1</v>
      </c>
      <c r="BH527" s="8">
        <v>52</v>
      </c>
      <c r="BI527" s="8">
        <v>65</v>
      </c>
      <c r="BJ527" s="14">
        <f>IF(ISTEXT(Table2[[#This Row],[j.cam]]),Table2[[#This Row],[j]],Table2[[#This Row],[j.cam]])</f>
        <v>65</v>
      </c>
      <c r="BK527" s="9">
        <v>69</v>
      </c>
      <c r="BL527" s="15">
        <f>IF(ISTEXT(Table2[[#This Row],[k.cam]]), Table2[[#This Row],[k]], Table2[[#This Row],[k.cam]])</f>
        <v>69</v>
      </c>
      <c r="BM527" s="4" t="s">
        <v>24</v>
      </c>
      <c r="BN527" s="8" t="s">
        <v>24</v>
      </c>
      <c r="BO527" s="4">
        <v>5</v>
      </c>
      <c r="BP527" s="4">
        <f>Table2[[#This Row],[final_obs_date]]-Table2[[#This Row],[i]]</f>
        <v>17</v>
      </c>
      <c r="BQ527" s="4" t="b">
        <f>Table2[[#This Row],[final_obs_date2]]&gt;Table2[[#This Row],[estHD]]+3</f>
        <v>0</v>
      </c>
      <c r="BR527" s="4" t="s">
        <v>27</v>
      </c>
      <c r="BS527" s="4" t="s">
        <v>45</v>
      </c>
      <c r="BT527" s="79" t="s">
        <v>1333</v>
      </c>
      <c r="BU527" s="26" t="s">
        <v>368</v>
      </c>
      <c r="BV527" s="79" t="s">
        <v>1658</v>
      </c>
      <c r="BW527" s="49"/>
      <c r="BX527" s="47"/>
      <c r="BY527" s="36" t="s">
        <v>815</v>
      </c>
    </row>
    <row r="528" spans="1:77" hidden="1" x14ac:dyDescent="0.35">
      <c r="A528" s="64">
        <v>30045</v>
      </c>
      <c r="B528" s="2" t="s">
        <v>122</v>
      </c>
      <c r="C528" s="46">
        <v>2021</v>
      </c>
      <c r="D528" s="3">
        <v>29.755510000000001</v>
      </c>
      <c r="E528" s="3">
        <v>-93.106359999999995</v>
      </c>
      <c r="F528" s="3">
        <v>0</v>
      </c>
      <c r="G528" s="3">
        <v>0</v>
      </c>
      <c r="H528" s="3" t="s">
        <v>354</v>
      </c>
      <c r="I528" s="43"/>
      <c r="J528" s="55">
        <v>67</v>
      </c>
      <c r="K528" s="4">
        <v>67</v>
      </c>
      <c r="L528" s="22">
        <f>IF(ISNUMBER(Table2[[#This Row],[estHD]]),ABS(Table2[[#This Row],[HD]]-Table2[[#This Row],[estHD]]),"NA")</f>
        <v>0</v>
      </c>
      <c r="M528" s="4" t="b">
        <f>Table2[[#This Row],[HD]]=Table2[[#This Row],[estHD]]</f>
        <v>1</v>
      </c>
      <c r="N528" s="4" t="str">
        <f>IF(ISNUMBER([1]!Table2[[#This Row],[hatch_date]]),[1]!Table2[[#This Row],[hatch_date]]-19,"NA")</f>
        <v>NA</v>
      </c>
      <c r="O528" s="31">
        <v>48</v>
      </c>
      <c r="P528" s="23">
        <f>IF(ISNUMBER(Table2[[#This Row],[nest_age1]]),ABS(Table2[[#This Row],[nest_age1]]-Table2[[#This Row],[nest_age_feb]]),"NA")</f>
        <v>0</v>
      </c>
      <c r="Q528" s="24">
        <f>IF(ISNUMBER(Table2[[#This Row],[final_obs_int2]]),ABS(Table2[[#This Row],[final_obs_int2]]-Table2[[#This Row],[final_obs_int_feb]]), "NA")</f>
        <v>0</v>
      </c>
      <c r="R528" s="24"/>
      <c r="S528" s="57" t="s">
        <v>88</v>
      </c>
      <c r="T528" s="57" t="str">
        <f>Table2[[#This Row],[camera_old]]</f>
        <v>N</v>
      </c>
      <c r="U528" s="24"/>
      <c r="V528" s="16" t="s">
        <v>24</v>
      </c>
      <c r="W528" s="16">
        <v>9</v>
      </c>
      <c r="X528" s="145">
        <v>5</v>
      </c>
      <c r="Y528" s="147" t="s">
        <v>48</v>
      </c>
      <c r="Z528" s="146" t="s">
        <v>48</v>
      </c>
      <c r="AA528" s="4" t="str">
        <f>Table2[[#This Row],[field_fate]]</f>
        <v>F</v>
      </c>
      <c r="AB528" s="4" t="str">
        <f>Table2[[#This Row],[field_fate2]]</f>
        <v>F</v>
      </c>
      <c r="AC528" s="4" t="str">
        <f>Table2[[#This Row],[field_fate3]]</f>
        <v>F</v>
      </c>
      <c r="AD528" s="4" t="str">
        <f>Table2[[#This Row],[field_fate4]]</f>
        <v>F</v>
      </c>
      <c r="AE528" s="4" t="str">
        <f>Table2[[#This Row],[field_fate5]]</f>
        <v>F</v>
      </c>
      <c r="AF528" s="4" t="str">
        <f>Table2[[#This Row],[field_fate5]]</f>
        <v>F</v>
      </c>
      <c r="AG528" s="4" t="str">
        <f>Table2[[#This Row],[field_fate5]]</f>
        <v>F</v>
      </c>
      <c r="AH528" s="4" t="str">
        <f>Table2[[#This Row],[field_fate2]]</f>
        <v>F</v>
      </c>
      <c r="AI528" s="4" t="str">
        <f>Table2[[#This Row],[field_fate8]]</f>
        <v>F</v>
      </c>
      <c r="AJ528" s="4" t="str">
        <f>Table2[[#This Row],[field_fate10]]</f>
        <v>F</v>
      </c>
      <c r="AK528" s="4" t="b">
        <f>Table2[[#This Row],[field_fate_feb]]=Table2[[#This Row],[field_fate10]]</f>
        <v>1</v>
      </c>
      <c r="AL528" s="43" t="s">
        <v>24</v>
      </c>
      <c r="AM528" s="43" t="b">
        <f>Table2[[#This Row],[cam_fate2]]="NA"</f>
        <v>1</v>
      </c>
      <c r="AN528" s="19" t="str">
        <f>Table2[[#This Row],[cam_fate1]]</f>
        <v>NA</v>
      </c>
      <c r="AO528" s="2" t="s">
        <v>48</v>
      </c>
      <c r="AP528" s="5" t="str">
        <f>Table2[[#This Row],[final_fate1]]</f>
        <v>F</v>
      </c>
      <c r="AQ528" s="6">
        <v>9</v>
      </c>
      <c r="AR528" s="7">
        <v>9</v>
      </c>
      <c r="AS528" s="7">
        <f>Table2[[#This Row],[final_obs_date]]-Table2[[#This Row],[init_date]]</f>
        <v>9</v>
      </c>
      <c r="AT528" s="7">
        <f>(Table2[[#This Row],[final_obs_date2]]-Table2[[#This Row],[estHD]])+16</f>
        <v>6</v>
      </c>
      <c r="AU528" s="38">
        <v>5</v>
      </c>
      <c r="AV528" s="33">
        <v>5</v>
      </c>
      <c r="AW528" s="33">
        <f>Table2[[#This Row],[final_obs_date2]]-Table2[[#This Row],[pen_obs_date]]</f>
        <v>57</v>
      </c>
      <c r="AX528" s="67">
        <v>57</v>
      </c>
      <c r="AY528" s="6">
        <f>Table2[[#This Row],[final_obs_date]]</f>
        <v>57</v>
      </c>
      <c r="AZ528" s="6"/>
      <c r="BA528" s="91" t="s">
        <v>47</v>
      </c>
      <c r="BB528" s="6" t="b">
        <f>Table2[[#This Row],[final_obs_date]]&lt;(Table2[[#This Row],[estHD]]-2)</f>
        <v>1</v>
      </c>
      <c r="BC528" s="24">
        <f>IF(Table2[[#This Row],[field_fate]]="H",1,0)</f>
        <v>0</v>
      </c>
      <c r="BD528" s="16">
        <f>IF(Table2[[#This Row],[cam_fate2]]="H",1,0)</f>
        <v>0</v>
      </c>
      <c r="BE528" s="6" t="b">
        <f>NOT(Table2[[#This Row],[HF_C]]=Table2[[#This Row],[HF]])</f>
        <v>0</v>
      </c>
      <c r="BF528" s="6" t="b">
        <f>NOT(Table2[[#This Row],[cam_fate2]]=Table2[[#This Row],[field_fate3]])</f>
        <v>1</v>
      </c>
      <c r="BG528" s="6" t="b">
        <f>OR(Table2[[#This Row],[field_fate3]]="U",Table2[[#This Row],[field_fate3]]="U-H")</f>
        <v>0</v>
      </c>
      <c r="BH528" s="8">
        <v>52</v>
      </c>
      <c r="BI528" s="8">
        <v>52</v>
      </c>
      <c r="BJ528" s="14">
        <f>IF(ISTEXT(Table2[[#This Row],[j.cam]]),Table2[[#This Row],[j]],Table2[[#This Row],[j.cam]])</f>
        <v>52</v>
      </c>
      <c r="BK528" s="9">
        <v>57</v>
      </c>
      <c r="BL528" s="15">
        <f>IF(ISTEXT(Table2[[#This Row],[k.cam]]), Table2[[#This Row],[k]], Table2[[#This Row],[k.cam]])</f>
        <v>57</v>
      </c>
      <c r="BM528" s="4" t="s">
        <v>24</v>
      </c>
      <c r="BN528" s="8" t="s">
        <v>24</v>
      </c>
      <c r="BO528" s="4">
        <v>2</v>
      </c>
      <c r="BP528" s="4">
        <f>Table2[[#This Row],[final_obs_date]]-Table2[[#This Row],[i]]</f>
        <v>5</v>
      </c>
      <c r="BQ528" s="4" t="b">
        <f>Table2[[#This Row],[final_obs_date2]]&gt;Table2[[#This Row],[estHD]]+3</f>
        <v>0</v>
      </c>
      <c r="BR528" s="4" t="s">
        <v>33</v>
      </c>
      <c r="BS528" s="4" t="s">
        <v>45</v>
      </c>
      <c r="BT528" s="79" t="s">
        <v>1331</v>
      </c>
      <c r="BU528" s="26" t="s">
        <v>87</v>
      </c>
      <c r="BV528" s="79" t="s">
        <v>1464</v>
      </c>
      <c r="BW528" s="49"/>
      <c r="BX528" s="47"/>
      <c r="BY528" s="36" t="s">
        <v>24</v>
      </c>
    </row>
    <row r="529" spans="1:77" hidden="1" x14ac:dyDescent="0.35">
      <c r="A529" s="64">
        <v>30049</v>
      </c>
      <c r="B529" s="2" t="s">
        <v>122</v>
      </c>
      <c r="C529" s="46">
        <v>2021</v>
      </c>
      <c r="D529" s="3">
        <v>29.759540000000001</v>
      </c>
      <c r="E529" s="3">
        <v>-93.122150000000005</v>
      </c>
      <c r="F529" s="3">
        <v>0</v>
      </c>
      <c r="G529" s="3">
        <v>0</v>
      </c>
      <c r="H529" s="3" t="s">
        <v>354</v>
      </c>
      <c r="I529" s="43"/>
      <c r="J529" s="55">
        <v>61</v>
      </c>
      <c r="K529" s="4">
        <v>61</v>
      </c>
      <c r="L529" s="22">
        <f>IF(ISNUMBER(Table2[[#This Row],[estHD]]),ABS(Table2[[#This Row],[HD]]-Table2[[#This Row],[estHD]]),"NA")</f>
        <v>0</v>
      </c>
      <c r="M529" s="4" t="b">
        <f>Table2[[#This Row],[HD]]=Table2[[#This Row],[estHD]]</f>
        <v>1</v>
      </c>
      <c r="N529" s="4" t="str">
        <f>IF(ISNUMBER([1]!Table2[[#This Row],[hatch_date]]),[1]!Table2[[#This Row],[hatch_date]]-19,"NA")</f>
        <v>NA</v>
      </c>
      <c r="O529" s="31">
        <v>42</v>
      </c>
      <c r="P529" s="23">
        <f>IF(ISNUMBER(Table2[[#This Row],[nest_age1]]),ABS(Table2[[#This Row],[nest_age1]]-Table2[[#This Row],[nest_age_feb]]),"NA")</f>
        <v>0</v>
      </c>
      <c r="Q529" s="24">
        <f>IF(ISNUMBER(Table2[[#This Row],[final_obs_int2]]),ABS(Table2[[#This Row],[final_obs_int2]]-Table2[[#This Row],[final_obs_int_feb]]), "NA")</f>
        <v>0</v>
      </c>
      <c r="R529" s="24"/>
      <c r="S529" s="57" t="s">
        <v>88</v>
      </c>
      <c r="T529" s="57" t="str">
        <f>Table2[[#This Row],[camera_old]]</f>
        <v>N</v>
      </c>
      <c r="U529" s="24"/>
      <c r="V529" s="16" t="s">
        <v>24</v>
      </c>
      <c r="W529" s="16">
        <v>19</v>
      </c>
      <c r="X529" s="145">
        <v>4</v>
      </c>
      <c r="Y529" s="147" t="s">
        <v>31</v>
      </c>
      <c r="Z529" s="146" t="s">
        <v>31</v>
      </c>
      <c r="AA529" s="4" t="str">
        <f>Table2[[#This Row],[field_fate]]</f>
        <v>D</v>
      </c>
      <c r="AB529" s="4" t="str">
        <f>Table2[[#This Row],[field_fate2]]</f>
        <v>D</v>
      </c>
      <c r="AC529" s="4" t="str">
        <f>Table2[[#This Row],[field_fate3]]</f>
        <v>D</v>
      </c>
      <c r="AD529" s="4" t="str">
        <f>Table2[[#This Row],[field_fate4]]</f>
        <v>D</v>
      </c>
      <c r="AE529" s="4" t="str">
        <f>Table2[[#This Row],[field_fate5]]</f>
        <v>D</v>
      </c>
      <c r="AF529" s="4" t="str">
        <f>Table2[[#This Row],[field_fate5]]</f>
        <v>D</v>
      </c>
      <c r="AG529" s="4" t="str">
        <f>Table2[[#This Row],[field_fate5]]</f>
        <v>D</v>
      </c>
      <c r="AH529" s="4" t="str">
        <f>Table2[[#This Row],[field_fate2]]</f>
        <v>D</v>
      </c>
      <c r="AI529" s="4" t="str">
        <f>Table2[[#This Row],[field_fate8]]</f>
        <v>D</v>
      </c>
      <c r="AJ529" s="4" t="str">
        <f>Table2[[#This Row],[field_fate10]]</f>
        <v>D</v>
      </c>
      <c r="AK529" s="4" t="b">
        <f>Table2[[#This Row],[field_fate_feb]]=Table2[[#This Row],[field_fate10]]</f>
        <v>1</v>
      </c>
      <c r="AL529" s="43" t="s">
        <v>24</v>
      </c>
      <c r="AM529" s="43" t="b">
        <f>Table2[[#This Row],[cam_fate2]]="NA"</f>
        <v>1</v>
      </c>
      <c r="AN529" s="19" t="str">
        <f>Table2[[#This Row],[cam_fate1]]</f>
        <v>NA</v>
      </c>
      <c r="AO529" s="2" t="s">
        <v>31</v>
      </c>
      <c r="AP529" s="5" t="str">
        <f>Table2[[#This Row],[final_fate1]]</f>
        <v>D</v>
      </c>
      <c r="AQ529" s="6">
        <v>19</v>
      </c>
      <c r="AR529" s="7">
        <v>19</v>
      </c>
      <c r="AS529" s="7">
        <f>Table2[[#This Row],[final_obs_date]]-Table2[[#This Row],[init_date]]</f>
        <v>19</v>
      </c>
      <c r="AT529" s="7">
        <f>(Table2[[#This Row],[final_obs_date2]]-Table2[[#This Row],[estHD]])+16</f>
        <v>16</v>
      </c>
      <c r="AU529" s="38">
        <v>4</v>
      </c>
      <c r="AV529" s="33">
        <v>4</v>
      </c>
      <c r="AW529" s="33">
        <f>Table2[[#This Row],[final_obs_date2]]-Table2[[#This Row],[pen_obs_date]]</f>
        <v>61</v>
      </c>
      <c r="AX529" s="67">
        <v>61</v>
      </c>
      <c r="AY529" s="6">
        <f>Table2[[#This Row],[final_obs_date]]</f>
        <v>61</v>
      </c>
      <c r="AZ529" s="6"/>
      <c r="BA529" s="91" t="s">
        <v>47</v>
      </c>
      <c r="BB529" s="6" t="b">
        <f>Table2[[#This Row],[final_obs_date]]&lt;(Table2[[#This Row],[estHD]]-2)</f>
        <v>0</v>
      </c>
      <c r="BC529" s="24">
        <f>IF(Table2[[#This Row],[field_fate]]="H",1,0)</f>
        <v>0</v>
      </c>
      <c r="BD529" s="16">
        <f>IF(Table2[[#This Row],[cam_fate2]]="H",1,0)</f>
        <v>0</v>
      </c>
      <c r="BE529" s="6" t="b">
        <f>NOT(Table2[[#This Row],[HF_C]]=Table2[[#This Row],[HF]])</f>
        <v>0</v>
      </c>
      <c r="BF529" s="6" t="b">
        <f>NOT(Table2[[#This Row],[cam_fate2]]=Table2[[#This Row],[field_fate3]])</f>
        <v>1</v>
      </c>
      <c r="BG529" s="6" t="b">
        <f>OR(Table2[[#This Row],[field_fate3]]="U",Table2[[#This Row],[field_fate3]]="U-H")</f>
        <v>0</v>
      </c>
      <c r="BH529" s="8">
        <v>57</v>
      </c>
      <c r="BI529" s="8">
        <v>57</v>
      </c>
      <c r="BJ529" s="14">
        <f>IF(ISTEXT(Table2[[#This Row],[j.cam]]),Table2[[#This Row],[j]],Table2[[#This Row],[j.cam]])</f>
        <v>57</v>
      </c>
      <c r="BK529" s="9">
        <v>61</v>
      </c>
      <c r="BL529" s="15">
        <f>IF(ISTEXT(Table2[[#This Row],[k.cam]]), Table2[[#This Row],[k]], Table2[[#This Row],[k.cam]])</f>
        <v>61</v>
      </c>
      <c r="BM529" s="4" t="s">
        <v>24</v>
      </c>
      <c r="BN529" s="8" t="s">
        <v>24</v>
      </c>
      <c r="BO529" s="4">
        <v>2</v>
      </c>
      <c r="BP529" s="4">
        <f>Table2[[#This Row],[final_obs_date]]-Table2[[#This Row],[i]]</f>
        <v>4</v>
      </c>
      <c r="BQ529" s="4" t="b">
        <f>Table2[[#This Row],[final_obs_date2]]&gt;Table2[[#This Row],[estHD]]+3</f>
        <v>0</v>
      </c>
      <c r="BR529" s="4" t="s">
        <v>33</v>
      </c>
      <c r="BS529" s="4" t="s">
        <v>45</v>
      </c>
      <c r="BT529" s="79" t="s">
        <v>1334</v>
      </c>
      <c r="BU529" s="26" t="s">
        <v>87</v>
      </c>
      <c r="BV529" s="79" t="s">
        <v>1429</v>
      </c>
      <c r="BW529" s="49"/>
      <c r="BX529" s="47"/>
      <c r="BY529" s="36" t="s">
        <v>816</v>
      </c>
    </row>
    <row r="530" spans="1:77" hidden="1" x14ac:dyDescent="0.35">
      <c r="A530" s="64">
        <v>30050</v>
      </c>
      <c r="B530" s="2" t="s">
        <v>35</v>
      </c>
      <c r="C530" s="46">
        <v>2021</v>
      </c>
      <c r="D530" s="3">
        <v>29.76812</v>
      </c>
      <c r="E530" s="3">
        <v>-93.162700000000001</v>
      </c>
      <c r="F530" s="3" t="s">
        <v>24</v>
      </c>
      <c r="G530" s="3" t="s">
        <v>24</v>
      </c>
      <c r="H530" s="3" t="s">
        <v>26</v>
      </c>
      <c r="I530" s="43"/>
      <c r="J530" s="55">
        <v>60</v>
      </c>
      <c r="K530" s="4">
        <v>60</v>
      </c>
      <c r="L530" s="22">
        <f>IF(ISNUMBER(Table2[[#This Row],[estHD]]),ABS(Table2[[#This Row],[HD]]-Table2[[#This Row],[estHD]]),"NA")</f>
        <v>0</v>
      </c>
      <c r="M530" s="4" t="b">
        <f>Table2[[#This Row],[HD]]=Table2[[#This Row],[estHD]]</f>
        <v>1</v>
      </c>
      <c r="N530" s="4" t="str">
        <f>IF(ISNUMBER([1]!Table2[[#This Row],[hatch_date]]),[1]!Table2[[#This Row],[hatch_date]]-19,"NA")</f>
        <v>NA</v>
      </c>
      <c r="O530" s="31">
        <v>41</v>
      </c>
      <c r="P530" s="23" t="e">
        <f>IF(ISNUMBER(Table2[[#This Row],[nest_age1]]),ABS(Table2[[#This Row],[nest_age1]]-Table2[[#This Row],[nest_age_feb]]),"NA")</f>
        <v>#VALUE!</v>
      </c>
      <c r="Q530" s="24">
        <f>IF(ISNUMBER(Table2[[#This Row],[final_obs_int2]]),ABS(Table2[[#This Row],[final_obs_int2]]-Table2[[#This Row],[final_obs_int_feb]]), "NA")</f>
        <v>0</v>
      </c>
      <c r="R530" s="24"/>
      <c r="S530" s="57" t="s">
        <v>88</v>
      </c>
      <c r="T530" s="57" t="str">
        <f>Table2[[#This Row],[camera_old]]</f>
        <v>N</v>
      </c>
      <c r="U530" s="24"/>
      <c r="V530" s="16" t="s">
        <v>24</v>
      </c>
      <c r="W530" s="16" t="s">
        <v>24</v>
      </c>
      <c r="X530" s="145">
        <v>3</v>
      </c>
      <c r="Y530" s="147" t="s">
        <v>31</v>
      </c>
      <c r="Z530" s="146" t="s">
        <v>31</v>
      </c>
      <c r="AA530" s="4" t="str">
        <f>Table2[[#This Row],[field_fate]]</f>
        <v>D</v>
      </c>
      <c r="AB530" s="4" t="str">
        <f>Table2[[#This Row],[field_fate2]]</f>
        <v>D</v>
      </c>
      <c r="AC530" s="4" t="str">
        <f>Table2[[#This Row],[field_fate3]]</f>
        <v>D</v>
      </c>
      <c r="AD530" s="4" t="str">
        <f>Table2[[#This Row],[field_fate4]]</f>
        <v>D</v>
      </c>
      <c r="AE530" s="4" t="str">
        <f>Table2[[#This Row],[field_fate5]]</f>
        <v>D</v>
      </c>
      <c r="AF530" s="4" t="str">
        <f>Table2[[#This Row],[field_fate5]]</f>
        <v>D</v>
      </c>
      <c r="AG530" s="4" t="str">
        <f>Table2[[#This Row],[field_fate5]]</f>
        <v>D</v>
      </c>
      <c r="AH530" s="4" t="str">
        <f>Table2[[#This Row],[field_fate2]]</f>
        <v>D</v>
      </c>
      <c r="AI530" s="4" t="str">
        <f>Table2[[#This Row],[field_fate8]]</f>
        <v>D</v>
      </c>
      <c r="AJ530" s="4" t="str">
        <f>Table2[[#This Row],[field_fate10]]</f>
        <v>D</v>
      </c>
      <c r="AK530" s="4" t="b">
        <f>Table2[[#This Row],[field_fate_feb]]=Table2[[#This Row],[field_fate10]]</f>
        <v>1</v>
      </c>
      <c r="AL530" s="43" t="s">
        <v>24</v>
      </c>
      <c r="AM530" s="43" t="b">
        <f>Table2[[#This Row],[cam_fate2]]="NA"</f>
        <v>1</v>
      </c>
      <c r="AN530" s="19" t="str">
        <f>Table2[[#This Row],[cam_fate1]]</f>
        <v>NA</v>
      </c>
      <c r="AO530" s="2" t="s">
        <v>31</v>
      </c>
      <c r="AP530" s="5" t="str">
        <f>Table2[[#This Row],[final_fate1]]</f>
        <v>D</v>
      </c>
      <c r="AQ530" s="6">
        <v>20</v>
      </c>
      <c r="AR530" s="7">
        <v>20</v>
      </c>
      <c r="AS530" s="7">
        <f>Table2[[#This Row],[final_obs_date]]-Table2[[#This Row],[init_date]]</f>
        <v>20</v>
      </c>
      <c r="AT530" s="7">
        <f>(Table2[[#This Row],[final_obs_date2]]-Table2[[#This Row],[estHD]])+16</f>
        <v>17</v>
      </c>
      <c r="AU530" s="38">
        <v>3</v>
      </c>
      <c r="AV530" s="33">
        <v>3</v>
      </c>
      <c r="AW530" s="33">
        <f>Table2[[#This Row],[final_obs_date2]]-Table2[[#This Row],[pen_obs_date]]</f>
        <v>61</v>
      </c>
      <c r="AX530" s="67">
        <v>61</v>
      </c>
      <c r="AY530" s="6">
        <f>Table2[[#This Row],[final_obs_date]]</f>
        <v>61</v>
      </c>
      <c r="AZ530" s="6"/>
      <c r="BA530" s="91" t="s">
        <v>47</v>
      </c>
      <c r="BB530" s="6" t="b">
        <f>Table2[[#This Row],[final_obs_date]]&lt;(Table2[[#This Row],[estHD]]-2)</f>
        <v>0</v>
      </c>
      <c r="BC530" s="24">
        <f>IF(Table2[[#This Row],[field_fate]]="H",1,0)</f>
        <v>0</v>
      </c>
      <c r="BD530" s="16">
        <f>IF(Table2[[#This Row],[cam_fate2]]="H",1,0)</f>
        <v>0</v>
      </c>
      <c r="BE530" s="6" t="b">
        <f>NOT(Table2[[#This Row],[HF_C]]=Table2[[#This Row],[HF]])</f>
        <v>0</v>
      </c>
      <c r="BF530" s="6" t="b">
        <f>NOT(Table2[[#This Row],[cam_fate2]]=Table2[[#This Row],[field_fate3]])</f>
        <v>1</v>
      </c>
      <c r="BG530" s="6" t="b">
        <f>OR(Table2[[#This Row],[field_fate3]]="U",Table2[[#This Row],[field_fate3]]="U-H")</f>
        <v>0</v>
      </c>
      <c r="BH530" s="8">
        <v>58</v>
      </c>
      <c r="BI530" s="8">
        <v>58</v>
      </c>
      <c r="BJ530" s="14">
        <f>IF(ISTEXT(Table2[[#This Row],[j.cam]]),Table2[[#This Row],[j]],Table2[[#This Row],[j.cam]])</f>
        <v>58</v>
      </c>
      <c r="BK530" s="9">
        <v>61</v>
      </c>
      <c r="BL530" s="15">
        <f>IF(ISTEXT(Table2[[#This Row],[k.cam]]), Table2[[#This Row],[k]], Table2[[#This Row],[k.cam]])</f>
        <v>61</v>
      </c>
      <c r="BM530" s="4" t="s">
        <v>24</v>
      </c>
      <c r="BN530" s="8" t="s">
        <v>24</v>
      </c>
      <c r="BO530" s="4">
        <v>2</v>
      </c>
      <c r="BP530" s="4">
        <f>Table2[[#This Row],[final_obs_date]]-Table2[[#This Row],[i]]</f>
        <v>3</v>
      </c>
      <c r="BQ530" s="4" t="b">
        <f>Table2[[#This Row],[final_obs_date2]]&gt;Table2[[#This Row],[estHD]]+3</f>
        <v>0</v>
      </c>
      <c r="BR530" s="4" t="s">
        <v>33</v>
      </c>
      <c r="BS530" s="4" t="s">
        <v>365</v>
      </c>
      <c r="BT530" s="79" t="s">
        <v>1335</v>
      </c>
      <c r="BU530" s="26" t="s">
        <v>369</v>
      </c>
      <c r="BV530" s="79" t="s">
        <v>1430</v>
      </c>
      <c r="BW530" s="49"/>
      <c r="BX530" s="47"/>
      <c r="BY530" s="36" t="s">
        <v>24</v>
      </c>
    </row>
    <row r="531" spans="1:77" hidden="1" x14ac:dyDescent="0.35">
      <c r="A531" s="64">
        <v>30051</v>
      </c>
      <c r="B531" s="2" t="s">
        <v>35</v>
      </c>
      <c r="C531" s="46">
        <v>2021</v>
      </c>
      <c r="D531" s="3">
        <v>29.768519999999999</v>
      </c>
      <c r="E531" s="3">
        <v>-93.163989999999998</v>
      </c>
      <c r="F531" s="3">
        <v>0</v>
      </c>
      <c r="G531" s="3">
        <v>0</v>
      </c>
      <c r="H531" s="3" t="s">
        <v>26</v>
      </c>
      <c r="I531" s="43"/>
      <c r="J531" s="55">
        <v>76</v>
      </c>
      <c r="K531" s="4">
        <v>76</v>
      </c>
      <c r="L531" s="22">
        <f>IF(ISNUMBER(Table2[[#This Row],[estHD]]),ABS(Table2[[#This Row],[HD]]-Table2[[#This Row],[estHD]]),"NA")</f>
        <v>0</v>
      </c>
      <c r="M531" s="4" t="b">
        <f>Table2[[#This Row],[HD]]=Table2[[#This Row],[estHD]]</f>
        <v>1</v>
      </c>
      <c r="N531" s="4" t="str">
        <f>IF(ISNUMBER([1]!Table2[[#This Row],[hatch_date]]),[1]!Table2[[#This Row],[hatch_date]]-19,"NA")</f>
        <v>NA</v>
      </c>
      <c r="O531" s="31">
        <v>57</v>
      </c>
      <c r="P531" s="23" t="e">
        <f>IF(ISNUMBER(Table2[[#This Row],[nest_age1]]),ABS(Table2[[#This Row],[nest_age1]]-Table2[[#This Row],[nest_age_feb]]),"NA")</f>
        <v>#VALUE!</v>
      </c>
      <c r="Q531" s="24">
        <f>IF(ISNUMBER(Table2[[#This Row],[final_obs_int2]]),ABS(Table2[[#This Row],[final_obs_int2]]-Table2[[#This Row],[final_obs_int_feb]]), "NA")</f>
        <v>0</v>
      </c>
      <c r="R531" s="24"/>
      <c r="S531" s="57" t="s">
        <v>88</v>
      </c>
      <c r="T531" s="57" t="str">
        <f>Table2[[#This Row],[camera_old]]</f>
        <v>N</v>
      </c>
      <c r="U531" s="24"/>
      <c r="V531" s="16" t="s">
        <v>24</v>
      </c>
      <c r="W531" s="16" t="s">
        <v>24</v>
      </c>
      <c r="X531" s="145">
        <v>3</v>
      </c>
      <c r="Y531" s="147" t="s">
        <v>31</v>
      </c>
      <c r="Z531" s="146" t="s">
        <v>31</v>
      </c>
      <c r="AA531" s="4" t="str">
        <f>Table2[[#This Row],[field_fate]]</f>
        <v>D</v>
      </c>
      <c r="AB531" s="4" t="str">
        <f>Table2[[#This Row],[field_fate2]]</f>
        <v>D</v>
      </c>
      <c r="AC531" s="4" t="str">
        <f>Table2[[#This Row],[field_fate3]]</f>
        <v>D</v>
      </c>
      <c r="AD531" s="4" t="str">
        <f>Table2[[#This Row],[field_fate4]]</f>
        <v>D</v>
      </c>
      <c r="AE531" s="4" t="str">
        <f>Table2[[#This Row],[field_fate5]]</f>
        <v>D</v>
      </c>
      <c r="AF531" s="4" t="str">
        <f>Table2[[#This Row],[field_fate5]]</f>
        <v>D</v>
      </c>
      <c r="AG531" s="4" t="str">
        <f>Table2[[#This Row],[field_fate5]]</f>
        <v>D</v>
      </c>
      <c r="AH531" s="4" t="str">
        <f>Table2[[#This Row],[field_fate2]]</f>
        <v>D</v>
      </c>
      <c r="AI531" s="4" t="str">
        <f>Table2[[#This Row],[field_fate8]]</f>
        <v>D</v>
      </c>
      <c r="AJ531" s="4" t="str">
        <f>Table2[[#This Row],[field_fate10]]</f>
        <v>D</v>
      </c>
      <c r="AK531" s="4" t="b">
        <f>Table2[[#This Row],[field_fate_feb]]=Table2[[#This Row],[field_fate10]]</f>
        <v>1</v>
      </c>
      <c r="AL531" s="43" t="s">
        <v>24</v>
      </c>
      <c r="AM531" s="43" t="b">
        <f>Table2[[#This Row],[cam_fate2]]="NA"</f>
        <v>1</v>
      </c>
      <c r="AN531" s="19" t="str">
        <f>Table2[[#This Row],[cam_fate1]]</f>
        <v>NA</v>
      </c>
      <c r="AO531" s="2" t="s">
        <v>31</v>
      </c>
      <c r="AP531" s="5" t="str">
        <f>Table2[[#This Row],[final_fate1]]</f>
        <v>D</v>
      </c>
      <c r="AQ531" s="6">
        <v>4</v>
      </c>
      <c r="AR531" s="7">
        <v>4</v>
      </c>
      <c r="AS531" s="7">
        <f>Table2[[#This Row],[final_obs_date]]-Table2[[#This Row],[init_date]]</f>
        <v>4</v>
      </c>
      <c r="AT531" s="7">
        <f>(Table2[[#This Row],[final_obs_date2]]-Table2[[#This Row],[estHD]])+16</f>
        <v>1</v>
      </c>
      <c r="AU531" s="38">
        <v>3</v>
      </c>
      <c r="AV531" s="33">
        <v>3</v>
      </c>
      <c r="AW531" s="33">
        <f>Table2[[#This Row],[final_obs_date2]]-Table2[[#This Row],[pen_obs_date]]</f>
        <v>61</v>
      </c>
      <c r="AX531" s="67">
        <v>61</v>
      </c>
      <c r="AY531" s="6">
        <f>Table2[[#This Row],[final_obs_date]]</f>
        <v>61</v>
      </c>
      <c r="AZ531" s="6"/>
      <c r="BA531" s="91" t="s">
        <v>47</v>
      </c>
      <c r="BB531" s="6" t="b">
        <f>Table2[[#This Row],[final_obs_date]]&lt;(Table2[[#This Row],[estHD]]-2)</f>
        <v>1</v>
      </c>
      <c r="BC531" s="24">
        <f>IF(Table2[[#This Row],[field_fate]]="H",1,0)</f>
        <v>0</v>
      </c>
      <c r="BD531" s="16">
        <f>IF(Table2[[#This Row],[cam_fate2]]="H",1,0)</f>
        <v>0</v>
      </c>
      <c r="BE531" s="6" t="b">
        <f>NOT(Table2[[#This Row],[HF_C]]=Table2[[#This Row],[HF]])</f>
        <v>0</v>
      </c>
      <c r="BF531" s="6" t="b">
        <f>NOT(Table2[[#This Row],[cam_fate2]]=Table2[[#This Row],[field_fate3]])</f>
        <v>1</v>
      </c>
      <c r="BG531" s="6" t="b">
        <f>OR(Table2[[#This Row],[field_fate3]]="U",Table2[[#This Row],[field_fate3]]="U-H")</f>
        <v>0</v>
      </c>
      <c r="BH531" s="8">
        <v>58</v>
      </c>
      <c r="BI531" s="8">
        <v>58</v>
      </c>
      <c r="BJ531" s="14">
        <f>IF(ISTEXT(Table2[[#This Row],[j.cam]]),Table2[[#This Row],[j]],Table2[[#This Row],[j.cam]])</f>
        <v>58</v>
      </c>
      <c r="BK531" s="9">
        <v>61</v>
      </c>
      <c r="BL531" s="15">
        <f>IF(ISTEXT(Table2[[#This Row],[k.cam]]), Table2[[#This Row],[k]], Table2[[#This Row],[k.cam]])</f>
        <v>61</v>
      </c>
      <c r="BM531" s="4" t="s">
        <v>24</v>
      </c>
      <c r="BN531" s="8" t="s">
        <v>24</v>
      </c>
      <c r="BO531" s="4">
        <v>2</v>
      </c>
      <c r="BP531" s="4">
        <f>Table2[[#This Row],[final_obs_date]]-Table2[[#This Row],[i]]</f>
        <v>3</v>
      </c>
      <c r="BQ531" s="4" t="b">
        <f>Table2[[#This Row],[final_obs_date2]]&gt;Table2[[#This Row],[estHD]]+3</f>
        <v>0</v>
      </c>
      <c r="BR531" s="4" t="s">
        <v>58</v>
      </c>
      <c r="BS531" s="4" t="s">
        <v>365</v>
      </c>
      <c r="BT531" s="79" t="s">
        <v>1335</v>
      </c>
      <c r="BU531" s="26" t="s">
        <v>370</v>
      </c>
      <c r="BV531" s="79" t="s">
        <v>1430</v>
      </c>
      <c r="BW531" s="49"/>
      <c r="BX531" s="47"/>
      <c r="BY531" s="36" t="s">
        <v>817</v>
      </c>
    </row>
    <row r="532" spans="1:77" hidden="1" x14ac:dyDescent="0.35">
      <c r="A532" s="64">
        <v>30052</v>
      </c>
      <c r="B532" s="2" t="s">
        <v>35</v>
      </c>
      <c r="C532" s="46">
        <v>2021</v>
      </c>
      <c r="D532" s="3">
        <v>29.769459999999999</v>
      </c>
      <c r="E532" s="3">
        <v>-93.168819999999997</v>
      </c>
      <c r="F532" s="3">
        <v>0</v>
      </c>
      <c r="G532" s="3">
        <v>0</v>
      </c>
      <c r="H532" s="3" t="s">
        <v>26</v>
      </c>
      <c r="I532" s="43"/>
      <c r="J532" s="55">
        <v>62</v>
      </c>
      <c r="K532" s="4">
        <v>62</v>
      </c>
      <c r="L532" s="22">
        <f>IF(ISNUMBER(Table2[[#This Row],[estHD]]),ABS(Table2[[#This Row],[HD]]-Table2[[#This Row],[estHD]]),"NA")</f>
        <v>0</v>
      </c>
      <c r="M532" s="4" t="b">
        <f>Table2[[#This Row],[HD]]=Table2[[#This Row],[estHD]]</f>
        <v>1</v>
      </c>
      <c r="N532" s="4" t="str">
        <f>IF(ISNUMBER([1]!Table2[[#This Row],[hatch_date]]),[1]!Table2[[#This Row],[hatch_date]]-19,"NA")</f>
        <v>NA</v>
      </c>
      <c r="O532" s="31">
        <v>43</v>
      </c>
      <c r="P532" s="23" t="e">
        <f>IF(ISNUMBER(Table2[[#This Row],[nest_age1]]),ABS(Table2[[#This Row],[nest_age1]]-Table2[[#This Row],[nest_age_feb]]),"NA")</f>
        <v>#VALUE!</v>
      </c>
      <c r="Q532" s="24">
        <f>IF(ISNUMBER(Table2[[#This Row],[final_obs_int2]]),ABS(Table2[[#This Row],[final_obs_int2]]-Table2[[#This Row],[final_obs_int_feb]]), "NA")</f>
        <v>0</v>
      </c>
      <c r="R532" s="24"/>
      <c r="S532" s="57" t="s">
        <v>88</v>
      </c>
      <c r="T532" s="57" t="str">
        <f>Table2[[#This Row],[camera_old]]</f>
        <v>N</v>
      </c>
      <c r="U532" s="24"/>
      <c r="V532" s="16" t="s">
        <v>24</v>
      </c>
      <c r="W532" s="16" t="s">
        <v>24</v>
      </c>
      <c r="X532" s="145">
        <v>3</v>
      </c>
      <c r="Y532" s="147" t="s">
        <v>31</v>
      </c>
      <c r="Z532" s="146" t="s">
        <v>31</v>
      </c>
      <c r="AA532" s="4" t="str">
        <f>Table2[[#This Row],[field_fate]]</f>
        <v>D</v>
      </c>
      <c r="AB532" s="4" t="str">
        <f>Table2[[#This Row],[field_fate2]]</f>
        <v>D</v>
      </c>
      <c r="AC532" s="4" t="str">
        <f>Table2[[#This Row],[field_fate3]]</f>
        <v>D</v>
      </c>
      <c r="AD532" s="4" t="str">
        <f>Table2[[#This Row],[field_fate4]]</f>
        <v>D</v>
      </c>
      <c r="AE532" s="4" t="str">
        <f>Table2[[#This Row],[field_fate5]]</f>
        <v>D</v>
      </c>
      <c r="AF532" s="4" t="str">
        <f>Table2[[#This Row],[field_fate5]]</f>
        <v>D</v>
      </c>
      <c r="AG532" s="4" t="str">
        <f>Table2[[#This Row],[field_fate5]]</f>
        <v>D</v>
      </c>
      <c r="AH532" s="4" t="str">
        <f>Table2[[#This Row],[field_fate2]]</f>
        <v>D</v>
      </c>
      <c r="AI532" s="4" t="str">
        <f>Table2[[#This Row],[field_fate8]]</f>
        <v>D</v>
      </c>
      <c r="AJ532" s="4" t="str">
        <f>Table2[[#This Row],[field_fate10]]</f>
        <v>D</v>
      </c>
      <c r="AK532" s="4" t="b">
        <f>Table2[[#This Row],[field_fate_feb]]=Table2[[#This Row],[field_fate10]]</f>
        <v>1</v>
      </c>
      <c r="AL532" s="43" t="s">
        <v>24</v>
      </c>
      <c r="AM532" s="43" t="b">
        <f>Table2[[#This Row],[cam_fate2]]="NA"</f>
        <v>1</v>
      </c>
      <c r="AN532" s="19" t="str">
        <f>Table2[[#This Row],[cam_fate1]]</f>
        <v>NA</v>
      </c>
      <c r="AO532" s="2" t="s">
        <v>31</v>
      </c>
      <c r="AP532" s="5" t="str">
        <f>Table2[[#This Row],[final_fate1]]</f>
        <v>D</v>
      </c>
      <c r="AQ532" s="6">
        <v>18</v>
      </c>
      <c r="AR532" s="7">
        <v>18</v>
      </c>
      <c r="AS532" s="7">
        <f>Table2[[#This Row],[final_obs_date]]-Table2[[#This Row],[init_date]]</f>
        <v>18</v>
      </c>
      <c r="AT532" s="7">
        <f>(Table2[[#This Row],[final_obs_date2]]-Table2[[#This Row],[estHD]])+16</f>
        <v>15</v>
      </c>
      <c r="AU532" s="38">
        <v>3</v>
      </c>
      <c r="AV532" s="33">
        <v>3</v>
      </c>
      <c r="AW532" s="33">
        <f>Table2[[#This Row],[final_obs_date2]]-Table2[[#This Row],[pen_obs_date]]</f>
        <v>61</v>
      </c>
      <c r="AX532" s="67">
        <v>61</v>
      </c>
      <c r="AY532" s="6">
        <f>Table2[[#This Row],[final_obs_date]]</f>
        <v>61</v>
      </c>
      <c r="AZ532" s="6"/>
      <c r="BA532" s="91" t="s">
        <v>47</v>
      </c>
      <c r="BB532" s="6" t="b">
        <f>Table2[[#This Row],[final_obs_date]]&lt;(Table2[[#This Row],[estHD]]-2)</f>
        <v>0</v>
      </c>
      <c r="BC532" s="24">
        <f>IF(Table2[[#This Row],[field_fate]]="H",1,0)</f>
        <v>0</v>
      </c>
      <c r="BD532" s="16">
        <f>IF(Table2[[#This Row],[cam_fate2]]="H",1,0)</f>
        <v>0</v>
      </c>
      <c r="BE532" s="6" t="b">
        <f>NOT(Table2[[#This Row],[HF_C]]=Table2[[#This Row],[HF]])</f>
        <v>0</v>
      </c>
      <c r="BF532" s="6" t="b">
        <f>NOT(Table2[[#This Row],[cam_fate2]]=Table2[[#This Row],[field_fate3]])</f>
        <v>1</v>
      </c>
      <c r="BG532" s="6" t="b">
        <f>OR(Table2[[#This Row],[field_fate3]]="U",Table2[[#This Row],[field_fate3]]="U-H")</f>
        <v>0</v>
      </c>
      <c r="BH532" s="8">
        <v>58</v>
      </c>
      <c r="BI532" s="8">
        <v>58</v>
      </c>
      <c r="BJ532" s="14">
        <f>IF(ISTEXT(Table2[[#This Row],[j.cam]]),Table2[[#This Row],[j]],Table2[[#This Row],[j.cam]])</f>
        <v>58</v>
      </c>
      <c r="BK532" s="9">
        <v>61</v>
      </c>
      <c r="BL532" s="15">
        <f>IF(ISTEXT(Table2[[#This Row],[k.cam]]), Table2[[#This Row],[k]], Table2[[#This Row],[k.cam]])</f>
        <v>61</v>
      </c>
      <c r="BM532" s="4" t="s">
        <v>24</v>
      </c>
      <c r="BN532" s="8" t="s">
        <v>24</v>
      </c>
      <c r="BO532" s="4">
        <v>2</v>
      </c>
      <c r="BP532" s="4">
        <f>Table2[[#This Row],[final_obs_date]]-Table2[[#This Row],[i]]</f>
        <v>3</v>
      </c>
      <c r="BQ532" s="4" t="b">
        <f>Table2[[#This Row],[final_obs_date2]]&gt;Table2[[#This Row],[estHD]]+3</f>
        <v>0</v>
      </c>
      <c r="BR532" s="4" t="s">
        <v>33</v>
      </c>
      <c r="BS532" s="4" t="s">
        <v>365</v>
      </c>
      <c r="BT532" s="79" t="s">
        <v>1335</v>
      </c>
      <c r="BU532" s="26" t="s">
        <v>369</v>
      </c>
      <c r="BV532" s="79" t="s">
        <v>1430</v>
      </c>
      <c r="BW532" s="49"/>
      <c r="BX532" s="47"/>
      <c r="BY532" s="36" t="s">
        <v>24</v>
      </c>
    </row>
    <row r="533" spans="1:77" hidden="1" x14ac:dyDescent="0.35">
      <c r="A533" s="64">
        <v>30053</v>
      </c>
      <c r="B533" s="2" t="s">
        <v>35</v>
      </c>
      <c r="C533" s="46">
        <v>2021</v>
      </c>
      <c r="D533" s="3">
        <v>29.769500000000001</v>
      </c>
      <c r="E533" s="3">
        <v>-93.169269999999997</v>
      </c>
      <c r="F533" s="3">
        <v>0</v>
      </c>
      <c r="G533" s="3">
        <v>0</v>
      </c>
      <c r="H533" s="3" t="s">
        <v>26</v>
      </c>
      <c r="I533" s="43"/>
      <c r="J533" s="55">
        <v>78</v>
      </c>
      <c r="K533" s="4">
        <v>69</v>
      </c>
      <c r="L533" s="22">
        <f>IF(ISNUMBER(Table2[[#This Row],[estHD]]),ABS(Table2[[#This Row],[HD]]-Table2[[#This Row],[estHD]]),"NA")</f>
        <v>9</v>
      </c>
      <c r="M533" s="4" t="b">
        <f>Table2[[#This Row],[HD]]=Table2[[#This Row],[estHD]]</f>
        <v>0</v>
      </c>
      <c r="N533" s="4" t="str">
        <f>IF(ISNUMBER([1]!Table2[[#This Row],[hatch_date]]),[1]!Table2[[#This Row],[hatch_date]]-19,"NA")</f>
        <v>NA</v>
      </c>
      <c r="O533" s="31">
        <v>50</v>
      </c>
      <c r="P533" s="23" t="e">
        <f>IF(ISNUMBER(Table2[[#This Row],[nest_age1]]),ABS(Table2[[#This Row],[nest_age1]]-Table2[[#This Row],[nest_age_feb]]),"NA")</f>
        <v>#VALUE!</v>
      </c>
      <c r="Q533" s="24">
        <f>IF(ISNUMBER(Table2[[#This Row],[final_obs_int2]]),ABS(Table2[[#This Row],[final_obs_int2]]-Table2[[#This Row],[final_obs_int_feb]]), "NA")</f>
        <v>1</v>
      </c>
      <c r="R533" s="24"/>
      <c r="S533" s="57" t="s">
        <v>88</v>
      </c>
      <c r="T533" s="57" t="str">
        <f>Table2[[#This Row],[camera_old]]</f>
        <v>N</v>
      </c>
      <c r="U533" s="24"/>
      <c r="V533" s="16" t="s">
        <v>24</v>
      </c>
      <c r="W533" s="16" t="s">
        <v>24</v>
      </c>
      <c r="X533" s="145">
        <v>5</v>
      </c>
      <c r="Y533" s="147" t="s">
        <v>37</v>
      </c>
      <c r="Z533" s="146" t="s">
        <v>37</v>
      </c>
      <c r="AA533" s="4" t="str">
        <f>Table2[[#This Row],[field_fate]]</f>
        <v>H</v>
      </c>
      <c r="AB533" s="4" t="str">
        <f>Table2[[#This Row],[field_fate2]]</f>
        <v>H</v>
      </c>
      <c r="AC533" s="4" t="str">
        <f>Table2[[#This Row],[field_fate3]]</f>
        <v>H</v>
      </c>
      <c r="AD533" s="4" t="str">
        <f>Table2[[#This Row],[field_fate4]]</f>
        <v>H</v>
      </c>
      <c r="AE533" s="4" t="str">
        <f>Table2[[#This Row],[field_fate5]]</f>
        <v>H</v>
      </c>
      <c r="AF533" s="4" t="str">
        <f>Table2[[#This Row],[field_fate5]]</f>
        <v>H</v>
      </c>
      <c r="AG533" s="4" t="str">
        <f>Table2[[#This Row],[field_fate5]]</f>
        <v>H</v>
      </c>
      <c r="AH533" s="4" t="str">
        <f>Table2[[#This Row],[field_fate2]]</f>
        <v>H</v>
      </c>
      <c r="AI533" s="4" t="str">
        <f>Table2[[#This Row],[field_fate8]]</f>
        <v>H</v>
      </c>
      <c r="AJ533" s="4" t="str">
        <f>Table2[[#This Row],[field_fate10]]</f>
        <v>H</v>
      </c>
      <c r="AK533" s="4" t="b">
        <f>Table2[[#This Row],[field_fate_feb]]=Table2[[#This Row],[field_fate10]]</f>
        <v>1</v>
      </c>
      <c r="AL533" s="43" t="s">
        <v>24</v>
      </c>
      <c r="AM533" s="43" t="b">
        <f>Table2[[#This Row],[cam_fate2]]="NA"</f>
        <v>1</v>
      </c>
      <c r="AN533" s="19" t="str">
        <f>Table2[[#This Row],[cam_fate1]]</f>
        <v>NA</v>
      </c>
      <c r="AO533" s="2" t="s">
        <v>37</v>
      </c>
      <c r="AP533" s="5" t="str">
        <f>Table2[[#This Row],[final_fate1]]</f>
        <v>H</v>
      </c>
      <c r="AQ533" s="6">
        <v>19</v>
      </c>
      <c r="AR533" s="7">
        <v>10</v>
      </c>
      <c r="AS533" s="7">
        <f>Table2[[#This Row],[final_obs_date]]-Table2[[#This Row],[init_date]]</f>
        <v>19</v>
      </c>
      <c r="AT533" s="7">
        <f>(Table2[[#This Row],[final_obs_date2]]-Table2[[#This Row],[estHD]])+16</f>
        <v>7</v>
      </c>
      <c r="AU533" s="38">
        <v>4</v>
      </c>
      <c r="AV533" s="33">
        <v>4</v>
      </c>
      <c r="AW533" s="33">
        <f>Table2[[#This Row],[final_obs_date2]]-Table2[[#This Row],[pen_obs_date]]</f>
        <v>69</v>
      </c>
      <c r="AX533" s="67">
        <v>69</v>
      </c>
      <c r="AY533" s="6">
        <f>Table2[[#This Row],[final_obs_date]]</f>
        <v>69</v>
      </c>
      <c r="AZ533" s="6"/>
      <c r="BA533" s="91" t="s">
        <v>47</v>
      </c>
      <c r="BB533" s="6" t="b">
        <f>Table2[[#This Row],[final_obs_date]]&lt;(Table2[[#This Row],[estHD]]-2)</f>
        <v>1</v>
      </c>
      <c r="BC533" s="24">
        <f>IF(Table2[[#This Row],[field_fate]]="H",1,0)</f>
        <v>1</v>
      </c>
      <c r="BD533" s="16">
        <f>IF(Table2[[#This Row],[cam_fate2]]="H",1,0)</f>
        <v>0</v>
      </c>
      <c r="BE533" s="6" t="b">
        <f>NOT(Table2[[#This Row],[HF_C]]=Table2[[#This Row],[HF]])</f>
        <v>1</v>
      </c>
      <c r="BF533" s="6" t="b">
        <f>NOT(Table2[[#This Row],[cam_fate2]]=Table2[[#This Row],[field_fate3]])</f>
        <v>1</v>
      </c>
      <c r="BG533" s="6" t="b">
        <f>OR(Table2[[#This Row],[field_fate3]]="U",Table2[[#This Row],[field_fate3]]="U-H")</f>
        <v>0</v>
      </c>
      <c r="BH533" s="8">
        <v>58</v>
      </c>
      <c r="BI533" s="8">
        <v>69</v>
      </c>
      <c r="BJ533" s="14">
        <f>IF(ISTEXT(Table2[[#This Row],[j.cam]]),Table2[[#This Row],[j]],Table2[[#This Row],[j.cam]])</f>
        <v>69</v>
      </c>
      <c r="BK533" s="9">
        <v>69</v>
      </c>
      <c r="BL533" s="15">
        <f>IF(ISTEXT(Table2[[#This Row],[k.cam]]), Table2[[#This Row],[k]], Table2[[#This Row],[k.cam]])</f>
        <v>69</v>
      </c>
      <c r="BM533" s="4" t="s">
        <v>24</v>
      </c>
      <c r="BN533" s="8" t="s">
        <v>24</v>
      </c>
      <c r="BO533" s="4">
        <v>4</v>
      </c>
      <c r="BP533" s="4">
        <f>Table2[[#This Row],[final_obs_date]]-Table2[[#This Row],[i]]</f>
        <v>11</v>
      </c>
      <c r="BQ533" s="4" t="b">
        <f>Table2[[#This Row],[final_obs_date2]]&gt;Table2[[#This Row],[estHD]]+3</f>
        <v>0</v>
      </c>
      <c r="BR533" s="4" t="s">
        <v>33</v>
      </c>
      <c r="BS533" s="4" t="s">
        <v>371</v>
      </c>
      <c r="BT533" s="79" t="s">
        <v>1336</v>
      </c>
      <c r="BU533" s="26" t="s">
        <v>372</v>
      </c>
      <c r="BV533" s="79" t="s">
        <v>1623</v>
      </c>
      <c r="BW533" s="49"/>
      <c r="BX533" s="47"/>
      <c r="BY533" s="36" t="s">
        <v>24</v>
      </c>
    </row>
    <row r="534" spans="1:77" hidden="1" x14ac:dyDescent="0.35">
      <c r="A534" s="64">
        <v>30054</v>
      </c>
      <c r="B534" s="2" t="s">
        <v>35</v>
      </c>
      <c r="C534" s="46">
        <v>2021</v>
      </c>
      <c r="D534" s="3">
        <v>29.769780000000001</v>
      </c>
      <c r="E534" s="3">
        <v>-93.171250000000001</v>
      </c>
      <c r="F534" s="3">
        <v>0</v>
      </c>
      <c r="G534" s="3">
        <v>0</v>
      </c>
      <c r="H534" s="3" t="s">
        <v>26</v>
      </c>
      <c r="I534" s="43"/>
      <c r="J534" s="55">
        <v>73</v>
      </c>
      <c r="K534" s="4">
        <v>73</v>
      </c>
      <c r="L534" s="22">
        <f>IF(ISNUMBER(Table2[[#This Row],[estHD]]),ABS(Table2[[#This Row],[HD]]-Table2[[#This Row],[estHD]]),"NA")</f>
        <v>0</v>
      </c>
      <c r="M534" s="4" t="b">
        <f>Table2[[#This Row],[HD]]=Table2[[#This Row],[estHD]]</f>
        <v>1</v>
      </c>
      <c r="N534" s="4" t="str">
        <f>IF(ISNUMBER([1]!Table2[[#This Row],[hatch_date]]),[1]!Table2[[#This Row],[hatch_date]]-19,"NA")</f>
        <v>NA</v>
      </c>
      <c r="O534" s="31">
        <v>54</v>
      </c>
      <c r="P534" s="23" t="e">
        <f>IF(ISNUMBER(Table2[[#This Row],[nest_age1]]),ABS(Table2[[#This Row],[nest_age1]]-Table2[[#This Row],[nest_age_feb]]),"NA")</f>
        <v>#VALUE!</v>
      </c>
      <c r="Q534" s="24">
        <f>IF(ISNUMBER(Table2[[#This Row],[final_obs_int2]]),ABS(Table2[[#This Row],[final_obs_int2]]-Table2[[#This Row],[final_obs_int_feb]]), "NA")</f>
        <v>0</v>
      </c>
      <c r="R534" s="24"/>
      <c r="S534" s="57" t="s">
        <v>88</v>
      </c>
      <c r="T534" s="57" t="str">
        <f>Table2[[#This Row],[camera_old]]</f>
        <v>N</v>
      </c>
      <c r="U534" s="24"/>
      <c r="V534" s="16" t="s">
        <v>24</v>
      </c>
      <c r="W534" s="16" t="s">
        <v>24</v>
      </c>
      <c r="X534" s="145">
        <v>3</v>
      </c>
      <c r="Y534" s="147" t="s">
        <v>31</v>
      </c>
      <c r="Z534" s="146" t="s">
        <v>31</v>
      </c>
      <c r="AA534" s="4" t="str">
        <f>Table2[[#This Row],[field_fate]]</f>
        <v>D</v>
      </c>
      <c r="AB534" s="4" t="str">
        <f>Table2[[#This Row],[field_fate2]]</f>
        <v>D</v>
      </c>
      <c r="AC534" s="4" t="str">
        <f>Table2[[#This Row],[field_fate3]]</f>
        <v>D</v>
      </c>
      <c r="AD534" s="4" t="str">
        <f>Table2[[#This Row],[field_fate4]]</f>
        <v>D</v>
      </c>
      <c r="AE534" s="4" t="str">
        <f>Table2[[#This Row],[field_fate5]]</f>
        <v>D</v>
      </c>
      <c r="AF534" s="4" t="str">
        <f>Table2[[#This Row],[field_fate5]]</f>
        <v>D</v>
      </c>
      <c r="AG534" s="4" t="str">
        <f>Table2[[#This Row],[field_fate5]]</f>
        <v>D</v>
      </c>
      <c r="AH534" s="4" t="str">
        <f>Table2[[#This Row],[field_fate2]]</f>
        <v>D</v>
      </c>
      <c r="AI534" s="4" t="str">
        <f>Table2[[#This Row],[field_fate8]]</f>
        <v>D</v>
      </c>
      <c r="AJ534" s="4" t="str">
        <f>Table2[[#This Row],[field_fate10]]</f>
        <v>D</v>
      </c>
      <c r="AK534" s="4" t="b">
        <f>Table2[[#This Row],[field_fate_feb]]=Table2[[#This Row],[field_fate10]]</f>
        <v>1</v>
      </c>
      <c r="AL534" s="43" t="s">
        <v>24</v>
      </c>
      <c r="AM534" s="43" t="b">
        <f>Table2[[#This Row],[cam_fate2]]="NA"</f>
        <v>1</v>
      </c>
      <c r="AN534" s="19" t="str">
        <f>Table2[[#This Row],[cam_fate1]]</f>
        <v>NA</v>
      </c>
      <c r="AO534" s="2" t="s">
        <v>31</v>
      </c>
      <c r="AP534" s="5" t="str">
        <f>Table2[[#This Row],[final_fate1]]</f>
        <v>D</v>
      </c>
      <c r="AQ534" s="6">
        <v>7</v>
      </c>
      <c r="AR534" s="7">
        <v>7</v>
      </c>
      <c r="AS534" s="7">
        <f>Table2[[#This Row],[final_obs_date]]-Table2[[#This Row],[init_date]]</f>
        <v>7</v>
      </c>
      <c r="AT534" s="7">
        <f>(Table2[[#This Row],[final_obs_date2]]-Table2[[#This Row],[estHD]])+16</f>
        <v>4</v>
      </c>
      <c r="AU534" s="38">
        <v>3</v>
      </c>
      <c r="AV534" s="33">
        <v>3</v>
      </c>
      <c r="AW534" s="33">
        <f>Table2[[#This Row],[final_obs_date2]]-Table2[[#This Row],[pen_obs_date]]</f>
        <v>61</v>
      </c>
      <c r="AX534" s="67">
        <v>61</v>
      </c>
      <c r="AY534" s="6">
        <f>Table2[[#This Row],[final_obs_date]]</f>
        <v>61</v>
      </c>
      <c r="AZ534" s="6"/>
      <c r="BA534" s="91" t="s">
        <v>47</v>
      </c>
      <c r="BB534" s="6" t="b">
        <f>Table2[[#This Row],[final_obs_date]]&lt;(Table2[[#This Row],[estHD]]-2)</f>
        <v>1</v>
      </c>
      <c r="BC534" s="24">
        <f>IF(Table2[[#This Row],[field_fate]]="H",1,0)</f>
        <v>0</v>
      </c>
      <c r="BD534" s="16">
        <f>IF(Table2[[#This Row],[cam_fate2]]="H",1,0)</f>
        <v>0</v>
      </c>
      <c r="BE534" s="6" t="b">
        <f>NOT(Table2[[#This Row],[HF_C]]=Table2[[#This Row],[HF]])</f>
        <v>0</v>
      </c>
      <c r="BF534" s="6" t="b">
        <f>NOT(Table2[[#This Row],[cam_fate2]]=Table2[[#This Row],[field_fate3]])</f>
        <v>1</v>
      </c>
      <c r="BG534" s="6" t="b">
        <f>OR(Table2[[#This Row],[field_fate3]]="U",Table2[[#This Row],[field_fate3]]="U-H")</f>
        <v>0</v>
      </c>
      <c r="BH534" s="8">
        <v>58</v>
      </c>
      <c r="BI534" s="8">
        <v>58</v>
      </c>
      <c r="BJ534" s="14">
        <f>IF(ISTEXT(Table2[[#This Row],[j.cam]]),Table2[[#This Row],[j]],Table2[[#This Row],[j.cam]])</f>
        <v>58</v>
      </c>
      <c r="BK534" s="9">
        <v>61</v>
      </c>
      <c r="BL534" s="15">
        <f>IF(ISTEXT(Table2[[#This Row],[k.cam]]), Table2[[#This Row],[k]], Table2[[#This Row],[k.cam]])</f>
        <v>61</v>
      </c>
      <c r="BM534" s="4" t="s">
        <v>24</v>
      </c>
      <c r="BN534" s="8" t="s">
        <v>24</v>
      </c>
      <c r="BO534" s="4">
        <v>2</v>
      </c>
      <c r="BP534" s="4">
        <f>Table2[[#This Row],[final_obs_date]]-Table2[[#This Row],[i]]</f>
        <v>3</v>
      </c>
      <c r="BQ534" s="4" t="b">
        <f>Table2[[#This Row],[final_obs_date2]]&gt;Table2[[#This Row],[estHD]]+3</f>
        <v>0</v>
      </c>
      <c r="BR534" s="4" t="s">
        <v>33</v>
      </c>
      <c r="BS534" s="4" t="s">
        <v>365</v>
      </c>
      <c r="BT534" s="79" t="s">
        <v>1335</v>
      </c>
      <c r="BU534" s="26" t="s">
        <v>369</v>
      </c>
      <c r="BV534" s="79" t="s">
        <v>1430</v>
      </c>
      <c r="BW534" s="49"/>
      <c r="BX534" s="47"/>
      <c r="BY534" s="36" t="s">
        <v>24</v>
      </c>
    </row>
    <row r="535" spans="1:77" hidden="1" x14ac:dyDescent="0.35">
      <c r="A535" s="64">
        <v>30055</v>
      </c>
      <c r="B535" s="2" t="s">
        <v>35</v>
      </c>
      <c r="C535" s="46">
        <v>2021</v>
      </c>
      <c r="D535" s="3">
        <v>29.770109999999999</v>
      </c>
      <c r="E535" s="3">
        <v>-93.172839999999994</v>
      </c>
      <c r="F535" s="3">
        <v>0</v>
      </c>
      <c r="G535" s="3" t="s">
        <v>24</v>
      </c>
      <c r="H535" s="3" t="s">
        <v>26</v>
      </c>
      <c r="I535" s="43"/>
      <c r="J535" s="55">
        <v>72</v>
      </c>
      <c r="K535" s="4">
        <v>72</v>
      </c>
      <c r="L535" s="22">
        <f>IF(ISNUMBER(Table2[[#This Row],[estHD]]),ABS(Table2[[#This Row],[HD]]-Table2[[#This Row],[estHD]]),"NA")</f>
        <v>0</v>
      </c>
      <c r="M535" s="4" t="b">
        <f>Table2[[#This Row],[HD]]=Table2[[#This Row],[estHD]]</f>
        <v>1</v>
      </c>
      <c r="N535" s="4" t="str">
        <f>IF(ISNUMBER([1]!Table2[[#This Row],[hatch_date]]),[1]!Table2[[#This Row],[hatch_date]]-19,"NA")</f>
        <v>NA</v>
      </c>
      <c r="O535" s="31">
        <v>53</v>
      </c>
      <c r="P535" s="23" t="e">
        <f>IF(ISNUMBER(Table2[[#This Row],[nest_age1]]),ABS(Table2[[#This Row],[nest_age1]]-Table2[[#This Row],[nest_age_feb]]),"NA")</f>
        <v>#VALUE!</v>
      </c>
      <c r="Q535" s="24">
        <f>IF(ISNUMBER(Table2[[#This Row],[final_obs_int2]]),ABS(Table2[[#This Row],[final_obs_int2]]-Table2[[#This Row],[final_obs_int_feb]]), "NA")</f>
        <v>0</v>
      </c>
      <c r="R535" s="24"/>
      <c r="S535" s="57" t="s">
        <v>88</v>
      </c>
      <c r="T535" s="57" t="str">
        <f>Table2[[#This Row],[camera_old]]</f>
        <v>N</v>
      </c>
      <c r="U535" s="24"/>
      <c r="V535" s="16" t="s">
        <v>24</v>
      </c>
      <c r="W535" s="16" t="s">
        <v>24</v>
      </c>
      <c r="X535" s="145">
        <v>3</v>
      </c>
      <c r="Y535" s="147" t="s">
        <v>31</v>
      </c>
      <c r="Z535" s="146" t="s">
        <v>31</v>
      </c>
      <c r="AA535" s="4" t="str">
        <f>Table2[[#This Row],[field_fate]]</f>
        <v>D</v>
      </c>
      <c r="AB535" s="4" t="str">
        <f>Table2[[#This Row],[field_fate2]]</f>
        <v>D</v>
      </c>
      <c r="AC535" s="4" t="str">
        <f>Table2[[#This Row],[field_fate3]]</f>
        <v>D</v>
      </c>
      <c r="AD535" s="4" t="str">
        <f>Table2[[#This Row],[field_fate4]]</f>
        <v>D</v>
      </c>
      <c r="AE535" s="4" t="str">
        <f>Table2[[#This Row],[field_fate5]]</f>
        <v>D</v>
      </c>
      <c r="AF535" s="4" t="str">
        <f>Table2[[#This Row],[field_fate5]]</f>
        <v>D</v>
      </c>
      <c r="AG535" s="4" t="str">
        <f>Table2[[#This Row],[field_fate5]]</f>
        <v>D</v>
      </c>
      <c r="AH535" s="4" t="str">
        <f>Table2[[#This Row],[field_fate2]]</f>
        <v>D</v>
      </c>
      <c r="AI535" s="4" t="str">
        <f>Table2[[#This Row],[field_fate8]]</f>
        <v>D</v>
      </c>
      <c r="AJ535" s="4" t="str">
        <f>Table2[[#This Row],[field_fate10]]</f>
        <v>D</v>
      </c>
      <c r="AK535" s="4" t="b">
        <f>Table2[[#This Row],[field_fate_feb]]=Table2[[#This Row],[field_fate10]]</f>
        <v>1</v>
      </c>
      <c r="AL535" s="43" t="s">
        <v>24</v>
      </c>
      <c r="AM535" s="43" t="b">
        <f>Table2[[#This Row],[cam_fate2]]="NA"</f>
        <v>1</v>
      </c>
      <c r="AN535" s="19" t="str">
        <f>Table2[[#This Row],[cam_fate1]]</f>
        <v>NA</v>
      </c>
      <c r="AO535" s="2" t="s">
        <v>31</v>
      </c>
      <c r="AP535" s="5" t="str">
        <f>Table2[[#This Row],[final_fate1]]</f>
        <v>D</v>
      </c>
      <c r="AQ535" s="6">
        <v>8</v>
      </c>
      <c r="AR535" s="7">
        <v>8</v>
      </c>
      <c r="AS535" s="7">
        <f>Table2[[#This Row],[final_obs_date]]-Table2[[#This Row],[init_date]]</f>
        <v>8</v>
      </c>
      <c r="AT535" s="7">
        <f>(Table2[[#This Row],[final_obs_date2]]-Table2[[#This Row],[estHD]])+16</f>
        <v>5</v>
      </c>
      <c r="AU535" s="38">
        <v>3</v>
      </c>
      <c r="AV535" s="33">
        <v>3</v>
      </c>
      <c r="AW535" s="33">
        <f>Table2[[#This Row],[final_obs_date2]]-Table2[[#This Row],[pen_obs_date]]</f>
        <v>61</v>
      </c>
      <c r="AX535" s="67">
        <v>61</v>
      </c>
      <c r="AY535" s="6">
        <f>Table2[[#This Row],[final_obs_date]]</f>
        <v>61</v>
      </c>
      <c r="AZ535" s="6"/>
      <c r="BA535" s="91" t="s">
        <v>47</v>
      </c>
      <c r="BB535" s="6" t="b">
        <f>Table2[[#This Row],[final_obs_date]]&lt;(Table2[[#This Row],[estHD]]-2)</f>
        <v>1</v>
      </c>
      <c r="BC535" s="24">
        <f>IF(Table2[[#This Row],[field_fate]]="H",1,0)</f>
        <v>0</v>
      </c>
      <c r="BD535" s="16">
        <f>IF(Table2[[#This Row],[cam_fate2]]="H",1,0)</f>
        <v>0</v>
      </c>
      <c r="BE535" s="6" t="b">
        <f>NOT(Table2[[#This Row],[HF_C]]=Table2[[#This Row],[HF]])</f>
        <v>0</v>
      </c>
      <c r="BF535" s="6" t="b">
        <f>NOT(Table2[[#This Row],[cam_fate2]]=Table2[[#This Row],[field_fate3]])</f>
        <v>1</v>
      </c>
      <c r="BG535" s="6" t="b">
        <f>OR(Table2[[#This Row],[field_fate3]]="U",Table2[[#This Row],[field_fate3]]="U-H")</f>
        <v>0</v>
      </c>
      <c r="BH535" s="8">
        <v>58</v>
      </c>
      <c r="BI535" s="8">
        <v>58</v>
      </c>
      <c r="BJ535" s="14">
        <f>IF(ISTEXT(Table2[[#This Row],[j.cam]]),Table2[[#This Row],[j]],Table2[[#This Row],[j.cam]])</f>
        <v>58</v>
      </c>
      <c r="BK535" s="9">
        <v>61</v>
      </c>
      <c r="BL535" s="15">
        <f>IF(ISTEXT(Table2[[#This Row],[k.cam]]), Table2[[#This Row],[k]], Table2[[#This Row],[k.cam]])</f>
        <v>61</v>
      </c>
      <c r="BM535" s="4" t="s">
        <v>24</v>
      </c>
      <c r="BN535" s="8" t="s">
        <v>24</v>
      </c>
      <c r="BO535" s="4">
        <v>2</v>
      </c>
      <c r="BP535" s="4">
        <f>Table2[[#This Row],[final_obs_date]]-Table2[[#This Row],[i]]</f>
        <v>3</v>
      </c>
      <c r="BQ535" s="4" t="b">
        <f>Table2[[#This Row],[final_obs_date2]]&gt;Table2[[#This Row],[estHD]]+3</f>
        <v>0</v>
      </c>
      <c r="BR535" s="4" t="s">
        <v>33</v>
      </c>
      <c r="BS535" s="4" t="s">
        <v>365</v>
      </c>
      <c r="BT535" s="79" t="s">
        <v>1335</v>
      </c>
      <c r="BU535" s="26" t="s">
        <v>369</v>
      </c>
      <c r="BV535" s="79" t="s">
        <v>1430</v>
      </c>
      <c r="BW535" s="49"/>
      <c r="BX535" s="47"/>
      <c r="BY535" s="36" t="s">
        <v>24</v>
      </c>
    </row>
    <row r="536" spans="1:77" hidden="1" x14ac:dyDescent="0.35">
      <c r="A536" s="64">
        <v>30056</v>
      </c>
      <c r="B536" s="2" t="s">
        <v>35</v>
      </c>
      <c r="C536" s="46">
        <v>2021</v>
      </c>
      <c r="D536" s="3">
        <v>29.771080000000001</v>
      </c>
      <c r="E536" s="3">
        <v>-93.178359999999998</v>
      </c>
      <c r="F536" s="3">
        <v>0</v>
      </c>
      <c r="G536" s="3">
        <v>0</v>
      </c>
      <c r="H536" s="3" t="s">
        <v>26</v>
      </c>
      <c r="I536" s="43"/>
      <c r="J536" s="55">
        <v>74</v>
      </c>
      <c r="K536" s="4">
        <v>74</v>
      </c>
      <c r="L536" s="22">
        <f>IF(ISNUMBER(Table2[[#This Row],[estHD]]),ABS(Table2[[#This Row],[HD]]-Table2[[#This Row],[estHD]]),"NA")</f>
        <v>0</v>
      </c>
      <c r="M536" s="4" t="b">
        <f>Table2[[#This Row],[HD]]=Table2[[#This Row],[estHD]]</f>
        <v>1</v>
      </c>
      <c r="N536" s="4" t="str">
        <f>IF(ISNUMBER([1]!Table2[[#This Row],[hatch_date]]),[1]!Table2[[#This Row],[hatch_date]]-19,"NA")</f>
        <v>NA</v>
      </c>
      <c r="O536" s="31">
        <v>55</v>
      </c>
      <c r="P536" s="23" t="e">
        <f>IF(ISNUMBER(Table2[[#This Row],[nest_age1]]),ABS(Table2[[#This Row],[nest_age1]]-Table2[[#This Row],[nest_age_feb]]),"NA")</f>
        <v>#VALUE!</v>
      </c>
      <c r="Q536" s="24">
        <f>IF(ISNUMBER(Table2[[#This Row],[final_obs_int2]]),ABS(Table2[[#This Row],[final_obs_int2]]-Table2[[#This Row],[final_obs_int_feb]]), "NA")</f>
        <v>0</v>
      </c>
      <c r="R536" s="24"/>
      <c r="S536" s="57" t="s">
        <v>88</v>
      </c>
      <c r="T536" s="57" t="str">
        <f>Table2[[#This Row],[camera_old]]</f>
        <v>N</v>
      </c>
      <c r="U536" s="24"/>
      <c r="V536" s="16" t="s">
        <v>24</v>
      </c>
      <c r="W536" s="16" t="s">
        <v>24</v>
      </c>
      <c r="X536" s="145">
        <v>3</v>
      </c>
      <c r="Y536" s="147" t="s">
        <v>31</v>
      </c>
      <c r="Z536" s="146" t="s">
        <v>31</v>
      </c>
      <c r="AA536" s="4" t="str">
        <f>Table2[[#This Row],[field_fate]]</f>
        <v>D</v>
      </c>
      <c r="AB536" s="4" t="str">
        <f>Table2[[#This Row],[field_fate2]]</f>
        <v>D</v>
      </c>
      <c r="AC536" s="4" t="str">
        <f>Table2[[#This Row],[field_fate3]]</f>
        <v>D</v>
      </c>
      <c r="AD536" s="4" t="str">
        <f>Table2[[#This Row],[field_fate4]]</f>
        <v>D</v>
      </c>
      <c r="AE536" s="4" t="str">
        <f>Table2[[#This Row],[field_fate5]]</f>
        <v>D</v>
      </c>
      <c r="AF536" s="4" t="str">
        <f>Table2[[#This Row],[field_fate5]]</f>
        <v>D</v>
      </c>
      <c r="AG536" s="4" t="str">
        <f>Table2[[#This Row],[field_fate5]]</f>
        <v>D</v>
      </c>
      <c r="AH536" s="4" t="str">
        <f>Table2[[#This Row],[field_fate2]]</f>
        <v>D</v>
      </c>
      <c r="AI536" s="4" t="str">
        <f>Table2[[#This Row],[field_fate8]]</f>
        <v>D</v>
      </c>
      <c r="AJ536" s="4" t="str">
        <f>Table2[[#This Row],[field_fate10]]</f>
        <v>D</v>
      </c>
      <c r="AK536" s="4" t="b">
        <f>Table2[[#This Row],[field_fate_feb]]=Table2[[#This Row],[field_fate10]]</f>
        <v>1</v>
      </c>
      <c r="AL536" s="43" t="s">
        <v>24</v>
      </c>
      <c r="AM536" s="43" t="b">
        <f>Table2[[#This Row],[cam_fate2]]="NA"</f>
        <v>1</v>
      </c>
      <c r="AN536" s="19" t="str">
        <f>Table2[[#This Row],[cam_fate1]]</f>
        <v>NA</v>
      </c>
      <c r="AO536" s="2" t="s">
        <v>31</v>
      </c>
      <c r="AP536" s="5" t="str">
        <f>Table2[[#This Row],[final_fate1]]</f>
        <v>D</v>
      </c>
      <c r="AQ536" s="6">
        <v>6</v>
      </c>
      <c r="AR536" s="7">
        <v>6</v>
      </c>
      <c r="AS536" s="7">
        <f>Table2[[#This Row],[final_obs_date]]-Table2[[#This Row],[init_date]]</f>
        <v>6</v>
      </c>
      <c r="AT536" s="7">
        <f>(Table2[[#This Row],[final_obs_date2]]-Table2[[#This Row],[estHD]])+16</f>
        <v>3</v>
      </c>
      <c r="AU536" s="38">
        <v>3</v>
      </c>
      <c r="AV536" s="33">
        <v>3</v>
      </c>
      <c r="AW536" s="33">
        <f>Table2[[#This Row],[final_obs_date2]]-Table2[[#This Row],[pen_obs_date]]</f>
        <v>61</v>
      </c>
      <c r="AX536" s="67">
        <v>61</v>
      </c>
      <c r="AY536" s="6">
        <f>Table2[[#This Row],[final_obs_date]]</f>
        <v>61</v>
      </c>
      <c r="AZ536" s="6"/>
      <c r="BA536" s="91" t="s">
        <v>47</v>
      </c>
      <c r="BB536" s="6" t="b">
        <f>Table2[[#This Row],[final_obs_date]]&lt;(Table2[[#This Row],[estHD]]-2)</f>
        <v>1</v>
      </c>
      <c r="BC536" s="24">
        <f>IF(Table2[[#This Row],[field_fate]]="H",1,0)</f>
        <v>0</v>
      </c>
      <c r="BD536" s="16">
        <f>IF(Table2[[#This Row],[cam_fate2]]="H",1,0)</f>
        <v>0</v>
      </c>
      <c r="BE536" s="6" t="b">
        <f>NOT(Table2[[#This Row],[HF_C]]=Table2[[#This Row],[HF]])</f>
        <v>0</v>
      </c>
      <c r="BF536" s="6" t="b">
        <f>NOT(Table2[[#This Row],[cam_fate2]]=Table2[[#This Row],[field_fate3]])</f>
        <v>1</v>
      </c>
      <c r="BG536" s="6" t="b">
        <f>OR(Table2[[#This Row],[field_fate3]]="U",Table2[[#This Row],[field_fate3]]="U-H")</f>
        <v>0</v>
      </c>
      <c r="BH536" s="8">
        <v>58</v>
      </c>
      <c r="BI536" s="8">
        <v>58</v>
      </c>
      <c r="BJ536" s="14">
        <f>IF(ISTEXT(Table2[[#This Row],[j.cam]]),Table2[[#This Row],[j]],Table2[[#This Row],[j.cam]])</f>
        <v>58</v>
      </c>
      <c r="BK536" s="9">
        <v>61</v>
      </c>
      <c r="BL536" s="15">
        <f>IF(ISTEXT(Table2[[#This Row],[k.cam]]), Table2[[#This Row],[k]], Table2[[#This Row],[k.cam]])</f>
        <v>61</v>
      </c>
      <c r="BM536" s="4" t="s">
        <v>24</v>
      </c>
      <c r="BN536" s="8" t="s">
        <v>24</v>
      </c>
      <c r="BO536" s="4">
        <v>2</v>
      </c>
      <c r="BP536" s="4">
        <f>Table2[[#This Row],[final_obs_date]]-Table2[[#This Row],[i]]</f>
        <v>3</v>
      </c>
      <c r="BQ536" s="4" t="b">
        <f>Table2[[#This Row],[final_obs_date2]]&gt;Table2[[#This Row],[estHD]]+3</f>
        <v>0</v>
      </c>
      <c r="BR536" s="4" t="s">
        <v>33</v>
      </c>
      <c r="BS536" s="4" t="s">
        <v>365</v>
      </c>
      <c r="BT536" s="79" t="s">
        <v>1335</v>
      </c>
      <c r="BU536" s="26" t="s">
        <v>369</v>
      </c>
      <c r="BV536" s="79" t="s">
        <v>1430</v>
      </c>
      <c r="BW536" s="49"/>
      <c r="BX536" s="47"/>
      <c r="BY536" s="36" t="s">
        <v>24</v>
      </c>
    </row>
    <row r="537" spans="1:77" hidden="1" x14ac:dyDescent="0.35">
      <c r="A537" s="64">
        <v>30057</v>
      </c>
      <c r="B537" s="2" t="s">
        <v>35</v>
      </c>
      <c r="C537" s="46">
        <v>2021</v>
      </c>
      <c r="D537" s="3">
        <v>29.77129</v>
      </c>
      <c r="E537" s="3">
        <v>-93.179500000000004</v>
      </c>
      <c r="F537" s="3" t="s">
        <v>24</v>
      </c>
      <c r="G537" s="3" t="s">
        <v>24</v>
      </c>
      <c r="H537" s="3" t="s">
        <v>26</v>
      </c>
      <c r="I537" s="43"/>
      <c r="J537" s="55">
        <v>62</v>
      </c>
      <c r="K537" s="4">
        <v>62</v>
      </c>
      <c r="L537" s="22">
        <f>IF(ISNUMBER(Table2[[#This Row],[estHD]]),ABS(Table2[[#This Row],[HD]]-Table2[[#This Row],[estHD]]),"NA")</f>
        <v>0</v>
      </c>
      <c r="M537" s="4" t="b">
        <f>Table2[[#This Row],[HD]]=Table2[[#This Row],[estHD]]</f>
        <v>1</v>
      </c>
      <c r="N537" s="4" t="str">
        <f>IF(ISNUMBER([1]!Table2[[#This Row],[hatch_date]]),[1]!Table2[[#This Row],[hatch_date]]-19,"NA")</f>
        <v>NA</v>
      </c>
      <c r="O537" s="31">
        <v>43</v>
      </c>
      <c r="P537" s="23" t="e">
        <f>IF(ISNUMBER(Table2[[#This Row],[nest_age1]]),ABS(Table2[[#This Row],[nest_age1]]-Table2[[#This Row],[nest_age_feb]]),"NA")</f>
        <v>#VALUE!</v>
      </c>
      <c r="Q537" s="24">
        <f>IF(ISNUMBER(Table2[[#This Row],[final_obs_int2]]),ABS(Table2[[#This Row],[final_obs_int2]]-Table2[[#This Row],[final_obs_int_feb]]), "NA")</f>
        <v>0</v>
      </c>
      <c r="R537" s="24"/>
      <c r="S537" s="57" t="s">
        <v>88</v>
      </c>
      <c r="T537" s="57" t="str">
        <f>Table2[[#This Row],[camera_old]]</f>
        <v>N</v>
      </c>
      <c r="U537" s="24"/>
      <c r="V537" s="16" t="s">
        <v>24</v>
      </c>
      <c r="W537" s="16" t="s">
        <v>24</v>
      </c>
      <c r="X537" s="145">
        <v>4</v>
      </c>
      <c r="Y537" s="147" t="s">
        <v>31</v>
      </c>
      <c r="Z537" s="146" t="s">
        <v>31</v>
      </c>
      <c r="AA537" s="4" t="str">
        <f>Table2[[#This Row],[field_fate]]</f>
        <v>D</v>
      </c>
      <c r="AB537" s="4" t="str">
        <f>Table2[[#This Row],[field_fate2]]</f>
        <v>D</v>
      </c>
      <c r="AC537" s="4" t="str">
        <f>Table2[[#This Row],[field_fate3]]</f>
        <v>D</v>
      </c>
      <c r="AD537" s="4" t="str">
        <f>Table2[[#This Row],[field_fate4]]</f>
        <v>D</v>
      </c>
      <c r="AE537" s="4" t="str">
        <f>Table2[[#This Row],[field_fate5]]</f>
        <v>D</v>
      </c>
      <c r="AF537" s="4" t="str">
        <f>Table2[[#This Row],[field_fate5]]</f>
        <v>D</v>
      </c>
      <c r="AG537" s="4" t="str">
        <f>Table2[[#This Row],[field_fate5]]</f>
        <v>D</v>
      </c>
      <c r="AH537" s="4" t="str">
        <f>Table2[[#This Row],[field_fate2]]</f>
        <v>D</v>
      </c>
      <c r="AI537" s="4" t="str">
        <f>Table2[[#This Row],[field_fate8]]</f>
        <v>D</v>
      </c>
      <c r="AJ537" s="4" t="str">
        <f>Table2[[#This Row],[field_fate10]]</f>
        <v>D</v>
      </c>
      <c r="AK537" s="4" t="b">
        <f>Table2[[#This Row],[field_fate_feb]]=Table2[[#This Row],[field_fate10]]</f>
        <v>1</v>
      </c>
      <c r="AL537" s="43" t="s">
        <v>24</v>
      </c>
      <c r="AM537" s="43" t="b">
        <f>Table2[[#This Row],[cam_fate2]]="NA"</f>
        <v>1</v>
      </c>
      <c r="AN537" s="19" t="str">
        <f>Table2[[#This Row],[cam_fate1]]</f>
        <v>NA</v>
      </c>
      <c r="AO537" s="2" t="s">
        <v>31</v>
      </c>
      <c r="AP537" s="5" t="str">
        <f>Table2[[#This Row],[final_fate1]]</f>
        <v>D</v>
      </c>
      <c r="AQ537" s="6">
        <v>22</v>
      </c>
      <c r="AR537" s="7">
        <v>22</v>
      </c>
      <c r="AS537" s="7">
        <f>Table2[[#This Row],[final_obs_date]]-Table2[[#This Row],[init_date]]</f>
        <v>22</v>
      </c>
      <c r="AT537" s="7">
        <f>(Table2[[#This Row],[final_obs_date2]]-Table2[[#This Row],[estHD]])+16</f>
        <v>19</v>
      </c>
      <c r="AU537" s="38">
        <v>4</v>
      </c>
      <c r="AV537" s="33">
        <v>4</v>
      </c>
      <c r="AW537" s="33">
        <f>Table2[[#This Row],[final_obs_date2]]-Table2[[#This Row],[pen_obs_date]]</f>
        <v>65</v>
      </c>
      <c r="AX537" s="67">
        <v>65</v>
      </c>
      <c r="AY537" s="6">
        <f>Table2[[#This Row],[final_obs_date]]</f>
        <v>65</v>
      </c>
      <c r="AZ537" s="6"/>
      <c r="BA537" s="91" t="s">
        <v>47</v>
      </c>
      <c r="BB537" s="6" t="b">
        <f>Table2[[#This Row],[final_obs_date]]&lt;(Table2[[#This Row],[estHD]]-2)</f>
        <v>0</v>
      </c>
      <c r="BC537" s="24">
        <f>IF(Table2[[#This Row],[field_fate]]="H",1,0)</f>
        <v>0</v>
      </c>
      <c r="BD537" s="16">
        <f>IF(Table2[[#This Row],[cam_fate2]]="H",1,0)</f>
        <v>0</v>
      </c>
      <c r="BE537" s="6" t="b">
        <f>NOT(Table2[[#This Row],[HF_C]]=Table2[[#This Row],[HF]])</f>
        <v>0</v>
      </c>
      <c r="BF537" s="6" t="b">
        <f>NOT(Table2[[#This Row],[cam_fate2]]=Table2[[#This Row],[field_fate3]])</f>
        <v>1</v>
      </c>
      <c r="BG537" s="6" t="b">
        <f>OR(Table2[[#This Row],[field_fate3]]="U",Table2[[#This Row],[field_fate3]]="U-H")</f>
        <v>0</v>
      </c>
      <c r="BH537" s="8">
        <v>58</v>
      </c>
      <c r="BI537" s="8">
        <v>61</v>
      </c>
      <c r="BJ537" s="14">
        <f>IF(ISTEXT(Table2[[#This Row],[j.cam]]),Table2[[#This Row],[j]],Table2[[#This Row],[j.cam]])</f>
        <v>61</v>
      </c>
      <c r="BK537" s="9">
        <v>65</v>
      </c>
      <c r="BL537" s="15">
        <f>IF(ISTEXT(Table2[[#This Row],[k.cam]]), Table2[[#This Row],[k]], Table2[[#This Row],[k.cam]])</f>
        <v>65</v>
      </c>
      <c r="BM537" s="4" t="s">
        <v>24</v>
      </c>
      <c r="BN537" s="8" t="s">
        <v>24</v>
      </c>
      <c r="BO537" s="4">
        <v>3</v>
      </c>
      <c r="BP537" s="4">
        <f>Table2[[#This Row],[final_obs_date]]-Table2[[#This Row],[i]]</f>
        <v>7</v>
      </c>
      <c r="BQ537" s="4" t="b">
        <f>Table2[[#This Row],[final_obs_date2]]&gt;Table2[[#This Row],[estHD]]+3</f>
        <v>0</v>
      </c>
      <c r="BR537" s="4" t="s">
        <v>27</v>
      </c>
      <c r="BS537" s="4" t="s">
        <v>31</v>
      </c>
      <c r="BT537" s="79" t="s">
        <v>1337</v>
      </c>
      <c r="BU537" s="26" t="s">
        <v>359</v>
      </c>
      <c r="BV537" s="79" t="s">
        <v>1624</v>
      </c>
      <c r="BW537" s="49"/>
      <c r="BX537" s="47"/>
      <c r="BY537" s="36" t="s">
        <v>818</v>
      </c>
    </row>
    <row r="538" spans="1:77" hidden="1" x14ac:dyDescent="0.35">
      <c r="A538" s="64">
        <v>30058</v>
      </c>
      <c r="B538" s="2" t="s">
        <v>157</v>
      </c>
      <c r="C538" s="46">
        <v>2021</v>
      </c>
      <c r="D538" s="3">
        <v>29.765409999999999</v>
      </c>
      <c r="E538" s="3">
        <v>-93.378039999999999</v>
      </c>
      <c r="F538" s="3" t="s">
        <v>24</v>
      </c>
      <c r="G538" s="3" t="s">
        <v>24</v>
      </c>
      <c r="H538" s="3" t="s">
        <v>26</v>
      </c>
      <c r="I538" s="43"/>
      <c r="J538" s="55">
        <v>63</v>
      </c>
      <c r="K538" s="4">
        <v>68</v>
      </c>
      <c r="L538" s="22">
        <f>IF(ISNUMBER(Table2[[#This Row],[estHD]]),ABS(Table2[[#This Row],[HD]]-Table2[[#This Row],[estHD]]),"NA")</f>
        <v>5</v>
      </c>
      <c r="M538" s="4" t="b">
        <f>Table2[[#This Row],[HD]]=Table2[[#This Row],[estHD]]</f>
        <v>0</v>
      </c>
      <c r="N538" s="4" t="str">
        <f>IF(ISNUMBER([1]!Table2[[#This Row],[hatch_date]]),[1]!Table2[[#This Row],[hatch_date]]-19,"NA")</f>
        <v>NA</v>
      </c>
      <c r="O538" s="31">
        <v>49</v>
      </c>
      <c r="P538" s="23">
        <f>IF(ISNUMBER(Table2[[#This Row],[nest_age1]]),ABS(Table2[[#This Row],[nest_age1]]-Table2[[#This Row],[nest_age_feb]]),"NA")</f>
        <v>5</v>
      </c>
      <c r="Q538" s="24">
        <f>IF(ISNUMBER(Table2[[#This Row],[final_obs_int2]]),ABS(Table2[[#This Row],[final_obs_int2]]-Table2[[#This Row],[final_obs_int_feb]]), "NA")</f>
        <v>0</v>
      </c>
      <c r="R538" s="24"/>
      <c r="S538" s="57" t="s">
        <v>88</v>
      </c>
      <c r="T538" s="57" t="str">
        <f>Table2[[#This Row],[camera_old]]</f>
        <v>N</v>
      </c>
      <c r="U538" s="24"/>
      <c r="V538" s="16" t="s">
        <v>24</v>
      </c>
      <c r="W538" s="16">
        <v>24</v>
      </c>
      <c r="X538" s="145">
        <v>9</v>
      </c>
      <c r="Y538" s="147" t="s">
        <v>37</v>
      </c>
      <c r="Z538" s="146" t="s">
        <v>37</v>
      </c>
      <c r="AA538" s="4" t="str">
        <f>Table2[[#This Row],[field_fate]]</f>
        <v>H</v>
      </c>
      <c r="AB538" s="4" t="str">
        <f>Table2[[#This Row],[field_fate2]]</f>
        <v>H</v>
      </c>
      <c r="AC538" s="4" t="str">
        <f>Table2[[#This Row],[field_fate3]]</f>
        <v>H</v>
      </c>
      <c r="AD538" s="4" t="str">
        <f>Table2[[#This Row],[field_fate4]]</f>
        <v>H</v>
      </c>
      <c r="AE538" s="4" t="str">
        <f>Table2[[#This Row],[field_fate5]]</f>
        <v>H</v>
      </c>
      <c r="AF538" s="4" t="str">
        <f>Table2[[#This Row],[field_fate5]]</f>
        <v>H</v>
      </c>
      <c r="AG538" s="4" t="str">
        <f>Table2[[#This Row],[field_fate5]]</f>
        <v>H</v>
      </c>
      <c r="AH538" s="4" t="str">
        <f>Table2[[#This Row],[field_fate2]]</f>
        <v>H</v>
      </c>
      <c r="AI538" s="4" t="str">
        <f>Table2[[#This Row],[field_fate8]]</f>
        <v>H</v>
      </c>
      <c r="AJ538" s="4" t="str">
        <f>Table2[[#This Row],[field_fate10]]</f>
        <v>H</v>
      </c>
      <c r="AK538" s="4" t="b">
        <f>Table2[[#This Row],[field_fate_feb]]=Table2[[#This Row],[field_fate10]]</f>
        <v>1</v>
      </c>
      <c r="AL538" s="43" t="s">
        <v>24</v>
      </c>
      <c r="AM538" s="43" t="b">
        <f>Table2[[#This Row],[cam_fate2]]="NA"</f>
        <v>1</v>
      </c>
      <c r="AN538" s="19" t="str">
        <f>Table2[[#This Row],[cam_fate1]]</f>
        <v>NA</v>
      </c>
      <c r="AO538" s="2" t="s">
        <v>37</v>
      </c>
      <c r="AP538" s="5" t="str">
        <f>Table2[[#This Row],[final_fate1]]</f>
        <v>H</v>
      </c>
      <c r="AQ538" s="6">
        <v>19</v>
      </c>
      <c r="AR538" s="7">
        <v>24</v>
      </c>
      <c r="AS538" s="7">
        <f>Table2[[#This Row],[final_obs_date]]-Table2[[#This Row],[init_date]]</f>
        <v>19</v>
      </c>
      <c r="AT538" s="7">
        <f>(Table2[[#This Row],[final_obs_date2]]-Table2[[#This Row],[estHD]])+16</f>
        <v>21</v>
      </c>
      <c r="AU538" s="38">
        <v>9</v>
      </c>
      <c r="AV538" s="33">
        <v>9</v>
      </c>
      <c r="AW538" s="33">
        <f>Table2[[#This Row],[final_obs_date2]]-Table2[[#This Row],[pen_obs_date]]</f>
        <v>68</v>
      </c>
      <c r="AX538" s="67">
        <v>68</v>
      </c>
      <c r="AY538" s="6">
        <f>Table2[[#This Row],[final_obs_date]]</f>
        <v>68</v>
      </c>
      <c r="AZ538" s="6"/>
      <c r="BA538" s="91" t="s">
        <v>47</v>
      </c>
      <c r="BB538" s="6" t="b">
        <f>Table2[[#This Row],[final_obs_date]]&lt;(Table2[[#This Row],[estHD]]-2)</f>
        <v>0</v>
      </c>
      <c r="BC538" s="24">
        <f>IF(Table2[[#This Row],[field_fate]]="H",1,0)</f>
        <v>1</v>
      </c>
      <c r="BD538" s="16">
        <f>IF(Table2[[#This Row],[cam_fate2]]="H",1,0)</f>
        <v>0</v>
      </c>
      <c r="BE538" s="6" t="b">
        <f>NOT(Table2[[#This Row],[HF_C]]=Table2[[#This Row],[HF]])</f>
        <v>1</v>
      </c>
      <c r="BF538" s="6" t="b">
        <f>NOT(Table2[[#This Row],[cam_fate2]]=Table2[[#This Row],[field_fate3]])</f>
        <v>1</v>
      </c>
      <c r="BG538" s="6" t="b">
        <f>OR(Table2[[#This Row],[field_fate3]]="U",Table2[[#This Row],[field_fate3]]="U-H")</f>
        <v>0</v>
      </c>
      <c r="BH538" s="8">
        <v>59</v>
      </c>
      <c r="BI538" s="8">
        <v>68</v>
      </c>
      <c r="BJ538" s="14">
        <f>IF(ISTEXT(Table2[[#This Row],[j.cam]]),Table2[[#This Row],[j]],Table2[[#This Row],[j.cam]])</f>
        <v>68</v>
      </c>
      <c r="BK538" s="9">
        <v>68</v>
      </c>
      <c r="BL538" s="15">
        <f>IF(ISTEXT(Table2[[#This Row],[k.cam]]), Table2[[#This Row],[k]], Table2[[#This Row],[k.cam]])</f>
        <v>68</v>
      </c>
      <c r="BM538" s="4" t="s">
        <v>24</v>
      </c>
      <c r="BN538" s="8" t="s">
        <v>24</v>
      </c>
      <c r="BO538" s="4">
        <v>2</v>
      </c>
      <c r="BP538" s="4">
        <f>Table2[[#This Row],[final_obs_date]]-Table2[[#This Row],[i]]</f>
        <v>9</v>
      </c>
      <c r="BQ538" s="4" t="b">
        <f>Table2[[#This Row],[final_obs_date2]]&gt;Table2[[#This Row],[estHD]]+3</f>
        <v>1</v>
      </c>
      <c r="BR538" s="4" t="s">
        <v>33</v>
      </c>
      <c r="BS538" s="4" t="s">
        <v>165</v>
      </c>
      <c r="BT538" s="79" t="s">
        <v>1338</v>
      </c>
      <c r="BU538" s="26" t="s">
        <v>373</v>
      </c>
      <c r="BV538" s="79" t="s">
        <v>1457</v>
      </c>
      <c r="BW538" s="49"/>
      <c r="BX538" s="47"/>
      <c r="BY538" s="36" t="s">
        <v>24</v>
      </c>
    </row>
    <row r="539" spans="1:77" hidden="1" x14ac:dyDescent="0.35">
      <c r="A539" s="64">
        <v>30059</v>
      </c>
      <c r="B539" s="2" t="s">
        <v>157</v>
      </c>
      <c r="C539" s="46">
        <v>2021</v>
      </c>
      <c r="D539" s="3">
        <v>29.765260000000001</v>
      </c>
      <c r="E539" s="3">
        <v>-93.375659999999996</v>
      </c>
      <c r="F539" s="3">
        <v>0</v>
      </c>
      <c r="G539" s="3" t="s">
        <v>24</v>
      </c>
      <c r="H539" s="3" t="s">
        <v>26</v>
      </c>
      <c r="I539" s="43"/>
      <c r="J539" s="55">
        <v>76</v>
      </c>
      <c r="K539" s="4">
        <v>76</v>
      </c>
      <c r="L539" s="22">
        <f>IF(ISNUMBER(Table2[[#This Row],[estHD]]),ABS(Table2[[#This Row],[HD]]-Table2[[#This Row],[estHD]]),"NA")</f>
        <v>0</v>
      </c>
      <c r="M539" s="4" t="b">
        <f>Table2[[#This Row],[HD]]=Table2[[#This Row],[estHD]]</f>
        <v>1</v>
      </c>
      <c r="N539" s="4" t="str">
        <f>IF(ISNUMBER([1]!Table2[[#This Row],[hatch_date]]),[1]!Table2[[#This Row],[hatch_date]]-19,"NA")</f>
        <v>NA</v>
      </c>
      <c r="O539" s="31">
        <v>57</v>
      </c>
      <c r="P539" s="23">
        <f>IF(ISNUMBER(Table2[[#This Row],[nest_age1]]),ABS(Table2[[#This Row],[nest_age1]]-Table2[[#This Row],[nest_age_feb]]),"NA")</f>
        <v>0</v>
      </c>
      <c r="Q539" s="24">
        <f>IF(ISNUMBER(Table2[[#This Row],[final_obs_int2]]),ABS(Table2[[#This Row],[final_obs_int2]]-Table2[[#This Row],[final_obs_int_feb]]), "NA")</f>
        <v>0</v>
      </c>
      <c r="R539" s="24"/>
      <c r="S539" s="57" t="s">
        <v>88</v>
      </c>
      <c r="T539" s="57" t="str">
        <f>Table2[[#This Row],[camera_old]]</f>
        <v>N</v>
      </c>
      <c r="U539" s="24"/>
      <c r="V539" s="16" t="s">
        <v>24</v>
      </c>
      <c r="W539" s="16">
        <v>11</v>
      </c>
      <c r="X539" s="145">
        <v>9</v>
      </c>
      <c r="Y539" s="147" t="s">
        <v>48</v>
      </c>
      <c r="Z539" s="146" t="s">
        <v>48</v>
      </c>
      <c r="AA539" s="4" t="str">
        <f>Table2[[#This Row],[field_fate]]</f>
        <v>F</v>
      </c>
      <c r="AB539" s="4" t="str">
        <f>Table2[[#This Row],[field_fate2]]</f>
        <v>F</v>
      </c>
      <c r="AC539" s="4" t="str">
        <f>Table2[[#This Row],[field_fate3]]</f>
        <v>F</v>
      </c>
      <c r="AD539" s="4" t="str">
        <f>Table2[[#This Row],[field_fate4]]</f>
        <v>F</v>
      </c>
      <c r="AE539" s="4" t="str">
        <f>Table2[[#This Row],[field_fate5]]</f>
        <v>F</v>
      </c>
      <c r="AF539" s="4" t="str">
        <f>Table2[[#This Row],[field_fate5]]</f>
        <v>F</v>
      </c>
      <c r="AG539" s="4" t="str">
        <f>Table2[[#This Row],[field_fate5]]</f>
        <v>F</v>
      </c>
      <c r="AH539" s="4" t="str">
        <f>Table2[[#This Row],[field_fate2]]</f>
        <v>F</v>
      </c>
      <c r="AI539" s="4" t="str">
        <f>Table2[[#This Row],[field_fate8]]</f>
        <v>F</v>
      </c>
      <c r="AJ539" s="4" t="str">
        <f>Table2[[#This Row],[field_fate10]]</f>
        <v>F</v>
      </c>
      <c r="AK539" s="4" t="b">
        <f>Table2[[#This Row],[field_fate_feb]]=Table2[[#This Row],[field_fate10]]</f>
        <v>1</v>
      </c>
      <c r="AL539" s="43" t="s">
        <v>24</v>
      </c>
      <c r="AM539" s="43" t="b">
        <f>Table2[[#This Row],[cam_fate2]]="NA"</f>
        <v>1</v>
      </c>
      <c r="AN539" s="19" t="str">
        <f>Table2[[#This Row],[cam_fate1]]</f>
        <v>NA</v>
      </c>
      <c r="AO539" s="2" t="s">
        <v>48</v>
      </c>
      <c r="AP539" s="5" t="str">
        <f>Table2[[#This Row],[final_fate1]]</f>
        <v>F</v>
      </c>
      <c r="AQ539" s="6">
        <v>11</v>
      </c>
      <c r="AR539" s="7">
        <v>11</v>
      </c>
      <c r="AS539" s="7">
        <f>Table2[[#This Row],[final_obs_date]]-Table2[[#This Row],[init_date]]</f>
        <v>11</v>
      </c>
      <c r="AT539" s="7">
        <f>(Table2[[#This Row],[final_obs_date2]]-Table2[[#This Row],[estHD]])+16</f>
        <v>8</v>
      </c>
      <c r="AU539" s="38">
        <v>9</v>
      </c>
      <c r="AV539" s="33">
        <v>9</v>
      </c>
      <c r="AW539" s="33">
        <f>Table2[[#This Row],[final_obs_date2]]-Table2[[#This Row],[pen_obs_date]]</f>
        <v>68</v>
      </c>
      <c r="AX539" s="67">
        <v>68</v>
      </c>
      <c r="AY539" s="6">
        <f>Table2[[#This Row],[final_obs_date]]</f>
        <v>68</v>
      </c>
      <c r="AZ539" s="6"/>
      <c r="BA539" s="91" t="s">
        <v>47</v>
      </c>
      <c r="BB539" s="6" t="b">
        <f>Table2[[#This Row],[final_obs_date]]&lt;(Table2[[#This Row],[estHD]]-2)</f>
        <v>1</v>
      </c>
      <c r="BC539" s="24">
        <f>IF(Table2[[#This Row],[field_fate]]="H",1,0)</f>
        <v>0</v>
      </c>
      <c r="BD539" s="16">
        <f>IF(Table2[[#This Row],[cam_fate2]]="H",1,0)</f>
        <v>0</v>
      </c>
      <c r="BE539" s="6" t="b">
        <f>NOT(Table2[[#This Row],[HF_C]]=Table2[[#This Row],[HF]])</f>
        <v>0</v>
      </c>
      <c r="BF539" s="6" t="b">
        <f>NOT(Table2[[#This Row],[cam_fate2]]=Table2[[#This Row],[field_fate3]])</f>
        <v>1</v>
      </c>
      <c r="BG539" s="6" t="b">
        <f>OR(Table2[[#This Row],[field_fate3]]="U",Table2[[#This Row],[field_fate3]]="U-H")</f>
        <v>0</v>
      </c>
      <c r="BH539" s="8">
        <v>59</v>
      </c>
      <c r="BI539" s="8">
        <v>59</v>
      </c>
      <c r="BJ539" s="14">
        <f>IF(ISTEXT(Table2[[#This Row],[j.cam]]),Table2[[#This Row],[j]],Table2[[#This Row],[j.cam]])</f>
        <v>59</v>
      </c>
      <c r="BK539" s="9">
        <v>68</v>
      </c>
      <c r="BL539" s="15">
        <f>IF(ISTEXT(Table2[[#This Row],[k.cam]]), Table2[[#This Row],[k]], Table2[[#This Row],[k.cam]])</f>
        <v>68</v>
      </c>
      <c r="BM539" s="4" t="s">
        <v>24</v>
      </c>
      <c r="BN539" s="8" t="s">
        <v>24</v>
      </c>
      <c r="BO539" s="4">
        <v>2</v>
      </c>
      <c r="BP539" s="4">
        <f>Table2[[#This Row],[final_obs_date]]-Table2[[#This Row],[i]]</f>
        <v>9</v>
      </c>
      <c r="BQ539" s="4" t="b">
        <f>Table2[[#This Row],[final_obs_date2]]&gt;Table2[[#This Row],[estHD]]+3</f>
        <v>0</v>
      </c>
      <c r="BR539" s="4" t="s">
        <v>33</v>
      </c>
      <c r="BS539" s="4" t="s">
        <v>48</v>
      </c>
      <c r="BT539" s="79" t="s">
        <v>1338</v>
      </c>
      <c r="BU539" s="26" t="s">
        <v>374</v>
      </c>
      <c r="BV539" s="79" t="s">
        <v>1457</v>
      </c>
      <c r="BW539" s="49"/>
      <c r="BX539" s="47"/>
      <c r="BY539" s="36" t="s">
        <v>819</v>
      </c>
    </row>
    <row r="540" spans="1:77" hidden="1" x14ac:dyDescent="0.35">
      <c r="A540" s="64">
        <v>30061</v>
      </c>
      <c r="B540" s="2" t="s">
        <v>157</v>
      </c>
      <c r="C540" s="46">
        <v>2021</v>
      </c>
      <c r="D540" s="3">
        <v>29.765080000000001</v>
      </c>
      <c r="E540" s="3">
        <v>-93.374269999999996</v>
      </c>
      <c r="F540" s="3">
        <v>0</v>
      </c>
      <c r="G540" s="3">
        <v>0</v>
      </c>
      <c r="H540" s="3" t="s">
        <v>26</v>
      </c>
      <c r="I540" s="43"/>
      <c r="J540" s="55">
        <v>76</v>
      </c>
      <c r="K540" s="4">
        <v>76</v>
      </c>
      <c r="L540" s="22">
        <f>IF(ISNUMBER(Table2[[#This Row],[estHD]]),ABS(Table2[[#This Row],[HD]]-Table2[[#This Row],[estHD]]),"NA")</f>
        <v>0</v>
      </c>
      <c r="M540" s="4" t="b">
        <f>Table2[[#This Row],[HD]]=Table2[[#This Row],[estHD]]</f>
        <v>1</v>
      </c>
      <c r="N540" s="4" t="str">
        <f>IF(ISNUMBER([1]!Table2[[#This Row],[hatch_date]]),[1]!Table2[[#This Row],[hatch_date]]-19,"NA")</f>
        <v>NA</v>
      </c>
      <c r="O540" s="31">
        <v>57</v>
      </c>
      <c r="P540" s="23">
        <f>IF(ISNUMBER(Table2[[#This Row],[nest_age1]]),ABS(Table2[[#This Row],[nest_age1]]-Table2[[#This Row],[nest_age_feb]]),"NA")</f>
        <v>0</v>
      </c>
      <c r="Q540" s="24">
        <f>IF(ISNUMBER(Table2[[#This Row],[final_obs_int2]]),ABS(Table2[[#This Row],[final_obs_int2]]-Table2[[#This Row],[final_obs_int_feb]]), "NA")</f>
        <v>0</v>
      </c>
      <c r="R540" s="24"/>
      <c r="S540" s="57" t="s">
        <v>88</v>
      </c>
      <c r="T540" s="57" t="str">
        <f>Table2[[#This Row],[camera_old]]</f>
        <v>N</v>
      </c>
      <c r="U540" s="24"/>
      <c r="V540" s="16" t="s">
        <v>24</v>
      </c>
      <c r="W540" s="16">
        <v>16</v>
      </c>
      <c r="X540" s="145">
        <v>5</v>
      </c>
      <c r="Y540" s="147" t="s">
        <v>149</v>
      </c>
      <c r="Z540" s="146" t="s">
        <v>149</v>
      </c>
      <c r="AA540" s="4" t="str">
        <f>Table2[[#This Row],[field_fate]]</f>
        <v>W</v>
      </c>
      <c r="AB540" s="4" t="str">
        <f>Table2[[#This Row],[field_fate2]]</f>
        <v>W</v>
      </c>
      <c r="AC540" s="4" t="str">
        <f>Table2[[#This Row],[field_fate3]]</f>
        <v>W</v>
      </c>
      <c r="AD540" s="4" t="str">
        <f>Table2[[#This Row],[field_fate4]]</f>
        <v>W</v>
      </c>
      <c r="AE540" s="4" t="str">
        <f>Table2[[#This Row],[field_fate5]]</f>
        <v>W</v>
      </c>
      <c r="AF540" s="4" t="str">
        <f>Table2[[#This Row],[field_fate5]]</f>
        <v>W</v>
      </c>
      <c r="AG540" s="4" t="str">
        <f>Table2[[#This Row],[field_fate5]]</f>
        <v>W</v>
      </c>
      <c r="AH540" s="4" t="str">
        <f>Table2[[#This Row],[field_fate2]]</f>
        <v>W</v>
      </c>
      <c r="AI540" s="4" t="str">
        <f>Table2[[#This Row],[field_fate8]]</f>
        <v>W</v>
      </c>
      <c r="AJ540" s="4" t="str">
        <f>Table2[[#This Row],[field_fate10]]</f>
        <v>W</v>
      </c>
      <c r="AK540" s="4" t="b">
        <f>Table2[[#This Row],[field_fate_feb]]=Table2[[#This Row],[field_fate10]]</f>
        <v>1</v>
      </c>
      <c r="AL540" s="43" t="s">
        <v>24</v>
      </c>
      <c r="AM540" s="43" t="b">
        <f>Table2[[#This Row],[cam_fate2]]="NA"</f>
        <v>1</v>
      </c>
      <c r="AN540" s="19" t="str">
        <f>Table2[[#This Row],[cam_fate1]]</f>
        <v>NA</v>
      </c>
      <c r="AO540" s="2" t="s">
        <v>149</v>
      </c>
      <c r="AP540" s="5" t="str">
        <f>Table2[[#This Row],[final_fate1]]</f>
        <v>W</v>
      </c>
      <c r="AQ540" s="6">
        <v>16</v>
      </c>
      <c r="AR540" s="7">
        <v>16</v>
      </c>
      <c r="AS540" s="7">
        <f>Table2[[#This Row],[final_obs_date]]-Table2[[#This Row],[init_date]]</f>
        <v>16</v>
      </c>
      <c r="AT540" s="7">
        <f>(Table2[[#This Row],[final_obs_date2]]-Table2[[#This Row],[estHD]])+16</f>
        <v>13</v>
      </c>
      <c r="AU540" s="38">
        <v>5</v>
      </c>
      <c r="AV540" s="33">
        <v>5</v>
      </c>
      <c r="AW540" s="33">
        <f>Table2[[#This Row],[final_obs_date2]]-Table2[[#This Row],[pen_obs_date]]</f>
        <v>73</v>
      </c>
      <c r="AX540" s="67">
        <v>73</v>
      </c>
      <c r="AY540" s="6">
        <f>Table2[[#This Row],[final_obs_date]]</f>
        <v>73</v>
      </c>
      <c r="AZ540" s="6"/>
      <c r="BA540" s="91" t="s">
        <v>47</v>
      </c>
      <c r="BB540" s="6" t="b">
        <f>Table2[[#This Row],[final_obs_date]]&lt;(Table2[[#This Row],[estHD]]-2)</f>
        <v>1</v>
      </c>
      <c r="BC540" s="24">
        <f>IF(Table2[[#This Row],[field_fate]]="H",1,0)</f>
        <v>0</v>
      </c>
      <c r="BD540" s="16">
        <f>IF(Table2[[#This Row],[cam_fate2]]="H",1,0)</f>
        <v>0</v>
      </c>
      <c r="BE540" s="6" t="b">
        <f>NOT(Table2[[#This Row],[HF_C]]=Table2[[#This Row],[HF]])</f>
        <v>0</v>
      </c>
      <c r="BF540" s="6" t="b">
        <f>NOT(Table2[[#This Row],[cam_fate2]]=Table2[[#This Row],[field_fate3]])</f>
        <v>1</v>
      </c>
      <c r="BG540" s="6" t="b">
        <f>OR(Table2[[#This Row],[field_fate3]]="U",Table2[[#This Row],[field_fate3]]="U-H")</f>
        <v>0</v>
      </c>
      <c r="BH540" s="8">
        <v>68</v>
      </c>
      <c r="BI540" s="8">
        <v>68</v>
      </c>
      <c r="BJ540" s="14">
        <f>IF(ISTEXT(Table2[[#This Row],[j.cam]]),Table2[[#This Row],[j]],Table2[[#This Row],[j.cam]])</f>
        <v>68</v>
      </c>
      <c r="BK540" s="9">
        <v>73</v>
      </c>
      <c r="BL540" s="15">
        <f>IF(ISTEXT(Table2[[#This Row],[k.cam]]), Table2[[#This Row],[k]], Table2[[#This Row],[k.cam]])</f>
        <v>73</v>
      </c>
      <c r="BM540" s="4" t="s">
        <v>24</v>
      </c>
      <c r="BN540" s="8" t="s">
        <v>24</v>
      </c>
      <c r="BO540" s="4">
        <v>3</v>
      </c>
      <c r="BP540" s="4">
        <f>Table2[[#This Row],[final_obs_date]]-Table2[[#This Row],[i]]</f>
        <v>5</v>
      </c>
      <c r="BQ540" s="4" t="b">
        <f>Table2[[#This Row],[final_obs_date2]]&gt;Table2[[#This Row],[estHD]]+3</f>
        <v>0</v>
      </c>
      <c r="BR540" s="4" t="s">
        <v>33</v>
      </c>
      <c r="BS540" s="4" t="s">
        <v>45</v>
      </c>
      <c r="BT540" s="79" t="s">
        <v>1339</v>
      </c>
      <c r="BU540" s="26" t="s">
        <v>132</v>
      </c>
      <c r="BV540" s="79" t="s">
        <v>1458</v>
      </c>
      <c r="BW540" s="49"/>
      <c r="BX540" s="47"/>
      <c r="BY540" s="36" t="s">
        <v>820</v>
      </c>
    </row>
    <row r="541" spans="1:77" hidden="1" x14ac:dyDescent="0.35">
      <c r="A541" s="64">
        <v>30062</v>
      </c>
      <c r="B541" s="2" t="s">
        <v>35</v>
      </c>
      <c r="C541" s="46">
        <v>2021</v>
      </c>
      <c r="D541" s="3">
        <v>29.767589999999998</v>
      </c>
      <c r="E541" s="3">
        <v>-93.158839999999998</v>
      </c>
      <c r="F541" s="3">
        <v>0</v>
      </c>
      <c r="G541" s="3">
        <v>0</v>
      </c>
      <c r="H541" s="3" t="s">
        <v>26</v>
      </c>
      <c r="I541" s="43"/>
      <c r="J541" s="55">
        <v>64</v>
      </c>
      <c r="K541" s="4">
        <v>64</v>
      </c>
      <c r="L541" s="22">
        <f>IF(ISNUMBER(Table2[[#This Row],[estHD]]),ABS(Table2[[#This Row],[HD]]-Table2[[#This Row],[estHD]]),"NA")</f>
        <v>0</v>
      </c>
      <c r="M541" s="4" t="b">
        <f>Table2[[#This Row],[HD]]=Table2[[#This Row],[estHD]]</f>
        <v>1</v>
      </c>
      <c r="N541" s="4" t="str">
        <f>IF(ISNUMBER([1]!Table2[[#This Row],[hatch_date]]),[1]!Table2[[#This Row],[hatch_date]]-19,"NA")</f>
        <v>NA</v>
      </c>
      <c r="O541" s="31">
        <v>45</v>
      </c>
      <c r="P541" s="23" t="e">
        <f>IF(ISNUMBER(Table2[[#This Row],[nest_age1]]),ABS(Table2[[#This Row],[nest_age1]]-Table2[[#This Row],[nest_age_feb]]),"NA")</f>
        <v>#VALUE!</v>
      </c>
      <c r="Q541" s="24">
        <f>IF(ISNUMBER(Table2[[#This Row],[final_obs_int2]]),ABS(Table2[[#This Row],[final_obs_int2]]-Table2[[#This Row],[final_obs_int_feb]]), "NA")</f>
        <v>0</v>
      </c>
      <c r="R541" s="24"/>
      <c r="S541" s="57" t="s">
        <v>88</v>
      </c>
      <c r="T541" s="57" t="str">
        <f>Table2[[#This Row],[camera_old]]</f>
        <v>N</v>
      </c>
      <c r="U541" s="24"/>
      <c r="V541" s="16" t="s">
        <v>24</v>
      </c>
      <c r="W541" s="16" t="s">
        <v>24</v>
      </c>
      <c r="X541" s="145">
        <v>4</v>
      </c>
      <c r="Y541" s="147" t="s">
        <v>90</v>
      </c>
      <c r="Z541" s="146" t="s">
        <v>90</v>
      </c>
      <c r="AA541" s="4" t="str">
        <f>Table2[[#This Row],[field_fate]]</f>
        <v>U</v>
      </c>
      <c r="AB541" s="4" t="str">
        <f>Table2[[#This Row],[field_fate2]]</f>
        <v>U</v>
      </c>
      <c r="AC541" s="4" t="str">
        <f>Table2[[#This Row],[field_fate3]]</f>
        <v>U</v>
      </c>
      <c r="AD541" s="4" t="str">
        <f>Table2[[#This Row],[field_fate4]]</f>
        <v>U</v>
      </c>
      <c r="AE541" s="4" t="str">
        <f>Table2[[#This Row],[field_fate5]]</f>
        <v>U</v>
      </c>
      <c r="AF541" s="4" t="str">
        <f>Table2[[#This Row],[field_fate5]]</f>
        <v>U</v>
      </c>
      <c r="AG541" s="4" t="str">
        <f>Table2[[#This Row],[field_fate5]]</f>
        <v>U</v>
      </c>
      <c r="AH541" s="4" t="str">
        <f>Table2[[#This Row],[field_fate2]]</f>
        <v>U</v>
      </c>
      <c r="AI541" s="4" t="str">
        <f>Table2[[#This Row],[field_fate8]]</f>
        <v>U</v>
      </c>
      <c r="AJ541" s="4" t="str">
        <f>Table2[[#This Row],[field_fate10]]</f>
        <v>U</v>
      </c>
      <c r="AK541" s="4" t="b">
        <f>Table2[[#This Row],[field_fate_feb]]=Table2[[#This Row],[field_fate10]]</f>
        <v>1</v>
      </c>
      <c r="AL541" s="43" t="s">
        <v>24</v>
      </c>
      <c r="AM541" s="43" t="b">
        <f>Table2[[#This Row],[cam_fate2]]="NA"</f>
        <v>1</v>
      </c>
      <c r="AN541" s="19" t="str">
        <f>Table2[[#This Row],[cam_fate1]]</f>
        <v>NA</v>
      </c>
      <c r="AO541" s="2" t="s">
        <v>90</v>
      </c>
      <c r="AP541" s="5" t="str">
        <f>Table2[[#This Row],[final_fate1]]</f>
        <v>U</v>
      </c>
      <c r="AQ541" s="6">
        <v>24</v>
      </c>
      <c r="AR541" s="7">
        <v>24</v>
      </c>
      <c r="AS541" s="7">
        <f>Table2[[#This Row],[final_obs_date]]-Table2[[#This Row],[init_date]]</f>
        <v>24</v>
      </c>
      <c r="AT541" s="7">
        <f>(Table2[[#This Row],[final_obs_date2]]-Table2[[#This Row],[estHD]])+16</f>
        <v>21</v>
      </c>
      <c r="AU541" s="38">
        <v>4</v>
      </c>
      <c r="AV541" s="33">
        <v>4</v>
      </c>
      <c r="AW541" s="33">
        <f>Table2[[#This Row],[final_obs_date2]]-Table2[[#This Row],[pen_obs_date]]</f>
        <v>69</v>
      </c>
      <c r="AX541" s="67">
        <v>69</v>
      </c>
      <c r="AY541" s="6">
        <f>Table2[[#This Row],[final_obs_date]]</f>
        <v>69</v>
      </c>
      <c r="AZ541" s="6"/>
      <c r="BA541" s="91" t="s">
        <v>47</v>
      </c>
      <c r="BB541" s="6" t="b">
        <f>Table2[[#This Row],[final_obs_date]]&lt;(Table2[[#This Row],[estHD]]-2)</f>
        <v>0</v>
      </c>
      <c r="BC541" s="24">
        <f>IF(Table2[[#This Row],[field_fate]]="H",1,0)</f>
        <v>0</v>
      </c>
      <c r="BD541" s="16">
        <f>IF(Table2[[#This Row],[cam_fate2]]="H",1,0)</f>
        <v>0</v>
      </c>
      <c r="BE541" s="6" t="b">
        <f>NOT(Table2[[#This Row],[HF_C]]=Table2[[#This Row],[HF]])</f>
        <v>0</v>
      </c>
      <c r="BF541" s="6" t="b">
        <f>NOT(Table2[[#This Row],[cam_fate2]]=Table2[[#This Row],[field_fate3]])</f>
        <v>1</v>
      </c>
      <c r="BG541" s="6" t="b">
        <f>OR(Table2[[#This Row],[field_fate3]]="U",Table2[[#This Row],[field_fate3]]="U-H")</f>
        <v>1</v>
      </c>
      <c r="BH541" s="8">
        <v>61</v>
      </c>
      <c r="BI541" s="8">
        <v>65</v>
      </c>
      <c r="BJ541" s="14">
        <f>IF(ISTEXT(Table2[[#This Row],[j.cam]]),Table2[[#This Row],[j]],Table2[[#This Row],[j.cam]])</f>
        <v>65</v>
      </c>
      <c r="BK541" s="9">
        <v>69</v>
      </c>
      <c r="BL541" s="15">
        <f>IF(ISTEXT(Table2[[#This Row],[k.cam]]), Table2[[#This Row],[k]], Table2[[#This Row],[k.cam]])</f>
        <v>69</v>
      </c>
      <c r="BM541" s="4" t="s">
        <v>24</v>
      </c>
      <c r="BN541" s="8" t="s">
        <v>24</v>
      </c>
      <c r="BO541" s="4">
        <v>3</v>
      </c>
      <c r="BP541" s="4">
        <f>Table2[[#This Row],[final_obs_date]]-Table2[[#This Row],[i]]</f>
        <v>8</v>
      </c>
      <c r="BQ541" s="4" t="b">
        <f>Table2[[#This Row],[final_obs_date2]]&gt;Table2[[#This Row],[estHD]]+3</f>
        <v>1</v>
      </c>
      <c r="BR541" s="4" t="s">
        <v>33</v>
      </c>
      <c r="BS541" s="4" t="s">
        <v>45</v>
      </c>
      <c r="BT541" s="79" t="s">
        <v>1340</v>
      </c>
      <c r="BU541" s="26" t="s">
        <v>132</v>
      </c>
      <c r="BV541" s="79" t="s">
        <v>1454</v>
      </c>
      <c r="BW541" s="49"/>
      <c r="BX541" s="47"/>
      <c r="BY541" s="36" t="s">
        <v>821</v>
      </c>
    </row>
    <row r="542" spans="1:77" hidden="1" x14ac:dyDescent="0.35">
      <c r="A542" s="64">
        <v>30063</v>
      </c>
      <c r="B542" s="2" t="s">
        <v>35</v>
      </c>
      <c r="C542" s="46">
        <v>2021</v>
      </c>
      <c r="D542" s="3">
        <v>29.767980000000001</v>
      </c>
      <c r="E542" s="3">
        <v>-93.161640000000006</v>
      </c>
      <c r="F542" s="3">
        <v>0</v>
      </c>
      <c r="G542" s="3">
        <v>0</v>
      </c>
      <c r="H542" s="3" t="s">
        <v>26</v>
      </c>
      <c r="I542" s="43"/>
      <c r="J542" s="55">
        <v>79</v>
      </c>
      <c r="K542" s="4">
        <v>79</v>
      </c>
      <c r="L542" s="22">
        <f>IF(ISNUMBER(Table2[[#This Row],[estHD]]),ABS(Table2[[#This Row],[HD]]-Table2[[#This Row],[estHD]]),"NA")</f>
        <v>0</v>
      </c>
      <c r="M542" s="4" t="b">
        <f>Table2[[#This Row],[HD]]=Table2[[#This Row],[estHD]]</f>
        <v>1</v>
      </c>
      <c r="N542" s="4" t="str">
        <f>IF(ISNUMBER([1]!Table2[[#This Row],[hatch_date]]),[1]!Table2[[#This Row],[hatch_date]]-19,"NA")</f>
        <v>NA</v>
      </c>
      <c r="O542" s="31">
        <v>60</v>
      </c>
      <c r="P542" s="23" t="e">
        <f>IF(ISNUMBER(Table2[[#This Row],[nest_age1]]),ABS(Table2[[#This Row],[nest_age1]]-Table2[[#This Row],[nest_age_feb]]),"NA")</f>
        <v>#VALUE!</v>
      </c>
      <c r="Q542" s="24">
        <f>IF(ISNUMBER(Table2[[#This Row],[final_obs_int2]]),ABS(Table2[[#This Row],[final_obs_int2]]-Table2[[#This Row],[final_obs_int_feb]]), "NA")</f>
        <v>0</v>
      </c>
      <c r="R542" s="24"/>
      <c r="S542" s="57" t="s">
        <v>88</v>
      </c>
      <c r="T542" s="57" t="str">
        <f>Table2[[#This Row],[camera_old]]</f>
        <v>N</v>
      </c>
      <c r="U542" s="24"/>
      <c r="V542" s="16" t="s">
        <v>24</v>
      </c>
      <c r="W542" s="16" t="s">
        <v>24</v>
      </c>
      <c r="X542" s="145">
        <v>4</v>
      </c>
      <c r="Y542" s="147" t="s">
        <v>91</v>
      </c>
      <c r="Z542" s="146" t="s">
        <v>91</v>
      </c>
      <c r="AA542" s="4" t="str">
        <f>Table2[[#This Row],[field_fate]]</f>
        <v>Hu</v>
      </c>
      <c r="AB542" s="4" t="str">
        <f>Table2[[#This Row],[field_fate2]]</f>
        <v>Hu</v>
      </c>
      <c r="AC542" s="4" t="str">
        <f>Table2[[#This Row],[field_fate3]]</f>
        <v>Hu</v>
      </c>
      <c r="AD542" s="4" t="str">
        <f>Table2[[#This Row],[field_fate4]]</f>
        <v>Hu</v>
      </c>
      <c r="AE542" s="4" t="str">
        <f>Table2[[#This Row],[field_fate5]]</f>
        <v>Hu</v>
      </c>
      <c r="AF542" s="4" t="str">
        <f>Table2[[#This Row],[field_fate5]]</f>
        <v>Hu</v>
      </c>
      <c r="AG542" s="4" t="str">
        <f>Table2[[#This Row],[field_fate5]]</f>
        <v>Hu</v>
      </c>
      <c r="AH542" s="4" t="str">
        <f>Table2[[#This Row],[field_fate2]]</f>
        <v>Hu</v>
      </c>
      <c r="AI542" s="4" t="str">
        <f>Table2[[#This Row],[field_fate8]]</f>
        <v>Hu</v>
      </c>
      <c r="AJ542" s="4" t="str">
        <f>Table2[[#This Row],[field_fate10]]</f>
        <v>Hu</v>
      </c>
      <c r="AK542" s="4" t="b">
        <f>Table2[[#This Row],[field_fate_feb]]=Table2[[#This Row],[field_fate10]]</f>
        <v>1</v>
      </c>
      <c r="AL542" s="43" t="s">
        <v>24</v>
      </c>
      <c r="AM542" s="43" t="b">
        <f>Table2[[#This Row],[cam_fate2]]="NA"</f>
        <v>1</v>
      </c>
      <c r="AN542" s="19" t="str">
        <f>Table2[[#This Row],[cam_fate1]]</f>
        <v>NA</v>
      </c>
      <c r="AO542" s="2" t="s">
        <v>91</v>
      </c>
      <c r="AP542" s="5" t="str">
        <f>Table2[[#This Row],[final_fate1]]</f>
        <v>Hu</v>
      </c>
      <c r="AQ542" s="6">
        <v>5</v>
      </c>
      <c r="AR542" s="7">
        <v>5</v>
      </c>
      <c r="AS542" s="7">
        <f>Table2[[#This Row],[final_obs_date]]-Table2[[#This Row],[init_date]]</f>
        <v>5</v>
      </c>
      <c r="AT542" s="7">
        <f>(Table2[[#This Row],[final_obs_date2]]-Table2[[#This Row],[estHD]])+16</f>
        <v>2</v>
      </c>
      <c r="AU542" s="38">
        <v>4</v>
      </c>
      <c r="AV542" s="33">
        <v>4</v>
      </c>
      <c r="AW542" s="33">
        <f>Table2[[#This Row],[final_obs_date2]]-Table2[[#This Row],[pen_obs_date]]</f>
        <v>65</v>
      </c>
      <c r="AX542" s="67">
        <v>65</v>
      </c>
      <c r="AY542" s="6">
        <f>Table2[[#This Row],[final_obs_date]]</f>
        <v>65</v>
      </c>
      <c r="AZ542" s="6"/>
      <c r="BA542" s="91" t="s">
        <v>47</v>
      </c>
      <c r="BB542" s="6" t="b">
        <f>Table2[[#This Row],[final_obs_date]]&lt;(Table2[[#This Row],[estHD]]-2)</f>
        <v>1</v>
      </c>
      <c r="BC542" s="24">
        <f>IF(Table2[[#This Row],[field_fate]]="H",1,0)</f>
        <v>0</v>
      </c>
      <c r="BD542" s="16">
        <f>IF(Table2[[#This Row],[cam_fate2]]="H",1,0)</f>
        <v>0</v>
      </c>
      <c r="BE542" s="6" t="b">
        <f>NOT(Table2[[#This Row],[HF_C]]=Table2[[#This Row],[HF]])</f>
        <v>0</v>
      </c>
      <c r="BF542" s="6" t="b">
        <f>NOT(Table2[[#This Row],[cam_fate2]]=Table2[[#This Row],[field_fate3]])</f>
        <v>1</v>
      </c>
      <c r="BG542" s="6" t="b">
        <f>OR(Table2[[#This Row],[field_fate3]]="U",Table2[[#This Row],[field_fate3]]="U-H")</f>
        <v>0</v>
      </c>
      <c r="BH542" s="8">
        <v>61</v>
      </c>
      <c r="BI542" s="8">
        <v>61</v>
      </c>
      <c r="BJ542" s="14">
        <f>IF(ISTEXT(Table2[[#This Row],[j.cam]]),Table2[[#This Row],[j]],Table2[[#This Row],[j.cam]])</f>
        <v>61</v>
      </c>
      <c r="BK542" s="9">
        <v>65</v>
      </c>
      <c r="BL542" s="15">
        <f>IF(ISTEXT(Table2[[#This Row],[k.cam]]), Table2[[#This Row],[k]], Table2[[#This Row],[k.cam]])</f>
        <v>65</v>
      </c>
      <c r="BM542" s="4" t="s">
        <v>24</v>
      </c>
      <c r="BN542" s="8" t="s">
        <v>24</v>
      </c>
      <c r="BO542" s="4">
        <v>2</v>
      </c>
      <c r="BP542" s="4">
        <f>Table2[[#This Row],[final_obs_date]]-Table2[[#This Row],[i]]</f>
        <v>4</v>
      </c>
      <c r="BQ542" s="4" t="b">
        <f>Table2[[#This Row],[final_obs_date2]]&gt;Table2[[#This Row],[estHD]]+3</f>
        <v>0</v>
      </c>
      <c r="BR542" s="4" t="s">
        <v>58</v>
      </c>
      <c r="BS542" s="4" t="s">
        <v>91</v>
      </c>
      <c r="BT542" s="79" t="s">
        <v>1341</v>
      </c>
      <c r="BU542" s="26" t="s">
        <v>375</v>
      </c>
      <c r="BV542" s="79" t="s">
        <v>1429</v>
      </c>
      <c r="BW542" s="49"/>
      <c r="BX542" s="47"/>
      <c r="BY542" s="36" t="s">
        <v>822</v>
      </c>
    </row>
    <row r="543" spans="1:77" hidden="1" x14ac:dyDescent="0.35">
      <c r="A543" s="64">
        <v>30064</v>
      </c>
      <c r="B543" s="2" t="s">
        <v>35</v>
      </c>
      <c r="C543" s="46">
        <v>2021</v>
      </c>
      <c r="D543" s="3">
        <v>29.768380000000001</v>
      </c>
      <c r="E543" s="3">
        <v>-93.163610000000006</v>
      </c>
      <c r="F543" s="3">
        <v>0</v>
      </c>
      <c r="G543" s="3">
        <v>0</v>
      </c>
      <c r="H543" s="3" t="s">
        <v>26</v>
      </c>
      <c r="I543" s="43"/>
      <c r="J543" s="55">
        <v>79</v>
      </c>
      <c r="K543" s="4">
        <v>79</v>
      </c>
      <c r="L543" s="22">
        <f>IF(ISNUMBER(Table2[[#This Row],[estHD]]),ABS(Table2[[#This Row],[HD]]-Table2[[#This Row],[estHD]]),"NA")</f>
        <v>0</v>
      </c>
      <c r="M543" s="4" t="b">
        <f>Table2[[#This Row],[HD]]=Table2[[#This Row],[estHD]]</f>
        <v>1</v>
      </c>
      <c r="N543" s="4" t="str">
        <f>IF(ISNUMBER([1]!Table2[[#This Row],[hatch_date]]),[1]!Table2[[#This Row],[hatch_date]]-19,"NA")</f>
        <v>NA</v>
      </c>
      <c r="O543" s="31">
        <v>60</v>
      </c>
      <c r="P543" s="23" t="e">
        <f>IF(ISNUMBER(Table2[[#This Row],[nest_age1]]),ABS(Table2[[#This Row],[nest_age1]]-Table2[[#This Row],[nest_age_feb]]),"NA")</f>
        <v>#VALUE!</v>
      </c>
      <c r="Q543" s="24">
        <f>IF(ISNUMBER(Table2[[#This Row],[final_obs_int2]]),ABS(Table2[[#This Row],[final_obs_int2]]-Table2[[#This Row],[final_obs_int_feb]]), "NA")</f>
        <v>0</v>
      </c>
      <c r="R543" s="24"/>
      <c r="S543" s="57" t="s">
        <v>88</v>
      </c>
      <c r="T543" s="57" t="str">
        <f>Table2[[#This Row],[camera_old]]</f>
        <v>N</v>
      </c>
      <c r="U543" s="24"/>
      <c r="V543" s="16" t="s">
        <v>24</v>
      </c>
      <c r="W543" s="16" t="s">
        <v>24</v>
      </c>
      <c r="X543" s="145">
        <v>4</v>
      </c>
      <c r="Y543" s="147" t="s">
        <v>48</v>
      </c>
      <c r="Z543" s="146" t="s">
        <v>48</v>
      </c>
      <c r="AA543" s="4" t="str">
        <f>Table2[[#This Row],[field_fate]]</f>
        <v>F</v>
      </c>
      <c r="AB543" s="4" t="str">
        <f>Table2[[#This Row],[field_fate2]]</f>
        <v>F</v>
      </c>
      <c r="AC543" s="4" t="str">
        <f>Table2[[#This Row],[field_fate3]]</f>
        <v>F</v>
      </c>
      <c r="AD543" s="4" t="str">
        <f>Table2[[#This Row],[field_fate4]]</f>
        <v>F</v>
      </c>
      <c r="AE543" s="4" t="str">
        <f>Table2[[#This Row],[field_fate5]]</f>
        <v>F</v>
      </c>
      <c r="AF543" s="4" t="str">
        <f>Table2[[#This Row],[field_fate5]]</f>
        <v>F</v>
      </c>
      <c r="AG543" s="4" t="str">
        <f>Table2[[#This Row],[field_fate5]]</f>
        <v>F</v>
      </c>
      <c r="AH543" s="4" t="str">
        <f>Table2[[#This Row],[field_fate2]]</f>
        <v>F</v>
      </c>
      <c r="AI543" s="4" t="str">
        <f>Table2[[#This Row],[field_fate8]]</f>
        <v>F</v>
      </c>
      <c r="AJ543" s="4" t="str">
        <f>Table2[[#This Row],[field_fate10]]</f>
        <v>F</v>
      </c>
      <c r="AK543" s="4" t="b">
        <f>Table2[[#This Row],[field_fate_feb]]=Table2[[#This Row],[field_fate10]]</f>
        <v>1</v>
      </c>
      <c r="AL543" s="43" t="s">
        <v>24</v>
      </c>
      <c r="AM543" s="43" t="b">
        <f>Table2[[#This Row],[cam_fate2]]="NA"</f>
        <v>1</v>
      </c>
      <c r="AN543" s="19" t="str">
        <f>Table2[[#This Row],[cam_fate1]]</f>
        <v>NA</v>
      </c>
      <c r="AO543" s="2" t="s">
        <v>48</v>
      </c>
      <c r="AP543" s="5" t="str">
        <f>Table2[[#This Row],[final_fate1]]</f>
        <v>F</v>
      </c>
      <c r="AQ543" s="6">
        <v>9</v>
      </c>
      <c r="AR543" s="7">
        <v>9</v>
      </c>
      <c r="AS543" s="7">
        <f>Table2[[#This Row],[final_obs_date]]-Table2[[#This Row],[init_date]]</f>
        <v>9</v>
      </c>
      <c r="AT543" s="7">
        <f>(Table2[[#This Row],[final_obs_date2]]-Table2[[#This Row],[estHD]])+16</f>
        <v>6</v>
      </c>
      <c r="AU543" s="38">
        <v>4</v>
      </c>
      <c r="AV543" s="33">
        <v>4</v>
      </c>
      <c r="AW543" s="33">
        <f>Table2[[#This Row],[final_obs_date2]]-Table2[[#This Row],[pen_obs_date]]</f>
        <v>69</v>
      </c>
      <c r="AX543" s="67">
        <v>69</v>
      </c>
      <c r="AY543" s="6">
        <f>Table2[[#This Row],[final_obs_date]]</f>
        <v>69</v>
      </c>
      <c r="AZ543" s="6"/>
      <c r="BA543" s="91" t="s">
        <v>47</v>
      </c>
      <c r="BB543" s="6" t="b">
        <f>Table2[[#This Row],[final_obs_date]]&lt;(Table2[[#This Row],[estHD]]-2)</f>
        <v>1</v>
      </c>
      <c r="BC543" s="24">
        <f>IF(Table2[[#This Row],[field_fate]]="H",1,0)</f>
        <v>0</v>
      </c>
      <c r="BD543" s="16">
        <f>IF(Table2[[#This Row],[cam_fate2]]="H",1,0)</f>
        <v>0</v>
      </c>
      <c r="BE543" s="6" t="b">
        <f>NOT(Table2[[#This Row],[HF_C]]=Table2[[#This Row],[HF]])</f>
        <v>0</v>
      </c>
      <c r="BF543" s="6" t="b">
        <f>NOT(Table2[[#This Row],[cam_fate2]]=Table2[[#This Row],[field_fate3]])</f>
        <v>1</v>
      </c>
      <c r="BG543" s="6" t="b">
        <f>OR(Table2[[#This Row],[field_fate3]]="U",Table2[[#This Row],[field_fate3]]="U-H")</f>
        <v>0</v>
      </c>
      <c r="BH543" s="8">
        <v>61</v>
      </c>
      <c r="BI543" s="8">
        <v>65</v>
      </c>
      <c r="BJ543" s="14">
        <f>IF(ISTEXT(Table2[[#This Row],[j.cam]]),Table2[[#This Row],[j]],Table2[[#This Row],[j.cam]])</f>
        <v>65</v>
      </c>
      <c r="BK543" s="9">
        <v>69</v>
      </c>
      <c r="BL543" s="15">
        <f>IF(ISTEXT(Table2[[#This Row],[k.cam]]), Table2[[#This Row],[k]], Table2[[#This Row],[k.cam]])</f>
        <v>69</v>
      </c>
      <c r="BM543" s="4" t="s">
        <v>24</v>
      </c>
      <c r="BN543" s="8" t="s">
        <v>24</v>
      </c>
      <c r="BO543" s="4">
        <v>3</v>
      </c>
      <c r="BP543" s="4">
        <f>Table2[[#This Row],[final_obs_date]]-Table2[[#This Row],[i]]</f>
        <v>8</v>
      </c>
      <c r="BQ543" s="4" t="b">
        <f>Table2[[#This Row],[final_obs_date2]]&gt;Table2[[#This Row],[estHD]]+3</f>
        <v>0</v>
      </c>
      <c r="BR543" s="4" t="s">
        <v>33</v>
      </c>
      <c r="BS543" s="4" t="s">
        <v>45</v>
      </c>
      <c r="BT543" s="79" t="s">
        <v>1340</v>
      </c>
      <c r="BU543" s="26" t="s">
        <v>132</v>
      </c>
      <c r="BV543" s="79" t="s">
        <v>1454</v>
      </c>
      <c r="BW543" s="49"/>
      <c r="BX543" s="47"/>
      <c r="BY543" s="36" t="s">
        <v>24</v>
      </c>
    </row>
    <row r="544" spans="1:77" hidden="1" x14ac:dyDescent="0.35">
      <c r="A544" s="64">
        <v>30065</v>
      </c>
      <c r="B544" s="2" t="s">
        <v>35</v>
      </c>
      <c r="C544" s="46">
        <v>2021</v>
      </c>
      <c r="D544" s="3">
        <v>29.769580000000001</v>
      </c>
      <c r="E544" s="3">
        <v>-93.168499999999995</v>
      </c>
      <c r="F544" s="3">
        <v>0</v>
      </c>
      <c r="G544" s="3">
        <v>0</v>
      </c>
      <c r="H544" s="3" t="s">
        <v>26</v>
      </c>
      <c r="I544" s="43"/>
      <c r="J544" s="55" t="s">
        <v>24</v>
      </c>
      <c r="K544" s="4" t="s">
        <v>24</v>
      </c>
      <c r="L544" s="22" t="str">
        <f>IF(ISNUMBER(Table2[[#This Row],[estHD]]),ABS(Table2[[#This Row],[HD]]-Table2[[#This Row],[estHD]]),"NA")</f>
        <v>NA</v>
      </c>
      <c r="M544" s="4" t="b">
        <f>Table2[[#This Row],[HD]]=Table2[[#This Row],[estHD]]</f>
        <v>1</v>
      </c>
      <c r="N544" s="4" t="str">
        <f>IF(ISNUMBER([1]!Table2[[#This Row],[hatch_date]]),[1]!Table2[[#This Row],[hatch_date]]-19,"NA")</f>
        <v>NA</v>
      </c>
      <c r="O544" s="31" t="s">
        <v>24</v>
      </c>
      <c r="P544" s="23" t="str">
        <f>IF(ISNUMBER(Table2[[#This Row],[nest_age1]]),ABS(Table2[[#This Row],[nest_age1]]-Table2[[#This Row],[nest_age_feb]]),"NA")</f>
        <v>NA</v>
      </c>
      <c r="Q544" s="24">
        <f>IF(ISNUMBER(Table2[[#This Row],[final_obs_int2]]),ABS(Table2[[#This Row],[final_obs_int2]]-Table2[[#This Row],[final_obs_int_feb]]), "NA")</f>
        <v>0</v>
      </c>
      <c r="R544" s="24"/>
      <c r="S544" s="57" t="s">
        <v>88</v>
      </c>
      <c r="T544" s="57" t="str">
        <f>Table2[[#This Row],[camera_old]]</f>
        <v>N</v>
      </c>
      <c r="U544" s="24"/>
      <c r="V544" s="16" t="s">
        <v>24</v>
      </c>
      <c r="W544" s="16" t="s">
        <v>24</v>
      </c>
      <c r="X544" s="145">
        <v>5</v>
      </c>
      <c r="Y544" s="147" t="s">
        <v>90</v>
      </c>
      <c r="Z544" s="146" t="s">
        <v>90</v>
      </c>
      <c r="AA544" s="4" t="str">
        <f>Table2[[#This Row],[field_fate]]</f>
        <v>U</v>
      </c>
      <c r="AB544" s="4" t="str">
        <f>Table2[[#This Row],[field_fate2]]</f>
        <v>U</v>
      </c>
      <c r="AC544" s="4" t="str">
        <f>Table2[[#This Row],[field_fate3]]</f>
        <v>U</v>
      </c>
      <c r="AD544" s="4" t="str">
        <f>Table2[[#This Row],[field_fate4]]</f>
        <v>U</v>
      </c>
      <c r="AE544" s="4" t="str">
        <f>Table2[[#This Row],[field_fate5]]</f>
        <v>U</v>
      </c>
      <c r="AF544" s="4" t="str">
        <f>Table2[[#This Row],[field_fate5]]</f>
        <v>U</v>
      </c>
      <c r="AG544" s="4" t="str">
        <f>Table2[[#This Row],[field_fate5]]</f>
        <v>U</v>
      </c>
      <c r="AH544" s="4" t="str">
        <f>Table2[[#This Row],[field_fate2]]</f>
        <v>U</v>
      </c>
      <c r="AI544" s="4" t="str">
        <f>Table2[[#This Row],[field_fate8]]</f>
        <v>U</v>
      </c>
      <c r="AJ544" s="4" t="str">
        <f>Table2[[#This Row],[field_fate10]]</f>
        <v>U</v>
      </c>
      <c r="AK544" s="4" t="b">
        <f>Table2[[#This Row],[field_fate_feb]]=Table2[[#This Row],[field_fate10]]</f>
        <v>1</v>
      </c>
      <c r="AL544" s="43" t="s">
        <v>24</v>
      </c>
      <c r="AM544" s="43" t="b">
        <f>Table2[[#This Row],[cam_fate2]]="NA"</f>
        <v>1</v>
      </c>
      <c r="AN544" s="19" t="str">
        <f>Table2[[#This Row],[cam_fate1]]</f>
        <v>NA</v>
      </c>
      <c r="AO544" s="2" t="s">
        <v>90</v>
      </c>
      <c r="AP544" s="5" t="str">
        <f>Table2[[#This Row],[final_fate1]]</f>
        <v>U</v>
      </c>
      <c r="AQ544" s="6" t="s">
        <v>24</v>
      </c>
      <c r="AR544" s="7" t="s">
        <v>24</v>
      </c>
      <c r="AS544" s="7" t="e">
        <f>Table2[[#This Row],[final_obs_date]]-Table2[[#This Row],[init_date]]</f>
        <v>#VALUE!</v>
      </c>
      <c r="AT544" s="7" t="e">
        <f>(Table2[[#This Row],[final_obs_date2]]-Table2[[#This Row],[estHD]])+16</f>
        <v>#VALUE!</v>
      </c>
      <c r="AU544" s="38">
        <v>5</v>
      </c>
      <c r="AV544" s="33">
        <v>5</v>
      </c>
      <c r="AW544" s="33">
        <f>Table2[[#This Row],[final_obs_date2]]-Table2[[#This Row],[pen_obs_date]]</f>
        <v>74</v>
      </c>
      <c r="AX544" s="67">
        <v>74</v>
      </c>
      <c r="AY544" s="6">
        <f>Table2[[#This Row],[final_obs_date]]</f>
        <v>74</v>
      </c>
      <c r="AZ544" s="6"/>
      <c r="BA544" s="91" t="s">
        <v>47</v>
      </c>
      <c r="BB544" s="6" t="e">
        <f>Table2[[#This Row],[final_obs_date]]&lt;(Table2[[#This Row],[estHD]]-2)</f>
        <v>#VALUE!</v>
      </c>
      <c r="BC544" s="24">
        <f>IF(Table2[[#This Row],[field_fate]]="H",1,0)</f>
        <v>0</v>
      </c>
      <c r="BD544" s="16">
        <f>IF(Table2[[#This Row],[cam_fate2]]="H",1,0)</f>
        <v>0</v>
      </c>
      <c r="BE544" s="6" t="b">
        <f>NOT(Table2[[#This Row],[HF_C]]=Table2[[#This Row],[HF]])</f>
        <v>0</v>
      </c>
      <c r="BF544" s="6" t="b">
        <f>NOT(Table2[[#This Row],[cam_fate2]]=Table2[[#This Row],[field_fate3]])</f>
        <v>1</v>
      </c>
      <c r="BG544" s="6" t="b">
        <f>OR(Table2[[#This Row],[field_fate3]]="U",Table2[[#This Row],[field_fate3]]="U-H")</f>
        <v>1</v>
      </c>
      <c r="BH544" s="8">
        <v>61</v>
      </c>
      <c r="BI544" s="8">
        <v>69</v>
      </c>
      <c r="BJ544" s="14">
        <f>IF(ISTEXT(Table2[[#This Row],[j.cam]]),Table2[[#This Row],[j]],Table2[[#This Row],[j.cam]])</f>
        <v>69</v>
      </c>
      <c r="BK544" s="9">
        <v>74</v>
      </c>
      <c r="BL544" s="15">
        <f>IF(ISTEXT(Table2[[#This Row],[k.cam]]), Table2[[#This Row],[k]], Table2[[#This Row],[k.cam]])</f>
        <v>74</v>
      </c>
      <c r="BM544" s="4" t="s">
        <v>24</v>
      </c>
      <c r="BN544" s="8" t="s">
        <v>24</v>
      </c>
      <c r="BO544" s="4">
        <v>4</v>
      </c>
      <c r="BP544" s="4">
        <f>Table2[[#This Row],[final_obs_date]]-Table2[[#This Row],[i]]</f>
        <v>13</v>
      </c>
      <c r="BQ544" s="4" t="e">
        <f>Table2[[#This Row],[final_obs_date2]]&gt;Table2[[#This Row],[estHD]]+3</f>
        <v>#VALUE!</v>
      </c>
      <c r="BR544" s="4" t="s">
        <v>66</v>
      </c>
      <c r="BS544" s="4" t="s">
        <v>45</v>
      </c>
      <c r="BT544" s="79" t="s">
        <v>1342</v>
      </c>
      <c r="BU544" s="26" t="s">
        <v>278</v>
      </c>
      <c r="BV544" s="79" t="s">
        <v>1598</v>
      </c>
      <c r="BW544" s="49"/>
      <c r="BX544" s="47"/>
      <c r="BY544" s="36" t="s">
        <v>24</v>
      </c>
    </row>
    <row r="545" spans="1:77" hidden="1" x14ac:dyDescent="0.35">
      <c r="A545" s="64">
        <v>30066</v>
      </c>
      <c r="B545" s="2" t="s">
        <v>122</v>
      </c>
      <c r="C545" s="46">
        <v>2021</v>
      </c>
      <c r="D545" s="3">
        <v>29.759219999999999</v>
      </c>
      <c r="E545" s="3">
        <v>-93.123050000000006</v>
      </c>
      <c r="F545" s="3">
        <v>0</v>
      </c>
      <c r="G545" s="3">
        <v>0</v>
      </c>
      <c r="H545" s="3" t="s">
        <v>354</v>
      </c>
      <c r="I545" s="43"/>
      <c r="J545" s="55">
        <v>65</v>
      </c>
      <c r="K545" s="4">
        <v>72</v>
      </c>
      <c r="L545" s="22">
        <f>IF(ISNUMBER(Table2[[#This Row],[estHD]]),ABS(Table2[[#This Row],[HD]]-Table2[[#This Row],[estHD]]),"NA")</f>
        <v>7</v>
      </c>
      <c r="M545" s="4" t="b">
        <f>Table2[[#This Row],[HD]]=Table2[[#This Row],[estHD]]</f>
        <v>0</v>
      </c>
      <c r="N545" s="4" t="str">
        <f>IF(ISNUMBER([1]!Table2[[#This Row],[hatch_date]]),[1]!Table2[[#This Row],[hatch_date]]-19,"NA")</f>
        <v>NA</v>
      </c>
      <c r="O545" s="31">
        <v>53</v>
      </c>
      <c r="P545" s="23">
        <f>IF(ISNUMBER(Table2[[#This Row],[nest_age1]]),ABS(Table2[[#This Row],[nest_age1]]-Table2[[#This Row],[nest_age_feb]]),"NA")</f>
        <v>7</v>
      </c>
      <c r="Q545" s="24">
        <f>IF(ISNUMBER(Table2[[#This Row],[final_obs_int2]]),ABS(Table2[[#This Row],[final_obs_int2]]-Table2[[#This Row],[final_obs_int_feb]]), "NA")</f>
        <v>0</v>
      </c>
      <c r="R545" s="24"/>
      <c r="S545" s="57" t="s">
        <v>88</v>
      </c>
      <c r="T545" s="57" t="str">
        <f>Table2[[#This Row],[camera_old]]</f>
        <v>N</v>
      </c>
      <c r="U545" s="24"/>
      <c r="V545" s="16" t="s">
        <v>24</v>
      </c>
      <c r="W545" s="16">
        <v>26</v>
      </c>
      <c r="X545" s="145">
        <v>3</v>
      </c>
      <c r="Y545" s="147" t="s">
        <v>37</v>
      </c>
      <c r="Z545" s="146" t="s">
        <v>37</v>
      </c>
      <c r="AA545" s="4" t="str">
        <f>Table2[[#This Row],[field_fate]]</f>
        <v>H</v>
      </c>
      <c r="AB545" s="4" t="str">
        <f>Table2[[#This Row],[field_fate2]]</f>
        <v>H</v>
      </c>
      <c r="AC545" s="4" t="str">
        <f>Table2[[#This Row],[field_fate3]]</f>
        <v>H</v>
      </c>
      <c r="AD545" s="4" t="str">
        <f>Table2[[#This Row],[field_fate4]]</f>
        <v>H</v>
      </c>
      <c r="AE545" s="4" t="str">
        <f>Table2[[#This Row],[field_fate5]]</f>
        <v>H</v>
      </c>
      <c r="AF545" s="4" t="str">
        <f>Table2[[#This Row],[field_fate5]]</f>
        <v>H</v>
      </c>
      <c r="AG545" s="4" t="str">
        <f>Table2[[#This Row],[field_fate5]]</f>
        <v>H</v>
      </c>
      <c r="AH545" s="4" t="str">
        <f>Table2[[#This Row],[field_fate2]]</f>
        <v>H</v>
      </c>
      <c r="AI545" s="4" t="str">
        <f>Table2[[#This Row],[field_fate8]]</f>
        <v>H</v>
      </c>
      <c r="AJ545" s="4" t="str">
        <f>Table2[[#This Row],[field_fate10]]</f>
        <v>H</v>
      </c>
      <c r="AK545" s="4" t="b">
        <f>Table2[[#This Row],[field_fate_feb]]=Table2[[#This Row],[field_fate10]]</f>
        <v>1</v>
      </c>
      <c r="AL545" s="43" t="s">
        <v>24</v>
      </c>
      <c r="AM545" s="43" t="b">
        <f>Table2[[#This Row],[cam_fate2]]="NA"</f>
        <v>1</v>
      </c>
      <c r="AN545" s="19" t="str">
        <f>Table2[[#This Row],[cam_fate1]]</f>
        <v>NA</v>
      </c>
      <c r="AO545" s="2" t="s">
        <v>37</v>
      </c>
      <c r="AP545" s="5" t="str">
        <f>Table2[[#This Row],[final_fate1]]</f>
        <v>H</v>
      </c>
      <c r="AQ545" s="6">
        <v>19</v>
      </c>
      <c r="AR545" s="7">
        <v>26</v>
      </c>
      <c r="AS545" s="7">
        <f>Table2[[#This Row],[final_obs_date]]-Table2[[#This Row],[init_date]]</f>
        <v>19</v>
      </c>
      <c r="AT545" s="7">
        <f>(Table2[[#This Row],[final_obs_date2]]-Table2[[#This Row],[estHD]])+16</f>
        <v>23</v>
      </c>
      <c r="AU545" s="38">
        <v>3</v>
      </c>
      <c r="AV545" s="33">
        <v>3</v>
      </c>
      <c r="AW545" s="33">
        <f>Table2[[#This Row],[final_obs_date2]]-Table2[[#This Row],[pen_obs_date]]</f>
        <v>72</v>
      </c>
      <c r="AX545" s="67">
        <v>72</v>
      </c>
      <c r="AY545" s="6">
        <f>Table2[[#This Row],[final_obs_date]]</f>
        <v>72</v>
      </c>
      <c r="AZ545" s="6"/>
      <c r="BA545" s="91" t="s">
        <v>47</v>
      </c>
      <c r="BB545" s="6" t="b">
        <f>Table2[[#This Row],[final_obs_date]]&lt;(Table2[[#This Row],[estHD]]-2)</f>
        <v>0</v>
      </c>
      <c r="BC545" s="24">
        <f>IF(Table2[[#This Row],[field_fate]]="H",1,0)</f>
        <v>1</v>
      </c>
      <c r="BD545" s="16">
        <f>IF(Table2[[#This Row],[cam_fate2]]="H",1,0)</f>
        <v>0</v>
      </c>
      <c r="BE545" s="6" t="b">
        <f>NOT(Table2[[#This Row],[HF_C]]=Table2[[#This Row],[HF]])</f>
        <v>1</v>
      </c>
      <c r="BF545" s="6" t="b">
        <f>NOT(Table2[[#This Row],[cam_fate2]]=Table2[[#This Row],[field_fate3]])</f>
        <v>1</v>
      </c>
      <c r="BG545" s="6" t="b">
        <f>OR(Table2[[#This Row],[field_fate3]]="U",Table2[[#This Row],[field_fate3]]="U-H")</f>
        <v>0</v>
      </c>
      <c r="BH545" s="8">
        <v>61</v>
      </c>
      <c r="BI545" s="8">
        <v>72</v>
      </c>
      <c r="BJ545" s="14">
        <f>IF(ISTEXT(Table2[[#This Row],[j.cam]]),Table2[[#This Row],[j]],Table2[[#This Row],[j.cam]])</f>
        <v>72</v>
      </c>
      <c r="BK545" s="9">
        <v>72</v>
      </c>
      <c r="BL545" s="15">
        <f>IF(ISTEXT(Table2[[#This Row],[k.cam]]), Table2[[#This Row],[k]], Table2[[#This Row],[k.cam]])</f>
        <v>72</v>
      </c>
      <c r="BM545" s="4" t="s">
        <v>24</v>
      </c>
      <c r="BN545" s="8" t="s">
        <v>24</v>
      </c>
      <c r="BO545" s="4">
        <v>4</v>
      </c>
      <c r="BP545" s="4">
        <f>Table2[[#This Row],[final_obs_date]]-Table2[[#This Row],[i]]</f>
        <v>11</v>
      </c>
      <c r="BQ545" s="4" t="b">
        <f>Table2[[#This Row],[final_obs_date2]]&gt;Table2[[#This Row],[estHD]]+3</f>
        <v>1</v>
      </c>
      <c r="BR545" s="4" t="s">
        <v>27</v>
      </c>
      <c r="BS545" s="4" t="s">
        <v>165</v>
      </c>
      <c r="BT545" s="79" t="s">
        <v>1343</v>
      </c>
      <c r="BU545" s="26" t="s">
        <v>376</v>
      </c>
      <c r="BV545" s="79" t="s">
        <v>1659</v>
      </c>
      <c r="BW545" s="49"/>
      <c r="BX545" s="47"/>
      <c r="BY545" s="36" t="s">
        <v>24</v>
      </c>
    </row>
    <row r="546" spans="1:77" hidden="1" x14ac:dyDescent="0.35">
      <c r="A546" s="64">
        <v>30067</v>
      </c>
      <c r="B546" s="2" t="s">
        <v>122</v>
      </c>
      <c r="C546" s="46">
        <v>2021</v>
      </c>
      <c r="D546" s="3">
        <v>29.758220000000001</v>
      </c>
      <c r="E546" s="3">
        <v>-93.117109999999997</v>
      </c>
      <c r="F546" s="3">
        <v>0</v>
      </c>
      <c r="G546" s="3">
        <v>0</v>
      </c>
      <c r="H546" s="3" t="s">
        <v>354</v>
      </c>
      <c r="I546" s="43"/>
      <c r="J546" s="55">
        <v>74</v>
      </c>
      <c r="K546" s="4">
        <v>74</v>
      </c>
      <c r="L546" s="22">
        <f>IF(ISNUMBER(Table2[[#This Row],[estHD]]),ABS(Table2[[#This Row],[HD]]-Table2[[#This Row],[estHD]]),"NA")</f>
        <v>0</v>
      </c>
      <c r="M546" s="4" t="b">
        <f>Table2[[#This Row],[HD]]=Table2[[#This Row],[estHD]]</f>
        <v>1</v>
      </c>
      <c r="N546" s="4" t="str">
        <f>IF(ISNUMBER([1]!Table2[[#This Row],[hatch_date]]),[1]!Table2[[#This Row],[hatch_date]]-19,"NA")</f>
        <v>NA</v>
      </c>
      <c r="O546" s="31">
        <v>55</v>
      </c>
      <c r="P546" s="23" t="e">
        <f>IF(ISNUMBER(Table2[[#This Row],[nest_age1]]),ABS(Table2[[#This Row],[nest_age1]]-Table2[[#This Row],[nest_age_feb]]),"NA")</f>
        <v>#VALUE!</v>
      </c>
      <c r="Q546" s="24">
        <f>IF(ISNUMBER(Table2[[#This Row],[final_obs_int2]]),ABS(Table2[[#This Row],[final_obs_int2]]-Table2[[#This Row],[final_obs_int_feb]]), "NA")</f>
        <v>0</v>
      </c>
      <c r="R546" s="24"/>
      <c r="S546" s="57" t="s">
        <v>88</v>
      </c>
      <c r="T546" s="57" t="str">
        <f>Table2[[#This Row],[camera_old]]</f>
        <v>N</v>
      </c>
      <c r="U546" s="24"/>
      <c r="V546" s="16" t="s">
        <v>24</v>
      </c>
      <c r="W546" s="16" t="s">
        <v>24</v>
      </c>
      <c r="X546" s="145">
        <v>5</v>
      </c>
      <c r="Y546" s="147" t="s">
        <v>90</v>
      </c>
      <c r="Z546" s="146" t="s">
        <v>90</v>
      </c>
      <c r="AA546" s="4" t="str">
        <f>Table2[[#This Row],[field_fate]]</f>
        <v>U</v>
      </c>
      <c r="AB546" s="4" t="str">
        <f>Table2[[#This Row],[field_fate2]]</f>
        <v>U</v>
      </c>
      <c r="AC546" s="4" t="str">
        <f>Table2[[#This Row],[field_fate3]]</f>
        <v>U</v>
      </c>
      <c r="AD546" s="4" t="str">
        <f>Table2[[#This Row],[field_fate4]]</f>
        <v>U</v>
      </c>
      <c r="AE546" s="4" t="str">
        <f>Table2[[#This Row],[field_fate5]]</f>
        <v>U</v>
      </c>
      <c r="AF546" s="4" t="str">
        <f>Table2[[#This Row],[field_fate5]]</f>
        <v>U</v>
      </c>
      <c r="AG546" s="4" t="str">
        <f>Table2[[#This Row],[field_fate5]]</f>
        <v>U</v>
      </c>
      <c r="AH546" s="4" t="str">
        <f>Table2[[#This Row],[field_fate2]]</f>
        <v>U</v>
      </c>
      <c r="AI546" s="4" t="str">
        <f>Table2[[#This Row],[field_fate8]]</f>
        <v>U</v>
      </c>
      <c r="AJ546" s="4" t="str">
        <f>Table2[[#This Row],[field_fate10]]</f>
        <v>U</v>
      </c>
      <c r="AK546" s="4" t="b">
        <f>Table2[[#This Row],[field_fate_feb]]=Table2[[#This Row],[field_fate10]]</f>
        <v>1</v>
      </c>
      <c r="AL546" s="43" t="s">
        <v>24</v>
      </c>
      <c r="AM546" s="43" t="b">
        <f>Table2[[#This Row],[cam_fate2]]="NA"</f>
        <v>1</v>
      </c>
      <c r="AN546" s="19" t="str">
        <f>Table2[[#This Row],[cam_fate1]]</f>
        <v>NA</v>
      </c>
      <c r="AO546" s="2" t="s">
        <v>90</v>
      </c>
      <c r="AP546" s="5" t="str">
        <f>Table2[[#This Row],[final_fate1]]</f>
        <v>U</v>
      </c>
      <c r="AQ546" s="6">
        <v>22</v>
      </c>
      <c r="AR546" s="7">
        <v>22</v>
      </c>
      <c r="AS546" s="7">
        <f>Table2[[#This Row],[final_obs_date]]-Table2[[#This Row],[init_date]]</f>
        <v>22</v>
      </c>
      <c r="AT546" s="7">
        <f>(Table2[[#This Row],[final_obs_date2]]-Table2[[#This Row],[estHD]])+16</f>
        <v>19</v>
      </c>
      <c r="AU546" s="38">
        <v>5</v>
      </c>
      <c r="AV546" s="33">
        <v>5</v>
      </c>
      <c r="AW546" s="33">
        <f>Table2[[#This Row],[final_obs_date2]]-Table2[[#This Row],[pen_obs_date]]</f>
        <v>77</v>
      </c>
      <c r="AX546" s="67">
        <v>77</v>
      </c>
      <c r="AY546" s="6">
        <f>Table2[[#This Row],[final_obs_date]]</f>
        <v>77</v>
      </c>
      <c r="AZ546" s="6"/>
      <c r="BA546" s="91" t="s">
        <v>47</v>
      </c>
      <c r="BB546" s="6" t="b">
        <f>Table2[[#This Row],[final_obs_date]]&lt;(Table2[[#This Row],[estHD]]-2)</f>
        <v>0</v>
      </c>
      <c r="BC546" s="24">
        <f>IF(Table2[[#This Row],[field_fate]]="H",1,0)</f>
        <v>0</v>
      </c>
      <c r="BD546" s="16">
        <f>IF(Table2[[#This Row],[cam_fate2]]="H",1,0)</f>
        <v>0</v>
      </c>
      <c r="BE546" s="6" t="b">
        <f>NOT(Table2[[#This Row],[HF_C]]=Table2[[#This Row],[HF]])</f>
        <v>0</v>
      </c>
      <c r="BF546" s="6" t="b">
        <f>NOT(Table2[[#This Row],[cam_fate2]]=Table2[[#This Row],[field_fate3]])</f>
        <v>1</v>
      </c>
      <c r="BG546" s="6" t="b">
        <f>OR(Table2[[#This Row],[field_fate3]]="U",Table2[[#This Row],[field_fate3]]="U-H")</f>
        <v>1</v>
      </c>
      <c r="BH546" s="8">
        <v>61</v>
      </c>
      <c r="BI546" s="8">
        <v>72</v>
      </c>
      <c r="BJ546" s="14">
        <f>IF(ISTEXT(Table2[[#This Row],[j.cam]]),Table2[[#This Row],[j]],Table2[[#This Row],[j.cam]])</f>
        <v>72</v>
      </c>
      <c r="BK546" s="9">
        <v>77</v>
      </c>
      <c r="BL546" s="15">
        <f>IF(ISTEXT(Table2[[#This Row],[k.cam]]), Table2[[#This Row],[k]], Table2[[#This Row],[k.cam]])</f>
        <v>77</v>
      </c>
      <c r="BM546" s="4" t="s">
        <v>24</v>
      </c>
      <c r="BN546" s="8" t="s">
        <v>24</v>
      </c>
      <c r="BO546" s="4">
        <v>5</v>
      </c>
      <c r="BP546" s="4">
        <f>Table2[[#This Row],[final_obs_date]]-Table2[[#This Row],[i]]</f>
        <v>16</v>
      </c>
      <c r="BQ546" s="4" t="b">
        <f>Table2[[#This Row],[final_obs_date2]]&gt;Table2[[#This Row],[estHD]]+3</f>
        <v>0</v>
      </c>
      <c r="BR546" s="4" t="s">
        <v>27</v>
      </c>
      <c r="BS546" s="4" t="s">
        <v>45</v>
      </c>
      <c r="BT546" s="79" t="s">
        <v>1344</v>
      </c>
      <c r="BU546" s="26" t="s">
        <v>368</v>
      </c>
      <c r="BV546" s="79" t="s">
        <v>1660</v>
      </c>
      <c r="BW546" s="49"/>
      <c r="BX546" s="47"/>
      <c r="BY546" s="36" t="s">
        <v>24</v>
      </c>
    </row>
    <row r="547" spans="1:77" hidden="1" x14ac:dyDescent="0.35">
      <c r="A547" s="64">
        <v>30068</v>
      </c>
      <c r="B547" s="2" t="s">
        <v>122</v>
      </c>
      <c r="C547" s="46">
        <v>2021</v>
      </c>
      <c r="D547" s="3">
        <v>29.758009999999999</v>
      </c>
      <c r="E547" s="3">
        <v>-93.116969999999995</v>
      </c>
      <c r="F547" s="3">
        <v>0</v>
      </c>
      <c r="G547" s="3">
        <v>0</v>
      </c>
      <c r="H547" s="3" t="s">
        <v>354</v>
      </c>
      <c r="I547" s="43"/>
      <c r="J547" s="55">
        <v>65</v>
      </c>
      <c r="K547" s="4">
        <v>65</v>
      </c>
      <c r="L547" s="22">
        <f>IF(ISNUMBER(Table2[[#This Row],[estHD]]),ABS(Table2[[#This Row],[HD]]-Table2[[#This Row],[estHD]]),"NA")</f>
        <v>0</v>
      </c>
      <c r="M547" s="4" t="b">
        <f>Table2[[#This Row],[HD]]=Table2[[#This Row],[estHD]]</f>
        <v>1</v>
      </c>
      <c r="N547" s="4" t="str">
        <f>IF(ISNUMBER([1]!Table2[[#This Row],[hatch_date]]),[1]!Table2[[#This Row],[hatch_date]]-19,"NA")</f>
        <v>NA</v>
      </c>
      <c r="O547" s="31">
        <v>46</v>
      </c>
      <c r="P547" s="23">
        <f>IF(ISNUMBER(Table2[[#This Row],[nest_age1]]),ABS(Table2[[#This Row],[nest_age1]]-Table2[[#This Row],[nest_age_feb]]),"NA")</f>
        <v>0</v>
      </c>
      <c r="Q547" s="24">
        <f>IF(ISNUMBER(Table2[[#This Row],[final_obs_int2]]),ABS(Table2[[#This Row],[final_obs_int2]]-Table2[[#This Row],[final_obs_int_feb]]), "NA")</f>
        <v>0</v>
      </c>
      <c r="R547" s="24"/>
      <c r="S547" s="57" t="s">
        <v>88</v>
      </c>
      <c r="T547" s="57" t="str">
        <f>Table2[[#This Row],[camera_old]]</f>
        <v>N</v>
      </c>
      <c r="U547" s="24"/>
      <c r="V547" s="16" t="s">
        <v>24</v>
      </c>
      <c r="W547" s="16">
        <v>23</v>
      </c>
      <c r="X547" s="145">
        <v>4</v>
      </c>
      <c r="Y547" s="147" t="s">
        <v>31</v>
      </c>
      <c r="Z547" s="146" t="s">
        <v>31</v>
      </c>
      <c r="AA547" s="4" t="str">
        <f>Table2[[#This Row],[field_fate]]</f>
        <v>D</v>
      </c>
      <c r="AB547" s="4" t="str">
        <f>Table2[[#This Row],[field_fate2]]</f>
        <v>D</v>
      </c>
      <c r="AC547" s="4" t="str">
        <f>Table2[[#This Row],[field_fate3]]</f>
        <v>D</v>
      </c>
      <c r="AD547" s="4" t="str">
        <f>Table2[[#This Row],[field_fate4]]</f>
        <v>D</v>
      </c>
      <c r="AE547" s="4" t="str">
        <f>Table2[[#This Row],[field_fate5]]</f>
        <v>D</v>
      </c>
      <c r="AF547" s="4" t="str">
        <f>Table2[[#This Row],[field_fate5]]</f>
        <v>D</v>
      </c>
      <c r="AG547" s="4" t="str">
        <f>Table2[[#This Row],[field_fate5]]</f>
        <v>D</v>
      </c>
      <c r="AH547" s="4" t="str">
        <f>Table2[[#This Row],[field_fate2]]</f>
        <v>D</v>
      </c>
      <c r="AI547" s="4" t="str">
        <f>Table2[[#This Row],[field_fate8]]</f>
        <v>D</v>
      </c>
      <c r="AJ547" s="4" t="str">
        <f>Table2[[#This Row],[field_fate10]]</f>
        <v>D</v>
      </c>
      <c r="AK547" s="4" t="b">
        <f>Table2[[#This Row],[field_fate_feb]]=Table2[[#This Row],[field_fate10]]</f>
        <v>1</v>
      </c>
      <c r="AL547" s="43" t="s">
        <v>24</v>
      </c>
      <c r="AM547" s="43" t="b">
        <f>Table2[[#This Row],[cam_fate2]]="NA"</f>
        <v>1</v>
      </c>
      <c r="AN547" s="19" t="str">
        <f>Table2[[#This Row],[cam_fate1]]</f>
        <v>NA</v>
      </c>
      <c r="AO547" s="2" t="s">
        <v>31</v>
      </c>
      <c r="AP547" s="5" t="str">
        <f>Table2[[#This Row],[final_fate1]]</f>
        <v>D</v>
      </c>
      <c r="AQ547" s="6">
        <v>23</v>
      </c>
      <c r="AR547" s="7">
        <v>23</v>
      </c>
      <c r="AS547" s="7">
        <f>Table2[[#This Row],[final_obs_date]]-Table2[[#This Row],[init_date]]</f>
        <v>23</v>
      </c>
      <c r="AT547" s="7">
        <f>(Table2[[#This Row],[final_obs_date2]]-Table2[[#This Row],[estHD]])+16</f>
        <v>20</v>
      </c>
      <c r="AU547" s="38">
        <v>4</v>
      </c>
      <c r="AV547" s="33">
        <v>4</v>
      </c>
      <c r="AW547" s="33">
        <f>Table2[[#This Row],[final_obs_date2]]-Table2[[#This Row],[pen_obs_date]]</f>
        <v>69</v>
      </c>
      <c r="AX547" s="67">
        <v>69</v>
      </c>
      <c r="AY547" s="6">
        <f>Table2[[#This Row],[final_obs_date]]</f>
        <v>69</v>
      </c>
      <c r="AZ547" s="6"/>
      <c r="BA547" s="91" t="s">
        <v>47</v>
      </c>
      <c r="BB547" s="6" t="b">
        <f>Table2[[#This Row],[final_obs_date]]&lt;(Table2[[#This Row],[estHD]]-2)</f>
        <v>0</v>
      </c>
      <c r="BC547" s="24">
        <f>IF(Table2[[#This Row],[field_fate]]="H",1,0)</f>
        <v>0</v>
      </c>
      <c r="BD547" s="16">
        <f>IF(Table2[[#This Row],[cam_fate2]]="H",1,0)</f>
        <v>0</v>
      </c>
      <c r="BE547" s="6" t="b">
        <f>NOT(Table2[[#This Row],[HF_C]]=Table2[[#This Row],[HF]])</f>
        <v>0</v>
      </c>
      <c r="BF547" s="6" t="b">
        <f>NOT(Table2[[#This Row],[cam_fate2]]=Table2[[#This Row],[field_fate3]])</f>
        <v>1</v>
      </c>
      <c r="BG547" s="6" t="b">
        <f>OR(Table2[[#This Row],[field_fate3]]="U",Table2[[#This Row],[field_fate3]]="U-H")</f>
        <v>0</v>
      </c>
      <c r="BH547" s="8">
        <v>61</v>
      </c>
      <c r="BI547" s="8">
        <v>65</v>
      </c>
      <c r="BJ547" s="14">
        <f>IF(ISTEXT(Table2[[#This Row],[j.cam]]),Table2[[#This Row],[j]],Table2[[#This Row],[j.cam]])</f>
        <v>65</v>
      </c>
      <c r="BK547" s="9">
        <v>69</v>
      </c>
      <c r="BL547" s="15">
        <f>IF(ISTEXT(Table2[[#This Row],[k.cam]]), Table2[[#This Row],[k]], Table2[[#This Row],[k.cam]])</f>
        <v>69</v>
      </c>
      <c r="BM547" s="4" t="s">
        <v>24</v>
      </c>
      <c r="BN547" s="8" t="s">
        <v>24</v>
      </c>
      <c r="BO547" s="4">
        <v>3</v>
      </c>
      <c r="BP547" s="4">
        <f>Table2[[#This Row],[final_obs_date]]-Table2[[#This Row],[i]]</f>
        <v>8</v>
      </c>
      <c r="BQ547" s="4" t="b">
        <f>Table2[[#This Row],[final_obs_date2]]&gt;Table2[[#This Row],[estHD]]+3</f>
        <v>1</v>
      </c>
      <c r="BR547" s="4" t="s">
        <v>33</v>
      </c>
      <c r="BS547" s="4" t="s">
        <v>45</v>
      </c>
      <c r="BT547" s="79" t="s">
        <v>1340</v>
      </c>
      <c r="BU547" s="26" t="s">
        <v>132</v>
      </c>
      <c r="BV547" s="79" t="s">
        <v>1454</v>
      </c>
      <c r="BW547" s="49"/>
      <c r="BX547" s="47"/>
      <c r="BY547" s="36" t="s">
        <v>823</v>
      </c>
    </row>
    <row r="548" spans="1:77" hidden="1" x14ac:dyDescent="0.35">
      <c r="A548" s="64">
        <v>30069</v>
      </c>
      <c r="B548" s="2" t="s">
        <v>122</v>
      </c>
      <c r="C548" s="46">
        <v>2021</v>
      </c>
      <c r="D548" s="3">
        <v>29.757760000000001</v>
      </c>
      <c r="E548" s="3">
        <v>-93.116029999999995</v>
      </c>
      <c r="F548" s="3">
        <v>0</v>
      </c>
      <c r="G548" s="3">
        <v>0</v>
      </c>
      <c r="H548" s="3" t="s">
        <v>354</v>
      </c>
      <c r="I548" s="43"/>
      <c r="J548" s="55">
        <v>70</v>
      </c>
      <c r="K548" s="4">
        <v>72</v>
      </c>
      <c r="L548" s="22">
        <f>IF(ISNUMBER(Table2[[#This Row],[estHD]]),ABS(Table2[[#This Row],[HD]]-Table2[[#This Row],[estHD]]),"NA")</f>
        <v>2</v>
      </c>
      <c r="M548" s="4" t="b">
        <f>Table2[[#This Row],[HD]]=Table2[[#This Row],[estHD]]</f>
        <v>0</v>
      </c>
      <c r="N548" s="4" t="str">
        <f>IF(ISNUMBER([1]!Table2[[#This Row],[hatch_date]]),[1]!Table2[[#This Row],[hatch_date]]-19,"NA")</f>
        <v>NA</v>
      </c>
      <c r="O548" s="31">
        <v>53</v>
      </c>
      <c r="P548" s="23">
        <f>IF(ISNUMBER(Table2[[#This Row],[nest_age1]]),ABS(Table2[[#This Row],[nest_age1]]-Table2[[#This Row],[nest_age_feb]]),"NA")</f>
        <v>2</v>
      </c>
      <c r="Q548" s="24">
        <f>IF(ISNUMBER(Table2[[#This Row],[final_obs_int2]]),ABS(Table2[[#This Row],[final_obs_int2]]-Table2[[#This Row],[final_obs_int_feb]]), "NA")</f>
        <v>0</v>
      </c>
      <c r="R548" s="24"/>
      <c r="S548" s="57" t="s">
        <v>88</v>
      </c>
      <c r="T548" s="57" t="str">
        <f>Table2[[#This Row],[camera_old]]</f>
        <v>N</v>
      </c>
      <c r="U548" s="24"/>
      <c r="V548" s="16" t="s">
        <v>24</v>
      </c>
      <c r="W548" s="16">
        <v>21</v>
      </c>
      <c r="X548" s="145">
        <v>3</v>
      </c>
      <c r="Y548" s="147" t="s">
        <v>37</v>
      </c>
      <c r="Z548" s="146" t="s">
        <v>37</v>
      </c>
      <c r="AA548" s="4" t="str">
        <f>Table2[[#This Row],[field_fate]]</f>
        <v>H</v>
      </c>
      <c r="AB548" s="4" t="str">
        <f>Table2[[#This Row],[field_fate2]]</f>
        <v>H</v>
      </c>
      <c r="AC548" s="4" t="str">
        <f>Table2[[#This Row],[field_fate3]]</f>
        <v>H</v>
      </c>
      <c r="AD548" s="4" t="str">
        <f>Table2[[#This Row],[field_fate4]]</f>
        <v>H</v>
      </c>
      <c r="AE548" s="4" t="str">
        <f>Table2[[#This Row],[field_fate5]]</f>
        <v>H</v>
      </c>
      <c r="AF548" s="4" t="str">
        <f>Table2[[#This Row],[field_fate5]]</f>
        <v>H</v>
      </c>
      <c r="AG548" s="4" t="str">
        <f>Table2[[#This Row],[field_fate5]]</f>
        <v>H</v>
      </c>
      <c r="AH548" s="4" t="str">
        <f>Table2[[#This Row],[field_fate2]]</f>
        <v>H</v>
      </c>
      <c r="AI548" s="4" t="str">
        <f>Table2[[#This Row],[field_fate8]]</f>
        <v>H</v>
      </c>
      <c r="AJ548" s="4" t="str">
        <f>Table2[[#This Row],[field_fate10]]</f>
        <v>H</v>
      </c>
      <c r="AK548" s="4" t="b">
        <f>Table2[[#This Row],[field_fate_feb]]=Table2[[#This Row],[field_fate10]]</f>
        <v>1</v>
      </c>
      <c r="AL548" s="43" t="s">
        <v>24</v>
      </c>
      <c r="AM548" s="43" t="b">
        <f>Table2[[#This Row],[cam_fate2]]="NA"</f>
        <v>1</v>
      </c>
      <c r="AN548" s="19" t="str">
        <f>Table2[[#This Row],[cam_fate1]]</f>
        <v>NA</v>
      </c>
      <c r="AO548" s="2" t="s">
        <v>37</v>
      </c>
      <c r="AP548" s="5" t="str">
        <f>Table2[[#This Row],[final_fate1]]</f>
        <v>H</v>
      </c>
      <c r="AQ548" s="6">
        <v>19</v>
      </c>
      <c r="AR548" s="7">
        <v>21</v>
      </c>
      <c r="AS548" s="7">
        <f>Table2[[#This Row],[final_obs_date]]-Table2[[#This Row],[init_date]]</f>
        <v>19</v>
      </c>
      <c r="AT548" s="7">
        <f>(Table2[[#This Row],[final_obs_date2]]-Table2[[#This Row],[estHD]])+16</f>
        <v>18</v>
      </c>
      <c r="AU548" s="38">
        <v>3</v>
      </c>
      <c r="AV548" s="33">
        <v>3</v>
      </c>
      <c r="AW548" s="33">
        <f>Table2[[#This Row],[final_obs_date2]]-Table2[[#This Row],[pen_obs_date]]</f>
        <v>72</v>
      </c>
      <c r="AX548" s="67">
        <v>72</v>
      </c>
      <c r="AY548" s="6">
        <f>Table2[[#This Row],[final_obs_date]]</f>
        <v>72</v>
      </c>
      <c r="AZ548" s="6"/>
      <c r="BA548" s="91" t="s">
        <v>47</v>
      </c>
      <c r="BB548" s="6" t="b">
        <f>Table2[[#This Row],[final_obs_date]]&lt;(Table2[[#This Row],[estHD]]-2)</f>
        <v>0</v>
      </c>
      <c r="BC548" s="24">
        <f>IF(Table2[[#This Row],[field_fate]]="H",1,0)</f>
        <v>1</v>
      </c>
      <c r="BD548" s="16">
        <f>IF(Table2[[#This Row],[cam_fate2]]="H",1,0)</f>
        <v>0</v>
      </c>
      <c r="BE548" s="6" t="b">
        <f>NOT(Table2[[#This Row],[HF_C]]=Table2[[#This Row],[HF]])</f>
        <v>1</v>
      </c>
      <c r="BF548" s="6" t="b">
        <f>NOT(Table2[[#This Row],[cam_fate2]]=Table2[[#This Row],[field_fate3]])</f>
        <v>1</v>
      </c>
      <c r="BG548" s="6" t="b">
        <f>OR(Table2[[#This Row],[field_fate3]]="U",Table2[[#This Row],[field_fate3]]="U-H")</f>
        <v>0</v>
      </c>
      <c r="BH548" s="8">
        <v>61</v>
      </c>
      <c r="BI548" s="8">
        <v>72</v>
      </c>
      <c r="BJ548" s="14">
        <f>IF(ISTEXT(Table2[[#This Row],[j.cam]]),Table2[[#This Row],[j]],Table2[[#This Row],[j.cam]])</f>
        <v>72</v>
      </c>
      <c r="BK548" s="9">
        <v>72</v>
      </c>
      <c r="BL548" s="15">
        <f>IF(ISTEXT(Table2[[#This Row],[k.cam]]), Table2[[#This Row],[k]], Table2[[#This Row],[k.cam]])</f>
        <v>72</v>
      </c>
      <c r="BM548" s="4" t="s">
        <v>24</v>
      </c>
      <c r="BN548" s="8" t="s">
        <v>24</v>
      </c>
      <c r="BO548" s="4">
        <v>4</v>
      </c>
      <c r="BP548" s="4">
        <f>Table2[[#This Row],[final_obs_date]]-Table2[[#This Row],[i]]</f>
        <v>11</v>
      </c>
      <c r="BQ548" s="4" t="b">
        <f>Table2[[#This Row],[final_obs_date2]]&gt;Table2[[#This Row],[estHD]]+3</f>
        <v>0</v>
      </c>
      <c r="BR548" s="4" t="s">
        <v>27</v>
      </c>
      <c r="BS548" s="4" t="s">
        <v>139</v>
      </c>
      <c r="BT548" s="79" t="s">
        <v>1343</v>
      </c>
      <c r="BU548" s="26" t="s">
        <v>377</v>
      </c>
      <c r="BV548" s="79" t="s">
        <v>1659</v>
      </c>
      <c r="BW548" s="49"/>
      <c r="BX548" s="47"/>
      <c r="BY548" s="36" t="s">
        <v>824</v>
      </c>
    </row>
    <row r="549" spans="1:77" hidden="1" x14ac:dyDescent="0.35">
      <c r="A549" s="64">
        <v>30070</v>
      </c>
      <c r="B549" s="2" t="s">
        <v>122</v>
      </c>
      <c r="C549" s="46">
        <v>2021</v>
      </c>
      <c r="D549" s="3">
        <v>29.756440000000001</v>
      </c>
      <c r="E549" s="3">
        <v>-93.109399999999994</v>
      </c>
      <c r="F549" s="3">
        <v>0</v>
      </c>
      <c r="G549" s="3" t="s">
        <v>24</v>
      </c>
      <c r="H549" s="3" t="s">
        <v>354</v>
      </c>
      <c r="I549" s="43"/>
      <c r="J549" s="55">
        <v>70</v>
      </c>
      <c r="K549" s="4">
        <v>70</v>
      </c>
      <c r="L549" s="22">
        <f>IF(ISNUMBER(Table2[[#This Row],[estHD]]),ABS(Table2[[#This Row],[HD]]-Table2[[#This Row],[estHD]]),"NA")</f>
        <v>0</v>
      </c>
      <c r="M549" s="4" t="b">
        <f>Table2[[#This Row],[HD]]=Table2[[#This Row],[estHD]]</f>
        <v>1</v>
      </c>
      <c r="N549" s="4" t="str">
        <f>IF(ISNUMBER([1]!Table2[[#This Row],[hatch_date]]),[1]!Table2[[#This Row],[hatch_date]]-19,"NA")</f>
        <v>NA</v>
      </c>
      <c r="O549" s="31">
        <v>51</v>
      </c>
      <c r="P549" s="23" t="e">
        <f>IF(ISNUMBER(Table2[[#This Row],[nest_age1]]),ABS(Table2[[#This Row],[nest_age1]]-Table2[[#This Row],[nest_age_feb]]),"NA")</f>
        <v>#VALUE!</v>
      </c>
      <c r="Q549" s="24">
        <f>IF(ISNUMBER(Table2[[#This Row],[final_obs_int2]]),ABS(Table2[[#This Row],[final_obs_int2]]-Table2[[#This Row],[final_obs_int_feb]]), "NA")</f>
        <v>0</v>
      </c>
      <c r="R549" s="24"/>
      <c r="S549" s="57" t="s">
        <v>88</v>
      </c>
      <c r="T549" s="57" t="str">
        <f>Table2[[#This Row],[camera_old]]</f>
        <v>N</v>
      </c>
      <c r="U549" s="24"/>
      <c r="V549" s="16" t="s">
        <v>24</v>
      </c>
      <c r="W549" s="16" t="s">
        <v>24</v>
      </c>
      <c r="X549" s="145">
        <v>4</v>
      </c>
      <c r="Y549" s="147" t="s">
        <v>90</v>
      </c>
      <c r="Z549" s="146" t="s">
        <v>90</v>
      </c>
      <c r="AA549" s="4" t="str">
        <f>Table2[[#This Row],[field_fate]]</f>
        <v>U</v>
      </c>
      <c r="AB549" s="4" t="str">
        <f>Table2[[#This Row],[field_fate2]]</f>
        <v>U</v>
      </c>
      <c r="AC549" s="4" t="str">
        <f>Table2[[#This Row],[field_fate3]]</f>
        <v>U</v>
      </c>
      <c r="AD549" s="4" t="str">
        <f>Table2[[#This Row],[field_fate4]]</f>
        <v>U</v>
      </c>
      <c r="AE549" s="4" t="str">
        <f>Table2[[#This Row],[field_fate5]]</f>
        <v>U</v>
      </c>
      <c r="AF549" s="4" t="str">
        <f>Table2[[#This Row],[field_fate5]]</f>
        <v>U</v>
      </c>
      <c r="AG549" s="4" t="str">
        <f>Table2[[#This Row],[field_fate5]]</f>
        <v>U</v>
      </c>
      <c r="AH549" s="4" t="str">
        <f>Table2[[#This Row],[field_fate2]]</f>
        <v>U</v>
      </c>
      <c r="AI549" s="4" t="str">
        <f>Table2[[#This Row],[field_fate8]]</f>
        <v>U</v>
      </c>
      <c r="AJ549" s="4" t="str">
        <f>Table2[[#This Row],[field_fate10]]</f>
        <v>U</v>
      </c>
      <c r="AK549" s="4" t="b">
        <f>Table2[[#This Row],[field_fate_feb]]=Table2[[#This Row],[field_fate10]]</f>
        <v>1</v>
      </c>
      <c r="AL549" s="43" t="s">
        <v>24</v>
      </c>
      <c r="AM549" s="43" t="b">
        <f>Table2[[#This Row],[cam_fate2]]="NA"</f>
        <v>1</v>
      </c>
      <c r="AN549" s="19" t="str">
        <f>Table2[[#This Row],[cam_fate1]]</f>
        <v>NA</v>
      </c>
      <c r="AO549" s="2" t="s">
        <v>90</v>
      </c>
      <c r="AP549" s="5" t="str">
        <f>Table2[[#This Row],[final_fate1]]</f>
        <v>U</v>
      </c>
      <c r="AQ549" s="6">
        <v>14</v>
      </c>
      <c r="AR549" s="7">
        <v>14</v>
      </c>
      <c r="AS549" s="7">
        <f>Table2[[#This Row],[final_obs_date]]-Table2[[#This Row],[init_date]]</f>
        <v>14</v>
      </c>
      <c r="AT549" s="7">
        <f>(Table2[[#This Row],[final_obs_date2]]-Table2[[#This Row],[estHD]])+16</f>
        <v>11</v>
      </c>
      <c r="AU549" s="38">
        <v>4</v>
      </c>
      <c r="AV549" s="33">
        <v>4</v>
      </c>
      <c r="AW549" s="33">
        <f>Table2[[#This Row],[final_obs_date2]]-Table2[[#This Row],[pen_obs_date]]</f>
        <v>65</v>
      </c>
      <c r="AX549" s="67">
        <v>65</v>
      </c>
      <c r="AY549" s="6">
        <f>Table2[[#This Row],[final_obs_date]]</f>
        <v>65</v>
      </c>
      <c r="AZ549" s="6"/>
      <c r="BA549" s="91" t="s">
        <v>47</v>
      </c>
      <c r="BB549" s="6" t="b">
        <f>Table2[[#This Row],[final_obs_date]]&lt;(Table2[[#This Row],[estHD]]-2)</f>
        <v>1</v>
      </c>
      <c r="BC549" s="24">
        <f>IF(Table2[[#This Row],[field_fate]]="H",1,0)</f>
        <v>0</v>
      </c>
      <c r="BD549" s="16">
        <f>IF(Table2[[#This Row],[cam_fate2]]="H",1,0)</f>
        <v>0</v>
      </c>
      <c r="BE549" s="6" t="b">
        <f>NOT(Table2[[#This Row],[HF_C]]=Table2[[#This Row],[HF]])</f>
        <v>0</v>
      </c>
      <c r="BF549" s="6" t="b">
        <f>NOT(Table2[[#This Row],[cam_fate2]]=Table2[[#This Row],[field_fate3]])</f>
        <v>1</v>
      </c>
      <c r="BG549" s="6" t="b">
        <f>OR(Table2[[#This Row],[field_fate3]]="U",Table2[[#This Row],[field_fate3]]="U-H")</f>
        <v>1</v>
      </c>
      <c r="BH549" s="8">
        <v>61</v>
      </c>
      <c r="BI549" s="8">
        <v>61</v>
      </c>
      <c r="BJ549" s="14">
        <f>IF(ISTEXT(Table2[[#This Row],[j.cam]]),Table2[[#This Row],[j]],Table2[[#This Row],[j.cam]])</f>
        <v>61</v>
      </c>
      <c r="BK549" s="9">
        <v>65</v>
      </c>
      <c r="BL549" s="15">
        <f>IF(ISTEXT(Table2[[#This Row],[k.cam]]), Table2[[#This Row],[k]], Table2[[#This Row],[k.cam]])</f>
        <v>65</v>
      </c>
      <c r="BM549" s="4" t="s">
        <v>24</v>
      </c>
      <c r="BN549" s="8" t="s">
        <v>24</v>
      </c>
      <c r="BO549" s="4">
        <v>2</v>
      </c>
      <c r="BP549" s="4">
        <f>Table2[[#This Row],[final_obs_date]]-Table2[[#This Row],[i]]</f>
        <v>4</v>
      </c>
      <c r="BQ549" s="4" t="b">
        <f>Table2[[#This Row],[final_obs_date2]]&gt;Table2[[#This Row],[estHD]]+3</f>
        <v>0</v>
      </c>
      <c r="BR549" s="4" t="s">
        <v>33</v>
      </c>
      <c r="BS549" s="4" t="s">
        <v>45</v>
      </c>
      <c r="BT549" s="79" t="s">
        <v>1341</v>
      </c>
      <c r="BU549" s="26" t="s">
        <v>87</v>
      </c>
      <c r="BV549" s="79" t="s">
        <v>1429</v>
      </c>
      <c r="BW549" s="49"/>
      <c r="BX549" s="47"/>
      <c r="BY549" s="36" t="s">
        <v>24</v>
      </c>
    </row>
    <row r="550" spans="1:77" hidden="1" x14ac:dyDescent="0.35">
      <c r="A550" s="64">
        <v>30071</v>
      </c>
      <c r="B550" s="2" t="s">
        <v>35</v>
      </c>
      <c r="C550" s="46">
        <v>2021</v>
      </c>
      <c r="D550" s="3">
        <v>29.7727</v>
      </c>
      <c r="E550" s="3">
        <v>-93.182760000000002</v>
      </c>
      <c r="F550" s="3">
        <v>60</v>
      </c>
      <c r="G550" s="3">
        <v>60</v>
      </c>
      <c r="H550" s="3" t="s">
        <v>26</v>
      </c>
      <c r="I550" s="43"/>
      <c r="J550" s="55">
        <v>90</v>
      </c>
      <c r="K550" s="4">
        <v>90</v>
      </c>
      <c r="L550" s="22">
        <f>IF(ISNUMBER(Table2[[#This Row],[estHD]]),ABS(Table2[[#This Row],[HD]]-Table2[[#This Row],[estHD]]),"NA")</f>
        <v>0</v>
      </c>
      <c r="M550" s="4" t="b">
        <f>Table2[[#This Row],[HD]]=Table2[[#This Row],[estHD]]</f>
        <v>1</v>
      </c>
      <c r="N550" s="4" t="str">
        <f>IF(ISNUMBER([1]!Table2[[#This Row],[hatch_date]]), [1]!Table2[[#This Row],[hatch_date]]-28, "NA")</f>
        <v>NA</v>
      </c>
      <c r="O550" s="31">
        <v>62</v>
      </c>
      <c r="P550" s="23" t="e">
        <f>IF(ISNUMBER(Table2[[#This Row],[nest_age1]]),ABS(Table2[[#This Row],[nest_age1]]-Table2[[#This Row],[nest_age_feb]]),"NA")</f>
        <v>#VALUE!</v>
      </c>
      <c r="Q550" s="24">
        <f>IF(ISNUMBER(Table2[[#This Row],[final_obs_int2]]),ABS(Table2[[#This Row],[final_obs_int2]]-Table2[[#This Row],[final_obs_int_feb]]), "NA")</f>
        <v>0</v>
      </c>
      <c r="R550" s="24"/>
      <c r="S550" s="57" t="s">
        <v>88</v>
      </c>
      <c r="T550" s="57" t="str">
        <f>Table2[[#This Row],[camera_old]]</f>
        <v>N</v>
      </c>
      <c r="U550" s="24"/>
      <c r="V550" s="16" t="s">
        <v>24</v>
      </c>
      <c r="W550" s="16" t="s">
        <v>24</v>
      </c>
      <c r="X550" s="145">
        <v>4</v>
      </c>
      <c r="Y550" s="147" t="s">
        <v>48</v>
      </c>
      <c r="Z550" s="146" t="s">
        <v>48</v>
      </c>
      <c r="AA550" s="4" t="str">
        <f>Table2[[#This Row],[field_fate]]</f>
        <v>F</v>
      </c>
      <c r="AB550" s="4" t="str">
        <f>Table2[[#This Row],[field_fate2]]</f>
        <v>F</v>
      </c>
      <c r="AC550" s="4" t="str">
        <f>Table2[[#This Row],[field_fate3]]</f>
        <v>F</v>
      </c>
      <c r="AD550" s="4" t="str">
        <f>Table2[[#This Row],[field_fate4]]</f>
        <v>F</v>
      </c>
      <c r="AE550" s="4" t="str">
        <f>Table2[[#This Row],[field_fate5]]</f>
        <v>F</v>
      </c>
      <c r="AF550" s="4" t="str">
        <f>Table2[[#This Row],[field_fate5]]</f>
        <v>F</v>
      </c>
      <c r="AG550" s="4" t="str">
        <f>Table2[[#This Row],[field_fate5]]</f>
        <v>F</v>
      </c>
      <c r="AH550" s="4" t="str">
        <f>Table2[[#This Row],[field_fate2]]</f>
        <v>F</v>
      </c>
      <c r="AI550" s="4" t="str">
        <f>Table2[[#This Row],[field_fate8]]</f>
        <v>F</v>
      </c>
      <c r="AJ550" s="4" t="str">
        <f>Table2[[#This Row],[field_fate10]]</f>
        <v>F</v>
      </c>
      <c r="AK550" s="4" t="b">
        <f>Table2[[#This Row],[field_fate_feb]]=Table2[[#This Row],[field_fate10]]</f>
        <v>1</v>
      </c>
      <c r="AL550" s="43" t="s">
        <v>24</v>
      </c>
      <c r="AM550" s="43" t="b">
        <f>Table2[[#This Row],[cam_fate2]]="NA"</f>
        <v>1</v>
      </c>
      <c r="AN550" s="19" t="str">
        <f>Table2[[#This Row],[cam_fate1]]</f>
        <v>NA</v>
      </c>
      <c r="AO550" s="2" t="s">
        <v>48</v>
      </c>
      <c r="AP550" s="5" t="str">
        <f>Table2[[#This Row],[final_fate1]]</f>
        <v>F</v>
      </c>
      <c r="AQ550" s="6">
        <v>7</v>
      </c>
      <c r="AR550" s="7">
        <v>7</v>
      </c>
      <c r="AS550" s="7">
        <f>Table2[[#This Row],[final_obs_date]]-Table2[[#This Row],[init_date]]</f>
        <v>7</v>
      </c>
      <c r="AT550" s="7">
        <f>(Table2[[#This Row],[final_obs_date2]]-Table2[[#This Row],[estHD]])+16</f>
        <v>-5</v>
      </c>
      <c r="AU550" s="38">
        <v>4</v>
      </c>
      <c r="AV550" s="33">
        <v>4</v>
      </c>
      <c r="AW550" s="33">
        <f>Table2[[#This Row],[final_obs_date2]]-Table2[[#This Row],[pen_obs_date]]</f>
        <v>69</v>
      </c>
      <c r="AX550" s="67">
        <v>69</v>
      </c>
      <c r="AY550" s="6">
        <f>Table2[[#This Row],[final_obs_date]]</f>
        <v>69</v>
      </c>
      <c r="AZ550" s="6"/>
      <c r="BA550" s="91" t="s">
        <v>23</v>
      </c>
      <c r="BB550" s="6" t="b">
        <f>Table2[[#This Row],[final_obs_date]]&lt;(Table2[[#This Row],[estHD]]-2)</f>
        <v>1</v>
      </c>
      <c r="BC550" s="24">
        <f>IF(Table2[[#This Row],[field_fate]]="H",1,0)</f>
        <v>0</v>
      </c>
      <c r="BD550" s="16">
        <f>IF(Table2[[#This Row],[cam_fate2]]="H",1,0)</f>
        <v>0</v>
      </c>
      <c r="BE550" s="6" t="b">
        <f>NOT(Table2[[#This Row],[HF_C]]=Table2[[#This Row],[HF]])</f>
        <v>0</v>
      </c>
      <c r="BF550" s="6" t="b">
        <f>NOT(Table2[[#This Row],[cam_fate2]]=Table2[[#This Row],[field_fate3]])</f>
        <v>1</v>
      </c>
      <c r="BG550" s="6" t="b">
        <f>OR(Table2[[#This Row],[field_fate3]]="U",Table2[[#This Row],[field_fate3]]="U-H")</f>
        <v>0</v>
      </c>
      <c r="BH550" s="8">
        <v>65</v>
      </c>
      <c r="BI550" s="8">
        <v>65</v>
      </c>
      <c r="BJ550" s="14">
        <f>IF(ISTEXT(Table2[[#This Row],[j.cam]]),Table2[[#This Row],[j]],Table2[[#This Row],[j.cam]])</f>
        <v>65</v>
      </c>
      <c r="BK550" s="9">
        <v>69</v>
      </c>
      <c r="BL550" s="15">
        <f>IF(ISTEXT(Table2[[#This Row],[k.cam]]), Table2[[#This Row],[k]], Table2[[#This Row],[k.cam]])</f>
        <v>69</v>
      </c>
      <c r="BM550" s="4" t="s">
        <v>24</v>
      </c>
      <c r="BN550" s="8" t="s">
        <v>24</v>
      </c>
      <c r="BO550" s="4">
        <v>2</v>
      </c>
      <c r="BP550" s="4">
        <f>Table2[[#This Row],[final_obs_date]]-Table2[[#This Row],[i]]</f>
        <v>4</v>
      </c>
      <c r="BQ550" s="4" t="b">
        <f>Table2[[#This Row],[final_obs_date2]]&gt;Table2[[#This Row],[estHD]]+3</f>
        <v>0</v>
      </c>
      <c r="BR550" s="4" t="s">
        <v>27</v>
      </c>
      <c r="BS550" s="4" t="s">
        <v>45</v>
      </c>
      <c r="BT550" s="79" t="s">
        <v>1345</v>
      </c>
      <c r="BU550" s="26" t="s">
        <v>183</v>
      </c>
      <c r="BV550" s="79" t="s">
        <v>1429</v>
      </c>
      <c r="BW550" s="49"/>
      <c r="BX550" s="47"/>
      <c r="BY550" s="36" t="s">
        <v>825</v>
      </c>
    </row>
    <row r="551" spans="1:77" hidden="1" x14ac:dyDescent="0.35">
      <c r="A551" s="64">
        <v>30072</v>
      </c>
      <c r="B551" s="2" t="s">
        <v>122</v>
      </c>
      <c r="C551" s="46">
        <v>2021</v>
      </c>
      <c r="D551" s="3">
        <v>29.758669999999999</v>
      </c>
      <c r="E551" s="3">
        <v>-93.118870000000001</v>
      </c>
      <c r="F551" s="3">
        <v>0</v>
      </c>
      <c r="G551" s="3">
        <v>0</v>
      </c>
      <c r="H551" s="3" t="s">
        <v>354</v>
      </c>
      <c r="I551" s="43"/>
      <c r="J551" s="55">
        <v>78</v>
      </c>
      <c r="K551" s="4">
        <v>78</v>
      </c>
      <c r="L551" s="22">
        <f>IF(ISNUMBER(Table2[[#This Row],[estHD]]),ABS(Table2[[#This Row],[HD]]-Table2[[#This Row],[estHD]]),"NA")</f>
        <v>0</v>
      </c>
      <c r="M551" s="4" t="b">
        <f>Table2[[#This Row],[HD]]=Table2[[#This Row],[estHD]]</f>
        <v>1</v>
      </c>
      <c r="N551" s="4" t="str">
        <f>IF(ISNUMBER([1]!Table2[[#This Row],[hatch_date]]),[1]!Table2[[#This Row],[hatch_date]]-19,"NA")</f>
        <v>NA</v>
      </c>
      <c r="O551" s="31">
        <v>59</v>
      </c>
      <c r="P551" s="23">
        <f>IF(ISNUMBER(Table2[[#This Row],[nest_age1]]),ABS(Table2[[#This Row],[nest_age1]]-Table2[[#This Row],[nest_age_feb]]),"NA")</f>
        <v>0</v>
      </c>
      <c r="Q551" s="24">
        <f>IF(ISNUMBER(Table2[[#This Row],[final_obs_int2]]),ABS(Table2[[#This Row],[final_obs_int2]]-Table2[[#This Row],[final_obs_int_feb]]), "NA")</f>
        <v>0</v>
      </c>
      <c r="R551" s="24"/>
      <c r="S551" s="57" t="s">
        <v>88</v>
      </c>
      <c r="T551" s="57" t="str">
        <f>Table2[[#This Row],[camera_old]]</f>
        <v>N</v>
      </c>
      <c r="U551" s="24"/>
      <c r="V551" s="16" t="s">
        <v>24</v>
      </c>
      <c r="W551" s="16">
        <v>18</v>
      </c>
      <c r="X551" s="145">
        <v>5</v>
      </c>
      <c r="Y551" s="147" t="s">
        <v>48</v>
      </c>
      <c r="Z551" s="146" t="s">
        <v>48</v>
      </c>
      <c r="AA551" s="4" t="str">
        <f>Table2[[#This Row],[field_fate]]</f>
        <v>F</v>
      </c>
      <c r="AB551" s="4" t="str">
        <f>Table2[[#This Row],[field_fate2]]</f>
        <v>F</v>
      </c>
      <c r="AC551" s="4" t="str">
        <f>Table2[[#This Row],[field_fate3]]</f>
        <v>F</v>
      </c>
      <c r="AD551" s="4" t="str">
        <f>Table2[[#This Row],[field_fate4]]</f>
        <v>F</v>
      </c>
      <c r="AE551" s="4" t="str">
        <f>Table2[[#This Row],[field_fate5]]</f>
        <v>F</v>
      </c>
      <c r="AF551" s="4" t="str">
        <f>Table2[[#This Row],[field_fate5]]</f>
        <v>F</v>
      </c>
      <c r="AG551" s="4" t="str">
        <f>Table2[[#This Row],[field_fate5]]</f>
        <v>F</v>
      </c>
      <c r="AH551" s="4" t="str">
        <f>Table2[[#This Row],[field_fate2]]</f>
        <v>F</v>
      </c>
      <c r="AI551" s="4" t="str">
        <f>Table2[[#This Row],[field_fate8]]</f>
        <v>F</v>
      </c>
      <c r="AJ551" s="4" t="str">
        <f>Table2[[#This Row],[field_fate10]]</f>
        <v>F</v>
      </c>
      <c r="AK551" s="4" t="b">
        <f>Table2[[#This Row],[field_fate_feb]]=Table2[[#This Row],[field_fate10]]</f>
        <v>1</v>
      </c>
      <c r="AL551" s="43" t="s">
        <v>24</v>
      </c>
      <c r="AM551" s="43" t="b">
        <f>Table2[[#This Row],[cam_fate2]]="NA"</f>
        <v>1</v>
      </c>
      <c r="AN551" s="19" t="str">
        <f>Table2[[#This Row],[cam_fate1]]</f>
        <v>NA</v>
      </c>
      <c r="AO551" s="2" t="s">
        <v>48</v>
      </c>
      <c r="AP551" s="5" t="str">
        <f>Table2[[#This Row],[final_fate1]]</f>
        <v>F</v>
      </c>
      <c r="AQ551" s="6">
        <v>18</v>
      </c>
      <c r="AR551" s="7">
        <v>18</v>
      </c>
      <c r="AS551" s="7">
        <f>Table2[[#This Row],[final_obs_date]]-Table2[[#This Row],[init_date]]</f>
        <v>18</v>
      </c>
      <c r="AT551" s="7">
        <f>(Table2[[#This Row],[final_obs_date2]]-Table2[[#This Row],[estHD]])+16</f>
        <v>15</v>
      </c>
      <c r="AU551" s="38">
        <v>5</v>
      </c>
      <c r="AV551" s="33">
        <v>5</v>
      </c>
      <c r="AW551" s="33">
        <f>Table2[[#This Row],[final_obs_date2]]-Table2[[#This Row],[pen_obs_date]]</f>
        <v>77</v>
      </c>
      <c r="AX551" s="67">
        <v>77</v>
      </c>
      <c r="AY551" s="6">
        <f>Table2[[#This Row],[final_obs_date]]</f>
        <v>77</v>
      </c>
      <c r="AZ551" s="6"/>
      <c r="BA551" s="91" t="s">
        <v>47</v>
      </c>
      <c r="BB551" s="6" t="b">
        <f>Table2[[#This Row],[final_obs_date]]&lt;(Table2[[#This Row],[estHD]]-2)</f>
        <v>0</v>
      </c>
      <c r="BC551" s="24">
        <f>IF(Table2[[#This Row],[field_fate]]="H",1,0)</f>
        <v>0</v>
      </c>
      <c r="BD551" s="16">
        <f>IF(Table2[[#This Row],[cam_fate2]]="H",1,0)</f>
        <v>0</v>
      </c>
      <c r="BE551" s="6" t="b">
        <f>NOT(Table2[[#This Row],[HF_C]]=Table2[[#This Row],[HF]])</f>
        <v>0</v>
      </c>
      <c r="BF551" s="6" t="b">
        <f>NOT(Table2[[#This Row],[cam_fate2]]=Table2[[#This Row],[field_fate3]])</f>
        <v>1</v>
      </c>
      <c r="BG551" s="6" t="b">
        <f>OR(Table2[[#This Row],[field_fate3]]="U",Table2[[#This Row],[field_fate3]]="U-H")</f>
        <v>0</v>
      </c>
      <c r="BH551" s="8">
        <v>65</v>
      </c>
      <c r="BI551" s="8">
        <v>72</v>
      </c>
      <c r="BJ551" s="14">
        <f>IF(ISTEXT(Table2[[#This Row],[j.cam]]),Table2[[#This Row],[j]],Table2[[#This Row],[j.cam]])</f>
        <v>72</v>
      </c>
      <c r="BK551" s="9">
        <v>77</v>
      </c>
      <c r="BL551" s="15">
        <f>IF(ISTEXT(Table2[[#This Row],[k.cam]]), Table2[[#This Row],[k]], Table2[[#This Row],[k.cam]])</f>
        <v>77</v>
      </c>
      <c r="BM551" s="4" t="s">
        <v>24</v>
      </c>
      <c r="BN551" s="8" t="s">
        <v>24</v>
      </c>
      <c r="BO551" s="4">
        <v>4</v>
      </c>
      <c r="BP551" s="4">
        <f>Table2[[#This Row],[final_obs_date]]-Table2[[#This Row],[i]]</f>
        <v>12</v>
      </c>
      <c r="BQ551" s="4" t="b">
        <f>Table2[[#This Row],[final_obs_date2]]&gt;Table2[[#This Row],[estHD]]+3</f>
        <v>0</v>
      </c>
      <c r="BR551" s="4" t="s">
        <v>27</v>
      </c>
      <c r="BS551" s="4" t="s">
        <v>45</v>
      </c>
      <c r="BT551" s="79" t="s">
        <v>1346</v>
      </c>
      <c r="BU551" s="26" t="s">
        <v>106</v>
      </c>
      <c r="BV551" s="79" t="s">
        <v>1661</v>
      </c>
      <c r="BW551" s="49"/>
      <c r="BX551" s="47"/>
      <c r="BY551" s="36" t="s">
        <v>24</v>
      </c>
    </row>
    <row r="552" spans="1:77" hidden="1" x14ac:dyDescent="0.35">
      <c r="A552" s="64">
        <v>30073</v>
      </c>
      <c r="B552" s="2" t="s">
        <v>122</v>
      </c>
      <c r="C552" s="46">
        <v>2021</v>
      </c>
      <c r="D552" s="3">
        <v>29.756399999999999</v>
      </c>
      <c r="E552" s="3">
        <v>-93.109840000000005</v>
      </c>
      <c r="F552" s="3">
        <v>0</v>
      </c>
      <c r="G552" s="3">
        <v>0</v>
      </c>
      <c r="H552" s="3" t="s">
        <v>354</v>
      </c>
      <c r="I552" s="43"/>
      <c r="J552" s="55">
        <v>78</v>
      </c>
      <c r="K552" s="4">
        <v>78</v>
      </c>
      <c r="L552" s="22">
        <f>IF(ISNUMBER(Table2[[#This Row],[estHD]]),ABS(Table2[[#This Row],[HD]]-Table2[[#This Row],[estHD]]),"NA")</f>
        <v>0</v>
      </c>
      <c r="M552" s="4" t="b">
        <f>Table2[[#This Row],[HD]]=Table2[[#This Row],[estHD]]</f>
        <v>1</v>
      </c>
      <c r="N552" s="4" t="str">
        <f>IF(ISNUMBER([1]!Table2[[#This Row],[hatch_date]]),[1]!Table2[[#This Row],[hatch_date]]-19,"NA")</f>
        <v>NA</v>
      </c>
      <c r="O552" s="31">
        <v>59</v>
      </c>
      <c r="P552" s="23" t="e">
        <f>IF(ISNUMBER(Table2[[#This Row],[nest_age1]]),ABS(Table2[[#This Row],[nest_age1]]-Table2[[#This Row],[nest_age_feb]]),"NA")</f>
        <v>#VALUE!</v>
      </c>
      <c r="Q552" s="24">
        <f>IF(ISNUMBER(Table2[[#This Row],[final_obs_int2]]),ABS(Table2[[#This Row],[final_obs_int2]]-Table2[[#This Row],[final_obs_int_feb]]), "NA")</f>
        <v>0</v>
      </c>
      <c r="R552" s="24"/>
      <c r="S552" s="57" t="s">
        <v>88</v>
      </c>
      <c r="T552" s="57" t="str">
        <f>Table2[[#This Row],[camera_old]]</f>
        <v>N</v>
      </c>
      <c r="U552" s="24"/>
      <c r="V552" s="16" t="s">
        <v>24</v>
      </c>
      <c r="W552" s="16" t="s">
        <v>24</v>
      </c>
      <c r="X552" s="145">
        <v>4</v>
      </c>
      <c r="Y552" s="147" t="s">
        <v>90</v>
      </c>
      <c r="Z552" s="146" t="s">
        <v>90</v>
      </c>
      <c r="AA552" s="4" t="str">
        <f>Table2[[#This Row],[field_fate]]</f>
        <v>U</v>
      </c>
      <c r="AB552" s="4" t="str">
        <f>Table2[[#This Row],[field_fate2]]</f>
        <v>U</v>
      </c>
      <c r="AC552" s="4" t="str">
        <f>Table2[[#This Row],[field_fate3]]</f>
        <v>U</v>
      </c>
      <c r="AD552" s="4" t="str">
        <f>Table2[[#This Row],[field_fate4]]</f>
        <v>U</v>
      </c>
      <c r="AE552" s="4" t="str">
        <f>Table2[[#This Row],[field_fate5]]</f>
        <v>U</v>
      </c>
      <c r="AF552" s="4" t="str">
        <f>Table2[[#This Row],[field_fate5]]</f>
        <v>U</v>
      </c>
      <c r="AG552" s="4" t="str">
        <f>Table2[[#This Row],[field_fate5]]</f>
        <v>U</v>
      </c>
      <c r="AH552" s="4" t="str">
        <f>Table2[[#This Row],[field_fate2]]</f>
        <v>U</v>
      </c>
      <c r="AI552" s="4" t="str">
        <f>Table2[[#This Row],[field_fate8]]</f>
        <v>U</v>
      </c>
      <c r="AJ552" s="4" t="str">
        <f>Table2[[#This Row],[field_fate10]]</f>
        <v>U</v>
      </c>
      <c r="AK552" s="4" t="b">
        <f>Table2[[#This Row],[field_fate_feb]]=Table2[[#This Row],[field_fate10]]</f>
        <v>1</v>
      </c>
      <c r="AL552" s="43" t="s">
        <v>24</v>
      </c>
      <c r="AM552" s="43" t="b">
        <f>Table2[[#This Row],[cam_fate2]]="NA"</f>
        <v>1</v>
      </c>
      <c r="AN552" s="19" t="str">
        <f>Table2[[#This Row],[cam_fate1]]</f>
        <v>NA</v>
      </c>
      <c r="AO552" s="2" t="s">
        <v>90</v>
      </c>
      <c r="AP552" s="5" t="str">
        <f>Table2[[#This Row],[final_fate1]]</f>
        <v>U</v>
      </c>
      <c r="AQ552" s="6">
        <v>10</v>
      </c>
      <c r="AR552" s="7">
        <v>10</v>
      </c>
      <c r="AS552" s="7">
        <f>Table2[[#This Row],[final_obs_date]]-Table2[[#This Row],[init_date]]</f>
        <v>10</v>
      </c>
      <c r="AT552" s="7">
        <f>(Table2[[#This Row],[final_obs_date2]]-Table2[[#This Row],[estHD]])+16</f>
        <v>7</v>
      </c>
      <c r="AU552" s="38">
        <v>4</v>
      </c>
      <c r="AV552" s="33">
        <v>4</v>
      </c>
      <c r="AW552" s="33">
        <f>Table2[[#This Row],[final_obs_date2]]-Table2[[#This Row],[pen_obs_date]]</f>
        <v>69</v>
      </c>
      <c r="AX552" s="67">
        <v>69</v>
      </c>
      <c r="AY552" s="6">
        <f>Table2[[#This Row],[final_obs_date]]</f>
        <v>69</v>
      </c>
      <c r="AZ552" s="6"/>
      <c r="BA552" s="91" t="s">
        <v>47</v>
      </c>
      <c r="BB552" s="6" t="b">
        <f>Table2[[#This Row],[final_obs_date]]&lt;(Table2[[#This Row],[estHD]]-2)</f>
        <v>1</v>
      </c>
      <c r="BC552" s="24">
        <f>IF(Table2[[#This Row],[field_fate]]="H",1,0)</f>
        <v>0</v>
      </c>
      <c r="BD552" s="16">
        <f>IF(Table2[[#This Row],[cam_fate2]]="H",1,0)</f>
        <v>0</v>
      </c>
      <c r="BE552" s="6" t="b">
        <f>NOT(Table2[[#This Row],[HF_C]]=Table2[[#This Row],[HF]])</f>
        <v>0</v>
      </c>
      <c r="BF552" s="6" t="b">
        <f>NOT(Table2[[#This Row],[cam_fate2]]=Table2[[#This Row],[field_fate3]])</f>
        <v>1</v>
      </c>
      <c r="BG552" s="6" t="b">
        <f>OR(Table2[[#This Row],[field_fate3]]="U",Table2[[#This Row],[field_fate3]]="U-H")</f>
        <v>1</v>
      </c>
      <c r="BH552" s="8">
        <v>65</v>
      </c>
      <c r="BI552" s="8">
        <v>65</v>
      </c>
      <c r="BJ552" s="14">
        <f>IF(ISTEXT(Table2[[#This Row],[j.cam]]),Table2[[#This Row],[j]],Table2[[#This Row],[j.cam]])</f>
        <v>65</v>
      </c>
      <c r="BK552" s="9">
        <v>69</v>
      </c>
      <c r="BL552" s="15">
        <f>IF(ISTEXT(Table2[[#This Row],[k.cam]]), Table2[[#This Row],[k]], Table2[[#This Row],[k.cam]])</f>
        <v>69</v>
      </c>
      <c r="BM552" s="4" t="s">
        <v>24</v>
      </c>
      <c r="BN552" s="8" t="s">
        <v>24</v>
      </c>
      <c r="BO552" s="4">
        <v>2</v>
      </c>
      <c r="BP552" s="4">
        <f>Table2[[#This Row],[final_obs_date]]-Table2[[#This Row],[i]]</f>
        <v>4</v>
      </c>
      <c r="BQ552" s="4" t="b">
        <f>Table2[[#This Row],[final_obs_date2]]&gt;Table2[[#This Row],[estHD]]+3</f>
        <v>0</v>
      </c>
      <c r="BR552" s="4" t="s">
        <v>33</v>
      </c>
      <c r="BS552" s="4" t="s">
        <v>378</v>
      </c>
      <c r="BT552" s="79" t="s">
        <v>1345</v>
      </c>
      <c r="BU552" s="26" t="s">
        <v>379</v>
      </c>
      <c r="BV552" s="79" t="s">
        <v>1429</v>
      </c>
      <c r="BW552" s="49"/>
      <c r="BX552" s="47"/>
      <c r="BY552" s="36" t="s">
        <v>826</v>
      </c>
    </row>
    <row r="553" spans="1:77" hidden="1" x14ac:dyDescent="0.35">
      <c r="A553" s="64">
        <v>30074</v>
      </c>
      <c r="B553" s="2" t="s">
        <v>157</v>
      </c>
      <c r="C553" s="46">
        <v>2021</v>
      </c>
      <c r="D553" s="3">
        <v>29.766539999999999</v>
      </c>
      <c r="E553" s="3">
        <v>-93.388189999999994</v>
      </c>
      <c r="F553" s="3">
        <v>0</v>
      </c>
      <c r="G553" s="3">
        <v>10</v>
      </c>
      <c r="H553" s="3" t="s">
        <v>354</v>
      </c>
      <c r="I553" s="43"/>
      <c r="J553" s="55">
        <v>81</v>
      </c>
      <c r="K553" s="4">
        <v>83</v>
      </c>
      <c r="L553" s="22">
        <f>IF(ISNUMBER(Table2[[#This Row],[estHD]]),ABS(Table2[[#This Row],[HD]]-Table2[[#This Row],[estHD]]),"NA")</f>
        <v>2</v>
      </c>
      <c r="M553" s="4" t="b">
        <f>Table2[[#This Row],[HD]]=Table2[[#This Row],[estHD]]</f>
        <v>0</v>
      </c>
      <c r="N553" s="4" t="str">
        <f>IF(ISNUMBER([1]!Table2[[#This Row],[hatch_date]]),[1]!Table2[[#This Row],[hatch_date]]-19,"NA")</f>
        <v>NA</v>
      </c>
      <c r="O553" s="31">
        <v>64</v>
      </c>
      <c r="P553" s="23">
        <f>IF(ISNUMBER(Table2[[#This Row],[nest_age1]]),ABS(Table2[[#This Row],[nest_age1]]-Table2[[#This Row],[nest_age_feb]]),"NA")</f>
        <v>1</v>
      </c>
      <c r="Q553" s="24">
        <f>IF(ISNUMBER(Table2[[#This Row],[final_obs_int2]]),ABS(Table2[[#This Row],[final_obs_int2]]-Table2[[#This Row],[final_obs_int_feb]]), "NA")</f>
        <v>3</v>
      </c>
      <c r="R553" s="24"/>
      <c r="S553" s="57" t="s">
        <v>88</v>
      </c>
      <c r="T553" s="57" t="str">
        <f>Table2[[#This Row],[camera_old]]</f>
        <v>N</v>
      </c>
      <c r="U553" s="24"/>
      <c r="V553" s="16" t="s">
        <v>24</v>
      </c>
      <c r="W553" s="16">
        <v>21</v>
      </c>
      <c r="X553" s="145">
        <v>4</v>
      </c>
      <c r="Y553" s="147" t="s">
        <v>37</v>
      </c>
      <c r="Z553" s="146" t="s">
        <v>37</v>
      </c>
      <c r="AA553" s="4" t="str">
        <f>Table2[[#This Row],[field_fate]]</f>
        <v>H</v>
      </c>
      <c r="AB553" s="4" t="str">
        <f>Table2[[#This Row],[field_fate2]]</f>
        <v>H</v>
      </c>
      <c r="AC553" s="4" t="str">
        <f>Table2[[#This Row],[field_fate3]]</f>
        <v>H</v>
      </c>
      <c r="AD553" s="4" t="str">
        <f>Table2[[#This Row],[field_fate4]]</f>
        <v>H</v>
      </c>
      <c r="AE553" s="4" t="str">
        <f>Table2[[#This Row],[field_fate5]]</f>
        <v>H</v>
      </c>
      <c r="AF553" s="4" t="str">
        <f>Table2[[#This Row],[field_fate5]]</f>
        <v>H</v>
      </c>
      <c r="AG553" s="4" t="str">
        <f>Table2[[#This Row],[field_fate5]]</f>
        <v>H</v>
      </c>
      <c r="AH553" s="4" t="str">
        <f>Table2[[#This Row],[field_fate2]]</f>
        <v>H</v>
      </c>
      <c r="AI553" s="4" t="str">
        <f>Table2[[#This Row],[field_fate8]]</f>
        <v>H</v>
      </c>
      <c r="AJ553" s="4" t="str">
        <f>Table2[[#This Row],[field_fate10]]</f>
        <v>H</v>
      </c>
      <c r="AK553" s="4" t="b">
        <f>Table2[[#This Row],[field_fate_feb]]=Table2[[#This Row],[field_fate10]]</f>
        <v>1</v>
      </c>
      <c r="AL553" s="43" t="s">
        <v>24</v>
      </c>
      <c r="AM553" s="43" t="b">
        <f>Table2[[#This Row],[cam_fate2]]="NA"</f>
        <v>1</v>
      </c>
      <c r="AN553" s="19" t="str">
        <f>Table2[[#This Row],[cam_fate1]]</f>
        <v>NA</v>
      </c>
      <c r="AO553" s="2" t="s">
        <v>37</v>
      </c>
      <c r="AP553" s="5" t="str">
        <f>Table2[[#This Row],[final_fate1]]</f>
        <v>H</v>
      </c>
      <c r="AQ553" s="6">
        <v>20</v>
      </c>
      <c r="AR553" s="7">
        <v>22</v>
      </c>
      <c r="AS553" s="7">
        <f>Table2[[#This Row],[final_obs_date]]-Table2[[#This Row],[init_date]]</f>
        <v>20</v>
      </c>
      <c r="AT553" s="7">
        <f>(Table2[[#This Row],[final_obs_date2]]-Table2[[#This Row],[estHD]])+16</f>
        <v>19</v>
      </c>
      <c r="AU553" s="38">
        <v>1</v>
      </c>
      <c r="AV553" s="33">
        <v>1</v>
      </c>
      <c r="AW553" s="33">
        <f>Table2[[#This Row],[final_obs_date2]]-Table2[[#This Row],[pen_obs_date]]</f>
        <v>84</v>
      </c>
      <c r="AX553" s="67">
        <v>84</v>
      </c>
      <c r="AY553" s="6">
        <f>Table2[[#This Row],[final_obs_date]]</f>
        <v>84</v>
      </c>
      <c r="AZ553" s="6"/>
      <c r="BA553" s="91" t="s">
        <v>47</v>
      </c>
      <c r="BB553" s="6" t="b">
        <f>Table2[[#This Row],[final_obs_date]]&lt;(Table2[[#This Row],[estHD]]-2)</f>
        <v>0</v>
      </c>
      <c r="BC553" s="24">
        <f>IF(Table2[[#This Row],[field_fate]]="H",1,0)</f>
        <v>1</v>
      </c>
      <c r="BD553" s="16">
        <f>IF(Table2[[#This Row],[cam_fate2]]="H",1,0)</f>
        <v>0</v>
      </c>
      <c r="BE553" s="6" t="b">
        <f>NOT(Table2[[#This Row],[HF_C]]=Table2[[#This Row],[HF]])</f>
        <v>1</v>
      </c>
      <c r="BF553" s="6" t="b">
        <f>NOT(Table2[[#This Row],[cam_fate2]]=Table2[[#This Row],[field_fate3]])</f>
        <v>1</v>
      </c>
      <c r="BG553" s="6" t="b">
        <f>OR(Table2[[#This Row],[field_fate3]]="U",Table2[[#This Row],[field_fate3]]="U-H")</f>
        <v>0</v>
      </c>
      <c r="BH553" s="8">
        <v>68</v>
      </c>
      <c r="BI553" s="8">
        <v>83</v>
      </c>
      <c r="BJ553" s="14">
        <f>IF(ISTEXT(Table2[[#This Row],[j.cam]]),Table2[[#This Row],[j]],Table2[[#This Row],[j.cam]])</f>
        <v>83</v>
      </c>
      <c r="BK553" s="9">
        <v>83</v>
      </c>
      <c r="BL553" s="15">
        <f>IF(ISTEXT(Table2[[#This Row],[k.cam]]), Table2[[#This Row],[k]], Table2[[#This Row],[k.cam]])</f>
        <v>83</v>
      </c>
      <c r="BM553" s="4" t="s">
        <v>24</v>
      </c>
      <c r="BN553" s="8" t="s">
        <v>24</v>
      </c>
      <c r="BO553" s="4">
        <v>6</v>
      </c>
      <c r="BP553" s="4">
        <f>Table2[[#This Row],[final_obs_date]]-Table2[[#This Row],[i]]</f>
        <v>16</v>
      </c>
      <c r="BQ553" s="4" t="b">
        <f>Table2[[#This Row],[final_obs_date2]]&gt;Table2[[#This Row],[estHD]]+3</f>
        <v>0</v>
      </c>
      <c r="BR553" s="4" t="s">
        <v>44</v>
      </c>
      <c r="BS553" s="4" t="s">
        <v>139</v>
      </c>
      <c r="BT553" s="79" t="s">
        <v>1347</v>
      </c>
      <c r="BU553" s="26" t="s">
        <v>380</v>
      </c>
      <c r="BV553" s="79" t="s">
        <v>1662</v>
      </c>
      <c r="BW553" s="49"/>
      <c r="BX553" s="47"/>
      <c r="BY553" s="36" t="s">
        <v>827</v>
      </c>
    </row>
    <row r="554" spans="1:77" hidden="1" x14ac:dyDescent="0.35">
      <c r="A554" s="64">
        <v>30076</v>
      </c>
      <c r="B554" s="2" t="s">
        <v>157</v>
      </c>
      <c r="C554" s="46">
        <v>2021</v>
      </c>
      <c r="D554" s="3">
        <v>29.7653</v>
      </c>
      <c r="E554" s="3">
        <v>-93.376080000000002</v>
      </c>
      <c r="F554" s="3">
        <v>0</v>
      </c>
      <c r="G554" s="3">
        <v>0</v>
      </c>
      <c r="H554" s="3" t="s">
        <v>26</v>
      </c>
      <c r="I554" s="43"/>
      <c r="J554" s="55">
        <v>83</v>
      </c>
      <c r="K554" s="4">
        <v>83</v>
      </c>
      <c r="L554" s="22">
        <f>IF(ISNUMBER(Table2[[#This Row],[estHD]]),ABS(Table2[[#This Row],[HD]]-Table2[[#This Row],[estHD]]),"NA")</f>
        <v>0</v>
      </c>
      <c r="M554" s="4" t="b">
        <f>Table2[[#This Row],[HD]]=Table2[[#This Row],[estHD]]</f>
        <v>1</v>
      </c>
      <c r="N554" s="4" t="str">
        <f>IF(ISNUMBER([1]!Table2[[#This Row],[hatch_date]]),[1]!Table2[[#This Row],[hatch_date]]-19,"NA")</f>
        <v>NA</v>
      </c>
      <c r="O554" s="31">
        <v>64</v>
      </c>
      <c r="P554" s="23">
        <f>IF(ISNUMBER(Table2[[#This Row],[nest_age1]]),ABS(Table2[[#This Row],[nest_age1]]-Table2[[#This Row],[nest_age_feb]]),"NA")</f>
        <v>0</v>
      </c>
      <c r="Q554" s="24">
        <f>IF(ISNUMBER(Table2[[#This Row],[final_obs_int2]]),ABS(Table2[[#This Row],[final_obs_int2]]-Table2[[#This Row],[final_obs_int_feb]]), "NA")</f>
        <v>0</v>
      </c>
      <c r="R554" s="24"/>
      <c r="S554" s="57" t="s">
        <v>88</v>
      </c>
      <c r="T554" s="57" t="str">
        <f>Table2[[#This Row],[camera_old]]</f>
        <v>N</v>
      </c>
      <c r="U554" s="24"/>
      <c r="V554" s="16" t="s">
        <v>24</v>
      </c>
      <c r="W554" s="16">
        <v>9</v>
      </c>
      <c r="X554" s="145">
        <v>5</v>
      </c>
      <c r="Y554" s="147" t="s">
        <v>149</v>
      </c>
      <c r="Z554" s="146" t="s">
        <v>149</v>
      </c>
      <c r="AA554" s="4" t="str">
        <f>Table2[[#This Row],[field_fate]]</f>
        <v>W</v>
      </c>
      <c r="AB554" s="4" t="str">
        <f>Table2[[#This Row],[field_fate2]]</f>
        <v>W</v>
      </c>
      <c r="AC554" s="4" t="str">
        <f>Table2[[#This Row],[field_fate3]]</f>
        <v>W</v>
      </c>
      <c r="AD554" s="4" t="str">
        <f>Table2[[#This Row],[field_fate4]]</f>
        <v>W</v>
      </c>
      <c r="AE554" s="4" t="str">
        <f>Table2[[#This Row],[field_fate5]]</f>
        <v>W</v>
      </c>
      <c r="AF554" s="4" t="str">
        <f>Table2[[#This Row],[field_fate5]]</f>
        <v>W</v>
      </c>
      <c r="AG554" s="4" t="str">
        <f>Table2[[#This Row],[field_fate5]]</f>
        <v>W</v>
      </c>
      <c r="AH554" s="4" t="str">
        <f>Table2[[#This Row],[field_fate2]]</f>
        <v>W</v>
      </c>
      <c r="AI554" s="4" t="str">
        <f>Table2[[#This Row],[field_fate8]]</f>
        <v>W</v>
      </c>
      <c r="AJ554" s="4" t="str">
        <f>Table2[[#This Row],[field_fate10]]</f>
        <v>W</v>
      </c>
      <c r="AK554" s="4" t="b">
        <f>Table2[[#This Row],[field_fate_feb]]=Table2[[#This Row],[field_fate10]]</f>
        <v>1</v>
      </c>
      <c r="AL554" s="43" t="s">
        <v>24</v>
      </c>
      <c r="AM554" s="43" t="b">
        <f>Table2[[#This Row],[cam_fate2]]="NA"</f>
        <v>1</v>
      </c>
      <c r="AN554" s="19" t="str">
        <f>Table2[[#This Row],[cam_fate1]]</f>
        <v>NA</v>
      </c>
      <c r="AO554" s="2" t="s">
        <v>149</v>
      </c>
      <c r="AP554" s="5" t="str">
        <f>Table2[[#This Row],[final_fate1]]</f>
        <v>W</v>
      </c>
      <c r="AQ554" s="6">
        <v>9</v>
      </c>
      <c r="AR554" s="7">
        <v>9</v>
      </c>
      <c r="AS554" s="7">
        <f>Table2[[#This Row],[final_obs_date]]-Table2[[#This Row],[init_date]]</f>
        <v>9</v>
      </c>
      <c r="AT554" s="7">
        <f>(Table2[[#This Row],[final_obs_date2]]-Table2[[#This Row],[estHD]])+16</f>
        <v>6</v>
      </c>
      <c r="AU554" s="38">
        <v>5</v>
      </c>
      <c r="AV554" s="33">
        <v>5</v>
      </c>
      <c r="AW554" s="33">
        <f>Table2[[#This Row],[final_obs_date2]]-Table2[[#This Row],[pen_obs_date]]</f>
        <v>73</v>
      </c>
      <c r="AX554" s="67">
        <v>73</v>
      </c>
      <c r="AY554" s="6">
        <f>Table2[[#This Row],[final_obs_date]]</f>
        <v>73</v>
      </c>
      <c r="AZ554" s="6"/>
      <c r="BA554" s="91" t="s">
        <v>47</v>
      </c>
      <c r="BB554" s="6" t="b">
        <f>Table2[[#This Row],[final_obs_date]]&lt;(Table2[[#This Row],[estHD]]-2)</f>
        <v>1</v>
      </c>
      <c r="BC554" s="24">
        <f>IF(Table2[[#This Row],[field_fate]]="H",1,0)</f>
        <v>0</v>
      </c>
      <c r="BD554" s="16">
        <f>IF(Table2[[#This Row],[cam_fate2]]="H",1,0)</f>
        <v>0</v>
      </c>
      <c r="BE554" s="6" t="b">
        <f>NOT(Table2[[#This Row],[HF_C]]=Table2[[#This Row],[HF]])</f>
        <v>0</v>
      </c>
      <c r="BF554" s="6" t="b">
        <f>NOT(Table2[[#This Row],[cam_fate2]]=Table2[[#This Row],[field_fate3]])</f>
        <v>1</v>
      </c>
      <c r="BG554" s="6" t="b">
        <f>OR(Table2[[#This Row],[field_fate3]]="U",Table2[[#This Row],[field_fate3]]="U-H")</f>
        <v>0</v>
      </c>
      <c r="BH554" s="8">
        <v>68</v>
      </c>
      <c r="BI554" s="8">
        <v>68</v>
      </c>
      <c r="BJ554" s="14">
        <f>IF(ISTEXT(Table2[[#This Row],[j.cam]]),Table2[[#This Row],[j]],Table2[[#This Row],[j.cam]])</f>
        <v>68</v>
      </c>
      <c r="BK554" s="9">
        <v>73</v>
      </c>
      <c r="BL554" s="15">
        <f>IF(ISTEXT(Table2[[#This Row],[k.cam]]), Table2[[#This Row],[k]], Table2[[#This Row],[k.cam]])</f>
        <v>73</v>
      </c>
      <c r="BM554" s="4" t="s">
        <v>24</v>
      </c>
      <c r="BN554" s="8" t="s">
        <v>24</v>
      </c>
      <c r="BO554" s="4">
        <v>2</v>
      </c>
      <c r="BP554" s="4">
        <f>Table2[[#This Row],[final_obs_date]]-Table2[[#This Row],[i]]</f>
        <v>5</v>
      </c>
      <c r="BQ554" s="4" t="b">
        <f>Table2[[#This Row],[final_obs_date2]]&gt;Table2[[#This Row],[estHD]]+3</f>
        <v>0</v>
      </c>
      <c r="BR554" s="4" t="s">
        <v>33</v>
      </c>
      <c r="BS554" s="4" t="s">
        <v>45</v>
      </c>
      <c r="BT554" s="79" t="s">
        <v>1244</v>
      </c>
      <c r="BU554" s="26" t="s">
        <v>87</v>
      </c>
      <c r="BV554" s="79" t="s">
        <v>1464</v>
      </c>
      <c r="BW554" s="49"/>
      <c r="BX554" s="47"/>
      <c r="BY554" s="36" t="s">
        <v>820</v>
      </c>
    </row>
    <row r="555" spans="1:77" hidden="1" x14ac:dyDescent="0.35">
      <c r="A555" s="64">
        <v>30079</v>
      </c>
      <c r="B555" s="2" t="s">
        <v>157</v>
      </c>
      <c r="C555" s="46">
        <v>2021</v>
      </c>
      <c r="D555" s="3">
        <v>29.765090000000001</v>
      </c>
      <c r="E555" s="3">
        <v>-93.372950000000003</v>
      </c>
      <c r="F555" s="3">
        <v>0</v>
      </c>
      <c r="G555" s="3">
        <v>0</v>
      </c>
      <c r="H555" s="3" t="s">
        <v>26</v>
      </c>
      <c r="I555" s="43"/>
      <c r="J555" s="55">
        <v>77</v>
      </c>
      <c r="K555" s="4">
        <v>77</v>
      </c>
      <c r="L555" s="22">
        <f>IF(ISNUMBER(Table2[[#This Row],[estHD]]),ABS(Table2[[#This Row],[HD]]-Table2[[#This Row],[estHD]]),"NA")</f>
        <v>0</v>
      </c>
      <c r="M555" s="4" t="b">
        <f>Table2[[#This Row],[HD]]=Table2[[#This Row],[estHD]]</f>
        <v>1</v>
      </c>
      <c r="N555" s="4" t="str">
        <f>IF(ISNUMBER([1]!Table2[[#This Row],[hatch_date]]),[1]!Table2[[#This Row],[hatch_date]]-19,"NA")</f>
        <v>NA</v>
      </c>
      <c r="O555" s="31">
        <v>58</v>
      </c>
      <c r="P555" s="23">
        <f>IF(ISNUMBER(Table2[[#This Row],[nest_age1]]),ABS(Table2[[#This Row],[nest_age1]]-Table2[[#This Row],[nest_age_feb]]),"NA")</f>
        <v>0</v>
      </c>
      <c r="Q555" s="24">
        <f>IF(ISNUMBER(Table2[[#This Row],[final_obs_int2]]),ABS(Table2[[#This Row],[final_obs_int2]]-Table2[[#This Row],[final_obs_int_feb]]), "NA")</f>
        <v>0</v>
      </c>
      <c r="R555" s="24"/>
      <c r="S555" s="57" t="s">
        <v>88</v>
      </c>
      <c r="T555" s="57" t="str">
        <f>Table2[[#This Row],[camera_old]]</f>
        <v>N</v>
      </c>
      <c r="U555" s="24"/>
      <c r="V555" s="16" t="s">
        <v>24</v>
      </c>
      <c r="W555" s="16">
        <v>15</v>
      </c>
      <c r="X555" s="145">
        <v>5</v>
      </c>
      <c r="Y555" s="147" t="s">
        <v>149</v>
      </c>
      <c r="Z555" s="146" t="s">
        <v>149</v>
      </c>
      <c r="AA555" s="4" t="str">
        <f>Table2[[#This Row],[field_fate]]</f>
        <v>W</v>
      </c>
      <c r="AB555" s="4" t="str">
        <f>Table2[[#This Row],[field_fate2]]</f>
        <v>W</v>
      </c>
      <c r="AC555" s="4" t="str">
        <f>Table2[[#This Row],[field_fate3]]</f>
        <v>W</v>
      </c>
      <c r="AD555" s="4" t="str">
        <f>Table2[[#This Row],[field_fate4]]</f>
        <v>W</v>
      </c>
      <c r="AE555" s="4" t="str">
        <f>Table2[[#This Row],[field_fate5]]</f>
        <v>W</v>
      </c>
      <c r="AF555" s="4" t="str">
        <f>Table2[[#This Row],[field_fate5]]</f>
        <v>W</v>
      </c>
      <c r="AG555" s="4" t="str">
        <f>Table2[[#This Row],[field_fate5]]</f>
        <v>W</v>
      </c>
      <c r="AH555" s="4" t="str">
        <f>Table2[[#This Row],[field_fate2]]</f>
        <v>W</v>
      </c>
      <c r="AI555" s="4" t="str">
        <f>Table2[[#This Row],[field_fate8]]</f>
        <v>W</v>
      </c>
      <c r="AJ555" s="4" t="str">
        <f>Table2[[#This Row],[field_fate10]]</f>
        <v>W</v>
      </c>
      <c r="AK555" s="4" t="b">
        <f>Table2[[#This Row],[field_fate_feb]]=Table2[[#This Row],[field_fate10]]</f>
        <v>1</v>
      </c>
      <c r="AL555" s="43" t="s">
        <v>24</v>
      </c>
      <c r="AM555" s="43" t="b">
        <f>Table2[[#This Row],[cam_fate2]]="NA"</f>
        <v>1</v>
      </c>
      <c r="AN555" s="19" t="str">
        <f>Table2[[#This Row],[cam_fate1]]</f>
        <v>NA</v>
      </c>
      <c r="AO555" s="2" t="s">
        <v>149</v>
      </c>
      <c r="AP555" s="5" t="str">
        <f>Table2[[#This Row],[final_fate1]]</f>
        <v>W</v>
      </c>
      <c r="AQ555" s="6">
        <v>15</v>
      </c>
      <c r="AR555" s="7">
        <v>15</v>
      </c>
      <c r="AS555" s="7">
        <f>Table2[[#This Row],[final_obs_date]]-Table2[[#This Row],[init_date]]</f>
        <v>15</v>
      </c>
      <c r="AT555" s="7">
        <f>(Table2[[#This Row],[final_obs_date2]]-Table2[[#This Row],[estHD]])+16</f>
        <v>12</v>
      </c>
      <c r="AU555" s="38">
        <v>5</v>
      </c>
      <c r="AV555" s="33">
        <v>5</v>
      </c>
      <c r="AW555" s="33">
        <f>Table2[[#This Row],[final_obs_date2]]-Table2[[#This Row],[pen_obs_date]]</f>
        <v>73</v>
      </c>
      <c r="AX555" s="67">
        <v>73</v>
      </c>
      <c r="AY555" s="6">
        <f>Table2[[#This Row],[final_obs_date]]</f>
        <v>73</v>
      </c>
      <c r="AZ555" s="6"/>
      <c r="BA555" s="91" t="s">
        <v>47</v>
      </c>
      <c r="BB555" s="6" t="b">
        <f>Table2[[#This Row],[final_obs_date]]&lt;(Table2[[#This Row],[estHD]]-2)</f>
        <v>1</v>
      </c>
      <c r="BC555" s="24">
        <f>IF(Table2[[#This Row],[field_fate]]="H",1,0)</f>
        <v>0</v>
      </c>
      <c r="BD555" s="16">
        <f>IF(Table2[[#This Row],[cam_fate2]]="H",1,0)</f>
        <v>0</v>
      </c>
      <c r="BE555" s="6" t="b">
        <f>NOT(Table2[[#This Row],[HF_C]]=Table2[[#This Row],[HF]])</f>
        <v>0</v>
      </c>
      <c r="BF555" s="6" t="b">
        <f>NOT(Table2[[#This Row],[cam_fate2]]=Table2[[#This Row],[field_fate3]])</f>
        <v>1</v>
      </c>
      <c r="BG555" s="6" t="b">
        <f>OR(Table2[[#This Row],[field_fate3]]="U",Table2[[#This Row],[field_fate3]]="U-H")</f>
        <v>0</v>
      </c>
      <c r="BH555" s="8">
        <v>68</v>
      </c>
      <c r="BI555" s="8">
        <v>68</v>
      </c>
      <c r="BJ555" s="14">
        <f>IF(ISTEXT(Table2[[#This Row],[j.cam]]),Table2[[#This Row],[j]],Table2[[#This Row],[j.cam]])</f>
        <v>68</v>
      </c>
      <c r="BK555" s="9">
        <v>73</v>
      </c>
      <c r="BL555" s="15">
        <f>IF(ISTEXT(Table2[[#This Row],[k.cam]]), Table2[[#This Row],[k]], Table2[[#This Row],[k.cam]])</f>
        <v>73</v>
      </c>
      <c r="BM555" s="4" t="s">
        <v>24</v>
      </c>
      <c r="BN555" s="8" t="s">
        <v>24</v>
      </c>
      <c r="BO555" s="4">
        <v>2</v>
      </c>
      <c r="BP555" s="4">
        <f>Table2[[#This Row],[final_obs_date]]-Table2[[#This Row],[i]]</f>
        <v>5</v>
      </c>
      <c r="BQ555" s="4" t="b">
        <f>Table2[[#This Row],[final_obs_date2]]&gt;Table2[[#This Row],[estHD]]+3</f>
        <v>0</v>
      </c>
      <c r="BR555" s="4" t="s">
        <v>33</v>
      </c>
      <c r="BS555" s="4" t="s">
        <v>45</v>
      </c>
      <c r="BT555" s="79" t="s">
        <v>1244</v>
      </c>
      <c r="BU555" s="26" t="s">
        <v>87</v>
      </c>
      <c r="BV555" s="79" t="s">
        <v>1464</v>
      </c>
      <c r="BW555" s="49"/>
      <c r="BX555" s="47"/>
      <c r="BY555" s="36" t="s">
        <v>820</v>
      </c>
    </row>
    <row r="556" spans="1:77" hidden="1" x14ac:dyDescent="0.35">
      <c r="A556" s="64">
        <v>30080</v>
      </c>
      <c r="B556" s="2" t="s">
        <v>157</v>
      </c>
      <c r="C556" s="46">
        <v>2021</v>
      </c>
      <c r="D556" s="3">
        <v>29.765000000000001</v>
      </c>
      <c r="E556" s="3">
        <v>-93.372020000000006</v>
      </c>
      <c r="F556" s="3">
        <v>0</v>
      </c>
      <c r="G556" s="3">
        <v>0</v>
      </c>
      <c r="H556" s="3" t="s">
        <v>26</v>
      </c>
      <c r="I556" s="43"/>
      <c r="J556" s="55">
        <v>84</v>
      </c>
      <c r="K556" s="4">
        <v>84</v>
      </c>
      <c r="L556" s="22">
        <f>IF(ISNUMBER(Table2[[#This Row],[estHD]]),ABS(Table2[[#This Row],[HD]]-Table2[[#This Row],[estHD]]),"NA")</f>
        <v>0</v>
      </c>
      <c r="M556" s="4" t="b">
        <f>Table2[[#This Row],[HD]]=Table2[[#This Row],[estHD]]</f>
        <v>1</v>
      </c>
      <c r="N556" s="4" t="str">
        <f>IF(ISNUMBER([1]!Table2[[#This Row],[hatch_date]]),[1]!Table2[[#This Row],[hatch_date]]-19,"NA")</f>
        <v>NA</v>
      </c>
      <c r="O556" s="31">
        <v>65</v>
      </c>
      <c r="P556" s="23">
        <f>IF(ISNUMBER(Table2[[#This Row],[nest_age1]]),ABS(Table2[[#This Row],[nest_age1]]-Table2[[#This Row],[nest_age_feb]]),"NA")</f>
        <v>0</v>
      </c>
      <c r="Q556" s="24">
        <f>IF(ISNUMBER(Table2[[#This Row],[final_obs_int2]]),ABS(Table2[[#This Row],[final_obs_int2]]-Table2[[#This Row],[final_obs_int_feb]]), "NA")</f>
        <v>0</v>
      </c>
      <c r="R556" s="24"/>
      <c r="S556" s="57" t="s">
        <v>88</v>
      </c>
      <c r="T556" s="57" t="str">
        <f>Table2[[#This Row],[camera_old]]</f>
        <v>N</v>
      </c>
      <c r="U556" s="24"/>
      <c r="V556" s="16" t="s">
        <v>24</v>
      </c>
      <c r="W556" s="16">
        <v>8</v>
      </c>
      <c r="X556" s="145">
        <v>5</v>
      </c>
      <c r="Y556" s="147" t="s">
        <v>149</v>
      </c>
      <c r="Z556" s="146" t="s">
        <v>149</v>
      </c>
      <c r="AA556" s="4" t="str">
        <f>Table2[[#This Row],[field_fate]]</f>
        <v>W</v>
      </c>
      <c r="AB556" s="4" t="str">
        <f>Table2[[#This Row],[field_fate2]]</f>
        <v>W</v>
      </c>
      <c r="AC556" s="4" t="str">
        <f>Table2[[#This Row],[field_fate3]]</f>
        <v>W</v>
      </c>
      <c r="AD556" s="4" t="str">
        <f>Table2[[#This Row],[field_fate4]]</f>
        <v>W</v>
      </c>
      <c r="AE556" s="4" t="str">
        <f>Table2[[#This Row],[field_fate5]]</f>
        <v>W</v>
      </c>
      <c r="AF556" s="4" t="str">
        <f>Table2[[#This Row],[field_fate5]]</f>
        <v>W</v>
      </c>
      <c r="AG556" s="4" t="str">
        <f>Table2[[#This Row],[field_fate5]]</f>
        <v>W</v>
      </c>
      <c r="AH556" s="4" t="str">
        <f>Table2[[#This Row],[field_fate2]]</f>
        <v>W</v>
      </c>
      <c r="AI556" s="4" t="str">
        <f>Table2[[#This Row],[field_fate8]]</f>
        <v>W</v>
      </c>
      <c r="AJ556" s="4" t="str">
        <f>Table2[[#This Row],[field_fate10]]</f>
        <v>W</v>
      </c>
      <c r="AK556" s="4" t="b">
        <f>Table2[[#This Row],[field_fate_feb]]=Table2[[#This Row],[field_fate10]]</f>
        <v>1</v>
      </c>
      <c r="AL556" s="43" t="s">
        <v>24</v>
      </c>
      <c r="AM556" s="43" t="b">
        <f>Table2[[#This Row],[cam_fate2]]="NA"</f>
        <v>1</v>
      </c>
      <c r="AN556" s="19" t="str">
        <f>Table2[[#This Row],[cam_fate1]]</f>
        <v>NA</v>
      </c>
      <c r="AO556" s="2" t="s">
        <v>149</v>
      </c>
      <c r="AP556" s="5" t="str">
        <f>Table2[[#This Row],[final_fate1]]</f>
        <v>W</v>
      </c>
      <c r="AQ556" s="6">
        <v>8</v>
      </c>
      <c r="AR556" s="7">
        <v>8</v>
      </c>
      <c r="AS556" s="7">
        <f>Table2[[#This Row],[final_obs_date]]-Table2[[#This Row],[init_date]]</f>
        <v>8</v>
      </c>
      <c r="AT556" s="7">
        <f>(Table2[[#This Row],[final_obs_date2]]-Table2[[#This Row],[estHD]])+16</f>
        <v>5</v>
      </c>
      <c r="AU556" s="38">
        <v>5</v>
      </c>
      <c r="AV556" s="33">
        <v>5</v>
      </c>
      <c r="AW556" s="33">
        <f>Table2[[#This Row],[final_obs_date2]]-Table2[[#This Row],[pen_obs_date]]</f>
        <v>73</v>
      </c>
      <c r="AX556" s="67">
        <v>73</v>
      </c>
      <c r="AY556" s="6">
        <f>Table2[[#This Row],[final_obs_date]]</f>
        <v>73</v>
      </c>
      <c r="AZ556" s="6"/>
      <c r="BA556" s="91" t="s">
        <v>47</v>
      </c>
      <c r="BB556" s="6" t="b">
        <f>Table2[[#This Row],[final_obs_date]]&lt;(Table2[[#This Row],[estHD]]-2)</f>
        <v>1</v>
      </c>
      <c r="BC556" s="24">
        <f>IF(Table2[[#This Row],[field_fate]]="H",1,0)</f>
        <v>0</v>
      </c>
      <c r="BD556" s="16">
        <f>IF(Table2[[#This Row],[cam_fate2]]="H",1,0)</f>
        <v>0</v>
      </c>
      <c r="BE556" s="6" t="b">
        <f>NOT(Table2[[#This Row],[HF_C]]=Table2[[#This Row],[HF]])</f>
        <v>0</v>
      </c>
      <c r="BF556" s="6" t="b">
        <f>NOT(Table2[[#This Row],[cam_fate2]]=Table2[[#This Row],[field_fate3]])</f>
        <v>1</v>
      </c>
      <c r="BG556" s="6" t="b">
        <f>OR(Table2[[#This Row],[field_fate3]]="U",Table2[[#This Row],[field_fate3]]="U-H")</f>
        <v>0</v>
      </c>
      <c r="BH556" s="8">
        <v>68</v>
      </c>
      <c r="BI556" s="8">
        <v>68</v>
      </c>
      <c r="BJ556" s="14">
        <f>IF(ISTEXT(Table2[[#This Row],[j.cam]]),Table2[[#This Row],[j]],Table2[[#This Row],[j.cam]])</f>
        <v>68</v>
      </c>
      <c r="BK556" s="9">
        <v>73</v>
      </c>
      <c r="BL556" s="15">
        <f>IF(ISTEXT(Table2[[#This Row],[k.cam]]), Table2[[#This Row],[k]], Table2[[#This Row],[k.cam]])</f>
        <v>73</v>
      </c>
      <c r="BM556" s="4" t="s">
        <v>24</v>
      </c>
      <c r="BN556" s="8" t="s">
        <v>24</v>
      </c>
      <c r="BO556" s="4">
        <v>2</v>
      </c>
      <c r="BP556" s="4">
        <f>Table2[[#This Row],[final_obs_date]]-Table2[[#This Row],[i]]</f>
        <v>5</v>
      </c>
      <c r="BQ556" s="4" t="b">
        <f>Table2[[#This Row],[final_obs_date2]]&gt;Table2[[#This Row],[estHD]]+3</f>
        <v>0</v>
      </c>
      <c r="BR556" s="4" t="s">
        <v>33</v>
      </c>
      <c r="BS556" s="4" t="s">
        <v>45</v>
      </c>
      <c r="BT556" s="79" t="s">
        <v>1244</v>
      </c>
      <c r="BU556" s="26" t="s">
        <v>87</v>
      </c>
      <c r="BV556" s="79" t="s">
        <v>1464</v>
      </c>
      <c r="BW556" s="49"/>
      <c r="BX556" s="47"/>
      <c r="BY556" s="36" t="s">
        <v>820</v>
      </c>
    </row>
    <row r="557" spans="1:77" hidden="1" x14ac:dyDescent="0.35">
      <c r="A557" s="64">
        <v>30081</v>
      </c>
      <c r="B557" s="2" t="s">
        <v>35</v>
      </c>
      <c r="C557" s="46">
        <v>2021</v>
      </c>
      <c r="D557" s="3">
        <v>29.76923</v>
      </c>
      <c r="E557" s="3">
        <v>-93.167209999999997</v>
      </c>
      <c r="F557" s="3">
        <v>0</v>
      </c>
      <c r="G557" s="3">
        <v>0</v>
      </c>
      <c r="H557" s="3" t="s">
        <v>26</v>
      </c>
      <c r="I557" s="43"/>
      <c r="J557" s="55">
        <v>72</v>
      </c>
      <c r="K557" s="4">
        <v>72</v>
      </c>
      <c r="L557" s="22">
        <f>IF(ISNUMBER(Table2[[#This Row],[estHD]]),ABS(Table2[[#This Row],[HD]]-Table2[[#This Row],[estHD]]),"NA")</f>
        <v>0</v>
      </c>
      <c r="M557" s="4" t="b">
        <f>Table2[[#This Row],[HD]]=Table2[[#This Row],[estHD]]</f>
        <v>1</v>
      </c>
      <c r="N557" s="4" t="str">
        <f>IF(ISNUMBER([1]!Table2[[#This Row],[hatch_date]]),[1]!Table2[[#This Row],[hatch_date]]-19,"NA")</f>
        <v>NA</v>
      </c>
      <c r="O557" s="31">
        <v>53</v>
      </c>
      <c r="P557" s="23" t="e">
        <f>IF(ISNUMBER(Table2[[#This Row],[nest_age1]]),ABS(Table2[[#This Row],[nest_age1]]-Table2[[#This Row],[nest_age_feb]]),"NA")</f>
        <v>#VALUE!</v>
      </c>
      <c r="Q557" s="24">
        <f>IF(ISNUMBER(Table2[[#This Row],[final_obs_int2]]),ABS(Table2[[#This Row],[final_obs_int2]]-Table2[[#This Row],[final_obs_int_feb]]), "NA")</f>
        <v>0</v>
      </c>
      <c r="R557" s="24"/>
      <c r="S557" s="57" t="s">
        <v>88</v>
      </c>
      <c r="T557" s="57" t="str">
        <f>Table2[[#This Row],[camera_old]]</f>
        <v>N</v>
      </c>
      <c r="U557" s="24"/>
      <c r="V557" s="16" t="s">
        <v>24</v>
      </c>
      <c r="W557" s="16" t="s">
        <v>24</v>
      </c>
      <c r="X557" s="145">
        <v>5</v>
      </c>
      <c r="Y557" s="147" t="s">
        <v>90</v>
      </c>
      <c r="Z557" s="146" t="s">
        <v>90</v>
      </c>
      <c r="AA557" s="4" t="str">
        <f>Table2[[#This Row],[field_fate]]</f>
        <v>U</v>
      </c>
      <c r="AB557" s="4" t="str">
        <f>Table2[[#This Row],[field_fate2]]</f>
        <v>U</v>
      </c>
      <c r="AC557" s="4" t="str">
        <f>Table2[[#This Row],[field_fate3]]</f>
        <v>U</v>
      </c>
      <c r="AD557" s="4" t="str">
        <f>Table2[[#This Row],[field_fate4]]</f>
        <v>U</v>
      </c>
      <c r="AE557" s="4" t="str">
        <f>Table2[[#This Row],[field_fate5]]</f>
        <v>U</v>
      </c>
      <c r="AF557" s="4" t="str">
        <f>Table2[[#This Row],[field_fate5]]</f>
        <v>U</v>
      </c>
      <c r="AG557" s="4" t="str">
        <f>Table2[[#This Row],[field_fate5]]</f>
        <v>U</v>
      </c>
      <c r="AH557" s="4" t="str">
        <f>Table2[[#This Row],[field_fate2]]</f>
        <v>U</v>
      </c>
      <c r="AI557" s="4" t="str">
        <f>Table2[[#This Row],[field_fate8]]</f>
        <v>U</v>
      </c>
      <c r="AJ557" s="4" t="str">
        <f>Table2[[#This Row],[field_fate10]]</f>
        <v>U</v>
      </c>
      <c r="AK557" s="4" t="b">
        <f>Table2[[#This Row],[field_fate_feb]]=Table2[[#This Row],[field_fate10]]</f>
        <v>1</v>
      </c>
      <c r="AL557" s="43" t="s">
        <v>24</v>
      </c>
      <c r="AM557" s="43" t="b">
        <f>Table2[[#This Row],[cam_fate2]]="NA"</f>
        <v>1</v>
      </c>
      <c r="AN557" s="19" t="str">
        <f>Table2[[#This Row],[cam_fate1]]</f>
        <v>NA</v>
      </c>
      <c r="AO557" s="2" t="s">
        <v>90</v>
      </c>
      <c r="AP557" s="5" t="str">
        <f>Table2[[#This Row],[final_fate1]]</f>
        <v>U</v>
      </c>
      <c r="AQ557" s="6">
        <v>21</v>
      </c>
      <c r="AR557" s="7">
        <v>21</v>
      </c>
      <c r="AS557" s="7">
        <f>Table2[[#This Row],[final_obs_date]]-Table2[[#This Row],[init_date]]</f>
        <v>21</v>
      </c>
      <c r="AT557" s="7">
        <f>(Table2[[#This Row],[final_obs_date2]]-Table2[[#This Row],[estHD]])+16</f>
        <v>18</v>
      </c>
      <c r="AU557" s="38">
        <v>5</v>
      </c>
      <c r="AV557" s="33">
        <v>5</v>
      </c>
      <c r="AW557" s="33">
        <f>Table2[[#This Row],[final_obs_date2]]-Table2[[#This Row],[pen_obs_date]]</f>
        <v>74</v>
      </c>
      <c r="AX557" s="67">
        <v>74</v>
      </c>
      <c r="AY557" s="6">
        <f>Table2[[#This Row],[final_obs_date]]</f>
        <v>74</v>
      </c>
      <c r="AZ557" s="6"/>
      <c r="BA557" s="91" t="s">
        <v>47</v>
      </c>
      <c r="BB557" s="6" t="b">
        <f>Table2[[#This Row],[final_obs_date]]&lt;(Table2[[#This Row],[estHD]]-2)</f>
        <v>0</v>
      </c>
      <c r="BC557" s="24">
        <f>IF(Table2[[#This Row],[field_fate]]="H",1,0)</f>
        <v>0</v>
      </c>
      <c r="BD557" s="16">
        <f>IF(Table2[[#This Row],[cam_fate2]]="H",1,0)</f>
        <v>0</v>
      </c>
      <c r="BE557" s="6" t="b">
        <f>NOT(Table2[[#This Row],[HF_C]]=Table2[[#This Row],[HF]])</f>
        <v>0</v>
      </c>
      <c r="BF557" s="6" t="b">
        <f>NOT(Table2[[#This Row],[cam_fate2]]=Table2[[#This Row],[field_fate3]])</f>
        <v>1</v>
      </c>
      <c r="BG557" s="6" t="b">
        <f>OR(Table2[[#This Row],[field_fate3]]="U",Table2[[#This Row],[field_fate3]]="U-H")</f>
        <v>1</v>
      </c>
      <c r="BH557" s="8">
        <v>69</v>
      </c>
      <c r="BI557" s="8">
        <v>69</v>
      </c>
      <c r="BJ557" s="14">
        <f>IF(ISTEXT(Table2[[#This Row],[j.cam]]),Table2[[#This Row],[j]],Table2[[#This Row],[j.cam]])</f>
        <v>69</v>
      </c>
      <c r="BK557" s="9">
        <v>74</v>
      </c>
      <c r="BL557" s="15">
        <f>IF(ISTEXT(Table2[[#This Row],[k.cam]]), Table2[[#This Row],[k]], Table2[[#This Row],[k.cam]])</f>
        <v>74</v>
      </c>
      <c r="BM557" s="4" t="s">
        <v>24</v>
      </c>
      <c r="BN557" s="8" t="s">
        <v>24</v>
      </c>
      <c r="BO557" s="4">
        <v>2</v>
      </c>
      <c r="BP557" s="4">
        <f>Table2[[#This Row],[final_obs_date]]-Table2[[#This Row],[i]]</f>
        <v>5</v>
      </c>
      <c r="BQ557" s="4" t="b">
        <f>Table2[[#This Row],[final_obs_date2]]&gt;Table2[[#This Row],[estHD]]+3</f>
        <v>0</v>
      </c>
      <c r="BR557" s="4" t="s">
        <v>27</v>
      </c>
      <c r="BS557" s="4" t="s">
        <v>45</v>
      </c>
      <c r="BT557" s="79" t="s">
        <v>1348</v>
      </c>
      <c r="BU557" s="26" t="s">
        <v>183</v>
      </c>
      <c r="BV557" s="79" t="s">
        <v>1464</v>
      </c>
      <c r="BW557" s="49"/>
      <c r="BX557" s="47"/>
      <c r="BY557" s="36" t="s">
        <v>24</v>
      </c>
    </row>
    <row r="558" spans="1:77" hidden="1" x14ac:dyDescent="0.35">
      <c r="A558" s="64">
        <v>30082</v>
      </c>
      <c r="B558" s="2" t="s">
        <v>35</v>
      </c>
      <c r="C558" s="46">
        <v>2021</v>
      </c>
      <c r="D558" s="3">
        <v>29.770579999999999</v>
      </c>
      <c r="E558" s="3">
        <v>-93.174189999999996</v>
      </c>
      <c r="F558" s="3">
        <v>0</v>
      </c>
      <c r="G558" s="3">
        <v>0</v>
      </c>
      <c r="H558" s="3" t="s">
        <v>26</v>
      </c>
      <c r="I558" s="43"/>
      <c r="J558" s="55">
        <v>81</v>
      </c>
      <c r="K558" s="4">
        <v>81</v>
      </c>
      <c r="L558" s="22">
        <f>IF(ISNUMBER(Table2[[#This Row],[estHD]]),ABS(Table2[[#This Row],[HD]]-Table2[[#This Row],[estHD]]),"NA")</f>
        <v>0</v>
      </c>
      <c r="M558" s="4" t="b">
        <f>Table2[[#This Row],[HD]]=Table2[[#This Row],[estHD]]</f>
        <v>1</v>
      </c>
      <c r="N558" s="4" t="str">
        <f>IF(ISNUMBER([1]!Table2[[#This Row],[hatch_date]]),[1]!Table2[[#This Row],[hatch_date]]-19,"NA")</f>
        <v>NA</v>
      </c>
      <c r="O558" s="31">
        <v>62</v>
      </c>
      <c r="P558" s="23" t="e">
        <f>IF(ISNUMBER(Table2[[#This Row],[nest_age1]]),ABS(Table2[[#This Row],[nest_age1]]-Table2[[#This Row],[nest_age_feb]]),"NA")</f>
        <v>#VALUE!</v>
      </c>
      <c r="Q558" s="24">
        <f>IF(ISNUMBER(Table2[[#This Row],[final_obs_int2]]),ABS(Table2[[#This Row],[final_obs_int2]]-Table2[[#This Row],[final_obs_int_feb]]), "NA")</f>
        <v>0</v>
      </c>
      <c r="R558" s="24"/>
      <c r="S558" s="57" t="s">
        <v>88</v>
      </c>
      <c r="T558" s="57" t="str">
        <f>Table2[[#This Row],[camera_old]]</f>
        <v>N</v>
      </c>
      <c r="U558" s="24"/>
      <c r="V558" s="16" t="s">
        <v>24</v>
      </c>
      <c r="W558" s="16" t="s">
        <v>24</v>
      </c>
      <c r="X558" s="145">
        <v>9</v>
      </c>
      <c r="Y558" s="148" t="s">
        <v>90</v>
      </c>
      <c r="Z558" s="146" t="s">
        <v>90</v>
      </c>
      <c r="AA558" s="4" t="str">
        <f>Table2[[#This Row],[field_fate]]</f>
        <v>U</v>
      </c>
      <c r="AB558" s="4" t="str">
        <f>Table2[[#This Row],[field_fate2]]</f>
        <v>U</v>
      </c>
      <c r="AC558" s="4" t="str">
        <f>Table2[[#This Row],[field_fate3]]</f>
        <v>U</v>
      </c>
      <c r="AD558" s="4" t="str">
        <f>Table2[[#This Row],[field_fate4]]</f>
        <v>U</v>
      </c>
      <c r="AE558" s="4" t="str">
        <f>Table2[[#This Row],[field_fate5]]</f>
        <v>U</v>
      </c>
      <c r="AF558" s="4" t="str">
        <f>Table2[[#This Row],[field_fate5]]</f>
        <v>U</v>
      </c>
      <c r="AG558" s="4" t="str">
        <f>Table2[[#This Row],[field_fate5]]</f>
        <v>U</v>
      </c>
      <c r="AH558" s="4" t="str">
        <f>Table2[[#This Row],[field_fate2]]</f>
        <v>U</v>
      </c>
      <c r="AI558" s="4" t="str">
        <f>Table2[[#This Row],[field_fate8]]</f>
        <v>U</v>
      </c>
      <c r="AJ558" s="4" t="str">
        <f>Table2[[#This Row],[field_fate10]]</f>
        <v>U</v>
      </c>
      <c r="AK558" s="4" t="b">
        <f>Table2[[#This Row],[field_fate_feb]]=Table2[[#This Row],[field_fate10]]</f>
        <v>1</v>
      </c>
      <c r="AL558" s="43" t="s">
        <v>24</v>
      </c>
      <c r="AM558" s="43" t="b">
        <f>Table2[[#This Row],[cam_fate2]]="NA"</f>
        <v>1</v>
      </c>
      <c r="AN558" s="19" t="str">
        <f>Table2[[#This Row],[cam_fate1]]</f>
        <v>NA</v>
      </c>
      <c r="AO558" s="2" t="s">
        <v>90</v>
      </c>
      <c r="AP558" s="5" t="str">
        <f>Table2[[#This Row],[final_fate1]]</f>
        <v>U</v>
      </c>
      <c r="AQ558" s="6">
        <v>24</v>
      </c>
      <c r="AR558" s="7">
        <v>24</v>
      </c>
      <c r="AS558" s="7">
        <f>Table2[[#This Row],[final_obs_date]]-Table2[[#This Row],[init_date]]</f>
        <v>24</v>
      </c>
      <c r="AT558" s="7">
        <f>(Table2[[#This Row],[final_obs_date2]]-Table2[[#This Row],[estHD]])+16</f>
        <v>21</v>
      </c>
      <c r="AU558" s="38">
        <v>9</v>
      </c>
      <c r="AV558" s="33">
        <v>9</v>
      </c>
      <c r="AW558" s="33">
        <f>Table2[[#This Row],[final_obs_date2]]-Table2[[#This Row],[pen_obs_date]]</f>
        <v>86</v>
      </c>
      <c r="AX558" s="67">
        <v>86</v>
      </c>
      <c r="AY558" s="6">
        <f>Table2[[#This Row],[final_obs_date]]</f>
        <v>86</v>
      </c>
      <c r="AZ558" s="6"/>
      <c r="BA558" s="91" t="s">
        <v>47</v>
      </c>
      <c r="BB558" s="6" t="b">
        <f>Table2[[#This Row],[final_obs_date]]&lt;(Table2[[#This Row],[estHD]]-2)</f>
        <v>0</v>
      </c>
      <c r="BC558" s="24">
        <f>IF(Table2[[#This Row],[field_fate]]="H",1,0)</f>
        <v>0</v>
      </c>
      <c r="BD558" s="16">
        <f>IF(Table2[[#This Row],[cam_fate2]]="H",1,0)</f>
        <v>0</v>
      </c>
      <c r="BE558" s="6" t="b">
        <f>NOT(Table2[[#This Row],[HF_C]]=Table2[[#This Row],[HF]])</f>
        <v>0</v>
      </c>
      <c r="BF558" s="6" t="b">
        <f>NOT(Table2[[#This Row],[cam_fate2]]=Table2[[#This Row],[field_fate3]])</f>
        <v>1</v>
      </c>
      <c r="BG558" s="6" t="b">
        <f>OR(Table2[[#This Row],[field_fate3]]="U",Table2[[#This Row],[field_fate3]]="U-H")</f>
        <v>1</v>
      </c>
      <c r="BH558" s="8">
        <v>69</v>
      </c>
      <c r="BI558" s="8">
        <v>77</v>
      </c>
      <c r="BJ558" s="14">
        <f>IF(ISTEXT(Table2[[#This Row],[j.cam]]),Table2[[#This Row],[j]],Table2[[#This Row],[j.cam]])</f>
        <v>77</v>
      </c>
      <c r="BK558" s="9">
        <v>86</v>
      </c>
      <c r="BL558" s="15">
        <f>IF(ISTEXT(Table2[[#This Row],[k.cam]]), Table2[[#This Row],[k]], Table2[[#This Row],[k.cam]])</f>
        <v>86</v>
      </c>
      <c r="BM558" s="4" t="s">
        <v>24</v>
      </c>
      <c r="BN558" s="8" t="s">
        <v>24</v>
      </c>
      <c r="BO558" s="4">
        <v>4</v>
      </c>
      <c r="BP558" s="4">
        <f>Table2[[#This Row],[final_obs_date]]-Table2[[#This Row],[i]]</f>
        <v>17</v>
      </c>
      <c r="BQ558" s="4" t="b">
        <f>Table2[[#This Row],[final_obs_date2]]&gt;Table2[[#This Row],[estHD]]+3</f>
        <v>1</v>
      </c>
      <c r="BR558" s="4" t="s">
        <v>33</v>
      </c>
      <c r="BS558" s="4" t="s">
        <v>45</v>
      </c>
      <c r="BT558" s="79" t="s">
        <v>1349</v>
      </c>
      <c r="BU558" s="26" t="s">
        <v>302</v>
      </c>
      <c r="BV558" s="79" t="s">
        <v>1663</v>
      </c>
      <c r="BW558" s="49"/>
      <c r="BX558" s="47"/>
      <c r="BY558" s="36" t="s">
        <v>24</v>
      </c>
    </row>
    <row r="559" spans="1:77" hidden="1" x14ac:dyDescent="0.35">
      <c r="A559" s="64">
        <v>30083</v>
      </c>
      <c r="B559" s="2" t="s">
        <v>35</v>
      </c>
      <c r="C559" s="46">
        <v>2021</v>
      </c>
      <c r="D559" s="3">
        <v>29.771650000000001</v>
      </c>
      <c r="E559" s="3">
        <v>-93.177790000000002</v>
      </c>
      <c r="F559" s="3">
        <v>0</v>
      </c>
      <c r="G559" s="3">
        <v>0</v>
      </c>
      <c r="H559" s="3" t="s">
        <v>26</v>
      </c>
      <c r="I559" s="43"/>
      <c r="J559" s="55">
        <v>81</v>
      </c>
      <c r="K559" s="4">
        <v>81</v>
      </c>
      <c r="L559" s="22">
        <f>IF(ISNUMBER(Table2[[#This Row],[estHD]]),ABS(Table2[[#This Row],[HD]]-Table2[[#This Row],[estHD]]),"NA")</f>
        <v>0</v>
      </c>
      <c r="M559" s="4" t="b">
        <f>Table2[[#This Row],[HD]]=Table2[[#This Row],[estHD]]</f>
        <v>1</v>
      </c>
      <c r="N559" s="4" t="str">
        <f>IF(ISNUMBER([1]!Table2[[#This Row],[hatch_date]]),[1]!Table2[[#This Row],[hatch_date]]-19,"NA")</f>
        <v>NA</v>
      </c>
      <c r="O559" s="31">
        <v>62</v>
      </c>
      <c r="P559" s="23" t="e">
        <f>IF(ISNUMBER(Table2[[#This Row],[nest_age1]]),ABS(Table2[[#This Row],[nest_age1]]-Table2[[#This Row],[nest_age_feb]]),"NA")</f>
        <v>#VALUE!</v>
      </c>
      <c r="Q559" s="24">
        <f>IF(ISNUMBER(Table2[[#This Row],[final_obs_int2]]),ABS(Table2[[#This Row],[final_obs_int2]]-Table2[[#This Row],[final_obs_int_feb]]), "NA")</f>
        <v>0</v>
      </c>
      <c r="R559" s="24"/>
      <c r="S559" s="57" t="s">
        <v>88</v>
      </c>
      <c r="T559" s="57" t="str">
        <f>Table2[[#This Row],[camera_old]]</f>
        <v>N</v>
      </c>
      <c r="U559" s="24"/>
      <c r="V559" s="16" t="s">
        <v>24</v>
      </c>
      <c r="W559" s="16" t="s">
        <v>24</v>
      </c>
      <c r="X559" s="145">
        <v>5</v>
      </c>
      <c r="Y559" s="147" t="s">
        <v>149</v>
      </c>
      <c r="Z559" s="146" t="s">
        <v>25</v>
      </c>
      <c r="AA559" s="4" t="str">
        <f>Table2[[#This Row],[field_fate]]</f>
        <v>S</v>
      </c>
      <c r="AB559" s="4" t="str">
        <f>Table2[[#This Row],[field_fate2]]</f>
        <v>S</v>
      </c>
      <c r="AC559" s="4" t="str">
        <f>Table2[[#This Row],[field_fate3]]</f>
        <v>S</v>
      </c>
      <c r="AD559" s="4" t="str">
        <f>Table2[[#This Row],[field_fate4]]</f>
        <v>S</v>
      </c>
      <c r="AE559" s="4" t="str">
        <f>Table2[[#This Row],[field_fate5]]</f>
        <v>S</v>
      </c>
      <c r="AF559" s="4" t="str">
        <f>Table2[[#This Row],[field_fate5]]</f>
        <v>S</v>
      </c>
      <c r="AG559" s="4" t="str">
        <f>Table2[[#This Row],[field_fate5]]</f>
        <v>S</v>
      </c>
      <c r="AH559" s="4" t="str">
        <f>Table2[[#This Row],[field_fate2]]</f>
        <v>S</v>
      </c>
      <c r="AI559" s="4" t="str">
        <f>Table2[[#This Row],[field_fate8]]</f>
        <v>S</v>
      </c>
      <c r="AJ559" s="4" t="str">
        <f>Table2[[#This Row],[field_fate10]]</f>
        <v>S</v>
      </c>
      <c r="AK559" s="4" t="b">
        <f>Table2[[#This Row],[field_fate_feb]]=Table2[[#This Row],[field_fate10]]</f>
        <v>0</v>
      </c>
      <c r="AL559" s="43" t="s">
        <v>24</v>
      </c>
      <c r="AM559" s="43" t="b">
        <f>Table2[[#This Row],[cam_fate2]]="NA"</f>
        <v>1</v>
      </c>
      <c r="AN559" s="19" t="str">
        <f>Table2[[#This Row],[cam_fate1]]</f>
        <v>NA</v>
      </c>
      <c r="AO559" s="2" t="s">
        <v>25</v>
      </c>
      <c r="AP559" s="5" t="str">
        <f>Table2[[#This Row],[final_fate1]]</f>
        <v>S</v>
      </c>
      <c r="AQ559" s="6">
        <v>12</v>
      </c>
      <c r="AR559" s="7">
        <v>12</v>
      </c>
      <c r="AS559" s="7">
        <f>Table2[[#This Row],[final_obs_date]]-Table2[[#This Row],[init_date]]</f>
        <v>12</v>
      </c>
      <c r="AT559" s="7">
        <f>(Table2[[#This Row],[final_obs_date2]]-Table2[[#This Row],[estHD]])+16</f>
        <v>9</v>
      </c>
      <c r="AU559" s="38">
        <v>5</v>
      </c>
      <c r="AV559" s="33">
        <v>5</v>
      </c>
      <c r="AW559" s="33">
        <f>Table2[[#This Row],[final_obs_date2]]-Table2[[#This Row],[pen_obs_date]]</f>
        <v>74</v>
      </c>
      <c r="AX559" s="67">
        <v>74</v>
      </c>
      <c r="AY559" s="6">
        <f>Table2[[#This Row],[final_obs_date]]</f>
        <v>74</v>
      </c>
      <c r="AZ559" s="6"/>
      <c r="BA559" s="91" t="s">
        <v>47</v>
      </c>
      <c r="BB559" s="6" t="b">
        <f>Table2[[#This Row],[final_obs_date]]&lt;(Table2[[#This Row],[estHD]]-2)</f>
        <v>1</v>
      </c>
      <c r="BC559" s="24">
        <f>IF(Table2[[#This Row],[field_fate]]="H",1,0)</f>
        <v>0</v>
      </c>
      <c r="BD559" s="16">
        <f>IF(Table2[[#This Row],[cam_fate2]]="H",1,0)</f>
        <v>0</v>
      </c>
      <c r="BE559" s="6" t="b">
        <f>NOT(Table2[[#This Row],[HF_C]]=Table2[[#This Row],[HF]])</f>
        <v>0</v>
      </c>
      <c r="BF559" s="6" t="b">
        <f>NOT(Table2[[#This Row],[cam_fate2]]=Table2[[#This Row],[field_fate3]])</f>
        <v>1</v>
      </c>
      <c r="BG559" s="6" t="b">
        <f>OR(Table2[[#This Row],[field_fate3]]="U",Table2[[#This Row],[field_fate3]]="U-H")</f>
        <v>0</v>
      </c>
      <c r="BH559" s="8">
        <v>69</v>
      </c>
      <c r="BI559" s="8">
        <v>69</v>
      </c>
      <c r="BJ559" s="14">
        <f>IF(ISTEXT(Table2[[#This Row],[j.cam]]),Table2[[#This Row],[j]],Table2[[#This Row],[j.cam]])</f>
        <v>69</v>
      </c>
      <c r="BK559" s="9">
        <v>74</v>
      </c>
      <c r="BL559" s="15">
        <f>IF(ISTEXT(Table2[[#This Row],[k.cam]]), Table2[[#This Row],[k]], Table2[[#This Row],[k.cam]])</f>
        <v>74</v>
      </c>
      <c r="BM559" s="4" t="s">
        <v>24</v>
      </c>
      <c r="BN559" s="8" t="s">
        <v>24</v>
      </c>
      <c r="BO559" s="4">
        <v>2</v>
      </c>
      <c r="BP559" s="4">
        <f>Table2[[#This Row],[final_obs_date]]-Table2[[#This Row],[i]]</f>
        <v>5</v>
      </c>
      <c r="BQ559" s="4" t="b">
        <f>Table2[[#This Row],[final_obs_date2]]&gt;Table2[[#This Row],[estHD]]+3</f>
        <v>0</v>
      </c>
      <c r="BR559" s="4" t="s">
        <v>33</v>
      </c>
      <c r="BS559" s="4" t="s">
        <v>45</v>
      </c>
      <c r="BT559" s="79" t="s">
        <v>1348</v>
      </c>
      <c r="BU559" s="26" t="s">
        <v>87</v>
      </c>
      <c r="BV559" s="79" t="s">
        <v>1464</v>
      </c>
      <c r="BW559" s="49"/>
      <c r="BX559" s="47"/>
      <c r="BY559" s="36" t="s">
        <v>24</v>
      </c>
    </row>
    <row r="560" spans="1:77" hidden="1" x14ac:dyDescent="0.35">
      <c r="A560" s="64">
        <v>30084</v>
      </c>
      <c r="B560" s="2" t="s">
        <v>35</v>
      </c>
      <c r="C560" s="46">
        <v>2021</v>
      </c>
      <c r="D560" s="3">
        <v>29.772010000000002</v>
      </c>
      <c r="E560" s="3">
        <v>-93.181399999999996</v>
      </c>
      <c r="F560" s="3">
        <v>1</v>
      </c>
      <c r="G560" s="3">
        <v>1</v>
      </c>
      <c r="H560" s="3" t="s">
        <v>26</v>
      </c>
      <c r="I560" s="43"/>
      <c r="J560" s="55">
        <v>75</v>
      </c>
      <c r="K560" s="4">
        <v>75</v>
      </c>
      <c r="L560" s="22">
        <f>IF(ISNUMBER(Table2[[#This Row],[estHD]]),ABS(Table2[[#This Row],[HD]]-Table2[[#This Row],[estHD]]),"NA")</f>
        <v>0</v>
      </c>
      <c r="M560" s="4" t="b">
        <f>Table2[[#This Row],[HD]]=Table2[[#This Row],[estHD]]</f>
        <v>1</v>
      </c>
      <c r="N560" s="4" t="str">
        <f>IF(ISNUMBER([1]!Table2[[#This Row],[hatch_date]]),[1]!Table2[[#This Row],[hatch_date]]-19,"NA")</f>
        <v>NA</v>
      </c>
      <c r="O560" s="31">
        <v>56</v>
      </c>
      <c r="P560" s="23" t="e">
        <f>IF(ISNUMBER(Table2[[#This Row],[nest_age1]]),ABS(Table2[[#This Row],[nest_age1]]-Table2[[#This Row],[nest_age_feb]]),"NA")</f>
        <v>#VALUE!</v>
      </c>
      <c r="Q560" s="24">
        <f>IF(ISNUMBER(Table2[[#This Row],[final_obs_int2]]),ABS(Table2[[#This Row],[final_obs_int2]]-Table2[[#This Row],[final_obs_int_feb]]), "NA")</f>
        <v>0</v>
      </c>
      <c r="R560" s="24"/>
      <c r="S560" s="57" t="s">
        <v>88</v>
      </c>
      <c r="T560" s="57" t="str">
        <f>Table2[[#This Row],[camera_old]]</f>
        <v>N</v>
      </c>
      <c r="U560" s="24"/>
      <c r="V560" s="16" t="s">
        <v>24</v>
      </c>
      <c r="W560" s="16" t="s">
        <v>24</v>
      </c>
      <c r="X560" s="145">
        <v>5</v>
      </c>
      <c r="Y560" s="147" t="s">
        <v>149</v>
      </c>
      <c r="Z560" s="146" t="s">
        <v>25</v>
      </c>
      <c r="AA560" s="4" t="str">
        <f>Table2[[#This Row],[field_fate]]</f>
        <v>S</v>
      </c>
      <c r="AB560" s="4" t="str">
        <f>Table2[[#This Row],[field_fate2]]</f>
        <v>S</v>
      </c>
      <c r="AC560" s="4" t="str">
        <f>Table2[[#This Row],[field_fate3]]</f>
        <v>S</v>
      </c>
      <c r="AD560" s="4" t="str">
        <f>Table2[[#This Row],[field_fate4]]</f>
        <v>S</v>
      </c>
      <c r="AE560" s="4" t="str">
        <f>Table2[[#This Row],[field_fate5]]</f>
        <v>S</v>
      </c>
      <c r="AF560" s="4" t="str">
        <f>Table2[[#This Row],[field_fate5]]</f>
        <v>S</v>
      </c>
      <c r="AG560" s="4" t="str">
        <f>Table2[[#This Row],[field_fate5]]</f>
        <v>S</v>
      </c>
      <c r="AH560" s="4" t="str">
        <f>Table2[[#This Row],[field_fate2]]</f>
        <v>S</v>
      </c>
      <c r="AI560" s="4" t="str">
        <f>Table2[[#This Row],[field_fate8]]</f>
        <v>S</v>
      </c>
      <c r="AJ560" s="4" t="str">
        <f>Table2[[#This Row],[field_fate10]]</f>
        <v>S</v>
      </c>
      <c r="AK560" s="4" t="b">
        <f>Table2[[#This Row],[field_fate_feb]]=Table2[[#This Row],[field_fate10]]</f>
        <v>0</v>
      </c>
      <c r="AL560" s="43" t="s">
        <v>24</v>
      </c>
      <c r="AM560" s="43" t="b">
        <f>Table2[[#This Row],[cam_fate2]]="NA"</f>
        <v>1</v>
      </c>
      <c r="AN560" s="19" t="str">
        <f>Table2[[#This Row],[cam_fate1]]</f>
        <v>NA</v>
      </c>
      <c r="AO560" s="2" t="s">
        <v>25</v>
      </c>
      <c r="AP560" s="5" t="str">
        <f>Table2[[#This Row],[final_fate1]]</f>
        <v>S</v>
      </c>
      <c r="AQ560" s="6">
        <v>18</v>
      </c>
      <c r="AR560" s="7">
        <v>18</v>
      </c>
      <c r="AS560" s="7">
        <f>Table2[[#This Row],[final_obs_date]]-Table2[[#This Row],[init_date]]</f>
        <v>18</v>
      </c>
      <c r="AT560" s="7">
        <f>(Table2[[#This Row],[final_obs_date2]]-Table2[[#This Row],[estHD]])+16</f>
        <v>15</v>
      </c>
      <c r="AU560" s="38">
        <v>5</v>
      </c>
      <c r="AV560" s="33">
        <v>5</v>
      </c>
      <c r="AW560" s="33">
        <f>Table2[[#This Row],[final_obs_date2]]-Table2[[#This Row],[pen_obs_date]]</f>
        <v>74</v>
      </c>
      <c r="AX560" s="67">
        <v>74</v>
      </c>
      <c r="AY560" s="6">
        <f>Table2[[#This Row],[final_obs_date]]</f>
        <v>74</v>
      </c>
      <c r="AZ560" s="6"/>
      <c r="BA560" s="91" t="s">
        <v>47</v>
      </c>
      <c r="BB560" s="6" t="b">
        <f>Table2[[#This Row],[final_obs_date]]&lt;(Table2[[#This Row],[estHD]]-2)</f>
        <v>0</v>
      </c>
      <c r="BC560" s="24">
        <f>IF(Table2[[#This Row],[field_fate]]="H",1,0)</f>
        <v>0</v>
      </c>
      <c r="BD560" s="16">
        <f>IF(Table2[[#This Row],[cam_fate2]]="H",1,0)</f>
        <v>0</v>
      </c>
      <c r="BE560" s="6" t="b">
        <f>NOT(Table2[[#This Row],[HF_C]]=Table2[[#This Row],[HF]])</f>
        <v>0</v>
      </c>
      <c r="BF560" s="6" t="b">
        <f>NOT(Table2[[#This Row],[cam_fate2]]=Table2[[#This Row],[field_fate3]])</f>
        <v>1</v>
      </c>
      <c r="BG560" s="6" t="b">
        <f>OR(Table2[[#This Row],[field_fate3]]="U",Table2[[#This Row],[field_fate3]]="U-H")</f>
        <v>0</v>
      </c>
      <c r="BH560" s="8">
        <v>69</v>
      </c>
      <c r="BI560" s="8">
        <v>69</v>
      </c>
      <c r="BJ560" s="14">
        <f>IF(ISTEXT(Table2[[#This Row],[j.cam]]),Table2[[#This Row],[j]],Table2[[#This Row],[j.cam]])</f>
        <v>69</v>
      </c>
      <c r="BK560" s="9">
        <v>74</v>
      </c>
      <c r="BL560" s="15">
        <f>IF(ISTEXT(Table2[[#This Row],[k.cam]]), Table2[[#This Row],[k]], Table2[[#This Row],[k.cam]])</f>
        <v>74</v>
      </c>
      <c r="BM560" s="4" t="s">
        <v>24</v>
      </c>
      <c r="BN560" s="8" t="s">
        <v>24</v>
      </c>
      <c r="BO560" s="4">
        <v>2</v>
      </c>
      <c r="BP560" s="4">
        <f>Table2[[#This Row],[final_obs_date]]-Table2[[#This Row],[i]]</f>
        <v>5</v>
      </c>
      <c r="BQ560" s="4" t="b">
        <f>Table2[[#This Row],[final_obs_date2]]&gt;Table2[[#This Row],[estHD]]+3</f>
        <v>0</v>
      </c>
      <c r="BR560" s="4" t="s">
        <v>33</v>
      </c>
      <c r="BS560" s="4" t="s">
        <v>45</v>
      </c>
      <c r="BT560" s="79" t="s">
        <v>1348</v>
      </c>
      <c r="BU560" s="26" t="s">
        <v>87</v>
      </c>
      <c r="BV560" s="79" t="s">
        <v>1464</v>
      </c>
      <c r="BW560" s="49"/>
      <c r="BX560" s="47"/>
      <c r="BY560" s="36" t="s">
        <v>24</v>
      </c>
    </row>
    <row r="561" spans="1:77" hidden="1" x14ac:dyDescent="0.35">
      <c r="A561" s="64">
        <v>30085</v>
      </c>
      <c r="B561" s="2" t="s">
        <v>122</v>
      </c>
      <c r="C561" s="46">
        <v>2021</v>
      </c>
      <c r="D561" s="3">
        <v>29.75788</v>
      </c>
      <c r="E561" s="3">
        <v>-93.116410000000002</v>
      </c>
      <c r="F561" s="3">
        <v>0</v>
      </c>
      <c r="G561" s="3">
        <v>0</v>
      </c>
      <c r="H561" s="3" t="s">
        <v>354</v>
      </c>
      <c r="I561" s="43"/>
      <c r="J561" s="55">
        <v>78</v>
      </c>
      <c r="K561" s="4">
        <v>78</v>
      </c>
      <c r="L561" s="22">
        <f>IF(ISNUMBER(Table2[[#This Row],[estHD]]),ABS(Table2[[#This Row],[HD]]-Table2[[#This Row],[estHD]]),"NA")</f>
        <v>0</v>
      </c>
      <c r="M561" s="4" t="b">
        <f>Table2[[#This Row],[HD]]=Table2[[#This Row],[estHD]]</f>
        <v>1</v>
      </c>
      <c r="N561" s="4" t="str">
        <f>IF(ISNUMBER([1]!Table2[[#This Row],[hatch_date]]),[1]!Table2[[#This Row],[hatch_date]]-19,"NA")</f>
        <v>NA</v>
      </c>
      <c r="O561" s="31">
        <v>59</v>
      </c>
      <c r="P561" s="23" t="e">
        <f>IF(ISNUMBER(Table2[[#This Row],[nest_age1]]),ABS(Table2[[#This Row],[nest_age1]]-Table2[[#This Row],[nest_age_feb]]),"NA")</f>
        <v>#VALUE!</v>
      </c>
      <c r="Q561" s="24">
        <f>IF(ISNUMBER(Table2[[#This Row],[final_obs_int2]]),ABS(Table2[[#This Row],[final_obs_int2]]-Table2[[#This Row],[final_obs_int_feb]]), "NA")</f>
        <v>0</v>
      </c>
      <c r="R561" s="24"/>
      <c r="S561" s="57" t="s">
        <v>88</v>
      </c>
      <c r="T561" s="57" t="str">
        <f>Table2[[#This Row],[camera_old]]</f>
        <v>N</v>
      </c>
      <c r="U561" s="24"/>
      <c r="V561" s="16" t="s">
        <v>24</v>
      </c>
      <c r="W561" s="16" t="s">
        <v>24</v>
      </c>
      <c r="X561" s="145">
        <v>4</v>
      </c>
      <c r="Y561" s="149" t="s">
        <v>90</v>
      </c>
      <c r="Z561" s="146" t="s">
        <v>90</v>
      </c>
      <c r="AA561" s="4" t="str">
        <f>Table2[[#This Row],[field_fate]]</f>
        <v>U</v>
      </c>
      <c r="AB561" s="4" t="str">
        <f>Table2[[#This Row],[field_fate2]]</f>
        <v>U</v>
      </c>
      <c r="AC561" s="4" t="str">
        <f>Table2[[#This Row],[field_fate3]]</f>
        <v>U</v>
      </c>
      <c r="AD561" s="4" t="str">
        <f>Table2[[#This Row],[field_fate4]]</f>
        <v>U</v>
      </c>
      <c r="AE561" s="4" t="str">
        <f>Table2[[#This Row],[field_fate5]]</f>
        <v>U</v>
      </c>
      <c r="AF561" s="4" t="str">
        <f>Table2[[#This Row],[field_fate5]]</f>
        <v>U</v>
      </c>
      <c r="AG561" s="4" t="str">
        <f>Table2[[#This Row],[field_fate5]]</f>
        <v>U</v>
      </c>
      <c r="AH561" s="4" t="str">
        <f>Table2[[#This Row],[field_fate2]]</f>
        <v>U</v>
      </c>
      <c r="AI561" s="4" t="str">
        <f>Table2[[#This Row],[field_fate8]]</f>
        <v>U</v>
      </c>
      <c r="AJ561" s="4" t="str">
        <f>Table2[[#This Row],[field_fate10]]</f>
        <v>U</v>
      </c>
      <c r="AK561" s="4" t="b">
        <f>Table2[[#This Row],[field_fate_feb]]=Table2[[#This Row],[field_fate10]]</f>
        <v>1</v>
      </c>
      <c r="AL561" s="43" t="s">
        <v>24</v>
      </c>
      <c r="AM561" s="43" t="b">
        <f>Table2[[#This Row],[cam_fate2]]="NA"</f>
        <v>1</v>
      </c>
      <c r="AN561" s="19" t="str">
        <f>Table2[[#This Row],[cam_fate1]]</f>
        <v>NA</v>
      </c>
      <c r="AO561" s="2" t="s">
        <v>90</v>
      </c>
      <c r="AP561" s="5" t="str">
        <f>Table2[[#This Row],[final_fate1]]</f>
        <v>U</v>
      </c>
      <c r="AQ561" s="6">
        <v>22</v>
      </c>
      <c r="AR561" s="7">
        <v>22</v>
      </c>
      <c r="AS561" s="7">
        <f>Table2[[#This Row],[final_obs_date]]-Table2[[#This Row],[init_date]]</f>
        <v>22</v>
      </c>
      <c r="AT561" s="7">
        <f>(Table2[[#This Row],[final_obs_date2]]-Table2[[#This Row],[estHD]])+16</f>
        <v>19</v>
      </c>
      <c r="AU561" s="38">
        <v>4</v>
      </c>
      <c r="AV561" s="33">
        <v>4</v>
      </c>
      <c r="AW561" s="33">
        <f>Table2[[#This Row],[final_obs_date2]]-Table2[[#This Row],[pen_obs_date]]</f>
        <v>81</v>
      </c>
      <c r="AX561" s="67">
        <v>81</v>
      </c>
      <c r="AY561" s="6">
        <f>Table2[[#This Row],[final_obs_date]]</f>
        <v>81</v>
      </c>
      <c r="AZ561" s="6"/>
      <c r="BA561" s="91" t="s">
        <v>47</v>
      </c>
      <c r="BB561" s="6" t="b">
        <f>Table2[[#This Row],[final_obs_date]]&lt;(Table2[[#This Row],[estHD]]-2)</f>
        <v>0</v>
      </c>
      <c r="BC561" s="24">
        <f>IF(Table2[[#This Row],[field_fate]]="H",1,0)</f>
        <v>0</v>
      </c>
      <c r="BD561" s="16">
        <f>IF(Table2[[#This Row],[cam_fate2]]="H",1,0)</f>
        <v>0</v>
      </c>
      <c r="BE561" s="6" t="b">
        <f>NOT(Table2[[#This Row],[HF_C]]=Table2[[#This Row],[HF]])</f>
        <v>0</v>
      </c>
      <c r="BF561" s="6" t="b">
        <f>NOT(Table2[[#This Row],[cam_fate2]]=Table2[[#This Row],[field_fate3]])</f>
        <v>1</v>
      </c>
      <c r="BG561" s="6" t="b">
        <f>OR(Table2[[#This Row],[field_fate3]]="U",Table2[[#This Row],[field_fate3]]="U-H")</f>
        <v>1</v>
      </c>
      <c r="BH561" s="8">
        <v>72</v>
      </c>
      <c r="BI561" s="8">
        <v>77</v>
      </c>
      <c r="BJ561" s="14">
        <f>IF(ISTEXT(Table2[[#This Row],[j.cam]]),Table2[[#This Row],[j]],Table2[[#This Row],[j.cam]])</f>
        <v>77</v>
      </c>
      <c r="BK561" s="9">
        <v>81</v>
      </c>
      <c r="BL561" s="15">
        <f>IF(ISTEXT(Table2[[#This Row],[k.cam]]), Table2[[#This Row],[k]], Table2[[#This Row],[k.cam]])</f>
        <v>81</v>
      </c>
      <c r="BM561" s="4" t="s">
        <v>24</v>
      </c>
      <c r="BN561" s="8" t="s">
        <v>24</v>
      </c>
      <c r="BO561" s="4">
        <v>3</v>
      </c>
      <c r="BP561" s="4">
        <f>Table2[[#This Row],[final_obs_date]]-Table2[[#This Row],[i]]</f>
        <v>9</v>
      </c>
      <c r="BQ561" s="4" t="b">
        <f>Table2[[#This Row],[final_obs_date2]]&gt;Table2[[#This Row],[estHD]]+3</f>
        <v>0</v>
      </c>
      <c r="BR561" s="4" t="s">
        <v>33</v>
      </c>
      <c r="BS561" s="4" t="s">
        <v>45</v>
      </c>
      <c r="BT561" s="79" t="s">
        <v>1147</v>
      </c>
      <c r="BU561" s="26" t="s">
        <v>132</v>
      </c>
      <c r="BV561" s="79" t="s">
        <v>1470</v>
      </c>
      <c r="BW561" s="49"/>
      <c r="BX561" s="47"/>
      <c r="BY561" s="36" t="s">
        <v>828</v>
      </c>
    </row>
    <row r="562" spans="1:77" hidden="1" x14ac:dyDescent="0.35">
      <c r="A562" s="64">
        <v>30086</v>
      </c>
      <c r="B562" s="2" t="s">
        <v>122</v>
      </c>
      <c r="C562" s="46">
        <v>2021</v>
      </c>
      <c r="D562" s="3">
        <v>29.75638</v>
      </c>
      <c r="E562" s="3">
        <v>-93.110060000000004</v>
      </c>
      <c r="F562" s="3">
        <v>0</v>
      </c>
      <c r="G562" s="3">
        <v>0</v>
      </c>
      <c r="H562" s="3" t="s">
        <v>354</v>
      </c>
      <c r="I562" s="43"/>
      <c r="J562" s="55">
        <v>76</v>
      </c>
      <c r="K562" s="4">
        <v>76</v>
      </c>
      <c r="L562" s="22">
        <f>IF(ISNUMBER(Table2[[#This Row],[estHD]]),ABS(Table2[[#This Row],[HD]]-Table2[[#This Row],[estHD]]),"NA")</f>
        <v>0</v>
      </c>
      <c r="M562" s="4" t="b">
        <f>Table2[[#This Row],[HD]]=Table2[[#This Row],[estHD]]</f>
        <v>1</v>
      </c>
      <c r="N562" s="4" t="str">
        <f>IF(ISNUMBER([1]!Table2[[#This Row],[hatch_date]]),[1]!Table2[[#This Row],[hatch_date]]-19,"NA")</f>
        <v>NA</v>
      </c>
      <c r="O562" s="31">
        <v>57</v>
      </c>
      <c r="P562" s="23">
        <f>IF(ISNUMBER(Table2[[#This Row],[nest_age1]]),ABS(Table2[[#This Row],[nest_age1]]-Table2[[#This Row],[nest_age_feb]]),"NA")</f>
        <v>0</v>
      </c>
      <c r="Q562" s="24">
        <f>IF(ISNUMBER(Table2[[#This Row],[final_obs_int2]]),ABS(Table2[[#This Row],[final_obs_int2]]-Table2[[#This Row],[final_obs_int_feb]]), "NA")</f>
        <v>0</v>
      </c>
      <c r="R562" s="24"/>
      <c r="S562" s="57" t="s">
        <v>88</v>
      </c>
      <c r="T562" s="57" t="str">
        <f>Table2[[#This Row],[camera_old]]</f>
        <v>N</v>
      </c>
      <c r="U562" s="24"/>
      <c r="V562" s="16" t="s">
        <v>24</v>
      </c>
      <c r="W562" s="16">
        <v>20</v>
      </c>
      <c r="X562" s="145">
        <v>5</v>
      </c>
      <c r="Y562" s="147" t="s">
        <v>31</v>
      </c>
      <c r="Z562" s="146" t="s">
        <v>31</v>
      </c>
      <c r="AA562" s="4" t="str">
        <f>Table2[[#This Row],[field_fate]]</f>
        <v>D</v>
      </c>
      <c r="AB562" s="4" t="str">
        <f>Table2[[#This Row],[field_fate2]]</f>
        <v>D</v>
      </c>
      <c r="AC562" s="4" t="str">
        <f>Table2[[#This Row],[field_fate3]]</f>
        <v>D</v>
      </c>
      <c r="AD562" s="4" t="str">
        <f>Table2[[#This Row],[field_fate4]]</f>
        <v>D</v>
      </c>
      <c r="AE562" s="4" t="str">
        <f>Table2[[#This Row],[field_fate5]]</f>
        <v>D</v>
      </c>
      <c r="AF562" s="4" t="str">
        <f>Table2[[#This Row],[field_fate5]]</f>
        <v>D</v>
      </c>
      <c r="AG562" s="4" t="str">
        <f>Table2[[#This Row],[field_fate5]]</f>
        <v>D</v>
      </c>
      <c r="AH562" s="4" t="str">
        <f>Table2[[#This Row],[field_fate2]]</f>
        <v>D</v>
      </c>
      <c r="AI562" s="4" t="str">
        <f>Table2[[#This Row],[field_fate8]]</f>
        <v>D</v>
      </c>
      <c r="AJ562" s="4" t="str">
        <f>Table2[[#This Row],[field_fate10]]</f>
        <v>D</v>
      </c>
      <c r="AK562" s="4" t="b">
        <f>Table2[[#This Row],[field_fate_feb]]=Table2[[#This Row],[field_fate10]]</f>
        <v>1</v>
      </c>
      <c r="AL562" s="43" t="s">
        <v>24</v>
      </c>
      <c r="AM562" s="43" t="b">
        <f>Table2[[#This Row],[cam_fate2]]="NA"</f>
        <v>1</v>
      </c>
      <c r="AN562" s="19" t="str">
        <f>Table2[[#This Row],[cam_fate1]]</f>
        <v>NA</v>
      </c>
      <c r="AO562" s="2" t="s">
        <v>31</v>
      </c>
      <c r="AP562" s="5" t="str">
        <f>Table2[[#This Row],[final_fate1]]</f>
        <v>D</v>
      </c>
      <c r="AQ562" s="6">
        <v>20</v>
      </c>
      <c r="AR562" s="7">
        <v>20</v>
      </c>
      <c r="AS562" s="7">
        <f>Table2[[#This Row],[final_obs_date]]-Table2[[#This Row],[init_date]]</f>
        <v>20</v>
      </c>
      <c r="AT562" s="7">
        <f>(Table2[[#This Row],[final_obs_date2]]-Table2[[#This Row],[estHD]])+16</f>
        <v>17</v>
      </c>
      <c r="AU562" s="38">
        <v>5</v>
      </c>
      <c r="AV562" s="33">
        <v>5</v>
      </c>
      <c r="AW562" s="33">
        <f>Table2[[#This Row],[final_obs_date2]]-Table2[[#This Row],[pen_obs_date]]</f>
        <v>77</v>
      </c>
      <c r="AX562" s="67">
        <v>77</v>
      </c>
      <c r="AY562" s="6">
        <f>Table2[[#This Row],[final_obs_date]]</f>
        <v>77</v>
      </c>
      <c r="AZ562" s="6"/>
      <c r="BA562" s="91" t="s">
        <v>47</v>
      </c>
      <c r="BB562" s="6" t="b">
        <f>Table2[[#This Row],[final_obs_date]]&lt;(Table2[[#This Row],[estHD]]-2)</f>
        <v>0</v>
      </c>
      <c r="BC562" s="24">
        <f>IF(Table2[[#This Row],[field_fate]]="H",1,0)</f>
        <v>0</v>
      </c>
      <c r="BD562" s="16">
        <f>IF(Table2[[#This Row],[cam_fate2]]="H",1,0)</f>
        <v>0</v>
      </c>
      <c r="BE562" s="6" t="b">
        <f>NOT(Table2[[#This Row],[HF_C]]=Table2[[#This Row],[HF]])</f>
        <v>0</v>
      </c>
      <c r="BF562" s="6" t="b">
        <f>NOT(Table2[[#This Row],[cam_fate2]]=Table2[[#This Row],[field_fate3]])</f>
        <v>1</v>
      </c>
      <c r="BG562" s="6" t="b">
        <f>OR(Table2[[#This Row],[field_fate3]]="U",Table2[[#This Row],[field_fate3]]="U-H")</f>
        <v>0</v>
      </c>
      <c r="BH562" s="8">
        <v>72</v>
      </c>
      <c r="BI562" s="8">
        <v>72</v>
      </c>
      <c r="BJ562" s="14">
        <f>IF(ISTEXT(Table2[[#This Row],[j.cam]]),Table2[[#This Row],[j]],Table2[[#This Row],[j.cam]])</f>
        <v>72</v>
      </c>
      <c r="BK562" s="9">
        <v>77</v>
      </c>
      <c r="BL562" s="15">
        <f>IF(ISTEXT(Table2[[#This Row],[k.cam]]), Table2[[#This Row],[k]], Table2[[#This Row],[k.cam]])</f>
        <v>77</v>
      </c>
      <c r="BM562" s="4" t="s">
        <v>24</v>
      </c>
      <c r="BN562" s="8" t="s">
        <v>24</v>
      </c>
      <c r="BO562" s="4">
        <v>2</v>
      </c>
      <c r="BP562" s="4">
        <f>Table2[[#This Row],[final_obs_date]]-Table2[[#This Row],[i]]</f>
        <v>5</v>
      </c>
      <c r="BQ562" s="4" t="b">
        <f>Table2[[#This Row],[final_obs_date2]]&gt;Table2[[#This Row],[estHD]]+3</f>
        <v>0</v>
      </c>
      <c r="BR562" s="4" t="s">
        <v>33</v>
      </c>
      <c r="BS562" s="4" t="s">
        <v>365</v>
      </c>
      <c r="BT562" s="79" t="s">
        <v>1350</v>
      </c>
      <c r="BU562" s="26" t="s">
        <v>369</v>
      </c>
      <c r="BV562" s="79" t="s">
        <v>1464</v>
      </c>
      <c r="BW562" s="49"/>
      <c r="BX562" s="47"/>
      <c r="BY562" s="36" t="s">
        <v>24</v>
      </c>
    </row>
    <row r="563" spans="1:77" hidden="1" x14ac:dyDescent="0.35">
      <c r="A563" s="64">
        <v>30087</v>
      </c>
      <c r="B563" s="2" t="s">
        <v>122</v>
      </c>
      <c r="C563" s="46">
        <v>2021</v>
      </c>
      <c r="D563" s="3">
        <v>29.756160000000001</v>
      </c>
      <c r="E563" s="3">
        <v>-93.108819999999994</v>
      </c>
      <c r="F563" s="3">
        <v>1</v>
      </c>
      <c r="G563" s="3">
        <v>5</v>
      </c>
      <c r="H563" s="3" t="s">
        <v>354</v>
      </c>
      <c r="I563" s="43"/>
      <c r="J563" s="55">
        <v>76</v>
      </c>
      <c r="K563" s="4">
        <v>76</v>
      </c>
      <c r="L563" s="22">
        <f>IF(ISNUMBER(Table2[[#This Row],[estHD]]),ABS(Table2[[#This Row],[HD]]-Table2[[#This Row],[estHD]]),"NA")</f>
        <v>0</v>
      </c>
      <c r="M563" s="4" t="b">
        <f>Table2[[#This Row],[HD]]=Table2[[#This Row],[estHD]]</f>
        <v>1</v>
      </c>
      <c r="N563" s="4" t="str">
        <f>IF(ISNUMBER([1]!Table2[[#This Row],[hatch_date]]),[1]!Table2[[#This Row],[hatch_date]]-19,"NA")</f>
        <v>NA</v>
      </c>
      <c r="O563" s="31">
        <v>57</v>
      </c>
      <c r="P563" s="23">
        <f>IF(ISNUMBER(Table2[[#This Row],[nest_age1]]),ABS(Table2[[#This Row],[nest_age1]]-Table2[[#This Row],[nest_age_feb]]),"NA")</f>
        <v>0</v>
      </c>
      <c r="Q563" s="24">
        <f>IF(ISNUMBER(Table2[[#This Row],[final_obs_int2]]),ABS(Table2[[#This Row],[final_obs_int2]]-Table2[[#This Row],[final_obs_int_feb]]), "NA")</f>
        <v>0</v>
      </c>
      <c r="R563" s="24"/>
      <c r="S563" s="57" t="s">
        <v>88</v>
      </c>
      <c r="T563" s="57" t="str">
        <f>Table2[[#This Row],[camera_old]]</f>
        <v>N</v>
      </c>
      <c r="U563" s="24"/>
      <c r="V563" s="16" t="s">
        <v>24</v>
      </c>
      <c r="W563" s="16">
        <v>20</v>
      </c>
      <c r="X563" s="145">
        <v>5</v>
      </c>
      <c r="Y563" s="148" t="s">
        <v>31</v>
      </c>
      <c r="Z563" s="146" t="s">
        <v>31</v>
      </c>
      <c r="AA563" s="4" t="str">
        <f>Table2[[#This Row],[field_fate]]</f>
        <v>D</v>
      </c>
      <c r="AB563" s="4" t="str">
        <f>Table2[[#This Row],[field_fate2]]</f>
        <v>D</v>
      </c>
      <c r="AC563" s="4" t="str">
        <f>Table2[[#This Row],[field_fate3]]</f>
        <v>D</v>
      </c>
      <c r="AD563" s="4" t="str">
        <f>Table2[[#This Row],[field_fate4]]</f>
        <v>D</v>
      </c>
      <c r="AE563" s="4" t="str">
        <f>Table2[[#This Row],[field_fate5]]</f>
        <v>D</v>
      </c>
      <c r="AF563" s="4" t="str">
        <f>Table2[[#This Row],[field_fate5]]</f>
        <v>D</v>
      </c>
      <c r="AG563" s="4" t="str">
        <f>Table2[[#This Row],[field_fate5]]</f>
        <v>D</v>
      </c>
      <c r="AH563" s="4" t="str">
        <f>Table2[[#This Row],[field_fate2]]</f>
        <v>D</v>
      </c>
      <c r="AI563" s="4" t="str">
        <f>Table2[[#This Row],[field_fate8]]</f>
        <v>D</v>
      </c>
      <c r="AJ563" s="4" t="str">
        <f>Table2[[#This Row],[field_fate10]]</f>
        <v>D</v>
      </c>
      <c r="AK563" s="4" t="b">
        <f>Table2[[#This Row],[field_fate_feb]]=Table2[[#This Row],[field_fate10]]</f>
        <v>1</v>
      </c>
      <c r="AL563" s="43" t="s">
        <v>24</v>
      </c>
      <c r="AM563" s="43" t="b">
        <f>Table2[[#This Row],[cam_fate2]]="NA"</f>
        <v>1</v>
      </c>
      <c r="AN563" s="19" t="str">
        <f>Table2[[#This Row],[cam_fate1]]</f>
        <v>NA</v>
      </c>
      <c r="AO563" s="2" t="s">
        <v>31</v>
      </c>
      <c r="AP563" s="5" t="str">
        <f>Table2[[#This Row],[final_fate1]]</f>
        <v>D</v>
      </c>
      <c r="AQ563" s="6">
        <v>20</v>
      </c>
      <c r="AR563" s="7">
        <v>20</v>
      </c>
      <c r="AS563" s="7">
        <f>Table2[[#This Row],[final_obs_date]]-Table2[[#This Row],[init_date]]</f>
        <v>20</v>
      </c>
      <c r="AT563" s="7">
        <f>(Table2[[#This Row],[final_obs_date2]]-Table2[[#This Row],[estHD]])+16</f>
        <v>17</v>
      </c>
      <c r="AU563" s="38">
        <v>5</v>
      </c>
      <c r="AV563" s="33">
        <v>5</v>
      </c>
      <c r="AW563" s="33">
        <f>Table2[[#This Row],[final_obs_date2]]-Table2[[#This Row],[pen_obs_date]]</f>
        <v>77</v>
      </c>
      <c r="AX563" s="67">
        <v>77</v>
      </c>
      <c r="AY563" s="6">
        <f>Table2[[#This Row],[final_obs_date]]</f>
        <v>77</v>
      </c>
      <c r="AZ563" s="6"/>
      <c r="BA563" s="91" t="s">
        <v>47</v>
      </c>
      <c r="BB563" s="6" t="b">
        <f>Table2[[#This Row],[final_obs_date]]&lt;(Table2[[#This Row],[estHD]]-2)</f>
        <v>0</v>
      </c>
      <c r="BC563" s="24">
        <f>IF(Table2[[#This Row],[field_fate]]="H",1,0)</f>
        <v>0</v>
      </c>
      <c r="BD563" s="16">
        <f>IF(Table2[[#This Row],[cam_fate2]]="H",1,0)</f>
        <v>0</v>
      </c>
      <c r="BE563" s="6" t="b">
        <f>NOT(Table2[[#This Row],[HF_C]]=Table2[[#This Row],[HF]])</f>
        <v>0</v>
      </c>
      <c r="BF563" s="6" t="b">
        <f>NOT(Table2[[#This Row],[cam_fate2]]=Table2[[#This Row],[field_fate3]])</f>
        <v>1</v>
      </c>
      <c r="BG563" s="6" t="b">
        <f>OR(Table2[[#This Row],[field_fate3]]="U",Table2[[#This Row],[field_fate3]]="U-H")</f>
        <v>0</v>
      </c>
      <c r="BH563" s="8">
        <v>72</v>
      </c>
      <c r="BI563" s="8">
        <v>72</v>
      </c>
      <c r="BJ563" s="14">
        <f>IF(ISTEXT(Table2[[#This Row],[j.cam]]),Table2[[#This Row],[j]],Table2[[#This Row],[j.cam]])</f>
        <v>72</v>
      </c>
      <c r="BK563" s="9">
        <v>77</v>
      </c>
      <c r="BL563" s="15">
        <f>IF(ISTEXT(Table2[[#This Row],[k.cam]]), Table2[[#This Row],[k]], Table2[[#This Row],[k.cam]])</f>
        <v>77</v>
      </c>
      <c r="BM563" s="4" t="s">
        <v>24</v>
      </c>
      <c r="BN563" s="8" t="s">
        <v>24</v>
      </c>
      <c r="BO563" s="4">
        <v>2</v>
      </c>
      <c r="BP563" s="4">
        <f>Table2[[#This Row],[final_obs_date]]-Table2[[#This Row],[i]]</f>
        <v>5</v>
      </c>
      <c r="BQ563" s="4" t="b">
        <f>Table2[[#This Row],[final_obs_date2]]&gt;Table2[[#This Row],[estHD]]+3</f>
        <v>0</v>
      </c>
      <c r="BR563" s="4" t="s">
        <v>58</v>
      </c>
      <c r="BS563" s="4" t="s">
        <v>365</v>
      </c>
      <c r="BT563" s="79" t="s">
        <v>1350</v>
      </c>
      <c r="BU563" s="26" t="s">
        <v>370</v>
      </c>
      <c r="BV563" s="79" t="s">
        <v>1464</v>
      </c>
      <c r="BW563" s="49"/>
      <c r="BX563" s="47"/>
      <c r="BY563" s="36" t="s">
        <v>24</v>
      </c>
    </row>
    <row r="564" spans="1:77" hidden="1" x14ac:dyDescent="0.35">
      <c r="A564" s="64">
        <v>30088</v>
      </c>
      <c r="B564" s="2" t="s">
        <v>35</v>
      </c>
      <c r="C564" s="46">
        <v>2021</v>
      </c>
      <c r="D564" s="3">
        <v>29.77167</v>
      </c>
      <c r="E564" s="3">
        <v>-93.177570000000003</v>
      </c>
      <c r="F564" s="3">
        <v>20</v>
      </c>
      <c r="G564" s="3">
        <v>15</v>
      </c>
      <c r="H564" s="3" t="s">
        <v>26</v>
      </c>
      <c r="I564" s="43"/>
      <c r="J564" s="55">
        <v>83</v>
      </c>
      <c r="K564" s="4">
        <v>83</v>
      </c>
      <c r="L564" s="22">
        <f>IF(ISNUMBER(Table2[[#This Row],[estHD]]),ABS(Table2[[#This Row],[HD]]-Table2[[#This Row],[estHD]]),"NA")</f>
        <v>0</v>
      </c>
      <c r="M564" s="4" t="b">
        <f>Table2[[#This Row],[HD]]=Table2[[#This Row],[estHD]]</f>
        <v>1</v>
      </c>
      <c r="N564" s="4" t="str">
        <f>IF(ISNUMBER([1]!Table2[[#This Row],[hatch_date]]),[1]!Table2[[#This Row],[hatch_date]]-19,"NA")</f>
        <v>NA</v>
      </c>
      <c r="O564" s="31">
        <v>64</v>
      </c>
      <c r="P564" s="23" t="e">
        <f>IF(ISNUMBER(Table2[[#This Row],[nest_age1]]),ABS(Table2[[#This Row],[nest_age1]]-Table2[[#This Row],[nest_age_feb]]),"NA")</f>
        <v>#VALUE!</v>
      </c>
      <c r="Q564" s="24">
        <f>IF(ISNUMBER(Table2[[#This Row],[final_obs_int2]]),ABS(Table2[[#This Row],[final_obs_int2]]-Table2[[#This Row],[final_obs_int_feb]]), "NA")</f>
        <v>0</v>
      </c>
      <c r="R564" s="24"/>
      <c r="S564" s="57" t="s">
        <v>88</v>
      </c>
      <c r="T564" s="57" t="str">
        <f>Table2[[#This Row],[camera_old]]</f>
        <v>N</v>
      </c>
      <c r="U564" s="24"/>
      <c r="V564" s="16" t="s">
        <v>24</v>
      </c>
      <c r="W564" s="16" t="s">
        <v>24</v>
      </c>
      <c r="X564" s="145">
        <v>5</v>
      </c>
      <c r="Y564" s="147" t="s">
        <v>149</v>
      </c>
      <c r="Z564" s="146" t="s">
        <v>25</v>
      </c>
      <c r="AA564" s="4" t="str">
        <f>Table2[[#This Row],[field_fate]]</f>
        <v>S</v>
      </c>
      <c r="AB564" s="4" t="str">
        <f>Table2[[#This Row],[field_fate2]]</f>
        <v>S</v>
      </c>
      <c r="AC564" s="4" t="str">
        <f>Table2[[#This Row],[field_fate3]]</f>
        <v>S</v>
      </c>
      <c r="AD564" s="4" t="str">
        <f>Table2[[#This Row],[field_fate4]]</f>
        <v>S</v>
      </c>
      <c r="AE564" s="4" t="str">
        <f>Table2[[#This Row],[field_fate5]]</f>
        <v>S</v>
      </c>
      <c r="AF564" s="4" t="str">
        <f>Table2[[#This Row],[field_fate5]]</f>
        <v>S</v>
      </c>
      <c r="AG564" s="4" t="str">
        <f>Table2[[#This Row],[field_fate5]]</f>
        <v>S</v>
      </c>
      <c r="AH564" s="4" t="str">
        <f>Table2[[#This Row],[field_fate2]]</f>
        <v>S</v>
      </c>
      <c r="AI564" s="4" t="str">
        <f>Table2[[#This Row],[field_fate8]]</f>
        <v>S</v>
      </c>
      <c r="AJ564" s="4" t="str">
        <f>Table2[[#This Row],[field_fate10]]</f>
        <v>S</v>
      </c>
      <c r="AK564" s="4" t="b">
        <f>Table2[[#This Row],[field_fate_feb]]=Table2[[#This Row],[field_fate10]]</f>
        <v>0</v>
      </c>
      <c r="AL564" s="43" t="s">
        <v>24</v>
      </c>
      <c r="AM564" s="43" t="b">
        <f>Table2[[#This Row],[cam_fate2]]="NA"</f>
        <v>1</v>
      </c>
      <c r="AN564" s="19" t="str">
        <f>Table2[[#This Row],[cam_fate1]]</f>
        <v>NA</v>
      </c>
      <c r="AO564" s="2" t="s">
        <v>25</v>
      </c>
      <c r="AP564" s="5" t="str">
        <f>Table2[[#This Row],[final_fate1]]</f>
        <v>S</v>
      </c>
      <c r="AQ564" s="6">
        <v>10</v>
      </c>
      <c r="AR564" s="7">
        <v>10</v>
      </c>
      <c r="AS564" s="7">
        <f>Table2[[#This Row],[final_obs_date]]-Table2[[#This Row],[init_date]]</f>
        <v>10</v>
      </c>
      <c r="AT564" s="7">
        <f>(Table2[[#This Row],[final_obs_date2]]-Table2[[#This Row],[estHD]])+16</f>
        <v>7</v>
      </c>
      <c r="AU564" s="38">
        <v>5</v>
      </c>
      <c r="AV564" s="33">
        <v>5</v>
      </c>
      <c r="AW564" s="33">
        <f>Table2[[#This Row],[final_obs_date2]]-Table2[[#This Row],[pen_obs_date]]</f>
        <v>74</v>
      </c>
      <c r="AX564" s="67">
        <v>74</v>
      </c>
      <c r="AY564" s="6">
        <f>Table2[[#This Row],[final_obs_date]]</f>
        <v>74</v>
      </c>
      <c r="AZ564" s="6"/>
      <c r="BA564" s="91" t="s">
        <v>47</v>
      </c>
      <c r="BB564" s="6" t="b">
        <f>Table2[[#This Row],[final_obs_date]]&lt;(Table2[[#This Row],[estHD]]-2)</f>
        <v>1</v>
      </c>
      <c r="BC564" s="24">
        <f>IF(Table2[[#This Row],[field_fate]]="H",1,0)</f>
        <v>0</v>
      </c>
      <c r="BD564" s="16">
        <f>IF(Table2[[#This Row],[cam_fate2]]="H",1,0)</f>
        <v>0</v>
      </c>
      <c r="BE564" s="6" t="b">
        <f>NOT(Table2[[#This Row],[HF_C]]=Table2[[#This Row],[HF]])</f>
        <v>0</v>
      </c>
      <c r="BF564" s="6" t="b">
        <f>NOT(Table2[[#This Row],[cam_fate2]]=Table2[[#This Row],[field_fate3]])</f>
        <v>1</v>
      </c>
      <c r="BG564" s="6" t="b">
        <f>OR(Table2[[#This Row],[field_fate3]]="U",Table2[[#This Row],[field_fate3]]="U-H")</f>
        <v>0</v>
      </c>
      <c r="BH564" s="8">
        <v>69</v>
      </c>
      <c r="BI564" s="8">
        <v>69</v>
      </c>
      <c r="BJ564" s="14">
        <f>IF(ISTEXT(Table2[[#This Row],[j.cam]]),Table2[[#This Row],[j]],Table2[[#This Row],[j.cam]])</f>
        <v>69</v>
      </c>
      <c r="BK564" s="9">
        <v>74</v>
      </c>
      <c r="BL564" s="15">
        <f>IF(ISTEXT(Table2[[#This Row],[k.cam]]), Table2[[#This Row],[k]], Table2[[#This Row],[k.cam]])</f>
        <v>74</v>
      </c>
      <c r="BM564" s="4" t="s">
        <v>24</v>
      </c>
      <c r="BN564" s="8" t="s">
        <v>24</v>
      </c>
      <c r="BO564" s="4">
        <v>2</v>
      </c>
      <c r="BP564" s="4">
        <f>Table2[[#This Row],[final_obs_date]]-Table2[[#This Row],[i]]</f>
        <v>5</v>
      </c>
      <c r="BQ564" s="4" t="b">
        <f>Table2[[#This Row],[final_obs_date2]]&gt;Table2[[#This Row],[estHD]]+3</f>
        <v>0</v>
      </c>
      <c r="BR564" s="4" t="s">
        <v>33</v>
      </c>
      <c r="BS564" s="4" t="s">
        <v>45</v>
      </c>
      <c r="BT564" s="79" t="s">
        <v>1348</v>
      </c>
      <c r="BU564" s="26" t="s">
        <v>87</v>
      </c>
      <c r="BV564" s="79" t="s">
        <v>1464</v>
      </c>
      <c r="BW564" s="49"/>
      <c r="BX564" s="47"/>
      <c r="BY564" s="36" t="s">
        <v>24</v>
      </c>
    </row>
    <row r="565" spans="1:77" hidden="1" x14ac:dyDescent="0.35">
      <c r="A565" s="64">
        <v>30089</v>
      </c>
      <c r="B565" s="2" t="s">
        <v>122</v>
      </c>
      <c r="C565" s="46">
        <v>2021</v>
      </c>
      <c r="D565" s="3">
        <v>29.756180000000001</v>
      </c>
      <c r="E565" s="3">
        <v>-93.108779999999996</v>
      </c>
      <c r="F565" s="3">
        <v>0</v>
      </c>
      <c r="G565" s="3">
        <v>0</v>
      </c>
      <c r="H565" s="3" t="s">
        <v>354</v>
      </c>
      <c r="I565" s="43"/>
      <c r="J565" s="55">
        <v>81</v>
      </c>
      <c r="K565" s="4">
        <v>81</v>
      </c>
      <c r="L565" s="22">
        <f>IF(ISNUMBER(Table2[[#This Row],[estHD]]),ABS(Table2[[#This Row],[HD]]-Table2[[#This Row],[estHD]]),"NA")</f>
        <v>0</v>
      </c>
      <c r="M565" s="4" t="b">
        <f>Table2[[#This Row],[HD]]=Table2[[#This Row],[estHD]]</f>
        <v>1</v>
      </c>
      <c r="N565" s="4" t="str">
        <f>IF(ISNUMBER([1]!Table2[[#This Row],[hatch_date]]),[1]!Table2[[#This Row],[hatch_date]]-19,"NA")</f>
        <v>NA</v>
      </c>
      <c r="O565" s="31">
        <v>62</v>
      </c>
      <c r="P565" s="23" t="e">
        <f>IF(ISNUMBER(Table2[[#This Row],[nest_age1]]),ABS(Table2[[#This Row],[nest_age1]]-Table2[[#This Row],[nest_age_feb]]),"NA")</f>
        <v>#VALUE!</v>
      </c>
      <c r="Q565" s="24">
        <f>IF(ISNUMBER(Table2[[#This Row],[final_obs_int2]]),ABS(Table2[[#This Row],[final_obs_int2]]-Table2[[#This Row],[final_obs_int_feb]]), "NA")</f>
        <v>0</v>
      </c>
      <c r="R565" s="24"/>
      <c r="S565" s="57" t="s">
        <v>88</v>
      </c>
      <c r="T565" s="57" t="str">
        <f>Table2[[#This Row],[camera_old]]</f>
        <v>N</v>
      </c>
      <c r="U565" s="24"/>
      <c r="V565" s="16" t="s">
        <v>24</v>
      </c>
      <c r="W565" s="16" t="s">
        <v>24</v>
      </c>
      <c r="X565" s="145">
        <v>4</v>
      </c>
      <c r="Y565" s="147" t="s">
        <v>90</v>
      </c>
      <c r="Z565" s="146" t="s">
        <v>104</v>
      </c>
      <c r="AA565" s="4" t="str">
        <f>Table2[[#This Row],[field_fate]]</f>
        <v>U-H</v>
      </c>
      <c r="AB565" s="4" t="str">
        <f>Table2[[#This Row],[field_fate2]]</f>
        <v>U-H</v>
      </c>
      <c r="AC565" s="4" t="str">
        <f>Table2[[#This Row],[field_fate3]]</f>
        <v>U-H</v>
      </c>
      <c r="AD565" s="4" t="str">
        <f>Table2[[#This Row],[field_fate4]]</f>
        <v>U-H</v>
      </c>
      <c r="AE565" s="4" t="str">
        <f>Table2[[#This Row],[field_fate5]]</f>
        <v>U-H</v>
      </c>
      <c r="AF565" s="4" t="str">
        <f>Table2[[#This Row],[field_fate5]]</f>
        <v>U-H</v>
      </c>
      <c r="AG565" s="4" t="str">
        <f>Table2[[#This Row],[field_fate5]]</f>
        <v>U-H</v>
      </c>
      <c r="AH565" s="4" t="str">
        <f>Table2[[#This Row],[field_fate2]]</f>
        <v>U-H</v>
      </c>
      <c r="AI565" s="4" t="str">
        <f>Table2[[#This Row],[field_fate8]]</f>
        <v>U-H</v>
      </c>
      <c r="AJ565" s="4" t="str">
        <f>Table2[[#This Row],[field_fate10]]</f>
        <v>U-H</v>
      </c>
      <c r="AK565" s="4" t="b">
        <f>Table2[[#This Row],[field_fate_feb]]=Table2[[#This Row],[field_fate10]]</f>
        <v>0</v>
      </c>
      <c r="AL565" s="43" t="s">
        <v>24</v>
      </c>
      <c r="AM565" s="43" t="b">
        <f>Table2[[#This Row],[cam_fate2]]="NA"</f>
        <v>1</v>
      </c>
      <c r="AN565" s="19" t="str">
        <f>Table2[[#This Row],[cam_fate1]]</f>
        <v>NA</v>
      </c>
      <c r="AO565" s="2" t="s">
        <v>104</v>
      </c>
      <c r="AP565" s="5" t="str">
        <f>Table2[[#This Row],[final_fate1]]</f>
        <v>U-H</v>
      </c>
      <c r="AQ565" s="6">
        <v>19</v>
      </c>
      <c r="AR565" s="7">
        <v>19</v>
      </c>
      <c r="AS565" s="7">
        <f>Table2[[#This Row],[final_obs_date]]-Table2[[#This Row],[init_date]]</f>
        <v>19</v>
      </c>
      <c r="AT565" s="7">
        <f>(Table2[[#This Row],[final_obs_date2]]-Table2[[#This Row],[estHD]])+16</f>
        <v>16</v>
      </c>
      <c r="AU565" s="38">
        <v>4</v>
      </c>
      <c r="AV565" s="33">
        <v>4</v>
      </c>
      <c r="AW565" s="33">
        <f>Table2[[#This Row],[final_obs_date2]]-Table2[[#This Row],[pen_obs_date]]</f>
        <v>81</v>
      </c>
      <c r="AX565" s="67">
        <v>81</v>
      </c>
      <c r="AY565" s="6">
        <f>Table2[[#This Row],[final_obs_date]]</f>
        <v>81</v>
      </c>
      <c r="AZ565" s="6"/>
      <c r="BA565" s="91" t="s">
        <v>47</v>
      </c>
      <c r="BB565" s="6" t="b">
        <f>Table2[[#This Row],[final_obs_date]]&lt;(Table2[[#This Row],[estHD]]-2)</f>
        <v>0</v>
      </c>
      <c r="BC565" s="24">
        <f>IF(Table2[[#This Row],[field_fate]]="H",1,0)</f>
        <v>0</v>
      </c>
      <c r="BD565" s="16">
        <f>IF(Table2[[#This Row],[cam_fate2]]="H",1,0)</f>
        <v>0</v>
      </c>
      <c r="BE565" s="6" t="b">
        <f>NOT(Table2[[#This Row],[HF_C]]=Table2[[#This Row],[HF]])</f>
        <v>0</v>
      </c>
      <c r="BF565" s="6" t="b">
        <f>NOT(Table2[[#This Row],[cam_fate2]]=Table2[[#This Row],[field_fate3]])</f>
        <v>1</v>
      </c>
      <c r="BG565" s="6" t="b">
        <f>OR(Table2[[#This Row],[field_fate3]]="U",Table2[[#This Row],[field_fate3]]="U-H")</f>
        <v>1</v>
      </c>
      <c r="BH565" s="8">
        <v>72</v>
      </c>
      <c r="BI565" s="8">
        <v>77</v>
      </c>
      <c r="BJ565" s="14">
        <f>IF(ISTEXT(Table2[[#This Row],[j.cam]]),Table2[[#This Row],[j]],Table2[[#This Row],[j.cam]])</f>
        <v>77</v>
      </c>
      <c r="BK565" s="9">
        <v>81</v>
      </c>
      <c r="BL565" s="15">
        <f>IF(ISTEXT(Table2[[#This Row],[k.cam]]), Table2[[#This Row],[k]], Table2[[#This Row],[k.cam]])</f>
        <v>81</v>
      </c>
      <c r="BM565" s="4" t="s">
        <v>24</v>
      </c>
      <c r="BN565" s="8" t="s">
        <v>24</v>
      </c>
      <c r="BO565" s="4">
        <v>3</v>
      </c>
      <c r="BP565" s="4">
        <f>Table2[[#This Row],[final_obs_date]]-Table2[[#This Row],[i]]</f>
        <v>9</v>
      </c>
      <c r="BQ565" s="4" t="b">
        <f>Table2[[#This Row],[final_obs_date2]]&gt;Table2[[#This Row],[estHD]]+3</f>
        <v>0</v>
      </c>
      <c r="BR565" s="4" t="s">
        <v>33</v>
      </c>
      <c r="BS565" s="4" t="s">
        <v>45</v>
      </c>
      <c r="BT565" s="79" t="s">
        <v>1147</v>
      </c>
      <c r="BU565" s="26" t="s">
        <v>132</v>
      </c>
      <c r="BV565" s="79" t="s">
        <v>1470</v>
      </c>
      <c r="BW565" s="49"/>
      <c r="BX565" s="47"/>
      <c r="BY565" s="36" t="s">
        <v>829</v>
      </c>
    </row>
    <row r="566" spans="1:77" hidden="1" x14ac:dyDescent="0.35">
      <c r="A566" s="64">
        <v>30091</v>
      </c>
      <c r="B566" s="2" t="s">
        <v>35</v>
      </c>
      <c r="C566" s="46">
        <v>2021</v>
      </c>
      <c r="D566" s="3">
        <v>29.769539999999999</v>
      </c>
      <c r="E566" s="3">
        <v>-93.169650000000004</v>
      </c>
      <c r="F566" s="3">
        <v>0</v>
      </c>
      <c r="G566" s="3">
        <v>0</v>
      </c>
      <c r="H566" s="3" t="s">
        <v>26</v>
      </c>
      <c r="I566" s="43"/>
      <c r="J566" s="55">
        <v>88</v>
      </c>
      <c r="K566" s="4">
        <v>88</v>
      </c>
      <c r="L566" s="22">
        <f>IF(ISNUMBER(Table2[[#This Row],[estHD]]),ABS(Table2[[#This Row],[HD]]-Table2[[#This Row],[estHD]]),"NA")</f>
        <v>0</v>
      </c>
      <c r="M566" s="4" t="b">
        <f>Table2[[#This Row],[HD]]=Table2[[#This Row],[estHD]]</f>
        <v>1</v>
      </c>
      <c r="N566" s="4" t="str">
        <f>IF(ISNUMBER([1]!Table2[[#This Row],[hatch_date]]),[1]!Table2[[#This Row],[hatch_date]]-19,"NA")</f>
        <v>NA</v>
      </c>
      <c r="O566" s="31">
        <v>69</v>
      </c>
      <c r="P566" s="23" t="e">
        <f>IF(ISNUMBER(Table2[[#This Row],[nest_age1]]),ABS(Table2[[#This Row],[nest_age1]]-Table2[[#This Row],[nest_age_feb]]),"NA")</f>
        <v>#VALUE!</v>
      </c>
      <c r="Q566" s="24">
        <f>IF(ISNUMBER(Table2[[#This Row],[final_obs_int2]]),ABS(Table2[[#This Row],[final_obs_int2]]-Table2[[#This Row],[final_obs_int_feb]]), "NA")</f>
        <v>0</v>
      </c>
      <c r="R566" s="24"/>
      <c r="S566" s="57" t="s">
        <v>88</v>
      </c>
      <c r="T566" s="57" t="str">
        <f>Table2[[#This Row],[camera_old]]</f>
        <v>N</v>
      </c>
      <c r="U566" s="24"/>
      <c r="V566" s="16" t="s">
        <v>24</v>
      </c>
      <c r="W566" s="16" t="s">
        <v>24</v>
      </c>
      <c r="X566" s="145">
        <v>9</v>
      </c>
      <c r="Y566" s="149" t="s">
        <v>48</v>
      </c>
      <c r="Z566" s="146" t="s">
        <v>48</v>
      </c>
      <c r="AA566" s="4" t="str">
        <f>Table2[[#This Row],[field_fate]]</f>
        <v>F</v>
      </c>
      <c r="AB566" s="4" t="str">
        <f>Table2[[#This Row],[field_fate2]]</f>
        <v>F</v>
      </c>
      <c r="AC566" s="4" t="str">
        <f>Table2[[#This Row],[field_fate3]]</f>
        <v>F</v>
      </c>
      <c r="AD566" s="4" t="str">
        <f>Table2[[#This Row],[field_fate4]]</f>
        <v>F</v>
      </c>
      <c r="AE566" s="4" t="str">
        <f>Table2[[#This Row],[field_fate5]]</f>
        <v>F</v>
      </c>
      <c r="AF566" s="4" t="str">
        <f>Table2[[#This Row],[field_fate5]]</f>
        <v>F</v>
      </c>
      <c r="AG566" s="4" t="str">
        <f>Table2[[#This Row],[field_fate5]]</f>
        <v>F</v>
      </c>
      <c r="AH566" s="4" t="str">
        <f>Table2[[#This Row],[field_fate2]]</f>
        <v>F</v>
      </c>
      <c r="AI566" s="4" t="str">
        <f>Table2[[#This Row],[field_fate8]]</f>
        <v>F</v>
      </c>
      <c r="AJ566" s="4" t="str">
        <f>Table2[[#This Row],[field_fate10]]</f>
        <v>F</v>
      </c>
      <c r="AK566" s="4" t="b">
        <f>Table2[[#This Row],[field_fate_feb]]=Table2[[#This Row],[field_fate10]]</f>
        <v>1</v>
      </c>
      <c r="AL566" s="43" t="s">
        <v>24</v>
      </c>
      <c r="AM566" s="43" t="b">
        <f>Table2[[#This Row],[cam_fate2]]="NA"</f>
        <v>1</v>
      </c>
      <c r="AN566" s="19" t="str">
        <f>Table2[[#This Row],[cam_fate1]]</f>
        <v>NA</v>
      </c>
      <c r="AO566" s="2" t="s">
        <v>48</v>
      </c>
      <c r="AP566" s="5" t="str">
        <f>Table2[[#This Row],[final_fate1]]</f>
        <v>F</v>
      </c>
      <c r="AQ566" s="6">
        <v>17</v>
      </c>
      <c r="AR566" s="7">
        <v>17</v>
      </c>
      <c r="AS566" s="7">
        <f>Table2[[#This Row],[final_obs_date]]-Table2[[#This Row],[init_date]]</f>
        <v>17</v>
      </c>
      <c r="AT566" s="7">
        <f>(Table2[[#This Row],[final_obs_date2]]-Table2[[#This Row],[estHD]])+16</f>
        <v>14</v>
      </c>
      <c r="AU566" s="38">
        <v>9</v>
      </c>
      <c r="AV566" s="33">
        <v>9</v>
      </c>
      <c r="AW566" s="33">
        <f>Table2[[#This Row],[final_obs_date2]]-Table2[[#This Row],[pen_obs_date]]</f>
        <v>86</v>
      </c>
      <c r="AX566" s="67">
        <v>86</v>
      </c>
      <c r="AY566" s="6">
        <f>Table2[[#This Row],[final_obs_date]]</f>
        <v>86</v>
      </c>
      <c r="AZ566" s="6"/>
      <c r="BA566" s="91" t="s">
        <v>47</v>
      </c>
      <c r="BB566" s="6" t="b">
        <f>Table2[[#This Row],[final_obs_date]]&lt;(Table2[[#This Row],[estHD]]-2)</f>
        <v>0</v>
      </c>
      <c r="BC566" s="24">
        <f>IF(Table2[[#This Row],[field_fate]]="H",1,0)</f>
        <v>0</v>
      </c>
      <c r="BD566" s="16">
        <f>IF(Table2[[#This Row],[cam_fate2]]="H",1,0)</f>
        <v>0</v>
      </c>
      <c r="BE566" s="6" t="b">
        <f>NOT(Table2[[#This Row],[HF_C]]=Table2[[#This Row],[HF]])</f>
        <v>0</v>
      </c>
      <c r="BF566" s="6" t="b">
        <f>NOT(Table2[[#This Row],[cam_fate2]]=Table2[[#This Row],[field_fate3]])</f>
        <v>1</v>
      </c>
      <c r="BG566" s="6" t="b">
        <f>OR(Table2[[#This Row],[field_fate3]]="U",Table2[[#This Row],[field_fate3]]="U-H")</f>
        <v>0</v>
      </c>
      <c r="BH566" s="8">
        <v>74</v>
      </c>
      <c r="BI566" s="8">
        <v>77</v>
      </c>
      <c r="BJ566" s="14">
        <f>IF(ISTEXT(Table2[[#This Row],[j.cam]]),Table2[[#This Row],[j]],Table2[[#This Row],[j.cam]])</f>
        <v>77</v>
      </c>
      <c r="BK566" s="9">
        <v>86</v>
      </c>
      <c r="BL566" s="15">
        <f>IF(ISTEXT(Table2[[#This Row],[k.cam]]), Table2[[#This Row],[k]], Table2[[#This Row],[k.cam]])</f>
        <v>86</v>
      </c>
      <c r="BM566" s="4" t="s">
        <v>24</v>
      </c>
      <c r="BN566" s="8" t="s">
        <v>24</v>
      </c>
      <c r="BO566" s="4">
        <v>3</v>
      </c>
      <c r="BP566" s="4">
        <f>Table2[[#This Row],[final_obs_date]]-Table2[[#This Row],[i]]</f>
        <v>12</v>
      </c>
      <c r="BQ566" s="4" t="b">
        <f>Table2[[#This Row],[final_obs_date2]]&gt;Table2[[#This Row],[estHD]]+3</f>
        <v>0</v>
      </c>
      <c r="BR566" s="4" t="s">
        <v>33</v>
      </c>
      <c r="BS566" s="4" t="s">
        <v>45</v>
      </c>
      <c r="BT566" s="79" t="s">
        <v>1351</v>
      </c>
      <c r="BU566" s="26" t="s">
        <v>132</v>
      </c>
      <c r="BV566" s="79" t="s">
        <v>1491</v>
      </c>
      <c r="BW566" s="49"/>
      <c r="BX566" s="47"/>
      <c r="BY566" s="36" t="s">
        <v>24</v>
      </c>
    </row>
    <row r="567" spans="1:77" hidden="1" x14ac:dyDescent="0.35">
      <c r="A567" s="64">
        <v>30092</v>
      </c>
      <c r="B567" s="2" t="s">
        <v>35</v>
      </c>
      <c r="C567" s="46">
        <v>2021</v>
      </c>
      <c r="D567" s="3">
        <v>29.771619999999999</v>
      </c>
      <c r="E567" s="3">
        <v>-93.178290000000004</v>
      </c>
      <c r="F567" s="3">
        <v>0</v>
      </c>
      <c r="G567" s="3">
        <v>0</v>
      </c>
      <c r="H567" s="3" t="s">
        <v>26</v>
      </c>
      <c r="I567" s="43"/>
      <c r="J567" s="55">
        <v>92</v>
      </c>
      <c r="K567" s="4">
        <v>92</v>
      </c>
      <c r="L567" s="22">
        <f>IF(ISNUMBER(Table2[[#This Row],[estHD]]),ABS(Table2[[#This Row],[HD]]-Table2[[#This Row],[estHD]]),"NA")</f>
        <v>0</v>
      </c>
      <c r="M567" s="4" t="b">
        <f>Table2[[#This Row],[HD]]=Table2[[#This Row],[estHD]]</f>
        <v>1</v>
      </c>
      <c r="N567" s="4" t="str">
        <f>IF(ISNUMBER([1]!Table2[[#This Row],[hatch_date]]),[1]!Table2[[#This Row],[hatch_date]]-19,"NA")</f>
        <v>NA</v>
      </c>
      <c r="O567" s="31">
        <v>73</v>
      </c>
      <c r="P567" s="23" t="e">
        <f>IF(ISNUMBER(Table2[[#This Row],[nest_age1]]),ABS(Table2[[#This Row],[nest_age1]]-Table2[[#This Row],[nest_age_feb]]),"NA")</f>
        <v>#VALUE!</v>
      </c>
      <c r="Q567" s="24">
        <f>IF(ISNUMBER(Table2[[#This Row],[final_obs_int2]]),ABS(Table2[[#This Row],[final_obs_int2]]-Table2[[#This Row],[final_obs_int_feb]]), "NA")</f>
        <v>0</v>
      </c>
      <c r="R567" s="24"/>
      <c r="S567" s="57" t="s">
        <v>88</v>
      </c>
      <c r="T567" s="57" t="str">
        <f>Table2[[#This Row],[camera_old]]</f>
        <v>N</v>
      </c>
      <c r="U567" s="24"/>
      <c r="V567" s="16" t="s">
        <v>24</v>
      </c>
      <c r="W567" s="16" t="s">
        <v>24</v>
      </c>
      <c r="X567" s="145">
        <v>9</v>
      </c>
      <c r="Y567" s="148" t="s">
        <v>31</v>
      </c>
      <c r="Z567" s="146" t="s">
        <v>31</v>
      </c>
      <c r="AA567" s="4" t="str">
        <f>Table2[[#This Row],[field_fate]]</f>
        <v>D</v>
      </c>
      <c r="AB567" s="4" t="str">
        <f>Table2[[#This Row],[field_fate2]]</f>
        <v>D</v>
      </c>
      <c r="AC567" s="4" t="str">
        <f>Table2[[#This Row],[field_fate3]]</f>
        <v>D</v>
      </c>
      <c r="AD567" s="4" t="str">
        <f>Table2[[#This Row],[field_fate4]]</f>
        <v>D</v>
      </c>
      <c r="AE567" s="4" t="str">
        <f>Table2[[#This Row],[field_fate5]]</f>
        <v>D</v>
      </c>
      <c r="AF567" s="4" t="str">
        <f>Table2[[#This Row],[field_fate5]]</f>
        <v>D</v>
      </c>
      <c r="AG567" s="4" t="str">
        <f>Table2[[#This Row],[field_fate5]]</f>
        <v>D</v>
      </c>
      <c r="AH567" s="4" t="str">
        <f>Table2[[#This Row],[field_fate2]]</f>
        <v>D</v>
      </c>
      <c r="AI567" s="4" t="str">
        <f>Table2[[#This Row],[field_fate8]]</f>
        <v>D</v>
      </c>
      <c r="AJ567" s="4" t="str">
        <f>Table2[[#This Row],[field_fate10]]</f>
        <v>D</v>
      </c>
      <c r="AK567" s="4" t="b">
        <f>Table2[[#This Row],[field_fate_feb]]=Table2[[#This Row],[field_fate10]]</f>
        <v>1</v>
      </c>
      <c r="AL567" s="43" t="s">
        <v>24</v>
      </c>
      <c r="AM567" s="43" t="b">
        <f>Table2[[#This Row],[cam_fate2]]="NA"</f>
        <v>1</v>
      </c>
      <c r="AN567" s="19" t="str">
        <f>Table2[[#This Row],[cam_fate1]]</f>
        <v>NA</v>
      </c>
      <c r="AO567" s="2" t="s">
        <v>31</v>
      </c>
      <c r="AP567" s="5" t="str">
        <f>Table2[[#This Row],[final_fate1]]</f>
        <v>D</v>
      </c>
      <c r="AQ567" s="6">
        <v>13</v>
      </c>
      <c r="AR567" s="7">
        <v>13</v>
      </c>
      <c r="AS567" s="7">
        <f>Table2[[#This Row],[final_obs_date]]-Table2[[#This Row],[init_date]]</f>
        <v>13</v>
      </c>
      <c r="AT567" s="7">
        <f>(Table2[[#This Row],[final_obs_date2]]-Table2[[#This Row],[estHD]])+16</f>
        <v>10</v>
      </c>
      <c r="AU567" s="38">
        <v>9</v>
      </c>
      <c r="AV567" s="33">
        <v>9</v>
      </c>
      <c r="AW567" s="33">
        <f>Table2[[#This Row],[final_obs_date2]]-Table2[[#This Row],[pen_obs_date]]</f>
        <v>86</v>
      </c>
      <c r="AX567" s="67">
        <v>86</v>
      </c>
      <c r="AY567" s="6">
        <f>Table2[[#This Row],[final_obs_date]]</f>
        <v>86</v>
      </c>
      <c r="AZ567" s="6"/>
      <c r="BA567" s="91" t="s">
        <v>47</v>
      </c>
      <c r="BB567" s="6" t="b">
        <f>Table2[[#This Row],[final_obs_date]]&lt;(Table2[[#This Row],[estHD]]-2)</f>
        <v>1</v>
      </c>
      <c r="BC567" s="24">
        <f>IF(Table2[[#This Row],[field_fate]]="H",1,0)</f>
        <v>0</v>
      </c>
      <c r="BD567" s="16">
        <f>IF(Table2[[#This Row],[cam_fate2]]="H",1,0)</f>
        <v>0</v>
      </c>
      <c r="BE567" s="6" t="b">
        <f>NOT(Table2[[#This Row],[HF_C]]=Table2[[#This Row],[HF]])</f>
        <v>0</v>
      </c>
      <c r="BF567" s="6" t="b">
        <f>NOT(Table2[[#This Row],[cam_fate2]]=Table2[[#This Row],[field_fate3]])</f>
        <v>1</v>
      </c>
      <c r="BG567" s="6" t="b">
        <f>OR(Table2[[#This Row],[field_fate3]]="U",Table2[[#This Row],[field_fate3]]="U-H")</f>
        <v>0</v>
      </c>
      <c r="BH567" s="8">
        <v>74</v>
      </c>
      <c r="BI567" s="8">
        <v>77</v>
      </c>
      <c r="BJ567" s="14">
        <f>IF(ISTEXT(Table2[[#This Row],[j.cam]]),Table2[[#This Row],[j]],Table2[[#This Row],[j.cam]])</f>
        <v>77</v>
      </c>
      <c r="BK567" s="9">
        <v>86</v>
      </c>
      <c r="BL567" s="15">
        <f>IF(ISTEXT(Table2[[#This Row],[k.cam]]), Table2[[#This Row],[k]], Table2[[#This Row],[k.cam]])</f>
        <v>86</v>
      </c>
      <c r="BM567" s="4" t="s">
        <v>24</v>
      </c>
      <c r="BN567" s="8" t="s">
        <v>24</v>
      </c>
      <c r="BO567" s="4">
        <v>3</v>
      </c>
      <c r="BP567" s="4">
        <f>Table2[[#This Row],[final_obs_date]]-Table2[[#This Row],[i]]</f>
        <v>12</v>
      </c>
      <c r="BQ567" s="4" t="b">
        <f>Table2[[#This Row],[final_obs_date2]]&gt;Table2[[#This Row],[estHD]]+3</f>
        <v>0</v>
      </c>
      <c r="BR567" s="4" t="s">
        <v>58</v>
      </c>
      <c r="BS567" s="4" t="s">
        <v>45</v>
      </c>
      <c r="BT567" s="79" t="s">
        <v>1351</v>
      </c>
      <c r="BU567" s="26" t="s">
        <v>133</v>
      </c>
      <c r="BV567" s="79" t="s">
        <v>1491</v>
      </c>
      <c r="BW567" s="49"/>
      <c r="BX567" s="47"/>
      <c r="BY567" s="36" t="s">
        <v>24</v>
      </c>
    </row>
    <row r="568" spans="1:77" hidden="1" x14ac:dyDescent="0.35">
      <c r="A568" s="64">
        <v>30093</v>
      </c>
      <c r="B568" s="2" t="s">
        <v>35</v>
      </c>
      <c r="C568" s="46">
        <v>2021</v>
      </c>
      <c r="D568" s="3">
        <v>29.771699999999999</v>
      </c>
      <c r="E568" s="3">
        <v>-93.179239999999993</v>
      </c>
      <c r="F568" s="3">
        <v>5</v>
      </c>
      <c r="G568" s="3">
        <v>15</v>
      </c>
      <c r="H568" s="3" t="s">
        <v>26</v>
      </c>
      <c r="I568" s="43"/>
      <c r="J568" s="55">
        <v>77</v>
      </c>
      <c r="K568" s="4">
        <v>77</v>
      </c>
      <c r="L568" s="22">
        <f>IF(ISNUMBER(Table2[[#This Row],[estHD]]),ABS(Table2[[#This Row],[HD]]-Table2[[#This Row],[estHD]]),"NA")</f>
        <v>0</v>
      </c>
      <c r="M568" s="4" t="b">
        <f>Table2[[#This Row],[HD]]=Table2[[#This Row],[estHD]]</f>
        <v>1</v>
      </c>
      <c r="N568" s="4" t="str">
        <f>IF(ISNUMBER([1]!Table2[[#This Row],[hatch_date]]),[1]!Table2[[#This Row],[hatch_date]]-19,"NA")</f>
        <v>NA</v>
      </c>
      <c r="O568" s="31">
        <v>58</v>
      </c>
      <c r="P568" s="23" t="e">
        <f>IF(ISNUMBER(Table2[[#This Row],[nest_age1]]),ABS(Table2[[#This Row],[nest_age1]]-Table2[[#This Row],[nest_age_feb]]),"NA")</f>
        <v>#VALUE!</v>
      </c>
      <c r="Q568" s="24">
        <f>IF(ISNUMBER(Table2[[#This Row],[final_obs_int2]]),ABS(Table2[[#This Row],[final_obs_int2]]-Table2[[#This Row],[final_obs_int_feb]]), "NA")</f>
        <v>0</v>
      </c>
      <c r="R568" s="24"/>
      <c r="S568" s="57" t="s">
        <v>88</v>
      </c>
      <c r="T568" s="57" t="str">
        <f>Table2[[#This Row],[camera_old]]</f>
        <v>N</v>
      </c>
      <c r="U568" s="24"/>
      <c r="V568" s="16" t="s">
        <v>24</v>
      </c>
      <c r="W568" s="16" t="s">
        <v>24</v>
      </c>
      <c r="X568" s="145">
        <v>3</v>
      </c>
      <c r="Y568" s="147" t="s">
        <v>90</v>
      </c>
      <c r="Z568" s="146" t="s">
        <v>104</v>
      </c>
      <c r="AA568" s="4" t="str">
        <f>Table2[[#This Row],[field_fate]]</f>
        <v>U-H</v>
      </c>
      <c r="AB568" s="4" t="str">
        <f>Table2[[#This Row],[field_fate2]]</f>
        <v>U-H</v>
      </c>
      <c r="AC568" s="4" t="str">
        <f>Table2[[#This Row],[field_fate3]]</f>
        <v>U-H</v>
      </c>
      <c r="AD568" s="4" t="str">
        <f>Table2[[#This Row],[field_fate4]]</f>
        <v>U-H</v>
      </c>
      <c r="AE568" s="4" t="str">
        <f>Table2[[#This Row],[field_fate5]]</f>
        <v>U-H</v>
      </c>
      <c r="AF568" s="4" t="str">
        <f>Table2[[#This Row],[field_fate5]]</f>
        <v>U-H</v>
      </c>
      <c r="AG568" s="4" t="str">
        <f>Table2[[#This Row],[field_fate5]]</f>
        <v>U-H</v>
      </c>
      <c r="AH568" s="4" t="str">
        <f>Table2[[#This Row],[field_fate2]]</f>
        <v>U-H</v>
      </c>
      <c r="AI568" s="4" t="str">
        <f>Table2[[#This Row],[field_fate8]]</f>
        <v>U-H</v>
      </c>
      <c r="AJ568" s="4" t="str">
        <f>Table2[[#This Row],[field_fate10]]</f>
        <v>U-H</v>
      </c>
      <c r="AK568" s="4" t="b">
        <f>Table2[[#This Row],[field_fate_feb]]=Table2[[#This Row],[field_fate10]]</f>
        <v>0</v>
      </c>
      <c r="AL568" s="43" t="s">
        <v>24</v>
      </c>
      <c r="AM568" s="43" t="b">
        <f>Table2[[#This Row],[cam_fate2]]="NA"</f>
        <v>1</v>
      </c>
      <c r="AN568" s="19" t="str">
        <f>Table2[[#This Row],[cam_fate1]]</f>
        <v>NA</v>
      </c>
      <c r="AO568" s="2" t="s">
        <v>104</v>
      </c>
      <c r="AP568" s="5" t="str">
        <f>Table2[[#This Row],[final_fate1]]</f>
        <v>U-H</v>
      </c>
      <c r="AQ568" s="6">
        <v>19</v>
      </c>
      <c r="AR568" s="7">
        <v>19</v>
      </c>
      <c r="AS568" s="7">
        <f>Table2[[#This Row],[final_obs_date]]-Table2[[#This Row],[init_date]]</f>
        <v>19</v>
      </c>
      <c r="AT568" s="7">
        <f>(Table2[[#This Row],[final_obs_date2]]-Table2[[#This Row],[estHD]])+16</f>
        <v>16</v>
      </c>
      <c r="AU568" s="38">
        <v>3</v>
      </c>
      <c r="AV568" s="33">
        <v>3</v>
      </c>
      <c r="AW568" s="33">
        <f>Table2[[#This Row],[final_obs_date2]]-Table2[[#This Row],[pen_obs_date]]</f>
        <v>77</v>
      </c>
      <c r="AX568" s="67">
        <v>77</v>
      </c>
      <c r="AY568" s="6">
        <f>Table2[[#This Row],[final_obs_date]]</f>
        <v>77</v>
      </c>
      <c r="AZ568" s="6"/>
      <c r="BA568" s="91" t="s">
        <v>47</v>
      </c>
      <c r="BB568" s="6" t="b">
        <f>Table2[[#This Row],[final_obs_date]]&lt;(Table2[[#This Row],[estHD]]-2)</f>
        <v>0</v>
      </c>
      <c r="BC568" s="24">
        <f>IF(Table2[[#This Row],[field_fate]]="H",1,0)</f>
        <v>0</v>
      </c>
      <c r="BD568" s="16">
        <f>IF(Table2[[#This Row],[cam_fate2]]="H",1,0)</f>
        <v>0</v>
      </c>
      <c r="BE568" s="6" t="b">
        <f>NOT(Table2[[#This Row],[HF_C]]=Table2[[#This Row],[HF]])</f>
        <v>0</v>
      </c>
      <c r="BF568" s="6" t="b">
        <f>NOT(Table2[[#This Row],[cam_fate2]]=Table2[[#This Row],[field_fate3]])</f>
        <v>1</v>
      </c>
      <c r="BG568" s="6" t="b">
        <f>OR(Table2[[#This Row],[field_fate3]]="U",Table2[[#This Row],[field_fate3]]="U-H")</f>
        <v>1</v>
      </c>
      <c r="BH568" s="8">
        <v>74</v>
      </c>
      <c r="BI568" s="8">
        <v>74</v>
      </c>
      <c r="BJ568" s="14">
        <f>IF(ISTEXT(Table2[[#This Row],[j.cam]]),Table2[[#This Row],[j]],Table2[[#This Row],[j.cam]])</f>
        <v>74</v>
      </c>
      <c r="BK568" s="9">
        <v>77</v>
      </c>
      <c r="BL568" s="15">
        <f>IF(ISTEXT(Table2[[#This Row],[k.cam]]), Table2[[#This Row],[k]], Table2[[#This Row],[k.cam]])</f>
        <v>77</v>
      </c>
      <c r="BM568" s="4" t="s">
        <v>24</v>
      </c>
      <c r="BN568" s="8" t="s">
        <v>24</v>
      </c>
      <c r="BO568" s="4">
        <v>2</v>
      </c>
      <c r="BP568" s="4">
        <f>Table2[[#This Row],[final_obs_date]]-Table2[[#This Row],[i]]</f>
        <v>3</v>
      </c>
      <c r="BQ568" s="4" t="b">
        <f>Table2[[#This Row],[final_obs_date2]]&gt;Table2[[#This Row],[estHD]]+3</f>
        <v>0</v>
      </c>
      <c r="BR568" s="4" t="s">
        <v>27</v>
      </c>
      <c r="BS568" s="4" t="s">
        <v>45</v>
      </c>
      <c r="BT568" s="79" t="s">
        <v>1083</v>
      </c>
      <c r="BU568" s="26" t="s">
        <v>183</v>
      </c>
      <c r="BV568" s="79" t="s">
        <v>1430</v>
      </c>
      <c r="BW568" s="49"/>
      <c r="BX568" s="47"/>
      <c r="BY568" s="36" t="s">
        <v>830</v>
      </c>
    </row>
    <row r="569" spans="1:77" hidden="1" x14ac:dyDescent="0.35">
      <c r="A569" s="64">
        <v>30095</v>
      </c>
      <c r="B569" s="2" t="s">
        <v>122</v>
      </c>
      <c r="C569" s="46">
        <v>2021</v>
      </c>
      <c r="D569" s="3">
        <v>29.75939</v>
      </c>
      <c r="E569" s="3">
        <v>-93.122399999999999</v>
      </c>
      <c r="F569" s="3">
        <v>0</v>
      </c>
      <c r="G569" s="3">
        <v>0</v>
      </c>
      <c r="H569" s="3" t="s">
        <v>354</v>
      </c>
      <c r="I569" s="43"/>
      <c r="J569" s="55">
        <v>93</v>
      </c>
      <c r="K569" s="4">
        <v>93</v>
      </c>
      <c r="L569" s="22">
        <f>IF(ISNUMBER(Table2[[#This Row],[estHD]]),ABS(Table2[[#This Row],[HD]]-Table2[[#This Row],[estHD]]),"NA")</f>
        <v>0</v>
      </c>
      <c r="M569" s="4" t="b">
        <f>Table2[[#This Row],[HD]]=Table2[[#This Row],[estHD]]</f>
        <v>1</v>
      </c>
      <c r="N569" s="4" t="str">
        <f>IF(ISNUMBER([1]!Table2[[#This Row],[hatch_date]]),[1]!Table2[[#This Row],[hatch_date]]-19,"NA")</f>
        <v>NA</v>
      </c>
      <c r="O569" s="31">
        <v>74</v>
      </c>
      <c r="P569" s="23">
        <f>IF(ISNUMBER(Table2[[#This Row],[nest_age1]]),ABS(Table2[[#This Row],[nest_age1]]-Table2[[#This Row],[nest_age_feb]]),"NA")</f>
        <v>0</v>
      </c>
      <c r="Q569" s="24">
        <f>IF(ISNUMBER(Table2[[#This Row],[final_obs_int2]]),ABS(Table2[[#This Row],[final_obs_int2]]-Table2[[#This Row],[final_obs_int_feb]]), "NA")</f>
        <v>0</v>
      </c>
      <c r="R569" s="24"/>
      <c r="S569" s="57" t="s">
        <v>88</v>
      </c>
      <c r="T569" s="57" t="str">
        <f>Table2[[#This Row],[camera_old]]</f>
        <v>N</v>
      </c>
      <c r="U569" s="24"/>
      <c r="V569" s="16" t="s">
        <v>24</v>
      </c>
      <c r="W569" s="16">
        <v>7</v>
      </c>
      <c r="X569" s="145">
        <v>4</v>
      </c>
      <c r="Y569" s="149" t="s">
        <v>48</v>
      </c>
      <c r="Z569" s="146" t="s">
        <v>48</v>
      </c>
      <c r="AA569" s="4" t="str">
        <f>Table2[[#This Row],[field_fate]]</f>
        <v>F</v>
      </c>
      <c r="AB569" s="4" t="str">
        <f>Table2[[#This Row],[field_fate2]]</f>
        <v>F</v>
      </c>
      <c r="AC569" s="4" t="str">
        <f>Table2[[#This Row],[field_fate3]]</f>
        <v>F</v>
      </c>
      <c r="AD569" s="4" t="str">
        <f>Table2[[#This Row],[field_fate4]]</f>
        <v>F</v>
      </c>
      <c r="AE569" s="4" t="str">
        <f>Table2[[#This Row],[field_fate5]]</f>
        <v>F</v>
      </c>
      <c r="AF569" s="4" t="str">
        <f>Table2[[#This Row],[field_fate5]]</f>
        <v>F</v>
      </c>
      <c r="AG569" s="4" t="str">
        <f>Table2[[#This Row],[field_fate5]]</f>
        <v>F</v>
      </c>
      <c r="AH569" s="4" t="str">
        <f>Table2[[#This Row],[field_fate2]]</f>
        <v>F</v>
      </c>
      <c r="AI569" s="4" t="str">
        <f>Table2[[#This Row],[field_fate8]]</f>
        <v>F</v>
      </c>
      <c r="AJ569" s="4" t="str">
        <f>Table2[[#This Row],[field_fate10]]</f>
        <v>F</v>
      </c>
      <c r="AK569" s="4" t="b">
        <f>Table2[[#This Row],[field_fate_feb]]=Table2[[#This Row],[field_fate10]]</f>
        <v>1</v>
      </c>
      <c r="AL569" s="43" t="s">
        <v>24</v>
      </c>
      <c r="AM569" s="43" t="b">
        <f>Table2[[#This Row],[cam_fate2]]="NA"</f>
        <v>1</v>
      </c>
      <c r="AN569" s="19" t="str">
        <f>Table2[[#This Row],[cam_fate1]]</f>
        <v>NA</v>
      </c>
      <c r="AO569" s="2" t="s">
        <v>48</v>
      </c>
      <c r="AP569" s="5" t="str">
        <f>Table2[[#This Row],[final_fate1]]</f>
        <v>F</v>
      </c>
      <c r="AQ569" s="6">
        <v>7</v>
      </c>
      <c r="AR569" s="7">
        <v>7</v>
      </c>
      <c r="AS569" s="7">
        <f>Table2[[#This Row],[final_obs_date]]-Table2[[#This Row],[init_date]]</f>
        <v>7</v>
      </c>
      <c r="AT569" s="7">
        <f>(Table2[[#This Row],[final_obs_date2]]-Table2[[#This Row],[estHD]])+16</f>
        <v>4</v>
      </c>
      <c r="AU569" s="38">
        <v>4</v>
      </c>
      <c r="AV569" s="33">
        <v>4</v>
      </c>
      <c r="AW569" s="33">
        <f>Table2[[#This Row],[final_obs_date2]]-Table2[[#This Row],[pen_obs_date]]</f>
        <v>81</v>
      </c>
      <c r="AX569" s="67">
        <v>81</v>
      </c>
      <c r="AY569" s="6">
        <f>Table2[[#This Row],[final_obs_date]]</f>
        <v>81</v>
      </c>
      <c r="AZ569" s="6"/>
      <c r="BA569" s="91" t="s">
        <v>47</v>
      </c>
      <c r="BB569" s="6" t="b">
        <f>Table2[[#This Row],[final_obs_date]]&lt;(Table2[[#This Row],[estHD]]-2)</f>
        <v>1</v>
      </c>
      <c r="BC569" s="24">
        <f>IF(Table2[[#This Row],[field_fate]]="H",1,0)</f>
        <v>0</v>
      </c>
      <c r="BD569" s="16">
        <f>IF(Table2[[#This Row],[cam_fate2]]="H",1,0)</f>
        <v>0</v>
      </c>
      <c r="BE569" s="6" t="b">
        <f>NOT(Table2[[#This Row],[HF_C]]=Table2[[#This Row],[HF]])</f>
        <v>0</v>
      </c>
      <c r="BF569" s="6" t="b">
        <f>NOT(Table2[[#This Row],[cam_fate2]]=Table2[[#This Row],[field_fate3]])</f>
        <v>1</v>
      </c>
      <c r="BG569" s="6" t="b">
        <f>OR(Table2[[#This Row],[field_fate3]]="U",Table2[[#This Row],[field_fate3]]="U-H")</f>
        <v>0</v>
      </c>
      <c r="BH569" s="8">
        <v>77</v>
      </c>
      <c r="BI569" s="8">
        <v>77</v>
      </c>
      <c r="BJ569" s="14">
        <f>IF(ISTEXT(Table2[[#This Row],[j.cam]]),Table2[[#This Row],[j]],Table2[[#This Row],[j.cam]])</f>
        <v>77</v>
      </c>
      <c r="BK569" s="9">
        <v>81</v>
      </c>
      <c r="BL569" s="15">
        <f>IF(ISTEXT(Table2[[#This Row],[k.cam]]), Table2[[#This Row],[k]], Table2[[#This Row],[k.cam]])</f>
        <v>81</v>
      </c>
      <c r="BM569" s="4" t="s">
        <v>24</v>
      </c>
      <c r="BN569" s="8" t="s">
        <v>24</v>
      </c>
      <c r="BO569" s="4">
        <v>2</v>
      </c>
      <c r="BP569" s="4">
        <f>Table2[[#This Row],[final_obs_date]]-Table2[[#This Row],[i]]</f>
        <v>4</v>
      </c>
      <c r="BQ569" s="4" t="b">
        <f>Table2[[#This Row],[final_obs_date2]]&gt;Table2[[#This Row],[estHD]]+3</f>
        <v>0</v>
      </c>
      <c r="BR569" s="4" t="s">
        <v>33</v>
      </c>
      <c r="BS569" s="4" t="s">
        <v>45</v>
      </c>
      <c r="BT569" s="79" t="s">
        <v>1352</v>
      </c>
      <c r="BU569" s="26" t="s">
        <v>87</v>
      </c>
      <c r="BV569" s="79" t="s">
        <v>1429</v>
      </c>
      <c r="BW569" s="49"/>
      <c r="BX569" s="47"/>
      <c r="BY569" s="36" t="s">
        <v>24</v>
      </c>
    </row>
    <row r="570" spans="1:77" hidden="1" x14ac:dyDescent="0.35">
      <c r="A570" s="64">
        <v>30096</v>
      </c>
      <c r="B570" s="2" t="s">
        <v>122</v>
      </c>
      <c r="C570" s="46">
        <v>2021</v>
      </c>
      <c r="D570" s="3">
        <v>29.75834</v>
      </c>
      <c r="E570" s="3">
        <v>-93.119259999999997</v>
      </c>
      <c r="F570" s="3">
        <v>80</v>
      </c>
      <c r="G570" s="3">
        <v>65</v>
      </c>
      <c r="H570" s="3" t="s">
        <v>354</v>
      </c>
      <c r="I570" s="43"/>
      <c r="J570" s="55">
        <v>97</v>
      </c>
      <c r="K570" s="4">
        <v>97</v>
      </c>
      <c r="L570" s="22">
        <f>IF(ISNUMBER(Table2[[#This Row],[estHD]]),ABS(Table2[[#This Row],[HD]]-Table2[[#This Row],[estHD]]),"NA")</f>
        <v>0</v>
      </c>
      <c r="M570" s="4" t="b">
        <f>Table2[[#This Row],[HD]]=Table2[[#This Row],[estHD]]</f>
        <v>1</v>
      </c>
      <c r="N570" s="4" t="str">
        <f>IF(ISNUMBER([1]!Table2[[#This Row],[hatch_date]]), [1]!Table2[[#This Row],[hatch_date]]-16, "NA")</f>
        <v>NA</v>
      </c>
      <c r="O570" s="31">
        <v>81</v>
      </c>
      <c r="P570" s="23">
        <f>IF(ISNUMBER(Table2[[#This Row],[nest_age1]]),ABS(Table2[[#This Row],[nest_age1]]-Table2[[#This Row],[nest_age_feb]]),"NA")</f>
        <v>0</v>
      </c>
      <c r="Q570" s="24">
        <f>IF(ISNUMBER(Table2[[#This Row],[final_obs_int2]]),ABS(Table2[[#This Row],[final_obs_int2]]-Table2[[#This Row],[final_obs_int_feb]]), "NA")</f>
        <v>0</v>
      </c>
      <c r="R570" s="24"/>
      <c r="S570" s="57" t="s">
        <v>88</v>
      </c>
      <c r="T570" s="57" t="str">
        <f>Table2[[#This Row],[camera_old]]</f>
        <v>N</v>
      </c>
      <c r="U570" s="24"/>
      <c r="V570" s="16" t="s">
        <v>24</v>
      </c>
      <c r="W570" s="16">
        <v>12</v>
      </c>
      <c r="X570" s="145">
        <v>7</v>
      </c>
      <c r="Y570" s="147" t="s">
        <v>31</v>
      </c>
      <c r="Z570" s="146" t="s">
        <v>31</v>
      </c>
      <c r="AA570" s="4" t="str">
        <f>Table2[[#This Row],[field_fate]]</f>
        <v>D</v>
      </c>
      <c r="AB570" s="4" t="str">
        <f>Table2[[#This Row],[field_fate2]]</f>
        <v>D</v>
      </c>
      <c r="AC570" s="4" t="str">
        <f>Table2[[#This Row],[field_fate3]]</f>
        <v>D</v>
      </c>
      <c r="AD570" s="4" t="str">
        <f>Table2[[#This Row],[field_fate4]]</f>
        <v>D</v>
      </c>
      <c r="AE570" s="4" t="str">
        <f>Table2[[#This Row],[field_fate5]]</f>
        <v>D</v>
      </c>
      <c r="AF570" s="4" t="str">
        <f>Table2[[#This Row],[field_fate5]]</f>
        <v>D</v>
      </c>
      <c r="AG570" s="4" t="str">
        <f>Table2[[#This Row],[field_fate5]]</f>
        <v>D</v>
      </c>
      <c r="AH570" s="4" t="str">
        <f>Table2[[#This Row],[field_fate2]]</f>
        <v>D</v>
      </c>
      <c r="AI570" s="4" t="str">
        <f>Table2[[#This Row],[field_fate8]]</f>
        <v>D</v>
      </c>
      <c r="AJ570" s="4" t="str">
        <f>Table2[[#This Row],[field_fate10]]</f>
        <v>D</v>
      </c>
      <c r="AK570" s="4" t="b">
        <f>Table2[[#This Row],[field_fate_feb]]=Table2[[#This Row],[field_fate10]]</f>
        <v>1</v>
      </c>
      <c r="AL570" s="43" t="s">
        <v>24</v>
      </c>
      <c r="AM570" s="43" t="b">
        <f>Table2[[#This Row],[cam_fate2]]="NA"</f>
        <v>1</v>
      </c>
      <c r="AN570" s="19" t="str">
        <f>Table2[[#This Row],[cam_fate1]]</f>
        <v>NA</v>
      </c>
      <c r="AO570" s="2" t="s">
        <v>31</v>
      </c>
      <c r="AP570" s="5" t="str">
        <f>Table2[[#This Row],[final_fate1]]</f>
        <v>D</v>
      </c>
      <c r="AQ570" s="6">
        <v>12</v>
      </c>
      <c r="AR570" s="7">
        <v>12</v>
      </c>
      <c r="AS570" s="7">
        <f>Table2[[#This Row],[final_obs_date]]-Table2[[#This Row],[init_date]]</f>
        <v>12</v>
      </c>
      <c r="AT570" s="7">
        <f>(Table2[[#This Row],[final_obs_date2]]-Table2[[#This Row],[estHD]])+16</f>
        <v>12</v>
      </c>
      <c r="AU570" s="38">
        <v>7</v>
      </c>
      <c r="AV570" s="33">
        <v>7</v>
      </c>
      <c r="AW570" s="33">
        <f>Table2[[#This Row],[final_obs_date2]]-Table2[[#This Row],[pen_obs_date]]</f>
        <v>93</v>
      </c>
      <c r="AX570" s="67">
        <v>93</v>
      </c>
      <c r="AY570" s="6">
        <f>Table2[[#This Row],[final_obs_date]]</f>
        <v>93</v>
      </c>
      <c r="AZ570" s="6"/>
      <c r="BA570" s="91" t="s">
        <v>60</v>
      </c>
      <c r="BB570" s="6" t="b">
        <f>Table2[[#This Row],[final_obs_date]]&lt;(Table2[[#This Row],[estHD]]-2)</f>
        <v>1</v>
      </c>
      <c r="BC570" s="24">
        <f>IF(Table2[[#This Row],[field_fate]]="H",1,0)</f>
        <v>0</v>
      </c>
      <c r="BD570" s="16">
        <f>IF(Table2[[#This Row],[cam_fate2]]="H",1,0)</f>
        <v>0</v>
      </c>
      <c r="BE570" s="6" t="b">
        <f>NOT(Table2[[#This Row],[HF_C]]=Table2[[#This Row],[HF]])</f>
        <v>0</v>
      </c>
      <c r="BF570" s="6" t="b">
        <f>NOT(Table2[[#This Row],[cam_fate2]]=Table2[[#This Row],[field_fate3]])</f>
        <v>1</v>
      </c>
      <c r="BG570" s="6" t="b">
        <f>OR(Table2[[#This Row],[field_fate3]]="U",Table2[[#This Row],[field_fate3]]="U-H")</f>
        <v>0</v>
      </c>
      <c r="BH570" s="8">
        <v>81</v>
      </c>
      <c r="BI570" s="8">
        <v>86</v>
      </c>
      <c r="BJ570" s="14">
        <f>IF(ISTEXT(Table2[[#This Row],[j.cam]]),Table2[[#This Row],[j]],Table2[[#This Row],[j.cam]])</f>
        <v>86</v>
      </c>
      <c r="BK570" s="9">
        <v>93</v>
      </c>
      <c r="BL570" s="15">
        <f>IF(ISTEXT(Table2[[#This Row],[k.cam]]), Table2[[#This Row],[k]], Table2[[#This Row],[k.cam]])</f>
        <v>93</v>
      </c>
      <c r="BM570" s="4" t="s">
        <v>24</v>
      </c>
      <c r="BN570" s="8" t="s">
        <v>24</v>
      </c>
      <c r="BO570" s="4">
        <v>3</v>
      </c>
      <c r="BP570" s="4">
        <f>Table2[[#This Row],[final_obs_date]]-Table2[[#This Row],[i]]</f>
        <v>12</v>
      </c>
      <c r="BQ570" s="4" t="b">
        <f>Table2[[#This Row],[final_obs_date2]]&gt;Table2[[#This Row],[estHD]]+3</f>
        <v>0</v>
      </c>
      <c r="BR570" s="4" t="s">
        <v>33</v>
      </c>
      <c r="BS570" s="4" t="s">
        <v>45</v>
      </c>
      <c r="BT570" s="79" t="s">
        <v>1353</v>
      </c>
      <c r="BU570" s="26" t="s">
        <v>132</v>
      </c>
      <c r="BV570" s="79" t="s">
        <v>1525</v>
      </c>
      <c r="BW570" s="49"/>
      <c r="BX570" s="47"/>
      <c r="BY570" s="36" t="s">
        <v>831</v>
      </c>
    </row>
    <row r="571" spans="1:77" hidden="1" x14ac:dyDescent="0.35">
      <c r="A571" s="64">
        <v>30097</v>
      </c>
      <c r="B571" s="2" t="s">
        <v>122</v>
      </c>
      <c r="C571" s="46">
        <v>2021</v>
      </c>
      <c r="D571" s="3">
        <v>29.7578</v>
      </c>
      <c r="E571" s="3">
        <v>-93.115750000000006</v>
      </c>
      <c r="F571" s="3">
        <v>0</v>
      </c>
      <c r="G571" s="3">
        <v>0</v>
      </c>
      <c r="H571" s="3" t="s">
        <v>354</v>
      </c>
      <c r="I571" s="43"/>
      <c r="J571" s="116">
        <v>101</v>
      </c>
      <c r="K571" s="4">
        <v>102</v>
      </c>
      <c r="L571" s="22">
        <f>IF(ISNUMBER(Table2[[#This Row],[estHD]]),ABS(Table2[[#This Row],[HD]]-Table2[[#This Row],[estHD]]),"NA")</f>
        <v>1</v>
      </c>
      <c r="M571" s="4" t="b">
        <f>Table2[[#This Row],[HD]]=Table2[[#This Row],[estHD]]</f>
        <v>0</v>
      </c>
      <c r="N571" s="4">
        <f>IF(ISNUMBER(Table2[[#This Row],[HD]]),Table2[[#This Row],[HD]]-19,"NA")</f>
        <v>83</v>
      </c>
      <c r="O571" s="31">
        <v>83</v>
      </c>
      <c r="P571" s="23">
        <f>IF(ISNUMBER(Table2[[#This Row],[nest_age1]]),ABS(Table2[[#This Row],[nest_age1]]-Table2[[#This Row],[nest_age_feb]]),"NA")</f>
        <v>1</v>
      </c>
      <c r="Q571" s="24">
        <f>IF(ISNUMBER(Table2[[#This Row],[final_obs_int2]]),ABS(Table2[[#This Row],[final_obs_int2]]-Table2[[#This Row],[final_obs_int_feb]]), "NA")</f>
        <v>0</v>
      </c>
      <c r="R571" s="24">
        <f>(Table2[[#This Row],[k_adj]]-Table2[[#This Row],[estHD]])/Table2[[#This Row],[estHD]]</f>
        <v>9.9009900990099011E-3</v>
      </c>
      <c r="S571" s="20" t="s">
        <v>75</v>
      </c>
      <c r="T571" s="20" t="str">
        <f>Table2[[#This Row],[camera_old]]</f>
        <v>Y</v>
      </c>
      <c r="U571" s="22" t="s">
        <v>88</v>
      </c>
      <c r="V571" s="16" t="s">
        <v>24</v>
      </c>
      <c r="W571" s="16">
        <v>20</v>
      </c>
      <c r="X571" s="145">
        <v>4</v>
      </c>
      <c r="Y571" s="147" t="s">
        <v>37</v>
      </c>
      <c r="Z571" s="146" t="s">
        <v>37</v>
      </c>
      <c r="AA571" s="4" t="str">
        <f>Table2[[#This Row],[field_fate]]</f>
        <v>H</v>
      </c>
      <c r="AB571" s="4" t="str">
        <f>Table2[[#This Row],[field_fate2]]</f>
        <v>H</v>
      </c>
      <c r="AC571" s="94" t="str">
        <f>Table2[[#This Row],[field_fate3]]</f>
        <v>H</v>
      </c>
      <c r="AD571" s="94" t="str">
        <f>Table2[[#This Row],[field_fate4]]</f>
        <v>H</v>
      </c>
      <c r="AE571" s="94" t="str">
        <f>Table2[[#This Row],[field_fate5]]</f>
        <v>H</v>
      </c>
      <c r="AF571" s="94" t="str">
        <f>Table2[[#This Row],[field_fate5]]</f>
        <v>H</v>
      </c>
      <c r="AG571" s="94" t="str">
        <f>Table2[[#This Row],[field_fate5]]</f>
        <v>H</v>
      </c>
      <c r="AH571" s="94" t="str">
        <f>Table2[[#This Row],[field_fate2]]</f>
        <v>H</v>
      </c>
      <c r="AI571" s="94" t="str">
        <f>Table2[[#This Row],[field_fate8]]</f>
        <v>H</v>
      </c>
      <c r="AJ571" s="94" t="str">
        <f>Table2[[#This Row],[field_fate10]]</f>
        <v>H</v>
      </c>
      <c r="AK571" s="94" t="b">
        <f>Table2[[#This Row],[field_fate_feb]]=Table2[[#This Row],[field_fate10]]</f>
        <v>1</v>
      </c>
      <c r="AL571" s="43" t="s">
        <v>37</v>
      </c>
      <c r="AM571" s="160" t="b">
        <f>Table2[[#This Row],[cam_fate2]]="NA"</f>
        <v>0</v>
      </c>
      <c r="AN571" s="19" t="str">
        <f>Table2[[#This Row],[cam_fate1]]</f>
        <v>H</v>
      </c>
      <c r="AO571" s="2" t="s">
        <v>37</v>
      </c>
      <c r="AP571" s="5" t="str">
        <f>Table2[[#This Row],[final_fate1]]</f>
        <v>H</v>
      </c>
      <c r="AQ571" s="6">
        <v>19</v>
      </c>
      <c r="AR571" s="72">
        <v>20</v>
      </c>
      <c r="AS571" s="155">
        <f>Table2[[#This Row],[final_obs_date]]-Table2[[#This Row],[init_date]]</f>
        <v>19</v>
      </c>
      <c r="AT571" s="155">
        <f>(Table2[[#This Row],[final_obs_date2]]-Table2[[#This Row],[estHD]])+19</f>
        <v>20</v>
      </c>
      <c r="AU571" s="38">
        <v>4</v>
      </c>
      <c r="AV571" s="33">
        <v>4</v>
      </c>
      <c r="AW571" s="33">
        <f>Table2[[#This Row],[final_obs_date2]]-Table2[[#This Row],[pen_obs_date]]</f>
        <v>4</v>
      </c>
      <c r="AX571" s="67">
        <v>102</v>
      </c>
      <c r="AY571" s="157">
        <f>Table2[[#This Row],[final_obs_date]]</f>
        <v>102</v>
      </c>
      <c r="AZ571" s="6">
        <v>98</v>
      </c>
      <c r="BA571" s="92" t="s">
        <v>47</v>
      </c>
      <c r="BB571" s="6" t="b">
        <f>Table2[[#This Row],[final_obs_date]]&lt;(Table2[[#This Row],[estHD]]-2)</f>
        <v>0</v>
      </c>
      <c r="BC571" s="32">
        <f>IF(Table2[[#This Row],[field_fate]]="H",1,0)</f>
        <v>1</v>
      </c>
      <c r="BD571" s="16">
        <f>IF(Table2[[#This Row],[cam_fate2]]="H",1,0)</f>
        <v>1</v>
      </c>
      <c r="BE571" s="6" t="b">
        <f>NOT(Table2[[#This Row],[HF_C]]=Table2[[#This Row],[HF]])</f>
        <v>0</v>
      </c>
      <c r="BF571" s="38" t="b">
        <f>NOT(Table2[[#This Row],[cam_fate2]]=Table2[[#This Row],[field_fate3]])</f>
        <v>0</v>
      </c>
      <c r="BG571" s="38" t="b">
        <f>OR(Table2[[#This Row],[field_fate3]]="U",Table2[[#This Row],[field_fate3]]="U-H")</f>
        <v>0</v>
      </c>
      <c r="BH571" s="8">
        <v>86</v>
      </c>
      <c r="BI571" s="8">
        <v>102</v>
      </c>
      <c r="BJ571" s="14">
        <f>IF(ISTEXT(Table2[[#This Row],[j.cam]]),Table2[[#This Row],[j]],Table2[[#This Row],[j.cam]])</f>
        <v>102</v>
      </c>
      <c r="BK571" s="8">
        <v>102</v>
      </c>
      <c r="BL571" s="14">
        <f>IF(ISTEXT(Table2[[#This Row],[k.cam]]), Table2[[#This Row],[k]], Table2[[#This Row],[k.cam]])</f>
        <v>102</v>
      </c>
      <c r="BM571" s="4" t="s">
        <v>24</v>
      </c>
      <c r="BN571" s="8" t="s">
        <v>24</v>
      </c>
      <c r="BO571" s="4">
        <v>5</v>
      </c>
      <c r="BP571" s="4">
        <f>Table2[[#This Row],[final_obs_date]]-Table2[[#This Row],[i]]</f>
        <v>16</v>
      </c>
      <c r="BQ571" s="4" t="b">
        <f>Table2[[#This Row],[final_obs_date2]]&gt;Table2[[#This Row],[estHD]]+3</f>
        <v>0</v>
      </c>
      <c r="BR571" s="3" t="s">
        <v>33</v>
      </c>
      <c r="BS571" s="3" t="s">
        <v>165</v>
      </c>
      <c r="BT571" s="125" t="s">
        <v>1354</v>
      </c>
      <c r="BU571" s="4" t="s">
        <v>381</v>
      </c>
      <c r="BV571" s="79" t="s">
        <v>1664</v>
      </c>
      <c r="BW571" s="69"/>
      <c r="BX571" s="36"/>
      <c r="BY571" s="36" t="s">
        <v>24</v>
      </c>
    </row>
    <row r="572" spans="1:77" hidden="1" x14ac:dyDescent="0.35">
      <c r="A572" s="64">
        <v>30098</v>
      </c>
      <c r="B572" s="2" t="s">
        <v>122</v>
      </c>
      <c r="C572" s="46">
        <v>2021</v>
      </c>
      <c r="D572" s="3">
        <v>29.757010000000001</v>
      </c>
      <c r="E572" s="3">
        <v>-93.112449999999995</v>
      </c>
      <c r="F572" s="3">
        <v>0</v>
      </c>
      <c r="G572" s="3">
        <v>0</v>
      </c>
      <c r="H572" s="3" t="s">
        <v>354</v>
      </c>
      <c r="I572" s="43"/>
      <c r="J572" s="55">
        <v>104</v>
      </c>
      <c r="K572" s="4">
        <v>104</v>
      </c>
      <c r="L572" s="22">
        <f>IF(ISNUMBER(Table2[[#This Row],[estHD]]),ABS(Table2[[#This Row],[HD]]-Table2[[#This Row],[estHD]]),"NA")</f>
        <v>0</v>
      </c>
      <c r="M572" s="4" t="b">
        <f>Table2[[#This Row],[HD]]=Table2[[#This Row],[estHD]]</f>
        <v>1</v>
      </c>
      <c r="N572" s="4" t="str">
        <f>IF(ISNUMBER([1]!Table2[[#This Row],[hatch_date]]),[1]!Table2[[#This Row],[hatch_date]]-19,"NA")</f>
        <v>NA</v>
      </c>
      <c r="O572" s="31">
        <v>85</v>
      </c>
      <c r="P572" s="23">
        <f>IF(ISNUMBER(Table2[[#This Row],[nest_age1]]),ABS(Table2[[#This Row],[nest_age1]]-Table2[[#This Row],[nest_age_feb]]),"NA")</f>
        <v>0</v>
      </c>
      <c r="Q572" s="24">
        <f>IF(ISNUMBER(Table2[[#This Row],[final_obs_int2]]),ABS(Table2[[#This Row],[final_obs_int2]]-Table2[[#This Row],[final_obs_int_feb]]), "NA")</f>
        <v>0</v>
      </c>
      <c r="R572" s="24"/>
      <c r="S572" s="57" t="s">
        <v>88</v>
      </c>
      <c r="T572" s="57" t="str">
        <f>Table2[[#This Row],[camera_old]]</f>
        <v>N</v>
      </c>
      <c r="U572" s="24"/>
      <c r="V572" s="16" t="s">
        <v>24</v>
      </c>
      <c r="W572" s="16">
        <v>4</v>
      </c>
      <c r="X572" s="145">
        <v>3</v>
      </c>
      <c r="Y572" s="147" t="s">
        <v>31</v>
      </c>
      <c r="Z572" s="146" t="s">
        <v>31</v>
      </c>
      <c r="AA572" s="4" t="str">
        <f>Table2[[#This Row],[field_fate]]</f>
        <v>D</v>
      </c>
      <c r="AB572" s="4" t="str">
        <f>Table2[[#This Row],[field_fate2]]</f>
        <v>D</v>
      </c>
      <c r="AC572" s="4" t="str">
        <f>Table2[[#This Row],[field_fate3]]</f>
        <v>D</v>
      </c>
      <c r="AD572" s="4" t="str">
        <f>Table2[[#This Row],[field_fate4]]</f>
        <v>D</v>
      </c>
      <c r="AE572" s="4" t="str">
        <f>Table2[[#This Row],[field_fate5]]</f>
        <v>D</v>
      </c>
      <c r="AF572" s="4" t="str">
        <f>Table2[[#This Row],[field_fate5]]</f>
        <v>D</v>
      </c>
      <c r="AG572" s="4" t="str">
        <f>Table2[[#This Row],[field_fate5]]</f>
        <v>D</v>
      </c>
      <c r="AH572" s="4" t="str">
        <f>Table2[[#This Row],[field_fate2]]</f>
        <v>D</v>
      </c>
      <c r="AI572" s="4" t="str">
        <f>Table2[[#This Row],[field_fate8]]</f>
        <v>D</v>
      </c>
      <c r="AJ572" s="4" t="str">
        <f>Table2[[#This Row],[field_fate10]]</f>
        <v>D</v>
      </c>
      <c r="AK572" s="4" t="b">
        <f>Table2[[#This Row],[field_fate_feb]]=Table2[[#This Row],[field_fate10]]</f>
        <v>1</v>
      </c>
      <c r="AL572" s="43" t="s">
        <v>24</v>
      </c>
      <c r="AM572" s="43" t="b">
        <f>Table2[[#This Row],[cam_fate2]]="NA"</f>
        <v>1</v>
      </c>
      <c r="AN572" s="19" t="str">
        <f>Table2[[#This Row],[cam_fate1]]</f>
        <v>NA</v>
      </c>
      <c r="AO572" s="2" t="s">
        <v>31</v>
      </c>
      <c r="AP572" s="5" t="str">
        <f>Table2[[#This Row],[final_fate1]]</f>
        <v>D</v>
      </c>
      <c r="AQ572" s="6">
        <v>4</v>
      </c>
      <c r="AR572" s="7">
        <v>4</v>
      </c>
      <c r="AS572" s="7">
        <f>Table2[[#This Row],[final_obs_date]]-Table2[[#This Row],[init_date]]</f>
        <v>4</v>
      </c>
      <c r="AT572" s="7">
        <f>(Table2[[#This Row],[final_obs_date2]]-Table2[[#This Row],[estHD]])+16</f>
        <v>1</v>
      </c>
      <c r="AU572" s="38">
        <v>3</v>
      </c>
      <c r="AV572" s="33">
        <v>3</v>
      </c>
      <c r="AW572" s="33">
        <f>Table2[[#This Row],[final_obs_date2]]-Table2[[#This Row],[pen_obs_date]]</f>
        <v>89</v>
      </c>
      <c r="AX572" s="67">
        <v>89</v>
      </c>
      <c r="AY572" s="6">
        <f>Table2[[#This Row],[final_obs_date]]</f>
        <v>89</v>
      </c>
      <c r="AZ572" s="6"/>
      <c r="BA572" s="91" t="s">
        <v>47</v>
      </c>
      <c r="BB572" s="6" t="b">
        <f>Table2[[#This Row],[final_obs_date]]&lt;(Table2[[#This Row],[estHD]]-2)</f>
        <v>1</v>
      </c>
      <c r="BC572" s="24">
        <f>IF(Table2[[#This Row],[field_fate]]="H",1,0)</f>
        <v>0</v>
      </c>
      <c r="BD572" s="16">
        <f>IF(Table2[[#This Row],[cam_fate2]]="H",1,0)</f>
        <v>0</v>
      </c>
      <c r="BE572" s="6" t="b">
        <f>NOT(Table2[[#This Row],[HF_C]]=Table2[[#This Row],[HF]])</f>
        <v>0</v>
      </c>
      <c r="BF572" s="6" t="b">
        <f>NOT(Table2[[#This Row],[cam_fate2]]=Table2[[#This Row],[field_fate3]])</f>
        <v>1</v>
      </c>
      <c r="BG572" s="6" t="b">
        <f>OR(Table2[[#This Row],[field_fate3]]="U",Table2[[#This Row],[field_fate3]]="U-H")</f>
        <v>0</v>
      </c>
      <c r="BH572" s="8">
        <v>86</v>
      </c>
      <c r="BI572" s="8">
        <v>86</v>
      </c>
      <c r="BJ572" s="14">
        <f>IF(ISTEXT(Table2[[#This Row],[j.cam]]),Table2[[#This Row],[j]],Table2[[#This Row],[j.cam]])</f>
        <v>86</v>
      </c>
      <c r="BK572" s="9">
        <v>89</v>
      </c>
      <c r="BL572" s="15">
        <f>IF(ISTEXT(Table2[[#This Row],[k.cam]]), Table2[[#This Row],[k]], Table2[[#This Row],[k.cam]])</f>
        <v>89</v>
      </c>
      <c r="BM572" s="4" t="s">
        <v>24</v>
      </c>
      <c r="BN572" s="8" t="s">
        <v>24</v>
      </c>
      <c r="BO572" s="4">
        <v>2</v>
      </c>
      <c r="BP572" s="4">
        <f>Table2[[#This Row],[final_obs_date]]-Table2[[#This Row],[i]]</f>
        <v>3</v>
      </c>
      <c r="BQ572" s="4" t="b">
        <f>Table2[[#This Row],[final_obs_date2]]&gt;Table2[[#This Row],[estHD]]+3</f>
        <v>0</v>
      </c>
      <c r="BR572" s="4" t="s">
        <v>58</v>
      </c>
      <c r="BS572" s="4" t="s">
        <v>45</v>
      </c>
      <c r="BT572" s="79" t="s">
        <v>1355</v>
      </c>
      <c r="BU572" s="26" t="s">
        <v>117</v>
      </c>
      <c r="BV572" s="79" t="s">
        <v>1430</v>
      </c>
      <c r="BW572" s="49"/>
      <c r="BX572" s="47"/>
      <c r="BY572" s="36" t="s">
        <v>24</v>
      </c>
    </row>
    <row r="573" spans="1:77" hidden="1" x14ac:dyDescent="0.35">
      <c r="A573" s="64">
        <v>30100</v>
      </c>
      <c r="B573" s="2" t="s">
        <v>111</v>
      </c>
      <c r="C573" s="46">
        <v>2021</v>
      </c>
      <c r="D573" s="3">
        <v>29.773440000000001</v>
      </c>
      <c r="E573" s="3">
        <v>-93.293989999999994</v>
      </c>
      <c r="F573" s="3">
        <v>30</v>
      </c>
      <c r="G573" s="3">
        <v>40</v>
      </c>
      <c r="H573" s="3" t="s">
        <v>26</v>
      </c>
      <c r="I573" s="43"/>
      <c r="J573" s="55">
        <v>38</v>
      </c>
      <c r="K573" s="4">
        <v>38</v>
      </c>
      <c r="L573" s="22">
        <f>IF(ISNUMBER(Table2[[#This Row],[estHD]]),ABS(Table2[[#This Row],[HD]]-Table2[[#This Row],[estHD]]),"NA")</f>
        <v>0</v>
      </c>
      <c r="M573" s="4" t="b">
        <f>Table2[[#This Row],[HD]]=Table2[[#This Row],[estHD]]</f>
        <v>1</v>
      </c>
      <c r="N573" s="4" t="str">
        <f>IF(ISNUMBER([1]!Table2[[#This Row],[hatch_date]]), [1]!Table2[[#This Row],[hatch_date]]-28, "NA")</f>
        <v>NA</v>
      </c>
      <c r="O573" s="31">
        <v>10</v>
      </c>
      <c r="P573" s="23">
        <f>IF(ISNUMBER(Table2[[#This Row],[nest_age1]]),ABS(Table2[[#This Row],[nest_age1]]-Table2[[#This Row],[nest_age_feb]]),"NA")</f>
        <v>0</v>
      </c>
      <c r="Q573" s="24">
        <f>IF(ISNUMBER(Table2[[#This Row],[final_obs_int2]]),ABS(Table2[[#This Row],[final_obs_int2]]-Table2[[#This Row],[final_obs_int_feb]]), "NA")</f>
        <v>0</v>
      </c>
      <c r="R573" s="24"/>
      <c r="S573" s="57" t="s">
        <v>88</v>
      </c>
      <c r="T573" s="57" t="str">
        <f>Table2[[#This Row],[camera_old]]</f>
        <v>N</v>
      </c>
      <c r="U573" s="24"/>
      <c r="V573" s="16" t="s">
        <v>24</v>
      </c>
      <c r="W573" s="16">
        <v>13</v>
      </c>
      <c r="X573" s="145">
        <v>4</v>
      </c>
      <c r="Y573" s="147" t="s">
        <v>25</v>
      </c>
      <c r="Z573" s="146" t="s">
        <v>25</v>
      </c>
      <c r="AA573" s="4" t="str">
        <f>Table2[[#This Row],[field_fate]]</f>
        <v>S</v>
      </c>
      <c r="AB573" s="4" t="str">
        <f>Table2[[#This Row],[field_fate2]]</f>
        <v>S</v>
      </c>
      <c r="AC573" s="4" t="str">
        <f>Table2[[#This Row],[field_fate3]]</f>
        <v>S</v>
      </c>
      <c r="AD573" s="4" t="str">
        <f>Table2[[#This Row],[field_fate4]]</f>
        <v>S</v>
      </c>
      <c r="AE573" s="4" t="str">
        <f>Table2[[#This Row],[field_fate5]]</f>
        <v>S</v>
      </c>
      <c r="AF573" s="4" t="str">
        <f>Table2[[#This Row],[field_fate5]]</f>
        <v>S</v>
      </c>
      <c r="AG573" s="4" t="str">
        <f>Table2[[#This Row],[field_fate5]]</f>
        <v>S</v>
      </c>
      <c r="AH573" s="4" t="str">
        <f>Table2[[#This Row],[field_fate2]]</f>
        <v>S</v>
      </c>
      <c r="AI573" s="4" t="str">
        <f>Table2[[#This Row],[field_fate8]]</f>
        <v>S</v>
      </c>
      <c r="AJ573" s="4" t="str">
        <f>Table2[[#This Row],[field_fate10]]</f>
        <v>S</v>
      </c>
      <c r="AK573" s="4" t="b">
        <f>Table2[[#This Row],[field_fate_feb]]=Table2[[#This Row],[field_fate10]]</f>
        <v>1</v>
      </c>
      <c r="AL573" s="43" t="s">
        <v>24</v>
      </c>
      <c r="AM573" s="43" t="b">
        <f>Table2[[#This Row],[cam_fate2]]="NA"</f>
        <v>1</v>
      </c>
      <c r="AN573" s="19" t="str">
        <f>Table2[[#This Row],[cam_fate1]]</f>
        <v>NA</v>
      </c>
      <c r="AO573" s="2" t="s">
        <v>25</v>
      </c>
      <c r="AP573" s="5" t="str">
        <f>Table2[[#This Row],[final_fate1]]</f>
        <v>S</v>
      </c>
      <c r="AQ573" s="6">
        <v>13</v>
      </c>
      <c r="AR573" s="7">
        <v>13</v>
      </c>
      <c r="AS573" s="7">
        <f>Table2[[#This Row],[final_obs_date]]-Table2[[#This Row],[init_date]]</f>
        <v>13</v>
      </c>
      <c r="AT573" s="7">
        <f>(Table2[[#This Row],[final_obs_date2]]-Table2[[#This Row],[estHD]])+16</f>
        <v>1</v>
      </c>
      <c r="AU573" s="38">
        <v>4</v>
      </c>
      <c r="AV573" s="33">
        <v>4</v>
      </c>
      <c r="AW573" s="33">
        <f>Table2[[#This Row],[final_obs_date2]]-Table2[[#This Row],[pen_obs_date]]</f>
        <v>23</v>
      </c>
      <c r="AX573" s="67">
        <v>23</v>
      </c>
      <c r="AY573" s="6">
        <f>Table2[[#This Row],[final_obs_date]]</f>
        <v>23</v>
      </c>
      <c r="AZ573" s="6"/>
      <c r="BA573" s="91" t="s">
        <v>23</v>
      </c>
      <c r="BB573" s="6" t="b">
        <f>Table2[[#This Row],[final_obs_date]]&lt;(Table2[[#This Row],[estHD]]-2)</f>
        <v>1</v>
      </c>
      <c r="BC573" s="24">
        <f>IF(Table2[[#This Row],[field_fate]]="H",1,0)</f>
        <v>0</v>
      </c>
      <c r="BD573" s="16">
        <f>IF(Table2[[#This Row],[cam_fate2]]="H",1,0)</f>
        <v>0</v>
      </c>
      <c r="BE573" s="6" t="b">
        <f>NOT(Table2[[#This Row],[HF_C]]=Table2[[#This Row],[HF]])</f>
        <v>0</v>
      </c>
      <c r="BF573" s="6" t="b">
        <f>NOT(Table2[[#This Row],[cam_fate2]]=Table2[[#This Row],[field_fate3]])</f>
        <v>1</v>
      </c>
      <c r="BG573" s="6" t="b">
        <f>OR(Table2[[#This Row],[field_fate3]]="U",Table2[[#This Row],[field_fate3]]="U-H")</f>
        <v>0</v>
      </c>
      <c r="BH573" s="8">
        <v>15</v>
      </c>
      <c r="BI573" s="8">
        <v>19</v>
      </c>
      <c r="BJ573" s="14">
        <f>IF(ISTEXT(Table2[[#This Row],[j.cam]]),Table2[[#This Row],[j]],Table2[[#This Row],[j.cam]])</f>
        <v>19</v>
      </c>
      <c r="BK573" s="9">
        <v>23</v>
      </c>
      <c r="BL573" s="15">
        <f>IF(ISTEXT(Table2[[#This Row],[k.cam]]), Table2[[#This Row],[k]], Table2[[#This Row],[k.cam]])</f>
        <v>23</v>
      </c>
      <c r="BM573" s="4" t="s">
        <v>24</v>
      </c>
      <c r="BN573" s="8" t="s">
        <v>24</v>
      </c>
      <c r="BO573" s="4">
        <v>3</v>
      </c>
      <c r="BP573" s="4">
        <f>Table2[[#This Row],[final_obs_date]]-Table2[[#This Row],[i]]</f>
        <v>8</v>
      </c>
      <c r="BQ573" s="4" t="b">
        <f>Table2[[#This Row],[final_obs_date2]]&gt;Table2[[#This Row],[estHD]]+3</f>
        <v>0</v>
      </c>
      <c r="BR573" s="4" t="s">
        <v>27</v>
      </c>
      <c r="BS573" s="4" t="s">
        <v>45</v>
      </c>
      <c r="BT573" s="79" t="s">
        <v>1356</v>
      </c>
      <c r="BU573" s="26" t="s">
        <v>170</v>
      </c>
      <c r="BV573" s="79" t="s">
        <v>1454</v>
      </c>
      <c r="BW573" s="49"/>
      <c r="BX573" s="47"/>
      <c r="BY573" s="36" t="s">
        <v>832</v>
      </c>
    </row>
    <row r="574" spans="1:77" hidden="1" x14ac:dyDescent="0.35">
      <c r="A574" s="64">
        <v>30102</v>
      </c>
      <c r="B574" s="2" t="s">
        <v>122</v>
      </c>
      <c r="C574" s="46">
        <v>2021</v>
      </c>
      <c r="D574" s="3">
        <v>29.756219999999999</v>
      </c>
      <c r="E574" s="3">
        <v>-93.109949999999998</v>
      </c>
      <c r="F574" s="3" t="s">
        <v>24</v>
      </c>
      <c r="G574" s="3" t="s">
        <v>24</v>
      </c>
      <c r="H574" s="3" t="s">
        <v>354</v>
      </c>
      <c r="I574" s="43"/>
      <c r="J574" s="55">
        <v>43</v>
      </c>
      <c r="K574" s="4">
        <v>43</v>
      </c>
      <c r="L574" s="22">
        <f>IF(ISNUMBER(Table2[[#This Row],[estHD]]),ABS(Table2[[#This Row],[HD]]-Table2[[#This Row],[estHD]]),"NA")</f>
        <v>0</v>
      </c>
      <c r="M574" s="4" t="b">
        <f>Table2[[#This Row],[HD]]=Table2[[#This Row],[estHD]]</f>
        <v>1</v>
      </c>
      <c r="N574" s="4" t="str">
        <f>IF(ISNUMBER([1]!Table2[[#This Row],[hatch_date]]),[1]!Table2[[#This Row],[hatch_date]]-19,"NA")</f>
        <v>NA</v>
      </c>
      <c r="O574" s="31">
        <v>24</v>
      </c>
      <c r="P574" s="23" t="e">
        <f>IF(ISNUMBER(Table2[[#This Row],[nest_age1]]),ABS(Table2[[#This Row],[nest_age1]]-Table2[[#This Row],[nest_age_feb]]),"NA")</f>
        <v>#VALUE!</v>
      </c>
      <c r="Q574" s="24">
        <f>IF(ISNUMBER(Table2[[#This Row],[final_obs_int2]]),ABS(Table2[[#This Row],[final_obs_int2]]-Table2[[#This Row],[final_obs_int_feb]]), "NA")</f>
        <v>0</v>
      </c>
      <c r="R574" s="24"/>
      <c r="S574" s="57" t="s">
        <v>88</v>
      </c>
      <c r="T574" s="57" t="str">
        <f>Table2[[#This Row],[camera_old]]</f>
        <v>N</v>
      </c>
      <c r="U574" s="24"/>
      <c r="V574" s="16" t="s">
        <v>24</v>
      </c>
      <c r="W574" s="16" t="s">
        <v>24</v>
      </c>
      <c r="X574" s="145">
        <v>4</v>
      </c>
      <c r="Y574" s="147" t="s">
        <v>90</v>
      </c>
      <c r="Z574" s="146" t="s">
        <v>90</v>
      </c>
      <c r="AA574" s="4" t="str">
        <f>Table2[[#This Row],[field_fate]]</f>
        <v>U</v>
      </c>
      <c r="AB574" s="4" t="str">
        <f>Table2[[#This Row],[field_fate2]]</f>
        <v>U</v>
      </c>
      <c r="AC574" s="4" t="str">
        <f>Table2[[#This Row],[field_fate3]]</f>
        <v>U</v>
      </c>
      <c r="AD574" s="4" t="str">
        <f>Table2[[#This Row],[field_fate4]]</f>
        <v>U</v>
      </c>
      <c r="AE574" s="4" t="str">
        <f>Table2[[#This Row],[field_fate5]]</f>
        <v>U</v>
      </c>
      <c r="AF574" s="4" t="str">
        <f>Table2[[#This Row],[field_fate5]]</f>
        <v>U</v>
      </c>
      <c r="AG574" s="4" t="str">
        <f>Table2[[#This Row],[field_fate5]]</f>
        <v>U</v>
      </c>
      <c r="AH574" s="4" t="str">
        <f>Table2[[#This Row],[field_fate2]]</f>
        <v>U</v>
      </c>
      <c r="AI574" s="4" t="str">
        <f>Table2[[#This Row],[field_fate8]]</f>
        <v>U</v>
      </c>
      <c r="AJ574" s="4" t="str">
        <f>Table2[[#This Row],[field_fate10]]</f>
        <v>U</v>
      </c>
      <c r="AK574" s="4" t="b">
        <f>Table2[[#This Row],[field_fate_feb]]=Table2[[#This Row],[field_fate10]]</f>
        <v>1</v>
      </c>
      <c r="AL574" s="43" t="s">
        <v>24</v>
      </c>
      <c r="AM574" s="43" t="b">
        <f>Table2[[#This Row],[cam_fate2]]="NA"</f>
        <v>1</v>
      </c>
      <c r="AN574" s="19" t="str">
        <f>Table2[[#This Row],[cam_fate1]]</f>
        <v>NA</v>
      </c>
      <c r="AO574" s="2" t="s">
        <v>90</v>
      </c>
      <c r="AP574" s="5" t="str">
        <f>Table2[[#This Row],[final_fate1]]</f>
        <v>U</v>
      </c>
      <c r="AQ574" s="6">
        <v>19</v>
      </c>
      <c r="AR574" s="7">
        <v>19</v>
      </c>
      <c r="AS574" s="7">
        <f>Table2[[#This Row],[final_obs_date]]-Table2[[#This Row],[init_date]]</f>
        <v>19</v>
      </c>
      <c r="AT574" s="7">
        <f>(Table2[[#This Row],[final_obs_date2]]-Table2[[#This Row],[estHD]])+16</f>
        <v>16</v>
      </c>
      <c r="AU574" s="38">
        <v>4</v>
      </c>
      <c r="AV574" s="33">
        <v>4</v>
      </c>
      <c r="AW574" s="33">
        <f>Table2[[#This Row],[final_obs_date2]]-Table2[[#This Row],[pen_obs_date]]</f>
        <v>43</v>
      </c>
      <c r="AX574" s="67">
        <v>43</v>
      </c>
      <c r="AY574" s="6">
        <f>Table2[[#This Row],[final_obs_date]]</f>
        <v>43</v>
      </c>
      <c r="AZ574" s="6"/>
      <c r="BA574" s="91" t="s">
        <v>47</v>
      </c>
      <c r="BB574" s="6" t="b">
        <f>Table2[[#This Row],[final_obs_date]]&lt;(Table2[[#This Row],[estHD]]-2)</f>
        <v>0</v>
      </c>
      <c r="BC574" s="24">
        <f>IF(Table2[[#This Row],[field_fate]]="H",1,0)</f>
        <v>0</v>
      </c>
      <c r="BD574" s="16">
        <f>IF(Table2[[#This Row],[cam_fate2]]="H",1,0)</f>
        <v>0</v>
      </c>
      <c r="BE574" s="6" t="b">
        <f>NOT(Table2[[#This Row],[HF_C]]=Table2[[#This Row],[HF]])</f>
        <v>0</v>
      </c>
      <c r="BF574" s="6" t="b">
        <f>NOT(Table2[[#This Row],[cam_fate2]]=Table2[[#This Row],[field_fate3]])</f>
        <v>1</v>
      </c>
      <c r="BG574" s="6" t="b">
        <f>OR(Table2[[#This Row],[field_fate3]]="U",Table2[[#This Row],[field_fate3]]="U-H")</f>
        <v>1</v>
      </c>
      <c r="BH574" s="8">
        <v>24</v>
      </c>
      <c r="BI574" s="8">
        <v>39</v>
      </c>
      <c r="BJ574" s="14">
        <f>IF(ISTEXT(Table2[[#This Row],[j.cam]]),Table2[[#This Row],[j]],Table2[[#This Row],[j.cam]])</f>
        <v>39</v>
      </c>
      <c r="BK574" s="9">
        <v>43</v>
      </c>
      <c r="BL574" s="15">
        <f>IF(ISTEXT(Table2[[#This Row],[k.cam]]), Table2[[#This Row],[k]], Table2[[#This Row],[k.cam]])</f>
        <v>43</v>
      </c>
      <c r="BM574" s="4" t="s">
        <v>24</v>
      </c>
      <c r="BN574" s="8" t="s">
        <v>24</v>
      </c>
      <c r="BO574" s="4">
        <v>6</v>
      </c>
      <c r="BP574" s="4">
        <f>Table2[[#This Row],[final_obs_date]]-Table2[[#This Row],[i]]</f>
        <v>19</v>
      </c>
      <c r="BQ574" s="4" t="b">
        <f>Table2[[#This Row],[final_obs_date2]]&gt;Table2[[#This Row],[estHD]]+3</f>
        <v>0</v>
      </c>
      <c r="BR574" s="4" t="s">
        <v>33</v>
      </c>
      <c r="BS574" s="4" t="s">
        <v>45</v>
      </c>
      <c r="BT574" s="79" t="s">
        <v>1357</v>
      </c>
      <c r="BU574" s="26" t="s">
        <v>382</v>
      </c>
      <c r="BV574" s="79" t="s">
        <v>1665</v>
      </c>
      <c r="BW574" s="49"/>
      <c r="BX574" s="47"/>
      <c r="BY574" s="36" t="s">
        <v>24</v>
      </c>
    </row>
    <row r="575" spans="1:77" hidden="1" x14ac:dyDescent="0.35">
      <c r="A575" s="64">
        <v>30103</v>
      </c>
      <c r="B575" s="2" t="s">
        <v>122</v>
      </c>
      <c r="C575" s="46">
        <v>2021</v>
      </c>
      <c r="D575" s="3">
        <v>29.75543</v>
      </c>
      <c r="E575" s="3">
        <v>-93.106769999999997</v>
      </c>
      <c r="F575" s="3" t="s">
        <v>24</v>
      </c>
      <c r="G575" s="3" t="s">
        <v>24</v>
      </c>
      <c r="H575" s="3" t="s">
        <v>354</v>
      </c>
      <c r="I575" s="43"/>
      <c r="J575" s="55">
        <v>43</v>
      </c>
      <c r="K575" s="4">
        <v>43</v>
      </c>
      <c r="L575" s="22">
        <f>IF(ISNUMBER(Table2[[#This Row],[estHD]]),ABS(Table2[[#This Row],[HD]]-Table2[[#This Row],[estHD]]),"NA")</f>
        <v>0</v>
      </c>
      <c r="M575" s="4" t="b">
        <f>Table2[[#This Row],[HD]]=Table2[[#This Row],[estHD]]</f>
        <v>1</v>
      </c>
      <c r="N575" s="4" t="str">
        <f>IF(ISNUMBER([1]!Table2[[#This Row],[hatch_date]]),[1]!Table2[[#This Row],[hatch_date]]-19,"NA")</f>
        <v>NA</v>
      </c>
      <c r="O575" s="31">
        <v>24</v>
      </c>
      <c r="P575" s="23">
        <f>IF(ISNUMBER(Table2[[#This Row],[nest_age1]]),ABS(Table2[[#This Row],[nest_age1]]-Table2[[#This Row],[nest_age_feb]]),"NA")</f>
        <v>0</v>
      </c>
      <c r="Q575" s="24">
        <f>IF(ISNUMBER(Table2[[#This Row],[final_obs_int2]]),ABS(Table2[[#This Row],[final_obs_int2]]-Table2[[#This Row],[final_obs_int_feb]]), "NA")</f>
        <v>0</v>
      </c>
      <c r="R575" s="24"/>
      <c r="S575" s="57" t="s">
        <v>88</v>
      </c>
      <c r="T575" s="57" t="str">
        <f>Table2[[#This Row],[camera_old]]</f>
        <v>N</v>
      </c>
      <c r="U575" s="24"/>
      <c r="V575" s="16" t="s">
        <v>24</v>
      </c>
      <c r="W575" s="16">
        <v>11</v>
      </c>
      <c r="X575" s="145">
        <v>4</v>
      </c>
      <c r="Y575" s="147" t="s">
        <v>31</v>
      </c>
      <c r="Z575" s="146" t="s">
        <v>31</v>
      </c>
      <c r="AA575" s="4" t="str">
        <f>Table2[[#This Row],[field_fate]]</f>
        <v>D</v>
      </c>
      <c r="AB575" s="4" t="str">
        <f>Table2[[#This Row],[field_fate2]]</f>
        <v>D</v>
      </c>
      <c r="AC575" s="4" t="str">
        <f>Table2[[#This Row],[field_fate3]]</f>
        <v>D</v>
      </c>
      <c r="AD575" s="4" t="str">
        <f>Table2[[#This Row],[field_fate4]]</f>
        <v>D</v>
      </c>
      <c r="AE575" s="4" t="str">
        <f>Table2[[#This Row],[field_fate5]]</f>
        <v>D</v>
      </c>
      <c r="AF575" s="4" t="str">
        <f>Table2[[#This Row],[field_fate5]]</f>
        <v>D</v>
      </c>
      <c r="AG575" s="4" t="str">
        <f>Table2[[#This Row],[field_fate5]]</f>
        <v>D</v>
      </c>
      <c r="AH575" s="4" t="str">
        <f>Table2[[#This Row],[field_fate2]]</f>
        <v>D</v>
      </c>
      <c r="AI575" s="4" t="str">
        <f>Table2[[#This Row],[field_fate8]]</f>
        <v>D</v>
      </c>
      <c r="AJ575" s="4" t="str">
        <f>Table2[[#This Row],[field_fate10]]</f>
        <v>D</v>
      </c>
      <c r="AK575" s="4" t="b">
        <f>Table2[[#This Row],[field_fate_feb]]=Table2[[#This Row],[field_fate10]]</f>
        <v>1</v>
      </c>
      <c r="AL575" s="43" t="s">
        <v>24</v>
      </c>
      <c r="AM575" s="43" t="b">
        <f>Table2[[#This Row],[cam_fate2]]="NA"</f>
        <v>1</v>
      </c>
      <c r="AN575" s="19" t="str">
        <f>Table2[[#This Row],[cam_fate1]]</f>
        <v>NA</v>
      </c>
      <c r="AO575" s="2" t="s">
        <v>31</v>
      </c>
      <c r="AP575" s="5" t="str">
        <f>Table2[[#This Row],[final_fate1]]</f>
        <v>D</v>
      </c>
      <c r="AQ575" s="6">
        <v>11</v>
      </c>
      <c r="AR575" s="7">
        <v>11</v>
      </c>
      <c r="AS575" s="7">
        <f>Table2[[#This Row],[final_obs_date]]-Table2[[#This Row],[init_date]]</f>
        <v>11</v>
      </c>
      <c r="AT575" s="7">
        <f>(Table2[[#This Row],[final_obs_date2]]-Table2[[#This Row],[estHD]])+16</f>
        <v>8</v>
      </c>
      <c r="AU575" s="38">
        <v>4</v>
      </c>
      <c r="AV575" s="33">
        <v>4</v>
      </c>
      <c r="AW575" s="33">
        <f>Table2[[#This Row],[final_obs_date2]]-Table2[[#This Row],[pen_obs_date]]</f>
        <v>35</v>
      </c>
      <c r="AX575" s="67">
        <v>35</v>
      </c>
      <c r="AY575" s="6">
        <f>Table2[[#This Row],[final_obs_date]]</f>
        <v>35</v>
      </c>
      <c r="AZ575" s="6"/>
      <c r="BA575" s="91" t="s">
        <v>47</v>
      </c>
      <c r="BB575" s="6" t="b">
        <f>Table2[[#This Row],[final_obs_date]]&lt;(Table2[[#This Row],[estHD]]-2)</f>
        <v>1</v>
      </c>
      <c r="BC575" s="24">
        <f>IF(Table2[[#This Row],[field_fate]]="H",1,0)</f>
        <v>0</v>
      </c>
      <c r="BD575" s="16">
        <f>IF(Table2[[#This Row],[cam_fate2]]="H",1,0)</f>
        <v>0</v>
      </c>
      <c r="BE575" s="6" t="b">
        <f>NOT(Table2[[#This Row],[HF_C]]=Table2[[#This Row],[HF]])</f>
        <v>0</v>
      </c>
      <c r="BF575" s="6" t="b">
        <f>NOT(Table2[[#This Row],[cam_fate2]]=Table2[[#This Row],[field_fate3]])</f>
        <v>1</v>
      </c>
      <c r="BG575" s="6" t="b">
        <f>OR(Table2[[#This Row],[field_fate3]]="U",Table2[[#This Row],[field_fate3]]="U-H")</f>
        <v>0</v>
      </c>
      <c r="BH575" s="8">
        <v>24</v>
      </c>
      <c r="BI575" s="8">
        <v>31</v>
      </c>
      <c r="BJ575" s="14">
        <f>IF(ISTEXT(Table2[[#This Row],[j.cam]]),Table2[[#This Row],[j]],Table2[[#This Row],[j.cam]])</f>
        <v>31</v>
      </c>
      <c r="BK575" s="9">
        <v>35</v>
      </c>
      <c r="BL575" s="15">
        <f>IF(ISTEXT(Table2[[#This Row],[k.cam]]), Table2[[#This Row],[k]], Table2[[#This Row],[k.cam]])</f>
        <v>35</v>
      </c>
      <c r="BM575" s="4" t="s">
        <v>24</v>
      </c>
      <c r="BN575" s="8" t="s">
        <v>24</v>
      </c>
      <c r="BO575" s="4">
        <v>3</v>
      </c>
      <c r="BP575" s="4">
        <f>Table2[[#This Row],[final_obs_date]]-Table2[[#This Row],[i]]</f>
        <v>11</v>
      </c>
      <c r="BQ575" s="4" t="b">
        <f>Table2[[#This Row],[final_obs_date2]]&gt;Table2[[#This Row],[estHD]]+3</f>
        <v>0</v>
      </c>
      <c r="BR575" s="4" t="s">
        <v>33</v>
      </c>
      <c r="BS575" s="4" t="s">
        <v>365</v>
      </c>
      <c r="BT575" s="79" t="s">
        <v>1318</v>
      </c>
      <c r="BU575" s="26" t="s">
        <v>383</v>
      </c>
      <c r="BV575" s="79" t="s">
        <v>1655</v>
      </c>
      <c r="BW575" s="49"/>
      <c r="BX575" s="47"/>
      <c r="BY575" s="36" t="s">
        <v>24</v>
      </c>
    </row>
    <row r="576" spans="1:77" hidden="1" x14ac:dyDescent="0.35">
      <c r="A576" s="64">
        <v>30104</v>
      </c>
      <c r="B576" s="2" t="s">
        <v>122</v>
      </c>
      <c r="C576" s="46">
        <v>2021</v>
      </c>
      <c r="D576" s="3">
        <v>29.75731</v>
      </c>
      <c r="E576" s="3">
        <v>-93.113159999999993</v>
      </c>
      <c r="F576" s="3" t="s">
        <v>24</v>
      </c>
      <c r="G576" s="3" t="s">
        <v>24</v>
      </c>
      <c r="H576" s="3" t="s">
        <v>354</v>
      </c>
      <c r="I576" s="43" t="s">
        <v>997</v>
      </c>
      <c r="J576" s="116">
        <v>56</v>
      </c>
      <c r="K576" s="4">
        <v>56</v>
      </c>
      <c r="L576" s="22">
        <f>IF(ISNUMBER(Table2[[#This Row],[estHD]]),ABS(Table2[[#This Row],[HD]]-Table2[[#This Row],[estHD]]),"NA")</f>
        <v>0</v>
      </c>
      <c r="M576" s="4" t="b">
        <f>Table2[[#This Row],[HD]]=Table2[[#This Row],[estHD]]</f>
        <v>1</v>
      </c>
      <c r="N576" s="4" t="str">
        <f>IF(ISNUMBER([1]!Table2[[#This Row],[hatch_date]]),[1]!Table2[[#This Row],[hatch_date]]-19,"NA")</f>
        <v>NA</v>
      </c>
      <c r="O576" s="31">
        <v>37</v>
      </c>
      <c r="P576" s="23">
        <f>IF(ISNUMBER(Table2[[#This Row],[nest_age1]]),ABS(Table2[[#This Row],[nest_age1]]-Table2[[#This Row],[nest_age_feb]]),"NA")</f>
        <v>0</v>
      </c>
      <c r="Q576" s="24">
        <f>IF(ISNUMBER(Table2[[#This Row],[final_obs_int2]]),ABS(Table2[[#This Row],[final_obs_int2]]-Table2[[#This Row],[final_obs_int_feb]]), "NA")</f>
        <v>0</v>
      </c>
      <c r="R576" s="24"/>
      <c r="S576" s="20" t="s">
        <v>75</v>
      </c>
      <c r="T576" s="20" t="str">
        <f>Table2[[#This Row],[camera_old]]</f>
        <v>Y</v>
      </c>
      <c r="U576" s="22" t="s">
        <v>88</v>
      </c>
      <c r="V576" s="16" t="s">
        <v>31</v>
      </c>
      <c r="W576" s="16">
        <v>2</v>
      </c>
      <c r="X576" s="145">
        <v>4</v>
      </c>
      <c r="Y576" s="147" t="s">
        <v>31</v>
      </c>
      <c r="Z576" s="146" t="s">
        <v>31</v>
      </c>
      <c r="AA576" s="4" t="str">
        <f>Table2[[#This Row],[field_fate]]</f>
        <v>D</v>
      </c>
      <c r="AB576" s="4" t="str">
        <f>Table2[[#This Row],[field_fate2]]</f>
        <v>D</v>
      </c>
      <c r="AC576" s="94" t="str">
        <f>Table2[[#This Row],[field_fate3]]</f>
        <v>D</v>
      </c>
      <c r="AD576" s="94" t="str">
        <f>Table2[[#This Row],[field_fate4]]</f>
        <v>D</v>
      </c>
      <c r="AE576" s="94" t="str">
        <f>Table2[[#This Row],[field_fate5]]</f>
        <v>D</v>
      </c>
      <c r="AF576" s="94" t="str">
        <f>Table2[[#This Row],[field_fate5]]</f>
        <v>D</v>
      </c>
      <c r="AG576" s="94" t="str">
        <f>Table2[[#This Row],[field_fate5]]</f>
        <v>D</v>
      </c>
      <c r="AH576" s="94" t="str">
        <f>Table2[[#This Row],[field_fate2]]</f>
        <v>D</v>
      </c>
      <c r="AI576" s="94" t="str">
        <f>Table2[[#This Row],[field_fate8]]</f>
        <v>D</v>
      </c>
      <c r="AJ576" s="94" t="str">
        <f>Table2[[#This Row],[field_fate10]]</f>
        <v>D</v>
      </c>
      <c r="AK576" s="94" t="b">
        <f>Table2[[#This Row],[field_fate_feb]]=Table2[[#This Row],[field_fate10]]</f>
        <v>1</v>
      </c>
      <c r="AL576" s="43" t="s">
        <v>31</v>
      </c>
      <c r="AM576" s="160" t="b">
        <f>Table2[[#This Row],[cam_fate2]]="NA"</f>
        <v>0</v>
      </c>
      <c r="AN576" s="19" t="str">
        <f>Table2[[#This Row],[cam_fate1]]</f>
        <v>D</v>
      </c>
      <c r="AO576" s="2" t="s">
        <v>31</v>
      </c>
      <c r="AP576" s="5" t="str">
        <f>Table2[[#This Row],[final_fate1]]</f>
        <v>D</v>
      </c>
      <c r="AQ576" s="6">
        <v>2</v>
      </c>
      <c r="AR576" s="72">
        <v>2</v>
      </c>
      <c r="AS576" s="155">
        <f>Table2[[#This Row],[final_obs_date]]-Table2[[#This Row],[init_date]]</f>
        <v>2</v>
      </c>
      <c r="AT576" s="155">
        <f>(Table2[[#This Row],[final_obs_date2]]-Table2[[#This Row],[estHD]])+19</f>
        <v>2</v>
      </c>
      <c r="AU576" s="38">
        <v>4</v>
      </c>
      <c r="AV576" s="33">
        <v>4</v>
      </c>
      <c r="AW576" s="33">
        <f>Table2[[#This Row],[final_obs_date2]]-Table2[[#This Row],[pen_obs_date]]</f>
        <v>4</v>
      </c>
      <c r="AX576" s="67">
        <v>39</v>
      </c>
      <c r="AY576" s="157">
        <f>Table2[[#This Row],[final_obs_date]]</f>
        <v>39</v>
      </c>
      <c r="AZ576" s="6">
        <v>35</v>
      </c>
      <c r="BA576" s="92" t="s">
        <v>47</v>
      </c>
      <c r="BB576" s="6" t="b">
        <f>Table2[[#This Row],[final_obs_date]]&lt;(Table2[[#This Row],[estHD]]-2)</f>
        <v>1</v>
      </c>
      <c r="BC576" s="32">
        <f>IF(Table2[[#This Row],[field_fate]]="H",1,0)</f>
        <v>0</v>
      </c>
      <c r="BD576" s="16">
        <f>IF(Table2[[#This Row],[cam_fate2]]="H",1,0)</f>
        <v>0</v>
      </c>
      <c r="BE576" s="6" t="b">
        <f>NOT(Table2[[#This Row],[HF_C]]=Table2[[#This Row],[HF]])</f>
        <v>0</v>
      </c>
      <c r="BF576" s="38" t="b">
        <f>NOT(Table2[[#This Row],[cam_fate2]]=Table2[[#This Row],[field_fate3]])</f>
        <v>0</v>
      </c>
      <c r="BG576" s="38" t="b">
        <f>OR(Table2[[#This Row],[field_fate3]]="U",Table2[[#This Row],[field_fate3]]="U-H")</f>
        <v>0</v>
      </c>
      <c r="BH576" s="8">
        <v>31</v>
      </c>
      <c r="BI576" s="8">
        <v>35</v>
      </c>
      <c r="BJ576" s="14">
        <f>IF(ISTEXT(Table2[[#This Row],[j.cam]]),Table2[[#This Row],[j]],Table2[[#This Row],[j.cam]])</f>
        <v>35</v>
      </c>
      <c r="BK576" s="8">
        <v>39</v>
      </c>
      <c r="BL576" s="14">
        <f>IF(ISTEXT(Table2[[#This Row],[k.cam]]), Table2[[#This Row],[k]], Table2[[#This Row],[k.cam]])</f>
        <v>39</v>
      </c>
      <c r="BM576" s="4" t="s">
        <v>24</v>
      </c>
      <c r="BN576" s="8" t="s">
        <v>24</v>
      </c>
      <c r="BO576" s="4">
        <v>3</v>
      </c>
      <c r="BP576" s="4">
        <f>Table2[[#This Row],[final_obs_date]]-Table2[[#This Row],[i]]</f>
        <v>8</v>
      </c>
      <c r="BQ576" s="4" t="b">
        <f>Table2[[#This Row],[final_obs_date2]]&gt;Table2[[#This Row],[estHD]]+3</f>
        <v>0</v>
      </c>
      <c r="BR576" s="3" t="s">
        <v>66</v>
      </c>
      <c r="BS576" s="3" t="s">
        <v>45</v>
      </c>
      <c r="BT576" s="125" t="s">
        <v>1358</v>
      </c>
      <c r="BU576" s="4" t="s">
        <v>273</v>
      </c>
      <c r="BV576" s="79" t="s">
        <v>1454</v>
      </c>
      <c r="BW576" s="69"/>
      <c r="BX576" s="36"/>
      <c r="BY576" s="36" t="s">
        <v>24</v>
      </c>
    </row>
    <row r="577" spans="1:77" hidden="1" x14ac:dyDescent="0.35">
      <c r="A577" s="64">
        <v>30105</v>
      </c>
      <c r="B577" s="2" t="s">
        <v>122</v>
      </c>
      <c r="C577" s="46">
        <v>2021</v>
      </c>
      <c r="D577" s="3">
        <v>29.757159999999999</v>
      </c>
      <c r="E577" s="3">
        <v>-93.112809999999996</v>
      </c>
      <c r="F577" s="3" t="s">
        <v>24</v>
      </c>
      <c r="G577" s="3" t="s">
        <v>24</v>
      </c>
      <c r="H577" s="3" t="s">
        <v>354</v>
      </c>
      <c r="I577" s="43"/>
      <c r="J577" s="55">
        <v>53</v>
      </c>
      <c r="K577" s="4">
        <v>53</v>
      </c>
      <c r="L577" s="22">
        <f>IF(ISNUMBER(Table2[[#This Row],[estHD]]),ABS(Table2[[#This Row],[HD]]-Table2[[#This Row],[estHD]]),"NA")</f>
        <v>0</v>
      </c>
      <c r="M577" s="4" t="b">
        <f>Table2[[#This Row],[HD]]=Table2[[#This Row],[estHD]]</f>
        <v>1</v>
      </c>
      <c r="N577" s="4" t="str">
        <f>IF(ISNUMBER([1]!Table2[[#This Row],[hatch_date]]),[1]!Table2[[#This Row],[hatch_date]]-19,"NA")</f>
        <v>NA</v>
      </c>
      <c r="O577" s="31">
        <v>34</v>
      </c>
      <c r="P577" s="23">
        <f>IF(ISNUMBER(Table2[[#This Row],[nest_age1]]),ABS(Table2[[#This Row],[nest_age1]]-Table2[[#This Row],[nest_age_feb]]),"NA")</f>
        <v>0</v>
      </c>
      <c r="Q577" s="24">
        <f>IF(ISNUMBER(Table2[[#This Row],[final_obs_int2]]),ABS(Table2[[#This Row],[final_obs_int2]]-Table2[[#This Row],[final_obs_int_feb]]), "NA")</f>
        <v>0</v>
      </c>
      <c r="R577" s="24"/>
      <c r="S577" s="57" t="s">
        <v>88</v>
      </c>
      <c r="T577" s="57" t="str">
        <f>Table2[[#This Row],[camera_old]]</f>
        <v>N</v>
      </c>
      <c r="U577" s="24"/>
      <c r="V577" s="16" t="s">
        <v>24</v>
      </c>
      <c r="W577" s="16">
        <v>9</v>
      </c>
      <c r="X577" s="145">
        <v>4</v>
      </c>
      <c r="Y577" s="148" t="s">
        <v>48</v>
      </c>
      <c r="Z577" s="146" t="s">
        <v>48</v>
      </c>
      <c r="AA577" s="4" t="str">
        <f>Table2[[#This Row],[field_fate]]</f>
        <v>F</v>
      </c>
      <c r="AB577" s="4" t="str">
        <f>Table2[[#This Row],[field_fate2]]</f>
        <v>F</v>
      </c>
      <c r="AC577" s="4" t="str">
        <f>Table2[[#This Row],[field_fate3]]</f>
        <v>F</v>
      </c>
      <c r="AD577" s="4" t="str">
        <f>Table2[[#This Row],[field_fate4]]</f>
        <v>F</v>
      </c>
      <c r="AE577" s="4" t="str">
        <f>Table2[[#This Row],[field_fate5]]</f>
        <v>F</v>
      </c>
      <c r="AF577" s="4" t="str">
        <f>Table2[[#This Row],[field_fate5]]</f>
        <v>F</v>
      </c>
      <c r="AG577" s="4" t="str">
        <f>Table2[[#This Row],[field_fate5]]</f>
        <v>F</v>
      </c>
      <c r="AH577" s="4" t="str">
        <f>Table2[[#This Row],[field_fate2]]</f>
        <v>F</v>
      </c>
      <c r="AI577" s="4" t="str">
        <f>Table2[[#This Row],[field_fate8]]</f>
        <v>F</v>
      </c>
      <c r="AJ577" s="4" t="str">
        <f>Table2[[#This Row],[field_fate10]]</f>
        <v>F</v>
      </c>
      <c r="AK577" s="4" t="b">
        <f>Table2[[#This Row],[field_fate_feb]]=Table2[[#This Row],[field_fate10]]</f>
        <v>1</v>
      </c>
      <c r="AL577" s="43" t="s">
        <v>24</v>
      </c>
      <c r="AM577" s="43" t="b">
        <f>Table2[[#This Row],[cam_fate2]]="NA"</f>
        <v>1</v>
      </c>
      <c r="AN577" s="19" t="str">
        <f>Table2[[#This Row],[cam_fate1]]</f>
        <v>NA</v>
      </c>
      <c r="AO577" s="2" t="s">
        <v>48</v>
      </c>
      <c r="AP577" s="5" t="str">
        <f>Table2[[#This Row],[final_fate1]]</f>
        <v>F</v>
      </c>
      <c r="AQ577" s="6">
        <v>9</v>
      </c>
      <c r="AR577" s="7">
        <v>9</v>
      </c>
      <c r="AS577" s="7">
        <f>Table2[[#This Row],[final_obs_date]]-Table2[[#This Row],[init_date]]</f>
        <v>9</v>
      </c>
      <c r="AT577" s="7">
        <f>(Table2[[#This Row],[final_obs_date2]]-Table2[[#This Row],[estHD]])+16</f>
        <v>6</v>
      </c>
      <c r="AU577" s="38">
        <v>4</v>
      </c>
      <c r="AV577" s="33">
        <v>4</v>
      </c>
      <c r="AW577" s="33">
        <f>Table2[[#This Row],[final_obs_date2]]-Table2[[#This Row],[pen_obs_date]]</f>
        <v>43</v>
      </c>
      <c r="AX577" s="67">
        <v>43</v>
      </c>
      <c r="AY577" s="6">
        <f>Table2[[#This Row],[final_obs_date]]</f>
        <v>43</v>
      </c>
      <c r="AZ577" s="6"/>
      <c r="BA577" s="91" t="s">
        <v>47</v>
      </c>
      <c r="BB577" s="6" t="b">
        <f>Table2[[#This Row],[final_obs_date]]&lt;(Table2[[#This Row],[estHD]]-2)</f>
        <v>1</v>
      </c>
      <c r="BC577" s="24">
        <f>IF(Table2[[#This Row],[field_fate]]="H",1,0)</f>
        <v>0</v>
      </c>
      <c r="BD577" s="16">
        <f>IF(Table2[[#This Row],[cam_fate2]]="H",1,0)</f>
        <v>0</v>
      </c>
      <c r="BE577" s="6" t="b">
        <f>NOT(Table2[[#This Row],[HF_C]]=Table2[[#This Row],[HF]])</f>
        <v>0</v>
      </c>
      <c r="BF577" s="6" t="b">
        <f>NOT(Table2[[#This Row],[cam_fate2]]=Table2[[#This Row],[field_fate3]])</f>
        <v>1</v>
      </c>
      <c r="BG577" s="6" t="b">
        <f>OR(Table2[[#This Row],[field_fate3]]="U",Table2[[#This Row],[field_fate3]]="U-H")</f>
        <v>0</v>
      </c>
      <c r="BH577" s="8">
        <v>31</v>
      </c>
      <c r="BI577" s="8">
        <v>39</v>
      </c>
      <c r="BJ577" s="14">
        <f>IF(ISTEXT(Table2[[#This Row],[j.cam]]),Table2[[#This Row],[j]],Table2[[#This Row],[j.cam]])</f>
        <v>39</v>
      </c>
      <c r="BK577" s="9">
        <v>43</v>
      </c>
      <c r="BL577" s="15">
        <f>IF(ISTEXT(Table2[[#This Row],[k.cam]]), Table2[[#This Row],[k]], Table2[[#This Row],[k.cam]])</f>
        <v>43</v>
      </c>
      <c r="BM577" s="4" t="s">
        <v>24</v>
      </c>
      <c r="BN577" s="8" t="s">
        <v>24</v>
      </c>
      <c r="BO577" s="4">
        <v>4</v>
      </c>
      <c r="BP577" s="4">
        <f>Table2[[#This Row],[final_obs_date]]-Table2[[#This Row],[i]]</f>
        <v>12</v>
      </c>
      <c r="BQ577" s="4" t="b">
        <f>Table2[[#This Row],[final_obs_date2]]&gt;Table2[[#This Row],[estHD]]+3</f>
        <v>0</v>
      </c>
      <c r="BR577" s="4" t="s">
        <v>27</v>
      </c>
      <c r="BS577" s="4" t="s">
        <v>45</v>
      </c>
      <c r="BT577" s="79" t="s">
        <v>1359</v>
      </c>
      <c r="BU577" s="26" t="s">
        <v>384</v>
      </c>
      <c r="BV577" s="79" t="s">
        <v>1666</v>
      </c>
      <c r="BW577" s="49"/>
      <c r="BX577" s="47"/>
      <c r="BY577" s="36" t="s">
        <v>24</v>
      </c>
    </row>
    <row r="578" spans="1:77" hidden="1" x14ac:dyDescent="0.35">
      <c r="A578" s="64">
        <v>30106</v>
      </c>
      <c r="B578" s="2" t="s">
        <v>35</v>
      </c>
      <c r="C578" s="46">
        <v>2021</v>
      </c>
      <c r="D578" s="3">
        <v>29.770769999999999</v>
      </c>
      <c r="E578" s="3">
        <v>-93.178399999999996</v>
      </c>
      <c r="F578" s="3" t="s">
        <v>24</v>
      </c>
      <c r="G578" s="3" t="s">
        <v>24</v>
      </c>
      <c r="H578" s="3" t="s">
        <v>26</v>
      </c>
      <c r="I578" s="43"/>
      <c r="J578" s="55">
        <v>46</v>
      </c>
      <c r="K578" s="4">
        <v>46</v>
      </c>
      <c r="L578" s="22">
        <f>IF(ISNUMBER(Table2[[#This Row],[estHD]]),ABS(Table2[[#This Row],[HD]]-Table2[[#This Row],[estHD]]),"NA")</f>
        <v>0</v>
      </c>
      <c r="M578" s="4" t="b">
        <f>Table2[[#This Row],[HD]]=Table2[[#This Row],[estHD]]</f>
        <v>1</v>
      </c>
      <c r="N578" s="4" t="str">
        <f>IF(ISNUMBER([1]!Table2[[#This Row],[hatch_date]]),[1]!Table2[[#This Row],[hatch_date]]-19,"NA")</f>
        <v>NA</v>
      </c>
      <c r="O578" s="31">
        <v>27</v>
      </c>
      <c r="P578" s="23" t="e">
        <f>IF(ISNUMBER(Table2[[#This Row],[nest_age1]]),ABS(Table2[[#This Row],[nest_age1]]-Table2[[#This Row],[nest_age_feb]]),"NA")</f>
        <v>#VALUE!</v>
      </c>
      <c r="Q578" s="24">
        <f>IF(ISNUMBER(Table2[[#This Row],[final_obs_int2]]),ABS(Table2[[#This Row],[final_obs_int2]]-Table2[[#This Row],[final_obs_int_feb]]), "NA")</f>
        <v>0</v>
      </c>
      <c r="R578" s="24"/>
      <c r="S578" s="57" t="s">
        <v>88</v>
      </c>
      <c r="T578" s="57" t="str">
        <f>Table2[[#This Row],[camera_old]]</f>
        <v>N</v>
      </c>
      <c r="U578" s="24"/>
      <c r="V578" s="16" t="s">
        <v>24</v>
      </c>
      <c r="W578" s="16" t="s">
        <v>24</v>
      </c>
      <c r="X578" s="145">
        <v>5</v>
      </c>
      <c r="Y578" s="147" t="s">
        <v>149</v>
      </c>
      <c r="Z578" s="146" t="s">
        <v>25</v>
      </c>
      <c r="AA578" s="4" t="str">
        <f>Table2[[#This Row],[field_fate]]</f>
        <v>S</v>
      </c>
      <c r="AB578" s="4" t="str">
        <f>Table2[[#This Row],[field_fate2]]</f>
        <v>S</v>
      </c>
      <c r="AC578" s="4" t="str">
        <f>Table2[[#This Row],[field_fate3]]</f>
        <v>S</v>
      </c>
      <c r="AD578" s="4" t="str">
        <f>Table2[[#This Row],[field_fate4]]</f>
        <v>S</v>
      </c>
      <c r="AE578" s="4" t="str">
        <f>Table2[[#This Row],[field_fate5]]</f>
        <v>S</v>
      </c>
      <c r="AF578" s="4" t="str">
        <f>Table2[[#This Row],[field_fate5]]</f>
        <v>S</v>
      </c>
      <c r="AG578" s="4" t="str">
        <f>Table2[[#This Row],[field_fate5]]</f>
        <v>S</v>
      </c>
      <c r="AH578" s="4" t="str">
        <f>Table2[[#This Row],[field_fate2]]</f>
        <v>S</v>
      </c>
      <c r="AI578" s="4" t="str">
        <f>Table2[[#This Row],[field_fate8]]</f>
        <v>S</v>
      </c>
      <c r="AJ578" s="4" t="str">
        <f>Table2[[#This Row],[field_fate10]]</f>
        <v>S</v>
      </c>
      <c r="AK578" s="4" t="b">
        <f>Table2[[#This Row],[field_fate_feb]]=Table2[[#This Row],[field_fate10]]</f>
        <v>0</v>
      </c>
      <c r="AL578" s="43" t="s">
        <v>24</v>
      </c>
      <c r="AM578" s="43" t="b">
        <f>Table2[[#This Row],[cam_fate2]]="NA"</f>
        <v>1</v>
      </c>
      <c r="AN578" s="19" t="str">
        <f>Table2[[#This Row],[cam_fate1]]</f>
        <v>NA</v>
      </c>
      <c r="AO578" s="2" t="s">
        <v>25</v>
      </c>
      <c r="AP578" s="5" t="str">
        <f>Table2[[#This Row],[final_fate1]]</f>
        <v>S</v>
      </c>
      <c r="AQ578" s="6">
        <v>12</v>
      </c>
      <c r="AR578" s="7">
        <v>12</v>
      </c>
      <c r="AS578" s="7">
        <f>Table2[[#This Row],[final_obs_date]]-Table2[[#This Row],[init_date]]</f>
        <v>12</v>
      </c>
      <c r="AT578" s="7">
        <f>(Table2[[#This Row],[final_obs_date2]]-Table2[[#This Row],[estHD]])+16</f>
        <v>9</v>
      </c>
      <c r="AU578" s="38">
        <v>5</v>
      </c>
      <c r="AV578" s="33">
        <v>5</v>
      </c>
      <c r="AW578" s="33">
        <f>Table2[[#This Row],[final_obs_date2]]-Table2[[#This Row],[pen_obs_date]]</f>
        <v>39</v>
      </c>
      <c r="AX578" s="67">
        <v>39</v>
      </c>
      <c r="AY578" s="6">
        <f>Table2[[#This Row],[final_obs_date]]</f>
        <v>39</v>
      </c>
      <c r="AZ578" s="6"/>
      <c r="BA578" s="91" t="s">
        <v>47</v>
      </c>
      <c r="BB578" s="6" t="b">
        <f>Table2[[#This Row],[final_obs_date]]&lt;(Table2[[#This Row],[estHD]]-2)</f>
        <v>1</v>
      </c>
      <c r="BC578" s="24">
        <f>IF(Table2[[#This Row],[field_fate]]="H",1,0)</f>
        <v>0</v>
      </c>
      <c r="BD578" s="16">
        <f>IF(Table2[[#This Row],[cam_fate2]]="H",1,0)</f>
        <v>0</v>
      </c>
      <c r="BE578" s="6" t="b">
        <f>NOT(Table2[[#This Row],[HF_C]]=Table2[[#This Row],[HF]])</f>
        <v>0</v>
      </c>
      <c r="BF578" s="6" t="b">
        <f>NOT(Table2[[#This Row],[cam_fate2]]=Table2[[#This Row],[field_fate3]])</f>
        <v>1</v>
      </c>
      <c r="BG578" s="6" t="b">
        <f>OR(Table2[[#This Row],[field_fate3]]="U",Table2[[#This Row],[field_fate3]]="U-H")</f>
        <v>0</v>
      </c>
      <c r="BH578" s="8">
        <v>34</v>
      </c>
      <c r="BI578" s="8">
        <v>34</v>
      </c>
      <c r="BJ578" s="14">
        <f>IF(ISTEXT(Table2[[#This Row],[j.cam]]),Table2[[#This Row],[j]],Table2[[#This Row],[j.cam]])</f>
        <v>34</v>
      </c>
      <c r="BK578" s="9">
        <v>39</v>
      </c>
      <c r="BL578" s="15">
        <f>IF(ISTEXT(Table2[[#This Row],[k.cam]]), Table2[[#This Row],[k]], Table2[[#This Row],[k.cam]])</f>
        <v>39</v>
      </c>
      <c r="BM578" s="4" t="s">
        <v>24</v>
      </c>
      <c r="BN578" s="8" t="s">
        <v>24</v>
      </c>
      <c r="BO578" s="4">
        <v>2</v>
      </c>
      <c r="BP578" s="4">
        <f>Table2[[#This Row],[final_obs_date]]-Table2[[#This Row],[i]]</f>
        <v>5</v>
      </c>
      <c r="BQ578" s="4" t="b">
        <f>Table2[[#This Row],[final_obs_date2]]&gt;Table2[[#This Row],[estHD]]+3</f>
        <v>0</v>
      </c>
      <c r="BR578" s="4" t="s">
        <v>27</v>
      </c>
      <c r="BS578" s="4" t="s">
        <v>45</v>
      </c>
      <c r="BT578" s="79" t="s">
        <v>1323</v>
      </c>
      <c r="BU578" s="26" t="s">
        <v>183</v>
      </c>
      <c r="BV578" s="79" t="s">
        <v>1464</v>
      </c>
      <c r="BW578" s="49"/>
      <c r="BX578" s="47"/>
      <c r="BY578" s="36" t="s">
        <v>833</v>
      </c>
    </row>
    <row r="579" spans="1:77" hidden="1" x14ac:dyDescent="0.35">
      <c r="A579" s="64">
        <v>30107</v>
      </c>
      <c r="B579" s="2" t="s">
        <v>35</v>
      </c>
      <c r="C579" s="46">
        <v>2021</v>
      </c>
      <c r="D579" s="3">
        <v>29.770630000000001</v>
      </c>
      <c r="E579" s="3">
        <v>-93.177220000000005</v>
      </c>
      <c r="F579" s="3" t="s">
        <v>24</v>
      </c>
      <c r="G579" s="3" t="s">
        <v>24</v>
      </c>
      <c r="H579" s="3" t="s">
        <v>26</v>
      </c>
      <c r="I579" s="43"/>
      <c r="J579" s="55">
        <v>47</v>
      </c>
      <c r="K579" s="4">
        <v>47</v>
      </c>
      <c r="L579" s="22">
        <f>IF(ISNUMBER(Table2[[#This Row],[estHD]]),ABS(Table2[[#This Row],[HD]]-Table2[[#This Row],[estHD]]),"NA")</f>
        <v>0</v>
      </c>
      <c r="M579" s="4" t="b">
        <f>Table2[[#This Row],[HD]]=Table2[[#This Row],[estHD]]</f>
        <v>1</v>
      </c>
      <c r="N579" s="4" t="str">
        <f>IF(ISNUMBER([1]!Table2[[#This Row],[hatch_date]]),[1]!Table2[[#This Row],[hatch_date]]-19,"NA")</f>
        <v>NA</v>
      </c>
      <c r="O579" s="31">
        <v>28</v>
      </c>
      <c r="P579" s="23" t="e">
        <f>IF(ISNUMBER(Table2[[#This Row],[nest_age1]]),ABS(Table2[[#This Row],[nest_age1]]-Table2[[#This Row],[nest_age_feb]]),"NA")</f>
        <v>#VALUE!</v>
      </c>
      <c r="Q579" s="24">
        <f>IF(ISNUMBER(Table2[[#This Row],[final_obs_int2]]),ABS(Table2[[#This Row],[final_obs_int2]]-Table2[[#This Row],[final_obs_int_feb]]), "NA")</f>
        <v>0</v>
      </c>
      <c r="R579" s="24"/>
      <c r="S579" s="57" t="s">
        <v>88</v>
      </c>
      <c r="T579" s="57" t="str">
        <f>Table2[[#This Row],[camera_old]]</f>
        <v>N</v>
      </c>
      <c r="U579" s="24"/>
      <c r="V579" s="16" t="s">
        <v>24</v>
      </c>
      <c r="W579" s="16" t="s">
        <v>24</v>
      </c>
      <c r="X579" s="145">
        <v>5</v>
      </c>
      <c r="Y579" s="147" t="s">
        <v>149</v>
      </c>
      <c r="Z579" s="146" t="s">
        <v>25</v>
      </c>
      <c r="AA579" s="4" t="str">
        <f>Table2[[#This Row],[field_fate]]</f>
        <v>S</v>
      </c>
      <c r="AB579" s="4" t="str">
        <f>Table2[[#This Row],[field_fate2]]</f>
        <v>S</v>
      </c>
      <c r="AC579" s="4" t="str">
        <f>Table2[[#This Row],[field_fate3]]</f>
        <v>S</v>
      </c>
      <c r="AD579" s="4" t="str">
        <f>Table2[[#This Row],[field_fate4]]</f>
        <v>S</v>
      </c>
      <c r="AE579" s="4" t="str">
        <f>Table2[[#This Row],[field_fate5]]</f>
        <v>S</v>
      </c>
      <c r="AF579" s="4" t="str">
        <f>Table2[[#This Row],[field_fate5]]</f>
        <v>S</v>
      </c>
      <c r="AG579" s="4" t="str">
        <f>Table2[[#This Row],[field_fate5]]</f>
        <v>S</v>
      </c>
      <c r="AH579" s="4" t="str">
        <f>Table2[[#This Row],[field_fate2]]</f>
        <v>S</v>
      </c>
      <c r="AI579" s="4" t="str">
        <f>Table2[[#This Row],[field_fate8]]</f>
        <v>S</v>
      </c>
      <c r="AJ579" s="4" t="str">
        <f>Table2[[#This Row],[field_fate10]]</f>
        <v>S</v>
      </c>
      <c r="AK579" s="4" t="b">
        <f>Table2[[#This Row],[field_fate_feb]]=Table2[[#This Row],[field_fate10]]</f>
        <v>0</v>
      </c>
      <c r="AL579" s="43" t="s">
        <v>24</v>
      </c>
      <c r="AM579" s="43" t="b">
        <f>Table2[[#This Row],[cam_fate2]]="NA"</f>
        <v>1</v>
      </c>
      <c r="AN579" s="19" t="str">
        <f>Table2[[#This Row],[cam_fate1]]</f>
        <v>NA</v>
      </c>
      <c r="AO579" s="2" t="s">
        <v>25</v>
      </c>
      <c r="AP579" s="5" t="str">
        <f>Table2[[#This Row],[final_fate1]]</f>
        <v>S</v>
      </c>
      <c r="AQ579" s="6">
        <v>11</v>
      </c>
      <c r="AR579" s="7">
        <v>11</v>
      </c>
      <c r="AS579" s="7">
        <f>Table2[[#This Row],[final_obs_date]]-Table2[[#This Row],[init_date]]</f>
        <v>11</v>
      </c>
      <c r="AT579" s="7">
        <f>(Table2[[#This Row],[final_obs_date2]]-Table2[[#This Row],[estHD]])+16</f>
        <v>8</v>
      </c>
      <c r="AU579" s="38">
        <v>5</v>
      </c>
      <c r="AV579" s="33">
        <v>5</v>
      </c>
      <c r="AW579" s="33">
        <f>Table2[[#This Row],[final_obs_date2]]-Table2[[#This Row],[pen_obs_date]]</f>
        <v>39</v>
      </c>
      <c r="AX579" s="67">
        <v>39</v>
      </c>
      <c r="AY579" s="6">
        <f>Table2[[#This Row],[final_obs_date]]</f>
        <v>39</v>
      </c>
      <c r="AZ579" s="6"/>
      <c r="BA579" s="91" t="s">
        <v>47</v>
      </c>
      <c r="BB579" s="6" t="b">
        <f>Table2[[#This Row],[final_obs_date]]&lt;(Table2[[#This Row],[estHD]]-2)</f>
        <v>1</v>
      </c>
      <c r="BC579" s="24">
        <f>IF(Table2[[#This Row],[field_fate]]="H",1,0)</f>
        <v>0</v>
      </c>
      <c r="BD579" s="16">
        <f>IF(Table2[[#This Row],[cam_fate2]]="H",1,0)</f>
        <v>0</v>
      </c>
      <c r="BE579" s="6" t="b">
        <f>NOT(Table2[[#This Row],[HF_C]]=Table2[[#This Row],[HF]])</f>
        <v>0</v>
      </c>
      <c r="BF579" s="6" t="b">
        <f>NOT(Table2[[#This Row],[cam_fate2]]=Table2[[#This Row],[field_fate3]])</f>
        <v>1</v>
      </c>
      <c r="BG579" s="6" t="b">
        <f>OR(Table2[[#This Row],[field_fate3]]="U",Table2[[#This Row],[field_fate3]]="U-H")</f>
        <v>0</v>
      </c>
      <c r="BH579" s="8">
        <v>34</v>
      </c>
      <c r="BI579" s="8">
        <v>34</v>
      </c>
      <c r="BJ579" s="14">
        <f>IF(ISTEXT(Table2[[#This Row],[j.cam]]),Table2[[#This Row],[j]],Table2[[#This Row],[j.cam]])</f>
        <v>34</v>
      </c>
      <c r="BK579" s="9">
        <v>39</v>
      </c>
      <c r="BL579" s="15">
        <f>IF(ISTEXT(Table2[[#This Row],[k.cam]]), Table2[[#This Row],[k]], Table2[[#This Row],[k.cam]])</f>
        <v>39</v>
      </c>
      <c r="BM579" s="4" t="s">
        <v>24</v>
      </c>
      <c r="BN579" s="8" t="s">
        <v>24</v>
      </c>
      <c r="BO579" s="4">
        <v>2</v>
      </c>
      <c r="BP579" s="4">
        <f>Table2[[#This Row],[final_obs_date]]-Table2[[#This Row],[i]]</f>
        <v>5</v>
      </c>
      <c r="BQ579" s="4" t="b">
        <f>Table2[[#This Row],[final_obs_date2]]&gt;Table2[[#This Row],[estHD]]+3</f>
        <v>0</v>
      </c>
      <c r="BR579" s="4" t="s">
        <v>33</v>
      </c>
      <c r="BS579" s="4" t="s">
        <v>45</v>
      </c>
      <c r="BT579" s="79" t="s">
        <v>1323</v>
      </c>
      <c r="BU579" s="26" t="s">
        <v>87</v>
      </c>
      <c r="BV579" s="79" t="s">
        <v>1464</v>
      </c>
      <c r="BW579" s="49"/>
      <c r="BX579" s="47"/>
      <c r="BY579" s="36" t="s">
        <v>833</v>
      </c>
    </row>
    <row r="580" spans="1:77" hidden="1" x14ac:dyDescent="0.35">
      <c r="A580" s="64">
        <v>30108</v>
      </c>
      <c r="B580" s="2" t="s">
        <v>35</v>
      </c>
      <c r="C580" s="46">
        <v>2021</v>
      </c>
      <c r="D580" s="3">
        <v>29.77045</v>
      </c>
      <c r="E580" s="3">
        <v>-93.176220000000001</v>
      </c>
      <c r="F580" s="3" t="s">
        <v>24</v>
      </c>
      <c r="G580" s="3" t="s">
        <v>24</v>
      </c>
      <c r="H580" s="3" t="s">
        <v>26</v>
      </c>
      <c r="I580" s="43"/>
      <c r="J580" s="55">
        <v>49</v>
      </c>
      <c r="K580" s="4">
        <v>49</v>
      </c>
      <c r="L580" s="22">
        <f>IF(ISNUMBER(Table2[[#This Row],[estHD]]),ABS(Table2[[#This Row],[HD]]-Table2[[#This Row],[estHD]]),"NA")</f>
        <v>0</v>
      </c>
      <c r="M580" s="4" t="b">
        <f>Table2[[#This Row],[HD]]=Table2[[#This Row],[estHD]]</f>
        <v>1</v>
      </c>
      <c r="N580" s="4" t="str">
        <f>IF(ISNUMBER([1]!Table2[[#This Row],[hatch_date]]),[1]!Table2[[#This Row],[hatch_date]]-19,"NA")</f>
        <v>NA</v>
      </c>
      <c r="O580" s="31">
        <v>30</v>
      </c>
      <c r="P580" s="23" t="e">
        <f>IF(ISNUMBER(Table2[[#This Row],[nest_age1]]),ABS(Table2[[#This Row],[nest_age1]]-Table2[[#This Row],[nest_age_feb]]),"NA")</f>
        <v>#VALUE!</v>
      </c>
      <c r="Q580" s="24">
        <f>IF(ISNUMBER(Table2[[#This Row],[final_obs_int2]]),ABS(Table2[[#This Row],[final_obs_int2]]-Table2[[#This Row],[final_obs_int_feb]]), "NA")</f>
        <v>0</v>
      </c>
      <c r="R580" s="24"/>
      <c r="S580" s="57" t="s">
        <v>88</v>
      </c>
      <c r="T580" s="57" t="str">
        <f>Table2[[#This Row],[camera_old]]</f>
        <v>N</v>
      </c>
      <c r="U580" s="24"/>
      <c r="V580" s="16" t="s">
        <v>24</v>
      </c>
      <c r="W580" s="16" t="s">
        <v>24</v>
      </c>
      <c r="X580" s="145">
        <v>5</v>
      </c>
      <c r="Y580" s="147" t="s">
        <v>149</v>
      </c>
      <c r="Z580" s="146" t="s">
        <v>25</v>
      </c>
      <c r="AA580" s="4" t="str">
        <f>Table2[[#This Row],[field_fate]]</f>
        <v>S</v>
      </c>
      <c r="AB580" s="4" t="str">
        <f>Table2[[#This Row],[field_fate2]]</f>
        <v>S</v>
      </c>
      <c r="AC580" s="4" t="str">
        <f>Table2[[#This Row],[field_fate3]]</f>
        <v>S</v>
      </c>
      <c r="AD580" s="4" t="str">
        <f>Table2[[#This Row],[field_fate4]]</f>
        <v>S</v>
      </c>
      <c r="AE580" s="4" t="str">
        <f>Table2[[#This Row],[field_fate5]]</f>
        <v>S</v>
      </c>
      <c r="AF580" s="4" t="str">
        <f>Table2[[#This Row],[field_fate5]]</f>
        <v>S</v>
      </c>
      <c r="AG580" s="4" t="str">
        <f>Table2[[#This Row],[field_fate5]]</f>
        <v>S</v>
      </c>
      <c r="AH580" s="4" t="str">
        <f>Table2[[#This Row],[field_fate2]]</f>
        <v>S</v>
      </c>
      <c r="AI580" s="4" t="str">
        <f>Table2[[#This Row],[field_fate8]]</f>
        <v>S</v>
      </c>
      <c r="AJ580" s="4" t="str">
        <f>Table2[[#This Row],[field_fate10]]</f>
        <v>S</v>
      </c>
      <c r="AK580" s="4" t="b">
        <f>Table2[[#This Row],[field_fate_feb]]=Table2[[#This Row],[field_fate10]]</f>
        <v>0</v>
      </c>
      <c r="AL580" s="43" t="s">
        <v>24</v>
      </c>
      <c r="AM580" s="43" t="b">
        <f>Table2[[#This Row],[cam_fate2]]="NA"</f>
        <v>1</v>
      </c>
      <c r="AN580" s="19" t="str">
        <f>Table2[[#This Row],[cam_fate1]]</f>
        <v>NA</v>
      </c>
      <c r="AO580" s="2" t="s">
        <v>25</v>
      </c>
      <c r="AP580" s="5" t="str">
        <f>Table2[[#This Row],[final_fate1]]</f>
        <v>S</v>
      </c>
      <c r="AQ580" s="6">
        <v>9</v>
      </c>
      <c r="AR580" s="7">
        <v>9</v>
      </c>
      <c r="AS580" s="7">
        <f>Table2[[#This Row],[final_obs_date]]-Table2[[#This Row],[init_date]]</f>
        <v>9</v>
      </c>
      <c r="AT580" s="7">
        <f>(Table2[[#This Row],[final_obs_date2]]-Table2[[#This Row],[estHD]])+16</f>
        <v>6</v>
      </c>
      <c r="AU580" s="38">
        <v>5</v>
      </c>
      <c r="AV580" s="33">
        <v>5</v>
      </c>
      <c r="AW580" s="33">
        <f>Table2[[#This Row],[final_obs_date2]]-Table2[[#This Row],[pen_obs_date]]</f>
        <v>39</v>
      </c>
      <c r="AX580" s="67">
        <v>39</v>
      </c>
      <c r="AY580" s="6">
        <f>Table2[[#This Row],[final_obs_date]]</f>
        <v>39</v>
      </c>
      <c r="AZ580" s="6"/>
      <c r="BA580" s="91" t="s">
        <v>47</v>
      </c>
      <c r="BB580" s="6" t="b">
        <f>Table2[[#This Row],[final_obs_date]]&lt;(Table2[[#This Row],[estHD]]-2)</f>
        <v>1</v>
      </c>
      <c r="BC580" s="24">
        <f>IF(Table2[[#This Row],[field_fate]]="H",1,0)</f>
        <v>0</v>
      </c>
      <c r="BD580" s="16">
        <f>IF(Table2[[#This Row],[cam_fate2]]="H",1,0)</f>
        <v>0</v>
      </c>
      <c r="BE580" s="6" t="b">
        <f>NOT(Table2[[#This Row],[HF_C]]=Table2[[#This Row],[HF]])</f>
        <v>0</v>
      </c>
      <c r="BF580" s="6" t="b">
        <f>NOT(Table2[[#This Row],[cam_fate2]]=Table2[[#This Row],[field_fate3]])</f>
        <v>1</v>
      </c>
      <c r="BG580" s="6" t="b">
        <f>OR(Table2[[#This Row],[field_fate3]]="U",Table2[[#This Row],[field_fate3]]="U-H")</f>
        <v>0</v>
      </c>
      <c r="BH580" s="8">
        <v>34</v>
      </c>
      <c r="BI580" s="8">
        <v>34</v>
      </c>
      <c r="BJ580" s="14">
        <f>IF(ISTEXT(Table2[[#This Row],[j.cam]]),Table2[[#This Row],[j]],Table2[[#This Row],[j.cam]])</f>
        <v>34</v>
      </c>
      <c r="BK580" s="9">
        <v>39</v>
      </c>
      <c r="BL580" s="15">
        <f>IF(ISTEXT(Table2[[#This Row],[k.cam]]), Table2[[#This Row],[k]], Table2[[#This Row],[k.cam]])</f>
        <v>39</v>
      </c>
      <c r="BM580" s="4" t="s">
        <v>24</v>
      </c>
      <c r="BN580" s="8" t="s">
        <v>24</v>
      </c>
      <c r="BO580" s="4">
        <v>2</v>
      </c>
      <c r="BP580" s="4">
        <f>Table2[[#This Row],[final_obs_date]]-Table2[[#This Row],[i]]</f>
        <v>5</v>
      </c>
      <c r="BQ580" s="4" t="b">
        <f>Table2[[#This Row],[final_obs_date2]]&gt;Table2[[#This Row],[estHD]]+3</f>
        <v>0</v>
      </c>
      <c r="BR580" s="4" t="s">
        <v>58</v>
      </c>
      <c r="BS580" s="4" t="s">
        <v>149</v>
      </c>
      <c r="BT580" s="79" t="s">
        <v>1323</v>
      </c>
      <c r="BU580" s="26" t="s">
        <v>385</v>
      </c>
      <c r="BV580" s="79" t="s">
        <v>1464</v>
      </c>
      <c r="BW580" s="49"/>
      <c r="BX580" s="47"/>
      <c r="BY580" s="36" t="s">
        <v>834</v>
      </c>
    </row>
    <row r="581" spans="1:77" hidden="1" x14ac:dyDescent="0.35">
      <c r="A581" s="64">
        <v>30109</v>
      </c>
      <c r="B581" s="2" t="s">
        <v>122</v>
      </c>
      <c r="C581" s="46">
        <v>2021</v>
      </c>
      <c r="D581" s="3">
        <v>29.756039999999999</v>
      </c>
      <c r="E581" s="3">
        <v>-93.108710000000002</v>
      </c>
      <c r="F581" s="3" t="s">
        <v>24</v>
      </c>
      <c r="G581" s="3" t="s">
        <v>24</v>
      </c>
      <c r="H581" s="3" t="s">
        <v>354</v>
      </c>
      <c r="I581" s="43"/>
      <c r="J581" s="55">
        <v>39</v>
      </c>
      <c r="K581" s="4">
        <v>39</v>
      </c>
      <c r="L581" s="22">
        <f>IF(ISNUMBER(Table2[[#This Row],[estHD]]),ABS(Table2[[#This Row],[HD]]-Table2[[#This Row],[estHD]]),"NA")</f>
        <v>0</v>
      </c>
      <c r="M581" s="4" t="b">
        <f>Table2[[#This Row],[HD]]=Table2[[#This Row],[estHD]]</f>
        <v>1</v>
      </c>
      <c r="N581" s="4" t="str">
        <f>IF(ISNUMBER([1]!Table2[[#This Row],[hatch_date]]),[1]!Table2[[#This Row],[hatch_date]]-19,"NA")</f>
        <v>NA</v>
      </c>
      <c r="O581" s="31">
        <v>20</v>
      </c>
      <c r="P581" s="23">
        <f>IF(ISNUMBER(Table2[[#This Row],[nest_age1]]),ABS(Table2[[#This Row],[nest_age1]]-Table2[[#This Row],[nest_age_feb]]),"NA")</f>
        <v>0</v>
      </c>
      <c r="Q581" s="24">
        <f>IF(ISNUMBER(Table2[[#This Row],[final_obs_int2]]),ABS(Table2[[#This Row],[final_obs_int2]]-Table2[[#This Row],[final_obs_int_feb]]), "NA")</f>
        <v>0</v>
      </c>
      <c r="R581" s="24"/>
      <c r="S581" s="57" t="s">
        <v>88</v>
      </c>
      <c r="T581" s="57" t="str">
        <f>Table2[[#This Row],[camera_old]]</f>
        <v>N</v>
      </c>
      <c r="U581" s="24"/>
      <c r="V581" s="16" t="s">
        <v>24</v>
      </c>
      <c r="W581" s="16">
        <v>23</v>
      </c>
      <c r="X581" s="145">
        <v>4</v>
      </c>
      <c r="Y581" s="149" t="s">
        <v>31</v>
      </c>
      <c r="Z581" s="146" t="s">
        <v>31</v>
      </c>
      <c r="AA581" s="4" t="str">
        <f>Table2[[#This Row],[field_fate]]</f>
        <v>D</v>
      </c>
      <c r="AB581" s="4" t="str">
        <f>Table2[[#This Row],[field_fate2]]</f>
        <v>D</v>
      </c>
      <c r="AC581" s="4" t="str">
        <f>Table2[[#This Row],[field_fate3]]</f>
        <v>D</v>
      </c>
      <c r="AD581" s="4" t="str">
        <f>Table2[[#This Row],[field_fate4]]</f>
        <v>D</v>
      </c>
      <c r="AE581" s="4" t="str">
        <f>Table2[[#This Row],[field_fate5]]</f>
        <v>D</v>
      </c>
      <c r="AF581" s="4" t="str">
        <f>Table2[[#This Row],[field_fate5]]</f>
        <v>D</v>
      </c>
      <c r="AG581" s="4" t="str">
        <f>Table2[[#This Row],[field_fate5]]</f>
        <v>D</v>
      </c>
      <c r="AH581" s="4" t="str">
        <f>Table2[[#This Row],[field_fate2]]</f>
        <v>D</v>
      </c>
      <c r="AI581" s="4" t="str">
        <f>Table2[[#This Row],[field_fate8]]</f>
        <v>D</v>
      </c>
      <c r="AJ581" s="4" t="str">
        <f>Table2[[#This Row],[field_fate10]]</f>
        <v>D</v>
      </c>
      <c r="AK581" s="4" t="b">
        <f>Table2[[#This Row],[field_fate_feb]]=Table2[[#This Row],[field_fate10]]</f>
        <v>1</v>
      </c>
      <c r="AL581" s="43" t="s">
        <v>24</v>
      </c>
      <c r="AM581" s="43" t="b">
        <f>Table2[[#This Row],[cam_fate2]]="NA"</f>
        <v>1</v>
      </c>
      <c r="AN581" s="19" t="str">
        <f>Table2[[#This Row],[cam_fate1]]</f>
        <v>NA</v>
      </c>
      <c r="AO581" s="2" t="s">
        <v>31</v>
      </c>
      <c r="AP581" s="5" t="str">
        <f>Table2[[#This Row],[final_fate1]]</f>
        <v>D</v>
      </c>
      <c r="AQ581" s="6">
        <v>23</v>
      </c>
      <c r="AR581" s="7">
        <v>23</v>
      </c>
      <c r="AS581" s="7">
        <f>Table2[[#This Row],[final_obs_date]]-Table2[[#This Row],[init_date]]</f>
        <v>23</v>
      </c>
      <c r="AT581" s="7">
        <f>(Table2[[#This Row],[final_obs_date2]]-Table2[[#This Row],[estHD]])+16</f>
        <v>20</v>
      </c>
      <c r="AU581" s="38">
        <v>4</v>
      </c>
      <c r="AV581" s="33">
        <v>4</v>
      </c>
      <c r="AW581" s="33">
        <f>Table2[[#This Row],[final_obs_date2]]-Table2[[#This Row],[pen_obs_date]]</f>
        <v>43</v>
      </c>
      <c r="AX581" s="67">
        <v>43</v>
      </c>
      <c r="AY581" s="6">
        <f>Table2[[#This Row],[final_obs_date]]</f>
        <v>43</v>
      </c>
      <c r="AZ581" s="6"/>
      <c r="BA581" s="91" t="s">
        <v>47</v>
      </c>
      <c r="BB581" s="6" t="b">
        <f>Table2[[#This Row],[final_obs_date]]&lt;(Table2[[#This Row],[estHD]]-2)</f>
        <v>0</v>
      </c>
      <c r="BC581" s="24">
        <f>IF(Table2[[#This Row],[field_fate]]="H",1,0)</f>
        <v>0</v>
      </c>
      <c r="BD581" s="16">
        <f>IF(Table2[[#This Row],[cam_fate2]]="H",1,0)</f>
        <v>0</v>
      </c>
      <c r="BE581" s="6" t="b">
        <f>NOT(Table2[[#This Row],[HF_C]]=Table2[[#This Row],[HF]])</f>
        <v>0</v>
      </c>
      <c r="BF581" s="6" t="b">
        <f>NOT(Table2[[#This Row],[cam_fate2]]=Table2[[#This Row],[field_fate3]])</f>
        <v>1</v>
      </c>
      <c r="BG581" s="6" t="b">
        <f>OR(Table2[[#This Row],[field_fate3]]="U",Table2[[#This Row],[field_fate3]]="U-H")</f>
        <v>0</v>
      </c>
      <c r="BH581" s="8">
        <v>35</v>
      </c>
      <c r="BI581" s="8">
        <v>39</v>
      </c>
      <c r="BJ581" s="14">
        <f>IF(ISTEXT(Table2[[#This Row],[j.cam]]),Table2[[#This Row],[j]],Table2[[#This Row],[j.cam]])</f>
        <v>39</v>
      </c>
      <c r="BK581" s="9">
        <v>43</v>
      </c>
      <c r="BL581" s="15">
        <f>IF(ISTEXT(Table2[[#This Row],[k.cam]]), Table2[[#This Row],[k]], Table2[[#This Row],[k.cam]])</f>
        <v>43</v>
      </c>
      <c r="BM581" s="4" t="s">
        <v>24</v>
      </c>
      <c r="BN581" s="8" t="s">
        <v>24</v>
      </c>
      <c r="BO581" s="4">
        <v>3</v>
      </c>
      <c r="BP581" s="4">
        <f>Table2[[#This Row],[final_obs_date]]-Table2[[#This Row],[i]]</f>
        <v>8</v>
      </c>
      <c r="BQ581" s="4" t="b">
        <f>Table2[[#This Row],[final_obs_date2]]&gt;Table2[[#This Row],[estHD]]+3</f>
        <v>1</v>
      </c>
      <c r="BR581" s="4" t="s">
        <v>33</v>
      </c>
      <c r="BS581" s="4" t="s">
        <v>45</v>
      </c>
      <c r="BT581" s="79" t="s">
        <v>1326</v>
      </c>
      <c r="BU581" s="26" t="s">
        <v>132</v>
      </c>
      <c r="BV581" s="79" t="s">
        <v>1454</v>
      </c>
      <c r="BW581" s="49"/>
      <c r="BX581" s="47"/>
      <c r="BY581" s="36" t="s">
        <v>24</v>
      </c>
    </row>
    <row r="582" spans="1:77" hidden="1" x14ac:dyDescent="0.35">
      <c r="A582" s="64">
        <v>30110</v>
      </c>
      <c r="B582" s="2" t="s">
        <v>35</v>
      </c>
      <c r="C582" s="46">
        <v>2021</v>
      </c>
      <c r="D582" s="3">
        <v>29.76577</v>
      </c>
      <c r="E582" s="3">
        <v>-93.151899999999998</v>
      </c>
      <c r="F582" s="3">
        <v>0</v>
      </c>
      <c r="G582" s="3">
        <v>0</v>
      </c>
      <c r="H582" s="3" t="s">
        <v>26</v>
      </c>
      <c r="I582" s="43"/>
      <c r="J582" s="55">
        <v>54</v>
      </c>
      <c r="K582" s="4">
        <v>54</v>
      </c>
      <c r="L582" s="22">
        <f>IF(ISNUMBER(Table2[[#This Row],[estHD]]),ABS(Table2[[#This Row],[HD]]-Table2[[#This Row],[estHD]]),"NA")</f>
        <v>0</v>
      </c>
      <c r="M582" s="4" t="b">
        <f>Table2[[#This Row],[HD]]=Table2[[#This Row],[estHD]]</f>
        <v>1</v>
      </c>
      <c r="N582" s="4" t="str">
        <f>IF(ISNUMBER([1]!Table2[[#This Row],[hatch_date]]),[1]!Table2[[#This Row],[hatch_date]]-19,"NA")</f>
        <v>NA</v>
      </c>
      <c r="O582" s="31">
        <v>35</v>
      </c>
      <c r="P582" s="23" t="e">
        <f>IF(ISNUMBER(Table2[[#This Row],[nest_age1]]),ABS(Table2[[#This Row],[nest_age1]]-Table2[[#This Row],[nest_age_feb]]),"NA")</f>
        <v>#VALUE!</v>
      </c>
      <c r="Q582" s="24">
        <f>IF(ISNUMBER(Table2[[#This Row],[final_obs_int2]]),ABS(Table2[[#This Row],[final_obs_int2]]-Table2[[#This Row],[final_obs_int_feb]]), "NA")</f>
        <v>0</v>
      </c>
      <c r="R582" s="24"/>
      <c r="S582" s="57" t="s">
        <v>88</v>
      </c>
      <c r="T582" s="57" t="str">
        <f>Table2[[#This Row],[camera_old]]</f>
        <v>N</v>
      </c>
      <c r="U582" s="24"/>
      <c r="V582" s="16" t="s">
        <v>24</v>
      </c>
      <c r="W582" s="16" t="s">
        <v>24</v>
      </c>
      <c r="X582" s="145">
        <v>8</v>
      </c>
      <c r="Y582" s="147" t="s">
        <v>90</v>
      </c>
      <c r="Z582" s="146" t="s">
        <v>90</v>
      </c>
      <c r="AA582" s="4" t="str">
        <f>Table2[[#This Row],[field_fate]]</f>
        <v>U</v>
      </c>
      <c r="AB582" s="4" t="str">
        <f>Table2[[#This Row],[field_fate2]]</f>
        <v>U</v>
      </c>
      <c r="AC582" s="4" t="str">
        <f>Table2[[#This Row],[field_fate3]]</f>
        <v>U</v>
      </c>
      <c r="AD582" s="4" t="str">
        <f>Table2[[#This Row],[field_fate4]]</f>
        <v>U</v>
      </c>
      <c r="AE582" s="4" t="str">
        <f>Table2[[#This Row],[field_fate5]]</f>
        <v>U</v>
      </c>
      <c r="AF582" s="4" t="str">
        <f>Table2[[#This Row],[field_fate5]]</f>
        <v>U</v>
      </c>
      <c r="AG582" s="4" t="str">
        <f>Table2[[#This Row],[field_fate5]]</f>
        <v>U</v>
      </c>
      <c r="AH582" s="4" t="str">
        <f>Table2[[#This Row],[field_fate2]]</f>
        <v>U</v>
      </c>
      <c r="AI582" s="4" t="str">
        <f>Table2[[#This Row],[field_fate8]]</f>
        <v>U</v>
      </c>
      <c r="AJ582" s="4" t="str">
        <f>Table2[[#This Row],[field_fate10]]</f>
        <v>U</v>
      </c>
      <c r="AK582" s="4" t="b">
        <f>Table2[[#This Row],[field_fate_feb]]=Table2[[#This Row],[field_fate10]]</f>
        <v>1</v>
      </c>
      <c r="AL582" s="43" t="s">
        <v>24</v>
      </c>
      <c r="AM582" s="43" t="b">
        <f>Table2[[#This Row],[cam_fate2]]="NA"</f>
        <v>1</v>
      </c>
      <c r="AN582" s="19" t="str">
        <f>Table2[[#This Row],[cam_fate1]]</f>
        <v>NA</v>
      </c>
      <c r="AO582" s="2" t="s">
        <v>90</v>
      </c>
      <c r="AP582" s="5" t="str">
        <f>Table2[[#This Row],[final_fate1]]</f>
        <v>U</v>
      </c>
      <c r="AQ582" s="6">
        <v>19</v>
      </c>
      <c r="AR582" s="7">
        <v>19</v>
      </c>
      <c r="AS582" s="7">
        <f>Table2[[#This Row],[final_obs_date]]-Table2[[#This Row],[init_date]]</f>
        <v>19</v>
      </c>
      <c r="AT582" s="7">
        <f>(Table2[[#This Row],[final_obs_date2]]-Table2[[#This Row],[estHD]])+16</f>
        <v>16</v>
      </c>
      <c r="AU582" s="38">
        <v>8</v>
      </c>
      <c r="AV582" s="33">
        <v>8</v>
      </c>
      <c r="AW582" s="33">
        <f>Table2[[#This Row],[final_obs_date2]]-Table2[[#This Row],[pen_obs_date]]</f>
        <v>54</v>
      </c>
      <c r="AX582" s="67">
        <v>54</v>
      </c>
      <c r="AY582" s="6">
        <f>Table2[[#This Row],[final_obs_date]]</f>
        <v>54</v>
      </c>
      <c r="AZ582" s="6"/>
      <c r="BA582" s="91" t="s">
        <v>47</v>
      </c>
      <c r="BB582" s="6" t="b">
        <f>Table2[[#This Row],[final_obs_date]]&lt;(Table2[[#This Row],[estHD]]-2)</f>
        <v>0</v>
      </c>
      <c r="BC582" s="24">
        <f>IF(Table2[[#This Row],[field_fate]]="H",1,0)</f>
        <v>0</v>
      </c>
      <c r="BD582" s="16">
        <f>IF(Table2[[#This Row],[cam_fate2]]="H",1,0)</f>
        <v>0</v>
      </c>
      <c r="BE582" s="6" t="b">
        <f>NOT(Table2[[#This Row],[HF_C]]=Table2[[#This Row],[HF]])</f>
        <v>0</v>
      </c>
      <c r="BF582" s="6" t="b">
        <f>NOT(Table2[[#This Row],[cam_fate2]]=Table2[[#This Row],[field_fate3]])</f>
        <v>1</v>
      </c>
      <c r="BG582" s="6" t="b">
        <f>OR(Table2[[#This Row],[field_fate3]]="U",Table2[[#This Row],[field_fate3]]="U-H")</f>
        <v>1</v>
      </c>
      <c r="BH582" s="8">
        <v>42</v>
      </c>
      <c r="BI582" s="8">
        <v>46</v>
      </c>
      <c r="BJ582" s="14">
        <f>IF(ISTEXT(Table2[[#This Row],[j.cam]]),Table2[[#This Row],[j]],Table2[[#This Row],[j.cam]])</f>
        <v>46</v>
      </c>
      <c r="BK582" s="9">
        <v>54</v>
      </c>
      <c r="BL582" s="15">
        <f>IF(ISTEXT(Table2[[#This Row],[k.cam]]), Table2[[#This Row],[k]], Table2[[#This Row],[k.cam]])</f>
        <v>54</v>
      </c>
      <c r="BM582" s="4" t="s">
        <v>24</v>
      </c>
      <c r="BN582" s="8" t="s">
        <v>24</v>
      </c>
      <c r="BO582" s="4">
        <v>3</v>
      </c>
      <c r="BP582" s="4">
        <f>Table2[[#This Row],[final_obs_date]]-Table2[[#This Row],[i]]</f>
        <v>12</v>
      </c>
      <c r="BQ582" s="4" t="b">
        <f>Table2[[#This Row],[final_obs_date2]]&gt;Table2[[#This Row],[estHD]]+3</f>
        <v>0</v>
      </c>
      <c r="BR582" s="4" t="s">
        <v>33</v>
      </c>
      <c r="BS582" s="4" t="s">
        <v>45</v>
      </c>
      <c r="BT582" s="79" t="s">
        <v>1360</v>
      </c>
      <c r="BU582" s="26" t="s">
        <v>132</v>
      </c>
      <c r="BV582" s="79" t="s">
        <v>1657</v>
      </c>
      <c r="BW582" s="49"/>
      <c r="BX582" s="47"/>
      <c r="BY582" s="36" t="s">
        <v>835</v>
      </c>
    </row>
    <row r="583" spans="1:77" hidden="1" x14ac:dyDescent="0.35">
      <c r="A583" s="64">
        <v>30111</v>
      </c>
      <c r="B583" s="2" t="s">
        <v>122</v>
      </c>
      <c r="C583" s="46">
        <v>2021</v>
      </c>
      <c r="D583" s="3">
        <v>29.757459999999998</v>
      </c>
      <c r="E583" s="3">
        <v>-93.114639999999994</v>
      </c>
      <c r="F583" s="3">
        <v>0</v>
      </c>
      <c r="G583" s="3">
        <v>0</v>
      </c>
      <c r="H583" s="3" t="s">
        <v>354</v>
      </c>
      <c r="I583" s="43"/>
      <c r="J583" s="55">
        <v>52</v>
      </c>
      <c r="K583" s="4">
        <v>52</v>
      </c>
      <c r="L583" s="22">
        <f>IF(ISNUMBER(Table2[[#This Row],[estHD]]),ABS(Table2[[#This Row],[HD]]-Table2[[#This Row],[estHD]]),"NA")</f>
        <v>0</v>
      </c>
      <c r="M583" s="4" t="b">
        <f>Table2[[#This Row],[HD]]=Table2[[#This Row],[estHD]]</f>
        <v>1</v>
      </c>
      <c r="N583" s="4" t="str">
        <f>IF(ISNUMBER([1]!Table2[[#This Row],[hatch_date]]),[1]!Table2[[#This Row],[hatch_date]]-19,"NA")</f>
        <v>NA</v>
      </c>
      <c r="O583" s="31">
        <v>33</v>
      </c>
      <c r="P583" s="23" t="e">
        <f>IF(ISNUMBER(Table2[[#This Row],[nest_age1]]),ABS(Table2[[#This Row],[nest_age1]]-Table2[[#This Row],[nest_age_feb]]),"NA")</f>
        <v>#VALUE!</v>
      </c>
      <c r="Q583" s="24">
        <f>IF(ISNUMBER(Table2[[#This Row],[final_obs_int2]]),ABS(Table2[[#This Row],[final_obs_int2]]-Table2[[#This Row],[final_obs_int_feb]]), "NA")</f>
        <v>0</v>
      </c>
      <c r="R583" s="24"/>
      <c r="S583" s="57" t="s">
        <v>88</v>
      </c>
      <c r="T583" s="57" t="str">
        <f>Table2[[#This Row],[camera_old]]</f>
        <v>N</v>
      </c>
      <c r="U583" s="24"/>
      <c r="V583" s="16" t="s">
        <v>24</v>
      </c>
      <c r="W583" s="16" t="s">
        <v>24</v>
      </c>
      <c r="X583" s="145">
        <v>6</v>
      </c>
      <c r="Y583" s="147" t="s">
        <v>90</v>
      </c>
      <c r="Z583" s="146" t="s">
        <v>90</v>
      </c>
      <c r="AA583" s="4" t="str">
        <f>Table2[[#This Row],[field_fate]]</f>
        <v>U</v>
      </c>
      <c r="AB583" s="4" t="str">
        <f>Table2[[#This Row],[field_fate2]]</f>
        <v>U</v>
      </c>
      <c r="AC583" s="4" t="str">
        <f>Table2[[#This Row],[field_fate3]]</f>
        <v>U</v>
      </c>
      <c r="AD583" s="4" t="str">
        <f>Table2[[#This Row],[field_fate4]]</f>
        <v>U</v>
      </c>
      <c r="AE583" s="4" t="str">
        <f>Table2[[#This Row],[field_fate5]]</f>
        <v>U</v>
      </c>
      <c r="AF583" s="4" t="str">
        <f>Table2[[#This Row],[field_fate5]]</f>
        <v>U</v>
      </c>
      <c r="AG583" s="4" t="str">
        <f>Table2[[#This Row],[field_fate5]]</f>
        <v>U</v>
      </c>
      <c r="AH583" s="4" t="str">
        <f>Table2[[#This Row],[field_fate2]]</f>
        <v>U</v>
      </c>
      <c r="AI583" s="4" t="str">
        <f>Table2[[#This Row],[field_fate8]]</f>
        <v>U</v>
      </c>
      <c r="AJ583" s="4" t="str">
        <f>Table2[[#This Row],[field_fate10]]</f>
        <v>U</v>
      </c>
      <c r="AK583" s="4" t="b">
        <f>Table2[[#This Row],[field_fate_feb]]=Table2[[#This Row],[field_fate10]]</f>
        <v>1</v>
      </c>
      <c r="AL583" s="43" t="s">
        <v>24</v>
      </c>
      <c r="AM583" s="43" t="b">
        <f>Table2[[#This Row],[cam_fate2]]="NA"</f>
        <v>1</v>
      </c>
      <c r="AN583" s="19" t="str">
        <f>Table2[[#This Row],[cam_fate1]]</f>
        <v>NA</v>
      </c>
      <c r="AO583" s="2" t="s">
        <v>90</v>
      </c>
      <c r="AP583" s="5" t="str">
        <f>Table2[[#This Row],[final_fate1]]</f>
        <v>U</v>
      </c>
      <c r="AQ583" s="6">
        <v>19</v>
      </c>
      <c r="AR583" s="7">
        <v>19</v>
      </c>
      <c r="AS583" s="7">
        <f>Table2[[#This Row],[final_obs_date]]-Table2[[#This Row],[init_date]]</f>
        <v>19</v>
      </c>
      <c r="AT583" s="7">
        <f>(Table2[[#This Row],[final_obs_date2]]-Table2[[#This Row],[estHD]])+16</f>
        <v>16</v>
      </c>
      <c r="AU583" s="38">
        <v>6</v>
      </c>
      <c r="AV583" s="33">
        <v>6</v>
      </c>
      <c r="AW583" s="33">
        <f>Table2[[#This Row],[final_obs_date2]]-Table2[[#This Row],[pen_obs_date]]</f>
        <v>52</v>
      </c>
      <c r="AX583" s="67">
        <v>52</v>
      </c>
      <c r="AY583" s="6">
        <f>Table2[[#This Row],[final_obs_date]]</f>
        <v>52</v>
      </c>
      <c r="AZ583" s="6"/>
      <c r="BA583" s="91" t="s">
        <v>47</v>
      </c>
      <c r="BB583" s="6" t="b">
        <f>Table2[[#This Row],[final_obs_date]]&lt;(Table2[[#This Row],[estHD]]-2)</f>
        <v>0</v>
      </c>
      <c r="BC583" s="24">
        <f>IF(Table2[[#This Row],[field_fate]]="H",1,0)</f>
        <v>0</v>
      </c>
      <c r="BD583" s="16">
        <f>IF(Table2[[#This Row],[cam_fate2]]="H",1,0)</f>
        <v>0</v>
      </c>
      <c r="BE583" s="6" t="b">
        <f>NOT(Table2[[#This Row],[HF_C]]=Table2[[#This Row],[HF]])</f>
        <v>0</v>
      </c>
      <c r="BF583" s="6" t="b">
        <f>NOT(Table2[[#This Row],[cam_fate2]]=Table2[[#This Row],[field_fate3]])</f>
        <v>1</v>
      </c>
      <c r="BG583" s="6" t="b">
        <f>OR(Table2[[#This Row],[field_fate3]]="U",Table2[[#This Row],[field_fate3]]="U-H")</f>
        <v>1</v>
      </c>
      <c r="BH583" s="8">
        <v>43</v>
      </c>
      <c r="BI583" s="8">
        <v>46</v>
      </c>
      <c r="BJ583" s="14">
        <f>IF(ISTEXT(Table2[[#This Row],[j.cam]]),Table2[[#This Row],[j]],Table2[[#This Row],[j.cam]])</f>
        <v>46</v>
      </c>
      <c r="BK583" s="9">
        <v>52</v>
      </c>
      <c r="BL583" s="15">
        <f>IF(ISTEXT(Table2[[#This Row],[k.cam]]), Table2[[#This Row],[k]], Table2[[#This Row],[k.cam]])</f>
        <v>52</v>
      </c>
      <c r="BM583" s="4" t="s">
        <v>24</v>
      </c>
      <c r="BN583" s="8" t="s">
        <v>24</v>
      </c>
      <c r="BO583" s="4">
        <v>3</v>
      </c>
      <c r="BP583" s="4">
        <f>Table2[[#This Row],[final_obs_date]]-Table2[[#This Row],[i]]</f>
        <v>9</v>
      </c>
      <c r="BQ583" s="4" t="b">
        <f>Table2[[#This Row],[final_obs_date2]]&gt;Table2[[#This Row],[estHD]]+3</f>
        <v>0</v>
      </c>
      <c r="BR583" s="4" t="s">
        <v>33</v>
      </c>
      <c r="BS583" s="4" t="s">
        <v>45</v>
      </c>
      <c r="BT583" s="79" t="s">
        <v>1329</v>
      </c>
      <c r="BU583" s="26" t="s">
        <v>132</v>
      </c>
      <c r="BV583" s="79" t="s">
        <v>1459</v>
      </c>
      <c r="BW583" s="49"/>
      <c r="BX583" s="47"/>
      <c r="BY583" s="36" t="s">
        <v>24</v>
      </c>
    </row>
    <row r="584" spans="1:77" hidden="1" x14ac:dyDescent="0.35">
      <c r="A584" s="64">
        <v>30112</v>
      </c>
      <c r="B584" s="2" t="s">
        <v>35</v>
      </c>
      <c r="C584" s="46">
        <v>2021</v>
      </c>
      <c r="D584" s="3">
        <v>29.7652</v>
      </c>
      <c r="E584" s="3">
        <v>-93.149280000000005</v>
      </c>
      <c r="F584" s="3">
        <v>0</v>
      </c>
      <c r="G584" s="3">
        <v>0</v>
      </c>
      <c r="H584" s="3" t="s">
        <v>26</v>
      </c>
      <c r="I584" s="43"/>
      <c r="J584" s="55">
        <v>64</v>
      </c>
      <c r="K584" s="4">
        <v>64</v>
      </c>
      <c r="L584" s="22">
        <f>IF(ISNUMBER(Table2[[#This Row],[estHD]]),ABS(Table2[[#This Row],[HD]]-Table2[[#This Row],[estHD]]),"NA")</f>
        <v>0</v>
      </c>
      <c r="M584" s="4" t="b">
        <f>Table2[[#This Row],[HD]]=Table2[[#This Row],[estHD]]</f>
        <v>1</v>
      </c>
      <c r="N584" s="4" t="str">
        <f>IF(ISNUMBER([1]!Table2[[#This Row],[hatch_date]]),[1]!Table2[[#This Row],[hatch_date]]-19,"NA")</f>
        <v>NA</v>
      </c>
      <c r="O584" s="31">
        <v>45</v>
      </c>
      <c r="P584" s="23" t="e">
        <f>IF(ISNUMBER(Table2[[#This Row],[nest_age1]]),ABS(Table2[[#This Row],[nest_age1]]-Table2[[#This Row],[nest_age_feb]]),"NA")</f>
        <v>#VALUE!</v>
      </c>
      <c r="Q584" s="24">
        <f>IF(ISNUMBER(Table2[[#This Row],[final_obs_int2]]),ABS(Table2[[#This Row],[final_obs_int2]]-Table2[[#This Row],[final_obs_int_feb]]), "NA")</f>
        <v>0</v>
      </c>
      <c r="R584" s="24"/>
      <c r="S584" s="57" t="s">
        <v>88</v>
      </c>
      <c r="T584" s="57" t="str">
        <f>Table2[[#This Row],[camera_old]]</f>
        <v>N</v>
      </c>
      <c r="U584" s="24"/>
      <c r="V584" s="16" t="s">
        <v>24</v>
      </c>
      <c r="W584" s="16" t="s">
        <v>24</v>
      </c>
      <c r="X584" s="145">
        <v>8</v>
      </c>
      <c r="Y584" s="147" t="s">
        <v>91</v>
      </c>
      <c r="Z584" s="146" t="s">
        <v>91</v>
      </c>
      <c r="AA584" s="4" t="str">
        <f>Table2[[#This Row],[field_fate]]</f>
        <v>Hu</v>
      </c>
      <c r="AB584" s="4" t="str">
        <f>Table2[[#This Row],[field_fate2]]</f>
        <v>Hu</v>
      </c>
      <c r="AC584" s="4" t="str">
        <f>Table2[[#This Row],[field_fate3]]</f>
        <v>Hu</v>
      </c>
      <c r="AD584" s="4" t="str">
        <f>Table2[[#This Row],[field_fate4]]</f>
        <v>Hu</v>
      </c>
      <c r="AE584" s="4" t="str">
        <f>Table2[[#This Row],[field_fate5]]</f>
        <v>Hu</v>
      </c>
      <c r="AF584" s="4" t="str">
        <f>Table2[[#This Row],[field_fate5]]</f>
        <v>Hu</v>
      </c>
      <c r="AG584" s="4" t="str">
        <f>Table2[[#This Row],[field_fate5]]</f>
        <v>Hu</v>
      </c>
      <c r="AH584" s="4" t="str">
        <f>Table2[[#This Row],[field_fate2]]</f>
        <v>Hu</v>
      </c>
      <c r="AI584" s="4" t="str">
        <f>Table2[[#This Row],[field_fate8]]</f>
        <v>Hu</v>
      </c>
      <c r="AJ584" s="4" t="str">
        <f>Table2[[#This Row],[field_fate10]]</f>
        <v>Hu</v>
      </c>
      <c r="AK584" s="4" t="b">
        <f>Table2[[#This Row],[field_fate_feb]]=Table2[[#This Row],[field_fate10]]</f>
        <v>1</v>
      </c>
      <c r="AL584" s="43" t="s">
        <v>24</v>
      </c>
      <c r="AM584" s="43" t="b">
        <f>Table2[[#This Row],[cam_fate2]]="NA"</f>
        <v>1</v>
      </c>
      <c r="AN584" s="19" t="str">
        <f>Table2[[#This Row],[cam_fate1]]</f>
        <v>NA</v>
      </c>
      <c r="AO584" s="2" t="s">
        <v>91</v>
      </c>
      <c r="AP584" s="5" t="str">
        <f>Table2[[#This Row],[final_fate1]]</f>
        <v>Hu</v>
      </c>
      <c r="AQ584" s="6">
        <v>9</v>
      </c>
      <c r="AR584" s="7">
        <v>9</v>
      </c>
      <c r="AS584" s="7">
        <f>Table2[[#This Row],[final_obs_date]]-Table2[[#This Row],[init_date]]</f>
        <v>9</v>
      </c>
      <c r="AT584" s="7">
        <f>(Table2[[#This Row],[final_obs_date2]]-Table2[[#This Row],[estHD]])+16</f>
        <v>6</v>
      </c>
      <c r="AU584" s="38">
        <v>8</v>
      </c>
      <c r="AV584" s="33">
        <v>8</v>
      </c>
      <c r="AW584" s="33">
        <f>Table2[[#This Row],[final_obs_date2]]-Table2[[#This Row],[pen_obs_date]]</f>
        <v>54</v>
      </c>
      <c r="AX584" s="67">
        <v>54</v>
      </c>
      <c r="AY584" s="6">
        <f>Table2[[#This Row],[final_obs_date]]</f>
        <v>54</v>
      </c>
      <c r="AZ584" s="6"/>
      <c r="BA584" s="91" t="s">
        <v>47</v>
      </c>
      <c r="BB584" s="6" t="b">
        <f>Table2[[#This Row],[final_obs_date]]&lt;(Table2[[#This Row],[estHD]]-2)</f>
        <v>1</v>
      </c>
      <c r="BC584" s="24">
        <f>IF(Table2[[#This Row],[field_fate]]="H",1,0)</f>
        <v>0</v>
      </c>
      <c r="BD584" s="16">
        <f>IF(Table2[[#This Row],[cam_fate2]]="H",1,0)</f>
        <v>0</v>
      </c>
      <c r="BE584" s="6" t="b">
        <f>NOT(Table2[[#This Row],[HF_C]]=Table2[[#This Row],[HF]])</f>
        <v>0</v>
      </c>
      <c r="BF584" s="6" t="b">
        <f>NOT(Table2[[#This Row],[cam_fate2]]=Table2[[#This Row],[field_fate3]])</f>
        <v>1</v>
      </c>
      <c r="BG584" s="6" t="b">
        <f>OR(Table2[[#This Row],[field_fate3]]="U",Table2[[#This Row],[field_fate3]]="U-H")</f>
        <v>0</v>
      </c>
      <c r="BH584" s="8">
        <v>46</v>
      </c>
      <c r="BI584" s="8">
        <v>46</v>
      </c>
      <c r="BJ584" s="14">
        <f>IF(ISTEXT(Table2[[#This Row],[j.cam]]),Table2[[#This Row],[j]],Table2[[#This Row],[j.cam]])</f>
        <v>46</v>
      </c>
      <c r="BK584" s="9">
        <v>54</v>
      </c>
      <c r="BL584" s="15">
        <f>IF(ISTEXT(Table2[[#This Row],[k.cam]]), Table2[[#This Row],[k]], Table2[[#This Row],[k.cam]])</f>
        <v>54</v>
      </c>
      <c r="BM584" s="4" t="s">
        <v>24</v>
      </c>
      <c r="BN584" s="8" t="s">
        <v>24</v>
      </c>
      <c r="BO584" s="4">
        <v>2</v>
      </c>
      <c r="BP584" s="4">
        <f>Table2[[#This Row],[final_obs_date]]-Table2[[#This Row],[i]]</f>
        <v>8</v>
      </c>
      <c r="BQ584" s="4" t="b">
        <f>Table2[[#This Row],[final_obs_date2]]&gt;Table2[[#This Row],[estHD]]+3</f>
        <v>0</v>
      </c>
      <c r="BR584" s="4" t="s">
        <v>58</v>
      </c>
      <c r="BS584" s="4" t="s">
        <v>91</v>
      </c>
      <c r="BT584" s="79" t="s">
        <v>1361</v>
      </c>
      <c r="BU584" s="26" t="s">
        <v>375</v>
      </c>
      <c r="BV584" s="79" t="s">
        <v>1427</v>
      </c>
      <c r="BW584" s="49"/>
      <c r="BX584" s="47"/>
      <c r="BY584" s="36" t="s">
        <v>836</v>
      </c>
    </row>
    <row r="585" spans="1:77" hidden="1" x14ac:dyDescent="0.35">
      <c r="A585" s="64">
        <v>30113</v>
      </c>
      <c r="B585" s="2" t="s">
        <v>122</v>
      </c>
      <c r="C585" s="46">
        <v>2021</v>
      </c>
      <c r="D585" s="3">
        <v>29.759229999999999</v>
      </c>
      <c r="E585" s="3">
        <v>-93.121099999999998</v>
      </c>
      <c r="F585" s="3">
        <v>0</v>
      </c>
      <c r="G585" s="3">
        <v>0</v>
      </c>
      <c r="H585" s="3" t="s">
        <v>354</v>
      </c>
      <c r="I585" s="43"/>
      <c r="J585" s="55">
        <v>62</v>
      </c>
      <c r="K585" s="4">
        <v>62</v>
      </c>
      <c r="L585" s="22">
        <f>IF(ISNUMBER(Table2[[#This Row],[estHD]]),ABS(Table2[[#This Row],[HD]]-Table2[[#This Row],[estHD]]),"NA")</f>
        <v>0</v>
      </c>
      <c r="M585" s="4" t="b">
        <f>Table2[[#This Row],[HD]]=Table2[[#This Row],[estHD]]</f>
        <v>1</v>
      </c>
      <c r="N585" s="4" t="str">
        <f>IF(ISNUMBER([1]!Table2[[#This Row],[hatch_date]]),[1]!Table2[[#This Row],[hatch_date]]-19,"NA")</f>
        <v>NA</v>
      </c>
      <c r="O585" s="31">
        <v>43</v>
      </c>
      <c r="P585" s="23">
        <f>IF(ISNUMBER(Table2[[#This Row],[nest_age1]]),ABS(Table2[[#This Row],[nest_age1]]-Table2[[#This Row],[nest_age_feb]]),"NA")</f>
        <v>0</v>
      </c>
      <c r="Q585" s="24">
        <f>IF(ISNUMBER(Table2[[#This Row],[final_obs_int2]]),ABS(Table2[[#This Row],[final_obs_int2]]-Table2[[#This Row],[final_obs_int_feb]]), "NA")</f>
        <v>0</v>
      </c>
      <c r="R585" s="24"/>
      <c r="S585" s="57" t="s">
        <v>88</v>
      </c>
      <c r="T585" s="57" t="str">
        <f>Table2[[#This Row],[camera_old]]</f>
        <v>N</v>
      </c>
      <c r="U585" s="24"/>
      <c r="V585" s="16" t="s">
        <v>24</v>
      </c>
      <c r="W585" s="16">
        <v>9</v>
      </c>
      <c r="X585" s="145">
        <v>6</v>
      </c>
      <c r="Y585" s="147" t="s">
        <v>31</v>
      </c>
      <c r="Z585" s="146" t="s">
        <v>31</v>
      </c>
      <c r="AA585" s="4" t="str">
        <f>Table2[[#This Row],[field_fate]]</f>
        <v>D</v>
      </c>
      <c r="AB585" s="4" t="str">
        <f>Table2[[#This Row],[field_fate2]]</f>
        <v>D</v>
      </c>
      <c r="AC585" s="4" t="str">
        <f>Table2[[#This Row],[field_fate3]]</f>
        <v>D</v>
      </c>
      <c r="AD585" s="4" t="str">
        <f>Table2[[#This Row],[field_fate4]]</f>
        <v>D</v>
      </c>
      <c r="AE585" s="4" t="str">
        <f>Table2[[#This Row],[field_fate5]]</f>
        <v>D</v>
      </c>
      <c r="AF585" s="4" t="str">
        <f>Table2[[#This Row],[field_fate5]]</f>
        <v>D</v>
      </c>
      <c r="AG585" s="4" t="str">
        <f>Table2[[#This Row],[field_fate5]]</f>
        <v>D</v>
      </c>
      <c r="AH585" s="4" t="str">
        <f>Table2[[#This Row],[field_fate2]]</f>
        <v>D</v>
      </c>
      <c r="AI585" s="4" t="str">
        <f>Table2[[#This Row],[field_fate8]]</f>
        <v>D</v>
      </c>
      <c r="AJ585" s="4" t="str">
        <f>Table2[[#This Row],[field_fate10]]</f>
        <v>D</v>
      </c>
      <c r="AK585" s="4" t="b">
        <f>Table2[[#This Row],[field_fate_feb]]=Table2[[#This Row],[field_fate10]]</f>
        <v>1</v>
      </c>
      <c r="AL585" s="43" t="s">
        <v>24</v>
      </c>
      <c r="AM585" s="43" t="b">
        <f>Table2[[#This Row],[cam_fate2]]="NA"</f>
        <v>1</v>
      </c>
      <c r="AN585" s="19" t="str">
        <f>Table2[[#This Row],[cam_fate1]]</f>
        <v>NA</v>
      </c>
      <c r="AO585" s="2" t="s">
        <v>31</v>
      </c>
      <c r="AP585" s="5" t="str">
        <f>Table2[[#This Row],[final_fate1]]</f>
        <v>D</v>
      </c>
      <c r="AQ585" s="6">
        <v>9</v>
      </c>
      <c r="AR585" s="7">
        <v>9</v>
      </c>
      <c r="AS585" s="7">
        <f>Table2[[#This Row],[final_obs_date]]-Table2[[#This Row],[init_date]]</f>
        <v>9</v>
      </c>
      <c r="AT585" s="7">
        <f>(Table2[[#This Row],[final_obs_date2]]-Table2[[#This Row],[estHD]])+16</f>
        <v>6</v>
      </c>
      <c r="AU585" s="38">
        <v>6</v>
      </c>
      <c r="AV585" s="33">
        <v>6</v>
      </c>
      <c r="AW585" s="33">
        <f>Table2[[#This Row],[final_obs_date2]]-Table2[[#This Row],[pen_obs_date]]</f>
        <v>52</v>
      </c>
      <c r="AX585" s="67">
        <v>52</v>
      </c>
      <c r="AY585" s="6">
        <f>Table2[[#This Row],[final_obs_date]]</f>
        <v>52</v>
      </c>
      <c r="AZ585" s="6"/>
      <c r="BA585" s="91" t="s">
        <v>47</v>
      </c>
      <c r="BB585" s="6" t="b">
        <f>Table2[[#This Row],[final_obs_date]]&lt;(Table2[[#This Row],[estHD]]-2)</f>
        <v>1</v>
      </c>
      <c r="BC585" s="24">
        <f>IF(Table2[[#This Row],[field_fate]]="H",1,0)</f>
        <v>0</v>
      </c>
      <c r="BD585" s="16">
        <f>IF(Table2[[#This Row],[cam_fate2]]="H",1,0)</f>
        <v>0</v>
      </c>
      <c r="BE585" s="6" t="b">
        <f>NOT(Table2[[#This Row],[HF_C]]=Table2[[#This Row],[HF]])</f>
        <v>0</v>
      </c>
      <c r="BF585" s="6" t="b">
        <f>NOT(Table2[[#This Row],[cam_fate2]]=Table2[[#This Row],[field_fate3]])</f>
        <v>1</v>
      </c>
      <c r="BG585" s="6" t="b">
        <f>OR(Table2[[#This Row],[field_fate3]]="U",Table2[[#This Row],[field_fate3]]="U-H")</f>
        <v>0</v>
      </c>
      <c r="BH585" s="8">
        <v>46</v>
      </c>
      <c r="BI585" s="8">
        <v>46</v>
      </c>
      <c r="BJ585" s="14">
        <f>IF(ISTEXT(Table2[[#This Row],[j.cam]]),Table2[[#This Row],[j]],Table2[[#This Row],[j.cam]])</f>
        <v>46</v>
      </c>
      <c r="BK585" s="9">
        <v>52</v>
      </c>
      <c r="BL585" s="15">
        <f>IF(ISTEXT(Table2[[#This Row],[k.cam]]), Table2[[#This Row],[k]], Table2[[#This Row],[k.cam]])</f>
        <v>52</v>
      </c>
      <c r="BM585" s="4" t="s">
        <v>24</v>
      </c>
      <c r="BN585" s="8" t="s">
        <v>24</v>
      </c>
      <c r="BO585" s="4">
        <v>2</v>
      </c>
      <c r="BP585" s="4">
        <f>Table2[[#This Row],[final_obs_date]]-Table2[[#This Row],[i]]</f>
        <v>6</v>
      </c>
      <c r="BQ585" s="4" t="b">
        <f>Table2[[#This Row],[final_obs_date2]]&gt;Table2[[#This Row],[estHD]]+3</f>
        <v>0</v>
      </c>
      <c r="BR585" s="4" t="s">
        <v>33</v>
      </c>
      <c r="BS585" s="4" t="s">
        <v>365</v>
      </c>
      <c r="BT585" s="79" t="s">
        <v>1362</v>
      </c>
      <c r="BU585" s="26" t="s">
        <v>369</v>
      </c>
      <c r="BV585" s="79" t="s">
        <v>1437</v>
      </c>
      <c r="BW585" s="49"/>
      <c r="BX585" s="47"/>
      <c r="BY585" s="36" t="s">
        <v>24</v>
      </c>
    </row>
    <row r="586" spans="1:77" hidden="1" x14ac:dyDescent="0.35">
      <c r="A586" s="64">
        <v>30114</v>
      </c>
      <c r="B586" s="2" t="s">
        <v>122</v>
      </c>
      <c r="C586" s="46">
        <v>2021</v>
      </c>
      <c r="D586" s="3">
        <v>29.757760000000001</v>
      </c>
      <c r="E586" s="3">
        <v>-93.115799999999993</v>
      </c>
      <c r="F586" s="3">
        <v>0</v>
      </c>
      <c r="G586" s="3">
        <v>0</v>
      </c>
      <c r="H586" s="3" t="s">
        <v>354</v>
      </c>
      <c r="I586" s="43"/>
      <c r="J586" s="55">
        <v>47</v>
      </c>
      <c r="K586" s="4">
        <v>47</v>
      </c>
      <c r="L586" s="22">
        <f>IF(ISNUMBER(Table2[[#This Row],[estHD]]),ABS(Table2[[#This Row],[HD]]-Table2[[#This Row],[estHD]]),"NA")</f>
        <v>0</v>
      </c>
      <c r="M586" s="4" t="b">
        <f>Table2[[#This Row],[HD]]=Table2[[#This Row],[estHD]]</f>
        <v>1</v>
      </c>
      <c r="N586" s="4" t="str">
        <f>IF(ISNUMBER([1]!Table2[[#This Row],[hatch_date]]),[1]!Table2[[#This Row],[hatch_date]]-19,"NA")</f>
        <v>NA</v>
      </c>
      <c r="O586" s="31">
        <v>28</v>
      </c>
      <c r="P586" s="23" t="e">
        <f>IF(ISNUMBER(Table2[[#This Row],[nest_age1]]),ABS(Table2[[#This Row],[nest_age1]]-Table2[[#This Row],[nest_age_feb]]),"NA")</f>
        <v>#VALUE!</v>
      </c>
      <c r="Q586" s="24">
        <f>IF(ISNUMBER(Table2[[#This Row],[final_obs_int2]]),ABS(Table2[[#This Row],[final_obs_int2]]-Table2[[#This Row],[final_obs_int_feb]]), "NA")</f>
        <v>0</v>
      </c>
      <c r="R586" s="24"/>
      <c r="S586" s="57" t="s">
        <v>88</v>
      </c>
      <c r="T586" s="57" t="str">
        <f>Table2[[#This Row],[camera_old]]</f>
        <v>N</v>
      </c>
      <c r="U586" s="24"/>
      <c r="V586" s="16" t="s">
        <v>24</v>
      </c>
      <c r="W586" s="16" t="s">
        <v>24</v>
      </c>
      <c r="X586" s="145">
        <v>6</v>
      </c>
      <c r="Y586" s="148" t="s">
        <v>90</v>
      </c>
      <c r="Z586" s="146" t="s">
        <v>90</v>
      </c>
      <c r="AA586" s="4" t="str">
        <f>Table2[[#This Row],[field_fate]]</f>
        <v>U</v>
      </c>
      <c r="AB586" s="4" t="str">
        <f>Table2[[#This Row],[field_fate2]]</f>
        <v>U</v>
      </c>
      <c r="AC586" s="4" t="str">
        <f>Table2[[#This Row],[field_fate3]]</f>
        <v>U</v>
      </c>
      <c r="AD586" s="4" t="str">
        <f>Table2[[#This Row],[field_fate4]]</f>
        <v>U</v>
      </c>
      <c r="AE586" s="4" t="str">
        <f>Table2[[#This Row],[field_fate5]]</f>
        <v>U</v>
      </c>
      <c r="AF586" s="4" t="str">
        <f>Table2[[#This Row],[field_fate5]]</f>
        <v>U</v>
      </c>
      <c r="AG586" s="4" t="str">
        <f>Table2[[#This Row],[field_fate5]]</f>
        <v>U</v>
      </c>
      <c r="AH586" s="4" t="str">
        <f>Table2[[#This Row],[field_fate2]]</f>
        <v>U</v>
      </c>
      <c r="AI586" s="4" t="str">
        <f>Table2[[#This Row],[field_fate8]]</f>
        <v>U</v>
      </c>
      <c r="AJ586" s="4" t="str">
        <f>Table2[[#This Row],[field_fate10]]</f>
        <v>U</v>
      </c>
      <c r="AK586" s="4" t="b">
        <f>Table2[[#This Row],[field_fate_feb]]=Table2[[#This Row],[field_fate10]]</f>
        <v>1</v>
      </c>
      <c r="AL586" s="43" t="s">
        <v>24</v>
      </c>
      <c r="AM586" s="43" t="b">
        <f>Table2[[#This Row],[cam_fate2]]="NA"</f>
        <v>1</v>
      </c>
      <c r="AN586" s="19" t="str">
        <f>Table2[[#This Row],[cam_fate1]]</f>
        <v>NA</v>
      </c>
      <c r="AO586" s="2" t="s">
        <v>90</v>
      </c>
      <c r="AP586" s="5" t="str">
        <f>Table2[[#This Row],[final_fate1]]</f>
        <v>U</v>
      </c>
      <c r="AQ586" s="6">
        <v>24</v>
      </c>
      <c r="AR586" s="7">
        <v>24</v>
      </c>
      <c r="AS586" s="7">
        <f>Table2[[#This Row],[final_obs_date]]-Table2[[#This Row],[init_date]]</f>
        <v>24</v>
      </c>
      <c r="AT586" s="7">
        <f>(Table2[[#This Row],[final_obs_date2]]-Table2[[#This Row],[estHD]])+16</f>
        <v>21</v>
      </c>
      <c r="AU586" s="38">
        <v>6</v>
      </c>
      <c r="AV586" s="33">
        <v>6</v>
      </c>
      <c r="AW586" s="33">
        <f>Table2[[#This Row],[final_obs_date2]]-Table2[[#This Row],[pen_obs_date]]</f>
        <v>52</v>
      </c>
      <c r="AX586" s="67">
        <v>52</v>
      </c>
      <c r="AY586" s="6">
        <f>Table2[[#This Row],[final_obs_date]]</f>
        <v>52</v>
      </c>
      <c r="AZ586" s="6"/>
      <c r="BA586" s="91" t="s">
        <v>47</v>
      </c>
      <c r="BB586" s="6" t="b">
        <f>Table2[[#This Row],[final_obs_date]]&lt;(Table2[[#This Row],[estHD]]-2)</f>
        <v>0</v>
      </c>
      <c r="BC586" s="24">
        <f>IF(Table2[[#This Row],[field_fate]]="H",1,0)</f>
        <v>0</v>
      </c>
      <c r="BD586" s="16">
        <f>IF(Table2[[#This Row],[cam_fate2]]="H",1,0)</f>
        <v>0</v>
      </c>
      <c r="BE586" s="6" t="b">
        <f>NOT(Table2[[#This Row],[HF_C]]=Table2[[#This Row],[HF]])</f>
        <v>0</v>
      </c>
      <c r="BF586" s="6" t="b">
        <f>NOT(Table2[[#This Row],[cam_fate2]]=Table2[[#This Row],[field_fate3]])</f>
        <v>1</v>
      </c>
      <c r="BG586" s="6" t="b">
        <f>OR(Table2[[#This Row],[field_fate3]]="U",Table2[[#This Row],[field_fate3]]="U-H")</f>
        <v>1</v>
      </c>
      <c r="BH586" s="8">
        <v>46</v>
      </c>
      <c r="BI586" s="8">
        <v>46</v>
      </c>
      <c r="BJ586" s="14">
        <f>IF(ISTEXT(Table2[[#This Row],[j.cam]]),Table2[[#This Row],[j]],Table2[[#This Row],[j.cam]])</f>
        <v>46</v>
      </c>
      <c r="BK586" s="9">
        <v>52</v>
      </c>
      <c r="BL586" s="15">
        <f>IF(ISTEXT(Table2[[#This Row],[k.cam]]), Table2[[#This Row],[k]], Table2[[#This Row],[k.cam]])</f>
        <v>52</v>
      </c>
      <c r="BM586" s="4" t="s">
        <v>24</v>
      </c>
      <c r="BN586" s="8" t="s">
        <v>24</v>
      </c>
      <c r="BO586" s="4">
        <v>2</v>
      </c>
      <c r="BP586" s="4">
        <f>Table2[[#This Row],[final_obs_date]]-Table2[[#This Row],[i]]</f>
        <v>6</v>
      </c>
      <c r="BQ586" s="4" t="b">
        <f>Table2[[#This Row],[final_obs_date2]]&gt;Table2[[#This Row],[estHD]]+3</f>
        <v>1</v>
      </c>
      <c r="BR586" s="4" t="s">
        <v>123</v>
      </c>
      <c r="BS586" s="4" t="s">
        <v>45</v>
      </c>
      <c r="BT586" s="79" t="s">
        <v>1362</v>
      </c>
      <c r="BU586" s="26" t="s">
        <v>386</v>
      </c>
      <c r="BV586" s="79" t="s">
        <v>1437</v>
      </c>
      <c r="BW586" s="49"/>
      <c r="BX586" s="47"/>
      <c r="BY586" s="36" t="s">
        <v>24</v>
      </c>
    </row>
    <row r="587" spans="1:77" hidden="1" x14ac:dyDescent="0.35">
      <c r="A587" s="64">
        <v>30115</v>
      </c>
      <c r="B587" s="2" t="s">
        <v>122</v>
      </c>
      <c r="C587" s="46">
        <v>2021</v>
      </c>
      <c r="D587" s="3">
        <v>29.756360000000001</v>
      </c>
      <c r="E587" s="3">
        <v>-93.109359999999995</v>
      </c>
      <c r="F587" s="3">
        <v>0</v>
      </c>
      <c r="G587" s="3">
        <v>0</v>
      </c>
      <c r="H587" s="3" t="s">
        <v>354</v>
      </c>
      <c r="I587" s="43"/>
      <c r="J587" s="55">
        <v>61</v>
      </c>
      <c r="K587" s="4">
        <v>61</v>
      </c>
      <c r="L587" s="22">
        <f>IF(ISNUMBER(Table2[[#This Row],[estHD]]),ABS(Table2[[#This Row],[HD]]-Table2[[#This Row],[estHD]]),"NA")</f>
        <v>0</v>
      </c>
      <c r="M587" s="4" t="b">
        <f>Table2[[#This Row],[HD]]=Table2[[#This Row],[estHD]]</f>
        <v>1</v>
      </c>
      <c r="N587" s="4" t="str">
        <f>IF(ISNUMBER([1]!Table2[[#This Row],[hatch_date]]),[1]!Table2[[#This Row],[hatch_date]]-19,"NA")</f>
        <v>NA</v>
      </c>
      <c r="O587" s="31">
        <v>42</v>
      </c>
      <c r="P587" s="23" t="e">
        <f>IF(ISNUMBER(Table2[[#This Row],[nest_age1]]),ABS(Table2[[#This Row],[nest_age1]]-Table2[[#This Row],[nest_age_feb]]),"NA")</f>
        <v>#VALUE!</v>
      </c>
      <c r="Q587" s="24">
        <f>IF(ISNUMBER(Table2[[#This Row],[final_obs_int2]]),ABS(Table2[[#This Row],[final_obs_int2]]-Table2[[#This Row],[final_obs_int_feb]]), "NA")</f>
        <v>0</v>
      </c>
      <c r="R587" s="24"/>
      <c r="S587" s="57" t="s">
        <v>88</v>
      </c>
      <c r="T587" s="57" t="str">
        <f>Table2[[#This Row],[camera_old]]</f>
        <v>N</v>
      </c>
      <c r="U587" s="24"/>
      <c r="V587" s="16" t="s">
        <v>24</v>
      </c>
      <c r="W587" s="16" t="s">
        <v>24</v>
      </c>
      <c r="X587" s="145">
        <v>4</v>
      </c>
      <c r="Y587" s="147" t="s">
        <v>90</v>
      </c>
      <c r="Z587" s="146" t="s">
        <v>104</v>
      </c>
      <c r="AA587" s="4" t="str">
        <f>Table2[[#This Row],[field_fate]]</f>
        <v>U-H</v>
      </c>
      <c r="AB587" s="4" t="str">
        <f>Table2[[#This Row],[field_fate2]]</f>
        <v>U-H</v>
      </c>
      <c r="AC587" s="4" t="str">
        <f>Table2[[#This Row],[field_fate3]]</f>
        <v>U-H</v>
      </c>
      <c r="AD587" s="4" t="str">
        <f>Table2[[#This Row],[field_fate4]]</f>
        <v>U-H</v>
      </c>
      <c r="AE587" s="4" t="str">
        <f>Table2[[#This Row],[field_fate5]]</f>
        <v>U-H</v>
      </c>
      <c r="AF587" s="4" t="str">
        <f>Table2[[#This Row],[field_fate5]]</f>
        <v>U-H</v>
      </c>
      <c r="AG587" s="4" t="str">
        <f>Table2[[#This Row],[field_fate5]]</f>
        <v>U-H</v>
      </c>
      <c r="AH587" s="4" t="str">
        <f>Table2[[#This Row],[field_fate2]]</f>
        <v>U-H</v>
      </c>
      <c r="AI587" s="4" t="str">
        <f>Table2[[#This Row],[field_fate8]]</f>
        <v>U-H</v>
      </c>
      <c r="AJ587" s="4" t="str">
        <f>Table2[[#This Row],[field_fate10]]</f>
        <v>U-H</v>
      </c>
      <c r="AK587" s="4" t="b">
        <f>Table2[[#This Row],[field_fate_feb]]=Table2[[#This Row],[field_fate10]]</f>
        <v>0</v>
      </c>
      <c r="AL587" s="43" t="s">
        <v>24</v>
      </c>
      <c r="AM587" s="43" t="b">
        <f>Table2[[#This Row],[cam_fate2]]="NA"</f>
        <v>1</v>
      </c>
      <c r="AN587" s="19" t="str">
        <f>Table2[[#This Row],[cam_fate1]]</f>
        <v>NA</v>
      </c>
      <c r="AO587" s="2" t="s">
        <v>104</v>
      </c>
      <c r="AP587" s="5" t="str">
        <f>Table2[[#This Row],[final_fate1]]</f>
        <v>U-H</v>
      </c>
      <c r="AQ587" s="6">
        <v>27</v>
      </c>
      <c r="AR587" s="7">
        <v>27</v>
      </c>
      <c r="AS587" s="7">
        <f>Table2[[#This Row],[final_obs_date]]-Table2[[#This Row],[init_date]]</f>
        <v>27</v>
      </c>
      <c r="AT587" s="7">
        <f>(Table2[[#This Row],[final_obs_date2]]-Table2[[#This Row],[estHD]])+16</f>
        <v>24</v>
      </c>
      <c r="AU587" s="38">
        <v>4</v>
      </c>
      <c r="AV587" s="33">
        <v>4</v>
      </c>
      <c r="AW587" s="33">
        <f>Table2[[#This Row],[final_obs_date2]]-Table2[[#This Row],[pen_obs_date]]</f>
        <v>69</v>
      </c>
      <c r="AX587" s="67">
        <v>69</v>
      </c>
      <c r="AY587" s="6">
        <f>Table2[[#This Row],[final_obs_date]]</f>
        <v>69</v>
      </c>
      <c r="AZ587" s="6"/>
      <c r="BA587" s="91" t="s">
        <v>47</v>
      </c>
      <c r="BB587" s="6" t="b">
        <f>Table2[[#This Row],[final_obs_date]]&lt;(Table2[[#This Row],[estHD]]-2)</f>
        <v>0</v>
      </c>
      <c r="BC587" s="24">
        <f>IF(Table2[[#This Row],[field_fate]]="H",1,0)</f>
        <v>0</v>
      </c>
      <c r="BD587" s="16">
        <f>IF(Table2[[#This Row],[cam_fate2]]="H",1,0)</f>
        <v>0</v>
      </c>
      <c r="BE587" s="6" t="b">
        <f>NOT(Table2[[#This Row],[HF_C]]=Table2[[#This Row],[HF]])</f>
        <v>0</v>
      </c>
      <c r="BF587" s="6" t="b">
        <f>NOT(Table2[[#This Row],[cam_fate2]]=Table2[[#This Row],[field_fate3]])</f>
        <v>1</v>
      </c>
      <c r="BG587" s="6" t="b">
        <f>OR(Table2[[#This Row],[field_fate3]]="U",Table2[[#This Row],[field_fate3]]="U-H")</f>
        <v>1</v>
      </c>
      <c r="BH587" s="8">
        <v>46</v>
      </c>
      <c r="BI587" s="8">
        <v>65</v>
      </c>
      <c r="BJ587" s="14">
        <f>IF(ISTEXT(Table2[[#This Row],[j.cam]]),Table2[[#This Row],[j]],Table2[[#This Row],[j.cam]])</f>
        <v>65</v>
      </c>
      <c r="BK587" s="9">
        <v>69</v>
      </c>
      <c r="BL587" s="15">
        <f>IF(ISTEXT(Table2[[#This Row],[k.cam]]), Table2[[#This Row],[k]], Table2[[#This Row],[k.cam]])</f>
        <v>69</v>
      </c>
      <c r="BM587" s="4" t="s">
        <v>24</v>
      </c>
      <c r="BN587" s="8" t="s">
        <v>24</v>
      </c>
      <c r="BO587" s="4">
        <v>6</v>
      </c>
      <c r="BP587" s="4">
        <f>Table2[[#This Row],[final_obs_date]]-Table2[[#This Row],[i]]</f>
        <v>23</v>
      </c>
      <c r="BQ587" s="4" t="b">
        <f>Table2[[#This Row],[final_obs_date2]]&gt;Table2[[#This Row],[estHD]]+3</f>
        <v>1</v>
      </c>
      <c r="BR587" s="4" t="s">
        <v>58</v>
      </c>
      <c r="BS587" s="4" t="s">
        <v>45</v>
      </c>
      <c r="BT587" s="79" t="s">
        <v>1363</v>
      </c>
      <c r="BU587" s="26" t="s">
        <v>328</v>
      </c>
      <c r="BV587" s="79" t="s">
        <v>1667</v>
      </c>
      <c r="BW587" s="49"/>
      <c r="BX587" s="47"/>
      <c r="BY587" s="36" t="s">
        <v>837</v>
      </c>
    </row>
    <row r="588" spans="1:77" hidden="1" x14ac:dyDescent="0.35">
      <c r="A588" s="64">
        <v>30116</v>
      </c>
      <c r="B588" s="2" t="s">
        <v>122</v>
      </c>
      <c r="C588" s="46">
        <v>2021</v>
      </c>
      <c r="D588" s="3">
        <v>29.759440000000001</v>
      </c>
      <c r="E588" s="3">
        <v>-93.121799999999993</v>
      </c>
      <c r="F588" s="3">
        <v>0</v>
      </c>
      <c r="G588" s="3">
        <v>0</v>
      </c>
      <c r="H588" s="3" t="s">
        <v>354</v>
      </c>
      <c r="I588" s="43"/>
      <c r="J588" s="55">
        <v>61</v>
      </c>
      <c r="K588" s="4">
        <v>61</v>
      </c>
      <c r="L588" s="22">
        <f>IF(ISNUMBER(Table2[[#This Row],[estHD]]),ABS(Table2[[#This Row],[HD]]-Table2[[#This Row],[estHD]]),"NA")</f>
        <v>0</v>
      </c>
      <c r="M588" s="4" t="b">
        <f>Table2[[#This Row],[HD]]=Table2[[#This Row],[estHD]]</f>
        <v>1</v>
      </c>
      <c r="N588" s="4" t="str">
        <f>IF(ISNUMBER([1]!Table2[[#This Row],[hatch_date]]),[1]!Table2[[#This Row],[hatch_date]]-19,"NA")</f>
        <v>NA</v>
      </c>
      <c r="O588" s="31">
        <v>42</v>
      </c>
      <c r="P588" s="23">
        <f>IF(ISNUMBER(Table2[[#This Row],[nest_age1]]),ABS(Table2[[#This Row],[nest_age1]]-Table2[[#This Row],[nest_age_feb]]),"NA")</f>
        <v>0</v>
      </c>
      <c r="Q588" s="24">
        <f>IF(ISNUMBER(Table2[[#This Row],[final_obs_int2]]),ABS(Table2[[#This Row],[final_obs_int2]]-Table2[[#This Row],[final_obs_int_feb]]), "NA")</f>
        <v>0</v>
      </c>
      <c r="R588" s="24"/>
      <c r="S588" s="57" t="s">
        <v>88</v>
      </c>
      <c r="T588" s="57" t="str">
        <f>Table2[[#This Row],[camera_old]]</f>
        <v>N</v>
      </c>
      <c r="U588" s="24"/>
      <c r="V588" s="16" t="s">
        <v>24</v>
      </c>
      <c r="W588" s="16">
        <v>15</v>
      </c>
      <c r="X588" s="145">
        <v>5</v>
      </c>
      <c r="Y588" s="149" t="s">
        <v>48</v>
      </c>
      <c r="Z588" s="146" t="s">
        <v>48</v>
      </c>
      <c r="AA588" s="4" t="str">
        <f>Table2[[#This Row],[field_fate]]</f>
        <v>F</v>
      </c>
      <c r="AB588" s="4" t="str">
        <f>Table2[[#This Row],[field_fate2]]</f>
        <v>F</v>
      </c>
      <c r="AC588" s="4" t="str">
        <f>Table2[[#This Row],[field_fate3]]</f>
        <v>F</v>
      </c>
      <c r="AD588" s="4" t="str">
        <f>Table2[[#This Row],[field_fate4]]</f>
        <v>F</v>
      </c>
      <c r="AE588" s="4" t="str">
        <f>Table2[[#This Row],[field_fate5]]</f>
        <v>F</v>
      </c>
      <c r="AF588" s="4" t="str">
        <f>Table2[[#This Row],[field_fate5]]</f>
        <v>F</v>
      </c>
      <c r="AG588" s="4" t="str">
        <f>Table2[[#This Row],[field_fate5]]</f>
        <v>F</v>
      </c>
      <c r="AH588" s="4" t="str">
        <f>Table2[[#This Row],[field_fate2]]</f>
        <v>F</v>
      </c>
      <c r="AI588" s="4" t="str">
        <f>Table2[[#This Row],[field_fate8]]</f>
        <v>F</v>
      </c>
      <c r="AJ588" s="4" t="str">
        <f>Table2[[#This Row],[field_fate10]]</f>
        <v>F</v>
      </c>
      <c r="AK588" s="4" t="b">
        <f>Table2[[#This Row],[field_fate_feb]]=Table2[[#This Row],[field_fate10]]</f>
        <v>1</v>
      </c>
      <c r="AL588" s="43" t="s">
        <v>24</v>
      </c>
      <c r="AM588" s="43" t="b">
        <f>Table2[[#This Row],[cam_fate2]]="NA"</f>
        <v>1</v>
      </c>
      <c r="AN588" s="19" t="str">
        <f>Table2[[#This Row],[cam_fate1]]</f>
        <v>NA</v>
      </c>
      <c r="AO588" s="2" t="s">
        <v>48</v>
      </c>
      <c r="AP588" s="5" t="str">
        <f>Table2[[#This Row],[final_fate1]]</f>
        <v>F</v>
      </c>
      <c r="AQ588" s="6">
        <v>15</v>
      </c>
      <c r="AR588" s="7">
        <v>15</v>
      </c>
      <c r="AS588" s="7">
        <f>Table2[[#This Row],[final_obs_date]]-Table2[[#This Row],[init_date]]</f>
        <v>15</v>
      </c>
      <c r="AT588" s="7">
        <f>(Table2[[#This Row],[final_obs_date2]]-Table2[[#This Row],[estHD]])+16</f>
        <v>12</v>
      </c>
      <c r="AU588" s="38">
        <v>5</v>
      </c>
      <c r="AV588" s="33">
        <v>5</v>
      </c>
      <c r="AW588" s="33">
        <f>Table2[[#This Row],[final_obs_date2]]-Table2[[#This Row],[pen_obs_date]]</f>
        <v>57</v>
      </c>
      <c r="AX588" s="67">
        <v>57</v>
      </c>
      <c r="AY588" s="6">
        <f>Table2[[#This Row],[final_obs_date]]</f>
        <v>57</v>
      </c>
      <c r="AZ588" s="6"/>
      <c r="BA588" s="91" t="s">
        <v>47</v>
      </c>
      <c r="BB588" s="6" t="b">
        <f>Table2[[#This Row],[final_obs_date]]&lt;(Table2[[#This Row],[estHD]]-2)</f>
        <v>1</v>
      </c>
      <c r="BC588" s="24">
        <f>IF(Table2[[#This Row],[field_fate]]="H",1,0)</f>
        <v>0</v>
      </c>
      <c r="BD588" s="16">
        <f>IF(Table2[[#This Row],[cam_fate2]]="H",1,0)</f>
        <v>0</v>
      </c>
      <c r="BE588" s="6" t="b">
        <f>NOT(Table2[[#This Row],[HF_C]]=Table2[[#This Row],[HF]])</f>
        <v>0</v>
      </c>
      <c r="BF588" s="6" t="b">
        <f>NOT(Table2[[#This Row],[cam_fate2]]=Table2[[#This Row],[field_fate3]])</f>
        <v>1</v>
      </c>
      <c r="BG588" s="6" t="b">
        <f>OR(Table2[[#This Row],[field_fate3]]="U",Table2[[#This Row],[field_fate3]]="U-H")</f>
        <v>0</v>
      </c>
      <c r="BH588" s="8">
        <v>52</v>
      </c>
      <c r="BI588" s="8">
        <v>52</v>
      </c>
      <c r="BJ588" s="14">
        <f>IF(ISTEXT(Table2[[#This Row],[j.cam]]),Table2[[#This Row],[j]],Table2[[#This Row],[j.cam]])</f>
        <v>52</v>
      </c>
      <c r="BK588" s="9">
        <v>57</v>
      </c>
      <c r="BL588" s="15">
        <f>IF(ISTEXT(Table2[[#This Row],[k.cam]]), Table2[[#This Row],[k]], Table2[[#This Row],[k.cam]])</f>
        <v>57</v>
      </c>
      <c r="BM588" s="4" t="s">
        <v>24</v>
      </c>
      <c r="BN588" s="8" t="s">
        <v>24</v>
      </c>
      <c r="BO588" s="4">
        <v>2</v>
      </c>
      <c r="BP588" s="4">
        <f>Table2[[#This Row],[final_obs_date]]-Table2[[#This Row],[i]]</f>
        <v>5</v>
      </c>
      <c r="BQ588" s="4" t="b">
        <f>Table2[[#This Row],[final_obs_date2]]&gt;Table2[[#This Row],[estHD]]+3</f>
        <v>0</v>
      </c>
      <c r="BR588" s="4" t="s">
        <v>33</v>
      </c>
      <c r="BS588" s="4" t="s">
        <v>45</v>
      </c>
      <c r="BT588" s="79" t="s">
        <v>1331</v>
      </c>
      <c r="BU588" s="26" t="s">
        <v>87</v>
      </c>
      <c r="BV588" s="79" t="s">
        <v>1464</v>
      </c>
      <c r="BW588" s="49"/>
      <c r="BX588" s="47"/>
      <c r="BY588" s="36" t="s">
        <v>24</v>
      </c>
    </row>
    <row r="589" spans="1:77" hidden="1" x14ac:dyDescent="0.35">
      <c r="A589" s="64">
        <v>30117</v>
      </c>
      <c r="B589" s="2" t="s">
        <v>122</v>
      </c>
      <c r="C589" s="46">
        <v>2021</v>
      </c>
      <c r="D589" s="3">
        <v>29.75714</v>
      </c>
      <c r="E589" s="3">
        <v>-93.112530000000007</v>
      </c>
      <c r="F589" s="3">
        <v>0</v>
      </c>
      <c r="G589" s="3">
        <v>0</v>
      </c>
      <c r="H589" s="3" t="s">
        <v>354</v>
      </c>
      <c r="I589" s="43"/>
      <c r="J589" s="55">
        <v>65</v>
      </c>
      <c r="K589" s="4">
        <v>65</v>
      </c>
      <c r="L589" s="22">
        <f>IF(ISNUMBER(Table2[[#This Row],[estHD]]),ABS(Table2[[#This Row],[HD]]-Table2[[#This Row],[estHD]]),"NA")</f>
        <v>0</v>
      </c>
      <c r="M589" s="4" t="b">
        <f>Table2[[#This Row],[HD]]=Table2[[#This Row],[estHD]]</f>
        <v>1</v>
      </c>
      <c r="N589" s="4" t="str">
        <f>IF(ISNUMBER([1]!Table2[[#This Row],[hatch_date]]),[1]!Table2[[#This Row],[hatch_date]]-19,"NA")</f>
        <v>NA</v>
      </c>
      <c r="O589" s="31">
        <v>46</v>
      </c>
      <c r="P589" s="23">
        <f>IF(ISNUMBER(Table2[[#This Row],[nest_age1]]),ABS(Table2[[#This Row],[nest_age1]]-Table2[[#This Row],[nest_age_feb]]),"NA")</f>
        <v>0</v>
      </c>
      <c r="Q589" s="24">
        <f>IF(ISNUMBER(Table2[[#This Row],[final_obs_int2]]),ABS(Table2[[#This Row],[final_obs_int2]]-Table2[[#This Row],[final_obs_int_feb]]), "NA")</f>
        <v>0</v>
      </c>
      <c r="R589" s="24"/>
      <c r="S589" s="57" t="s">
        <v>88</v>
      </c>
      <c r="T589" s="57" t="str">
        <f>Table2[[#This Row],[camera_old]]</f>
        <v>N</v>
      </c>
      <c r="U589" s="24"/>
      <c r="V589" s="16" t="s">
        <v>24</v>
      </c>
      <c r="W589" s="16">
        <v>11</v>
      </c>
      <c r="X589" s="145">
        <v>5</v>
      </c>
      <c r="Y589" s="147" t="s">
        <v>48</v>
      </c>
      <c r="Z589" s="146" t="s">
        <v>48</v>
      </c>
      <c r="AA589" s="4" t="str">
        <f>Table2[[#This Row],[field_fate]]</f>
        <v>F</v>
      </c>
      <c r="AB589" s="4" t="str">
        <f>Table2[[#This Row],[field_fate2]]</f>
        <v>F</v>
      </c>
      <c r="AC589" s="4" t="str">
        <f>Table2[[#This Row],[field_fate3]]</f>
        <v>F</v>
      </c>
      <c r="AD589" s="4" t="str">
        <f>Table2[[#This Row],[field_fate4]]</f>
        <v>F</v>
      </c>
      <c r="AE589" s="4" t="str">
        <f>Table2[[#This Row],[field_fate5]]</f>
        <v>F</v>
      </c>
      <c r="AF589" s="4" t="str">
        <f>Table2[[#This Row],[field_fate5]]</f>
        <v>F</v>
      </c>
      <c r="AG589" s="4" t="str">
        <f>Table2[[#This Row],[field_fate5]]</f>
        <v>F</v>
      </c>
      <c r="AH589" s="4" t="str">
        <f>Table2[[#This Row],[field_fate2]]</f>
        <v>F</v>
      </c>
      <c r="AI589" s="4" t="str">
        <f>Table2[[#This Row],[field_fate8]]</f>
        <v>F</v>
      </c>
      <c r="AJ589" s="4" t="str">
        <f>Table2[[#This Row],[field_fate10]]</f>
        <v>F</v>
      </c>
      <c r="AK589" s="4" t="b">
        <f>Table2[[#This Row],[field_fate_feb]]=Table2[[#This Row],[field_fate10]]</f>
        <v>1</v>
      </c>
      <c r="AL589" s="43" t="s">
        <v>24</v>
      </c>
      <c r="AM589" s="43" t="b">
        <f>Table2[[#This Row],[cam_fate2]]="NA"</f>
        <v>1</v>
      </c>
      <c r="AN589" s="19" t="str">
        <f>Table2[[#This Row],[cam_fate1]]</f>
        <v>NA</v>
      </c>
      <c r="AO589" s="2" t="s">
        <v>48</v>
      </c>
      <c r="AP589" s="5" t="str">
        <f>Table2[[#This Row],[final_fate1]]</f>
        <v>F</v>
      </c>
      <c r="AQ589" s="6">
        <v>11</v>
      </c>
      <c r="AR589" s="7">
        <v>11</v>
      </c>
      <c r="AS589" s="7">
        <f>Table2[[#This Row],[final_obs_date]]-Table2[[#This Row],[init_date]]</f>
        <v>11</v>
      </c>
      <c r="AT589" s="7">
        <f>(Table2[[#This Row],[final_obs_date2]]-Table2[[#This Row],[estHD]])+16</f>
        <v>8</v>
      </c>
      <c r="AU589" s="38">
        <v>5</v>
      </c>
      <c r="AV589" s="33">
        <v>5</v>
      </c>
      <c r="AW589" s="33">
        <f>Table2[[#This Row],[final_obs_date2]]-Table2[[#This Row],[pen_obs_date]]</f>
        <v>57</v>
      </c>
      <c r="AX589" s="67">
        <v>57</v>
      </c>
      <c r="AY589" s="6">
        <f>Table2[[#This Row],[final_obs_date]]</f>
        <v>57</v>
      </c>
      <c r="AZ589" s="6"/>
      <c r="BA589" s="91" t="s">
        <v>47</v>
      </c>
      <c r="BB589" s="6" t="b">
        <f>Table2[[#This Row],[final_obs_date]]&lt;(Table2[[#This Row],[estHD]]-2)</f>
        <v>1</v>
      </c>
      <c r="BC589" s="24">
        <f>IF(Table2[[#This Row],[field_fate]]="H",1,0)</f>
        <v>0</v>
      </c>
      <c r="BD589" s="16">
        <f>IF(Table2[[#This Row],[cam_fate2]]="H",1,0)</f>
        <v>0</v>
      </c>
      <c r="BE589" s="6" t="b">
        <f>NOT(Table2[[#This Row],[HF_C]]=Table2[[#This Row],[HF]])</f>
        <v>0</v>
      </c>
      <c r="BF589" s="6" t="b">
        <f>NOT(Table2[[#This Row],[cam_fate2]]=Table2[[#This Row],[field_fate3]])</f>
        <v>1</v>
      </c>
      <c r="BG589" s="6" t="b">
        <f>OR(Table2[[#This Row],[field_fate3]]="U",Table2[[#This Row],[field_fate3]]="U-H")</f>
        <v>0</v>
      </c>
      <c r="BH589" s="8">
        <v>52</v>
      </c>
      <c r="BI589" s="8">
        <v>52</v>
      </c>
      <c r="BJ589" s="14">
        <f>IF(ISTEXT(Table2[[#This Row],[j.cam]]),Table2[[#This Row],[j]],Table2[[#This Row],[j.cam]])</f>
        <v>52</v>
      </c>
      <c r="BK589" s="9">
        <v>57</v>
      </c>
      <c r="BL589" s="15">
        <f>IF(ISTEXT(Table2[[#This Row],[k.cam]]), Table2[[#This Row],[k]], Table2[[#This Row],[k.cam]])</f>
        <v>57</v>
      </c>
      <c r="BM589" s="4" t="s">
        <v>24</v>
      </c>
      <c r="BN589" s="8" t="s">
        <v>24</v>
      </c>
      <c r="BO589" s="4">
        <v>2</v>
      </c>
      <c r="BP589" s="4">
        <f>Table2[[#This Row],[final_obs_date]]-Table2[[#This Row],[i]]</f>
        <v>5</v>
      </c>
      <c r="BQ589" s="4" t="b">
        <f>Table2[[#This Row],[final_obs_date2]]&gt;Table2[[#This Row],[estHD]]+3</f>
        <v>0</v>
      </c>
      <c r="BR589" s="4" t="s">
        <v>33</v>
      </c>
      <c r="BS589" s="4" t="s">
        <v>45</v>
      </c>
      <c r="BT589" s="79" t="s">
        <v>1331</v>
      </c>
      <c r="BU589" s="26" t="s">
        <v>87</v>
      </c>
      <c r="BV589" s="79" t="s">
        <v>1464</v>
      </c>
      <c r="BW589" s="49"/>
      <c r="BX589" s="47"/>
      <c r="BY589" s="36" t="s">
        <v>24</v>
      </c>
    </row>
    <row r="590" spans="1:77" hidden="1" x14ac:dyDescent="0.35">
      <c r="A590" s="64">
        <v>30118</v>
      </c>
      <c r="B590" s="2" t="s">
        <v>122</v>
      </c>
      <c r="C590" s="46">
        <v>2021</v>
      </c>
      <c r="D590" s="3">
        <v>29.756550000000001</v>
      </c>
      <c r="E590" s="3">
        <v>-93.110169999999997</v>
      </c>
      <c r="F590" s="3">
        <v>0</v>
      </c>
      <c r="G590" s="3">
        <v>0</v>
      </c>
      <c r="H590" s="3" t="s">
        <v>354</v>
      </c>
      <c r="I590" s="43"/>
      <c r="J590" s="55">
        <v>66</v>
      </c>
      <c r="K590" s="4">
        <v>66</v>
      </c>
      <c r="L590" s="22">
        <f>IF(ISNUMBER(Table2[[#This Row],[estHD]]),ABS(Table2[[#This Row],[HD]]-Table2[[#This Row],[estHD]]),"NA")</f>
        <v>0</v>
      </c>
      <c r="M590" s="4" t="b">
        <f>Table2[[#This Row],[HD]]=Table2[[#This Row],[estHD]]</f>
        <v>1</v>
      </c>
      <c r="N590" s="4" t="str">
        <f>IF(ISNUMBER([1]!Table2[[#This Row],[hatch_date]]),[1]!Table2[[#This Row],[hatch_date]]-19,"NA")</f>
        <v>NA</v>
      </c>
      <c r="O590" s="31">
        <v>47</v>
      </c>
      <c r="P590" s="23">
        <f>IF(ISNUMBER(Table2[[#This Row],[nest_age1]]),ABS(Table2[[#This Row],[nest_age1]]-Table2[[#This Row],[nest_age_feb]]),"NA")</f>
        <v>0</v>
      </c>
      <c r="Q590" s="24">
        <f>IF(ISNUMBER(Table2[[#This Row],[final_obs_int2]]),ABS(Table2[[#This Row],[final_obs_int2]]-Table2[[#This Row],[final_obs_int_feb]]), "NA")</f>
        <v>0</v>
      </c>
      <c r="R590" s="24"/>
      <c r="S590" s="57" t="s">
        <v>88</v>
      </c>
      <c r="T590" s="57" t="str">
        <f>Table2[[#This Row],[camera_old]]</f>
        <v>N</v>
      </c>
      <c r="U590" s="24"/>
      <c r="V590" s="16" t="s">
        <v>24</v>
      </c>
      <c r="W590" s="16">
        <v>10</v>
      </c>
      <c r="X590" s="145">
        <v>5</v>
      </c>
      <c r="Y590" s="148" t="s">
        <v>48</v>
      </c>
      <c r="Z590" s="146" t="s">
        <v>48</v>
      </c>
      <c r="AA590" s="4" t="str">
        <f>Table2[[#This Row],[field_fate]]</f>
        <v>F</v>
      </c>
      <c r="AB590" s="4" t="str">
        <f>Table2[[#This Row],[field_fate2]]</f>
        <v>F</v>
      </c>
      <c r="AC590" s="4" t="str">
        <f>Table2[[#This Row],[field_fate3]]</f>
        <v>F</v>
      </c>
      <c r="AD590" s="4" t="str">
        <f>Table2[[#This Row],[field_fate4]]</f>
        <v>F</v>
      </c>
      <c r="AE590" s="4" t="str">
        <f>Table2[[#This Row],[field_fate5]]</f>
        <v>F</v>
      </c>
      <c r="AF590" s="4" t="str">
        <f>Table2[[#This Row],[field_fate5]]</f>
        <v>F</v>
      </c>
      <c r="AG590" s="4" t="str">
        <f>Table2[[#This Row],[field_fate5]]</f>
        <v>F</v>
      </c>
      <c r="AH590" s="4" t="str">
        <f>Table2[[#This Row],[field_fate2]]</f>
        <v>F</v>
      </c>
      <c r="AI590" s="4" t="str">
        <f>Table2[[#This Row],[field_fate8]]</f>
        <v>F</v>
      </c>
      <c r="AJ590" s="4" t="str">
        <f>Table2[[#This Row],[field_fate10]]</f>
        <v>F</v>
      </c>
      <c r="AK590" s="4" t="b">
        <f>Table2[[#This Row],[field_fate_feb]]=Table2[[#This Row],[field_fate10]]</f>
        <v>1</v>
      </c>
      <c r="AL590" s="43" t="s">
        <v>24</v>
      </c>
      <c r="AM590" s="43" t="b">
        <f>Table2[[#This Row],[cam_fate2]]="NA"</f>
        <v>1</v>
      </c>
      <c r="AN590" s="19" t="str">
        <f>Table2[[#This Row],[cam_fate1]]</f>
        <v>NA</v>
      </c>
      <c r="AO590" s="2" t="s">
        <v>48</v>
      </c>
      <c r="AP590" s="5" t="str">
        <f>Table2[[#This Row],[final_fate1]]</f>
        <v>F</v>
      </c>
      <c r="AQ590" s="6">
        <v>10</v>
      </c>
      <c r="AR590" s="7">
        <v>10</v>
      </c>
      <c r="AS590" s="7">
        <f>Table2[[#This Row],[final_obs_date]]-Table2[[#This Row],[init_date]]</f>
        <v>10</v>
      </c>
      <c r="AT590" s="7">
        <f>(Table2[[#This Row],[final_obs_date2]]-Table2[[#This Row],[estHD]])+16</f>
        <v>7</v>
      </c>
      <c r="AU590" s="38">
        <v>5</v>
      </c>
      <c r="AV590" s="33">
        <v>5</v>
      </c>
      <c r="AW590" s="33">
        <f>Table2[[#This Row],[final_obs_date2]]-Table2[[#This Row],[pen_obs_date]]</f>
        <v>57</v>
      </c>
      <c r="AX590" s="67">
        <v>57</v>
      </c>
      <c r="AY590" s="6">
        <f>Table2[[#This Row],[final_obs_date]]</f>
        <v>57</v>
      </c>
      <c r="AZ590" s="6"/>
      <c r="BA590" s="91" t="s">
        <v>47</v>
      </c>
      <c r="BB590" s="6" t="b">
        <f>Table2[[#This Row],[final_obs_date]]&lt;(Table2[[#This Row],[estHD]]-2)</f>
        <v>1</v>
      </c>
      <c r="BC590" s="24">
        <f>IF(Table2[[#This Row],[field_fate]]="H",1,0)</f>
        <v>0</v>
      </c>
      <c r="BD590" s="16">
        <f>IF(Table2[[#This Row],[cam_fate2]]="H",1,0)</f>
        <v>0</v>
      </c>
      <c r="BE590" s="6" t="b">
        <f>NOT(Table2[[#This Row],[HF_C]]=Table2[[#This Row],[HF]])</f>
        <v>0</v>
      </c>
      <c r="BF590" s="6" t="b">
        <f>NOT(Table2[[#This Row],[cam_fate2]]=Table2[[#This Row],[field_fate3]])</f>
        <v>1</v>
      </c>
      <c r="BG590" s="6" t="b">
        <f>OR(Table2[[#This Row],[field_fate3]]="U",Table2[[#This Row],[field_fate3]]="U-H")</f>
        <v>0</v>
      </c>
      <c r="BH590" s="8">
        <v>52</v>
      </c>
      <c r="BI590" s="8">
        <v>52</v>
      </c>
      <c r="BJ590" s="14">
        <f>IF(ISTEXT(Table2[[#This Row],[j.cam]]),Table2[[#This Row],[j]],Table2[[#This Row],[j.cam]])</f>
        <v>52</v>
      </c>
      <c r="BK590" s="9">
        <v>57</v>
      </c>
      <c r="BL590" s="15">
        <f>IF(ISTEXT(Table2[[#This Row],[k.cam]]), Table2[[#This Row],[k]], Table2[[#This Row],[k.cam]])</f>
        <v>57</v>
      </c>
      <c r="BM590" s="4" t="s">
        <v>24</v>
      </c>
      <c r="BN590" s="8" t="s">
        <v>24</v>
      </c>
      <c r="BO590" s="4">
        <v>2</v>
      </c>
      <c r="BP590" s="4">
        <f>Table2[[#This Row],[final_obs_date]]-Table2[[#This Row],[i]]</f>
        <v>5</v>
      </c>
      <c r="BQ590" s="4" t="b">
        <f>Table2[[#This Row],[final_obs_date2]]&gt;Table2[[#This Row],[estHD]]+3</f>
        <v>0</v>
      </c>
      <c r="BR590" s="4" t="s">
        <v>33</v>
      </c>
      <c r="BS590" s="4" t="s">
        <v>45</v>
      </c>
      <c r="BT590" s="79" t="s">
        <v>1331</v>
      </c>
      <c r="BU590" s="26" t="s">
        <v>87</v>
      </c>
      <c r="BV590" s="79" t="s">
        <v>1464</v>
      </c>
      <c r="BW590" s="49"/>
      <c r="BX590" s="47"/>
      <c r="BY590" s="36" t="s">
        <v>24</v>
      </c>
    </row>
    <row r="591" spans="1:77" hidden="1" x14ac:dyDescent="0.35">
      <c r="A591" s="64">
        <v>30119</v>
      </c>
      <c r="B591" s="2" t="s">
        <v>122</v>
      </c>
      <c r="C591" s="46">
        <v>2021</v>
      </c>
      <c r="D591" s="3">
        <v>29.755669999999999</v>
      </c>
      <c r="E591" s="3">
        <v>-93.107020000000006</v>
      </c>
      <c r="F591" s="3">
        <v>0</v>
      </c>
      <c r="G591" s="3">
        <v>0</v>
      </c>
      <c r="H591" s="3" t="s">
        <v>354</v>
      </c>
      <c r="I591" s="43"/>
      <c r="J591" s="55">
        <v>56</v>
      </c>
      <c r="K591" s="4">
        <v>56</v>
      </c>
      <c r="L591" s="22">
        <f>IF(ISNUMBER(Table2[[#This Row],[estHD]]),ABS(Table2[[#This Row],[HD]]-Table2[[#This Row],[estHD]]),"NA")</f>
        <v>0</v>
      </c>
      <c r="M591" s="4" t="b">
        <f>Table2[[#This Row],[HD]]=Table2[[#This Row],[estHD]]</f>
        <v>1</v>
      </c>
      <c r="N591" s="4" t="str">
        <f>IF(ISNUMBER([1]!Table2[[#This Row],[hatch_date]]),[1]!Table2[[#This Row],[hatch_date]]-19,"NA")</f>
        <v>NA</v>
      </c>
      <c r="O591" s="31">
        <v>37</v>
      </c>
      <c r="P591" s="23" t="e">
        <f>IF(ISNUMBER(Table2[[#This Row],[nest_age1]]),ABS(Table2[[#This Row],[nest_age1]]-Table2[[#This Row],[nest_age_feb]]),"NA")</f>
        <v>#VALUE!</v>
      </c>
      <c r="Q591" s="24">
        <f>IF(ISNUMBER(Table2[[#This Row],[final_obs_int2]]),ABS(Table2[[#This Row],[final_obs_int2]]-Table2[[#This Row],[final_obs_int_feb]]), "NA")</f>
        <v>0</v>
      </c>
      <c r="R591" s="24"/>
      <c r="S591" s="57" t="s">
        <v>88</v>
      </c>
      <c r="T591" s="57" t="str">
        <f>Table2[[#This Row],[camera_old]]</f>
        <v>N</v>
      </c>
      <c r="U591" s="24"/>
      <c r="V591" s="16" t="s">
        <v>24</v>
      </c>
      <c r="W591" s="16" t="s">
        <v>24</v>
      </c>
      <c r="X591" s="145">
        <v>9</v>
      </c>
      <c r="Y591" s="147" t="s">
        <v>90</v>
      </c>
      <c r="Z591" s="146" t="s">
        <v>98</v>
      </c>
      <c r="AA591" s="4" t="str">
        <f>Table2[[#This Row],[field_fate]]</f>
        <v>U-D</v>
      </c>
      <c r="AB591" s="4" t="str">
        <f>Table2[[#This Row],[field_fate2]]</f>
        <v>U-D</v>
      </c>
      <c r="AC591" s="4" t="str">
        <f>Table2[[#This Row],[field_fate3]]</f>
        <v>U-D</v>
      </c>
      <c r="AD591" s="4" t="str">
        <f>Table2[[#This Row],[field_fate4]]</f>
        <v>U-D</v>
      </c>
      <c r="AE591" s="4" t="str">
        <f>Table2[[#This Row],[field_fate5]]</f>
        <v>U-D</v>
      </c>
      <c r="AF591" s="4" t="str">
        <f>Table2[[#This Row],[field_fate5]]</f>
        <v>U-D</v>
      </c>
      <c r="AG591" s="4" t="str">
        <f>Table2[[#This Row],[field_fate5]]</f>
        <v>U-D</v>
      </c>
      <c r="AH591" s="4" t="str">
        <f>Table2[[#This Row],[field_fate2]]</f>
        <v>U-D</v>
      </c>
      <c r="AI591" s="4" t="str">
        <f>Table2[[#This Row],[field_fate8]]</f>
        <v>U-D</v>
      </c>
      <c r="AJ591" s="4" t="str">
        <f>Table2[[#This Row],[field_fate10]]</f>
        <v>U-D</v>
      </c>
      <c r="AK591" s="4" t="b">
        <f>Table2[[#This Row],[field_fate_feb]]=Table2[[#This Row],[field_fate10]]</f>
        <v>0</v>
      </c>
      <c r="AL591" s="43" t="s">
        <v>24</v>
      </c>
      <c r="AM591" s="43" t="b">
        <f>Table2[[#This Row],[cam_fate2]]="NA"</f>
        <v>1</v>
      </c>
      <c r="AN591" s="19" t="str">
        <f>Table2[[#This Row],[cam_fate1]]</f>
        <v>NA</v>
      </c>
      <c r="AO591" s="2" t="s">
        <v>98</v>
      </c>
      <c r="AP591" s="5" t="str">
        <f>Table2[[#This Row],[final_fate1]]</f>
        <v>U-D</v>
      </c>
      <c r="AQ591" s="6">
        <v>24</v>
      </c>
      <c r="AR591" s="7">
        <v>24</v>
      </c>
      <c r="AS591" s="7">
        <f>Table2[[#This Row],[final_obs_date]]-Table2[[#This Row],[init_date]]</f>
        <v>24</v>
      </c>
      <c r="AT591" s="7">
        <f>(Table2[[#This Row],[final_obs_date2]]-Table2[[#This Row],[estHD]])+16</f>
        <v>21</v>
      </c>
      <c r="AU591" s="38">
        <v>9</v>
      </c>
      <c r="AV591" s="33">
        <v>9</v>
      </c>
      <c r="AW591" s="33">
        <f>Table2[[#This Row],[final_obs_date2]]-Table2[[#This Row],[pen_obs_date]]</f>
        <v>61</v>
      </c>
      <c r="AX591" s="67">
        <v>61</v>
      </c>
      <c r="AY591" s="6">
        <f>Table2[[#This Row],[final_obs_date]]</f>
        <v>61</v>
      </c>
      <c r="AZ591" s="6"/>
      <c r="BA591" s="91" t="s">
        <v>47</v>
      </c>
      <c r="BB591" s="6" t="b">
        <f>Table2[[#This Row],[final_obs_date]]&lt;(Table2[[#This Row],[estHD]]-2)</f>
        <v>0</v>
      </c>
      <c r="BC591" s="24">
        <f>IF(Table2[[#This Row],[field_fate]]="H",1,0)</f>
        <v>0</v>
      </c>
      <c r="BD591" s="16">
        <f>IF(Table2[[#This Row],[cam_fate2]]="H",1,0)</f>
        <v>0</v>
      </c>
      <c r="BE591" s="6" t="b">
        <f>NOT(Table2[[#This Row],[HF_C]]=Table2[[#This Row],[HF]])</f>
        <v>0</v>
      </c>
      <c r="BF591" s="6" t="b">
        <f>NOT(Table2[[#This Row],[cam_fate2]]=Table2[[#This Row],[field_fate3]])</f>
        <v>1</v>
      </c>
      <c r="BG591" s="6" t="b">
        <f>OR(Table2[[#This Row],[field_fate3]]="U",Table2[[#This Row],[field_fate3]]="U-H")</f>
        <v>0</v>
      </c>
      <c r="BH591" s="8">
        <v>52</v>
      </c>
      <c r="BI591" s="8">
        <v>52</v>
      </c>
      <c r="BJ591" s="14">
        <f>IF(ISTEXT(Table2[[#This Row],[j.cam]]),Table2[[#This Row],[j]],Table2[[#This Row],[j.cam]])</f>
        <v>52</v>
      </c>
      <c r="BK591" s="9">
        <v>61</v>
      </c>
      <c r="BL591" s="15">
        <f>IF(ISTEXT(Table2[[#This Row],[k.cam]]), Table2[[#This Row],[k]], Table2[[#This Row],[k.cam]])</f>
        <v>61</v>
      </c>
      <c r="BM591" s="4" t="s">
        <v>24</v>
      </c>
      <c r="BN591" s="8" t="s">
        <v>24</v>
      </c>
      <c r="BO591" s="4">
        <v>2</v>
      </c>
      <c r="BP591" s="4">
        <f>Table2[[#This Row],[final_obs_date]]-Table2[[#This Row],[i]]</f>
        <v>9</v>
      </c>
      <c r="BQ591" s="4" t="b">
        <f>Table2[[#This Row],[final_obs_date2]]&gt;Table2[[#This Row],[estHD]]+3</f>
        <v>1</v>
      </c>
      <c r="BR591" s="4" t="s">
        <v>33</v>
      </c>
      <c r="BS591" s="4" t="s">
        <v>45</v>
      </c>
      <c r="BT591" s="79" t="s">
        <v>1364</v>
      </c>
      <c r="BU591" s="26" t="s">
        <v>87</v>
      </c>
      <c r="BV591" s="79" t="s">
        <v>1457</v>
      </c>
      <c r="BW591" s="49"/>
      <c r="BX591" s="47"/>
      <c r="BY591" s="36" t="s">
        <v>838</v>
      </c>
    </row>
    <row r="592" spans="1:77" hidden="1" x14ac:dyDescent="0.35">
      <c r="A592" s="64">
        <v>30120</v>
      </c>
      <c r="B592" s="2" t="s">
        <v>35</v>
      </c>
      <c r="C592" s="46">
        <v>2021</v>
      </c>
      <c r="D592" s="3">
        <v>29.76399</v>
      </c>
      <c r="E592" s="3">
        <v>-93.144009999999994</v>
      </c>
      <c r="F592" s="3">
        <v>0</v>
      </c>
      <c r="G592" s="3">
        <v>0</v>
      </c>
      <c r="H592" s="3" t="s">
        <v>26</v>
      </c>
      <c r="I592" s="43"/>
      <c r="J592" s="55">
        <v>57</v>
      </c>
      <c r="K592" s="4">
        <v>57</v>
      </c>
      <c r="L592" s="22">
        <f>IF(ISNUMBER(Table2[[#This Row],[estHD]]),ABS(Table2[[#This Row],[HD]]-Table2[[#This Row],[estHD]]),"NA")</f>
        <v>0</v>
      </c>
      <c r="M592" s="4" t="b">
        <f>Table2[[#This Row],[HD]]=Table2[[#This Row],[estHD]]</f>
        <v>1</v>
      </c>
      <c r="N592" s="4" t="str">
        <f>IF(ISNUMBER([1]!Table2[[#This Row],[hatch_date]]),[1]!Table2[[#This Row],[hatch_date]]-19,"NA")</f>
        <v>NA</v>
      </c>
      <c r="O592" s="31">
        <v>38</v>
      </c>
      <c r="P592" s="23" t="e">
        <f>IF(ISNUMBER(Table2[[#This Row],[nest_age1]]),ABS(Table2[[#This Row],[nest_age1]]-Table2[[#This Row],[nest_age_feb]]),"NA")</f>
        <v>#VALUE!</v>
      </c>
      <c r="Q592" s="24">
        <f>IF(ISNUMBER(Table2[[#This Row],[final_obs_int2]]),ABS(Table2[[#This Row],[final_obs_int2]]-Table2[[#This Row],[final_obs_int_feb]]), "NA")</f>
        <v>0</v>
      </c>
      <c r="R592" s="24"/>
      <c r="S592" s="57" t="s">
        <v>88</v>
      </c>
      <c r="T592" s="57" t="str">
        <f>Table2[[#This Row],[camera_old]]</f>
        <v>N</v>
      </c>
      <c r="U592" s="24"/>
      <c r="V592" s="16" t="s">
        <v>24</v>
      </c>
      <c r="W592" s="16" t="s">
        <v>24</v>
      </c>
      <c r="X592" s="145">
        <v>4</v>
      </c>
      <c r="Y592" s="147" t="s">
        <v>90</v>
      </c>
      <c r="Z592" s="146" t="s">
        <v>104</v>
      </c>
      <c r="AA592" s="4" t="str">
        <f>Table2[[#This Row],[field_fate]]</f>
        <v>U-H</v>
      </c>
      <c r="AB592" s="4" t="str">
        <f>Table2[[#This Row],[field_fate2]]</f>
        <v>U-H</v>
      </c>
      <c r="AC592" s="4" t="str">
        <f>Table2[[#This Row],[field_fate3]]</f>
        <v>U-H</v>
      </c>
      <c r="AD592" s="4" t="str">
        <f>Table2[[#This Row],[field_fate4]]</f>
        <v>U-H</v>
      </c>
      <c r="AE592" s="4" t="str">
        <f>Table2[[#This Row],[field_fate5]]</f>
        <v>U-H</v>
      </c>
      <c r="AF592" s="4" t="str">
        <f>Table2[[#This Row],[field_fate5]]</f>
        <v>U-H</v>
      </c>
      <c r="AG592" s="4" t="str">
        <f>Table2[[#This Row],[field_fate5]]</f>
        <v>U-H</v>
      </c>
      <c r="AH592" s="4" t="str">
        <f>Table2[[#This Row],[field_fate2]]</f>
        <v>U-H</v>
      </c>
      <c r="AI592" s="4" t="str">
        <f>Table2[[#This Row],[field_fate8]]</f>
        <v>U-H</v>
      </c>
      <c r="AJ592" s="4" t="str">
        <f>Table2[[#This Row],[field_fate10]]</f>
        <v>U-H</v>
      </c>
      <c r="AK592" s="4" t="b">
        <f>Table2[[#This Row],[field_fate_feb]]=Table2[[#This Row],[field_fate10]]</f>
        <v>0</v>
      </c>
      <c r="AL592" s="43" t="s">
        <v>24</v>
      </c>
      <c r="AM592" s="43" t="b">
        <f>Table2[[#This Row],[cam_fate2]]="NA"</f>
        <v>1</v>
      </c>
      <c r="AN592" s="19" t="str">
        <f>Table2[[#This Row],[cam_fate1]]</f>
        <v>NA</v>
      </c>
      <c r="AO592" s="2" t="s">
        <v>104</v>
      </c>
      <c r="AP592" s="5" t="str">
        <f>Table2[[#This Row],[final_fate1]]</f>
        <v>U-H</v>
      </c>
      <c r="AQ592" s="6">
        <v>20</v>
      </c>
      <c r="AR592" s="7">
        <v>20</v>
      </c>
      <c r="AS592" s="7">
        <f>Table2[[#This Row],[final_obs_date]]-Table2[[#This Row],[init_date]]</f>
        <v>20</v>
      </c>
      <c r="AT592" s="7">
        <f>(Table2[[#This Row],[final_obs_date2]]-Table2[[#This Row],[estHD]])+16</f>
        <v>17</v>
      </c>
      <c r="AU592" s="38">
        <v>4</v>
      </c>
      <c r="AV592" s="33">
        <v>4</v>
      </c>
      <c r="AW592" s="33">
        <f>Table2[[#This Row],[final_obs_date2]]-Table2[[#This Row],[pen_obs_date]]</f>
        <v>58</v>
      </c>
      <c r="AX592" s="67">
        <v>58</v>
      </c>
      <c r="AY592" s="6">
        <f>Table2[[#This Row],[final_obs_date]]</f>
        <v>58</v>
      </c>
      <c r="AZ592" s="6"/>
      <c r="BA592" s="91" t="s">
        <v>47</v>
      </c>
      <c r="BB592" s="6" t="b">
        <f>Table2[[#This Row],[final_obs_date]]&lt;(Table2[[#This Row],[estHD]]-2)</f>
        <v>0</v>
      </c>
      <c r="BC592" s="24">
        <f>IF(Table2[[#This Row],[field_fate]]="H",1,0)</f>
        <v>0</v>
      </c>
      <c r="BD592" s="16">
        <f>IF(Table2[[#This Row],[cam_fate2]]="H",1,0)</f>
        <v>0</v>
      </c>
      <c r="BE592" s="6" t="b">
        <f>NOT(Table2[[#This Row],[HF_C]]=Table2[[#This Row],[HF]])</f>
        <v>0</v>
      </c>
      <c r="BF592" s="6" t="b">
        <f>NOT(Table2[[#This Row],[cam_fate2]]=Table2[[#This Row],[field_fate3]])</f>
        <v>1</v>
      </c>
      <c r="BG592" s="6" t="b">
        <f>OR(Table2[[#This Row],[field_fate3]]="U",Table2[[#This Row],[field_fate3]]="U-H")</f>
        <v>1</v>
      </c>
      <c r="BH592" s="8">
        <v>54</v>
      </c>
      <c r="BI592" s="8">
        <v>54</v>
      </c>
      <c r="BJ592" s="14">
        <f>IF(ISTEXT(Table2[[#This Row],[j.cam]]),Table2[[#This Row],[j]],Table2[[#This Row],[j.cam]])</f>
        <v>54</v>
      </c>
      <c r="BK592" s="9">
        <v>58</v>
      </c>
      <c r="BL592" s="15">
        <f>IF(ISTEXT(Table2[[#This Row],[k.cam]]), Table2[[#This Row],[k]], Table2[[#This Row],[k.cam]])</f>
        <v>58</v>
      </c>
      <c r="BM592" s="4" t="s">
        <v>24</v>
      </c>
      <c r="BN592" s="8" t="s">
        <v>24</v>
      </c>
      <c r="BO592" s="4">
        <v>2</v>
      </c>
      <c r="BP592" s="4">
        <f>Table2[[#This Row],[final_obs_date]]-Table2[[#This Row],[i]]</f>
        <v>4</v>
      </c>
      <c r="BQ592" s="4" t="b">
        <f>Table2[[#This Row],[final_obs_date2]]&gt;Table2[[#This Row],[estHD]]+3</f>
        <v>0</v>
      </c>
      <c r="BR592" s="4" t="s">
        <v>33</v>
      </c>
      <c r="BS592" s="4" t="s">
        <v>45</v>
      </c>
      <c r="BT592" s="79" t="s">
        <v>1365</v>
      </c>
      <c r="BU592" s="26" t="s">
        <v>87</v>
      </c>
      <c r="BV592" s="79" t="s">
        <v>1429</v>
      </c>
      <c r="BW592" s="49"/>
      <c r="BX592" s="47"/>
      <c r="BY592" s="36" t="s">
        <v>837</v>
      </c>
    </row>
    <row r="593" spans="1:77" hidden="1" x14ac:dyDescent="0.35">
      <c r="A593" s="64">
        <v>30121</v>
      </c>
      <c r="B593" s="2" t="s">
        <v>35</v>
      </c>
      <c r="C593" s="46">
        <v>2021</v>
      </c>
      <c r="D593" s="3">
        <v>29.766819999999999</v>
      </c>
      <c r="E593" s="3">
        <v>-93.156890000000004</v>
      </c>
      <c r="F593" s="3">
        <v>0</v>
      </c>
      <c r="G593" s="3">
        <v>0</v>
      </c>
      <c r="H593" s="3" t="s">
        <v>26</v>
      </c>
      <c r="I593" s="43"/>
      <c r="J593" s="55">
        <v>66</v>
      </c>
      <c r="K593" s="4">
        <v>66</v>
      </c>
      <c r="L593" s="22">
        <f>IF(ISNUMBER(Table2[[#This Row],[estHD]]),ABS(Table2[[#This Row],[HD]]-Table2[[#This Row],[estHD]]),"NA")</f>
        <v>0</v>
      </c>
      <c r="M593" s="4" t="b">
        <f>Table2[[#This Row],[HD]]=Table2[[#This Row],[estHD]]</f>
        <v>1</v>
      </c>
      <c r="N593" s="4" t="str">
        <f>IF(ISNUMBER([1]!Table2[[#This Row],[hatch_date]]),[1]!Table2[[#This Row],[hatch_date]]-19,"NA")</f>
        <v>NA</v>
      </c>
      <c r="O593" s="31">
        <v>47</v>
      </c>
      <c r="P593" s="23" t="e">
        <f>IF(ISNUMBER(Table2[[#This Row],[nest_age1]]),ABS(Table2[[#This Row],[nest_age1]]-Table2[[#This Row],[nest_age_feb]]),"NA")</f>
        <v>#VALUE!</v>
      </c>
      <c r="Q593" s="24">
        <f>IF(ISNUMBER(Table2[[#This Row],[final_obs_int2]]),ABS(Table2[[#This Row],[final_obs_int2]]-Table2[[#This Row],[final_obs_int_feb]]), "NA")</f>
        <v>0</v>
      </c>
      <c r="R593" s="24"/>
      <c r="S593" s="57" t="s">
        <v>88</v>
      </c>
      <c r="T593" s="57" t="str">
        <f>Table2[[#This Row],[camera_old]]</f>
        <v>N</v>
      </c>
      <c r="U593" s="24"/>
      <c r="V593" s="16" t="s">
        <v>24</v>
      </c>
      <c r="W593" s="16" t="s">
        <v>24</v>
      </c>
      <c r="X593" s="145">
        <v>3</v>
      </c>
      <c r="Y593" s="149" t="s">
        <v>91</v>
      </c>
      <c r="Z593" s="146" t="s">
        <v>91</v>
      </c>
      <c r="AA593" s="4" t="str">
        <f>Table2[[#This Row],[field_fate]]</f>
        <v>Hu</v>
      </c>
      <c r="AB593" s="4" t="str">
        <f>Table2[[#This Row],[field_fate2]]</f>
        <v>Hu</v>
      </c>
      <c r="AC593" s="4" t="str">
        <f>Table2[[#This Row],[field_fate3]]</f>
        <v>Hu</v>
      </c>
      <c r="AD593" s="4" t="str">
        <f>Table2[[#This Row],[field_fate4]]</f>
        <v>Hu</v>
      </c>
      <c r="AE593" s="4" t="str">
        <f>Table2[[#This Row],[field_fate5]]</f>
        <v>Hu</v>
      </c>
      <c r="AF593" s="4" t="str">
        <f>Table2[[#This Row],[field_fate5]]</f>
        <v>Hu</v>
      </c>
      <c r="AG593" s="4" t="str">
        <f>Table2[[#This Row],[field_fate5]]</f>
        <v>Hu</v>
      </c>
      <c r="AH593" s="4" t="str">
        <f>Table2[[#This Row],[field_fate2]]</f>
        <v>Hu</v>
      </c>
      <c r="AI593" s="4" t="str">
        <f>Table2[[#This Row],[field_fate8]]</f>
        <v>Hu</v>
      </c>
      <c r="AJ593" s="4" t="str">
        <f>Table2[[#This Row],[field_fate10]]</f>
        <v>Hu</v>
      </c>
      <c r="AK593" s="4" t="b">
        <f>Table2[[#This Row],[field_fate_feb]]=Table2[[#This Row],[field_fate10]]</f>
        <v>1</v>
      </c>
      <c r="AL593" s="43" t="s">
        <v>24</v>
      </c>
      <c r="AM593" s="43" t="b">
        <f>Table2[[#This Row],[cam_fate2]]="NA"</f>
        <v>1</v>
      </c>
      <c r="AN593" s="19" t="str">
        <f>Table2[[#This Row],[cam_fate1]]</f>
        <v>NA</v>
      </c>
      <c r="AO593" s="2" t="s">
        <v>91</v>
      </c>
      <c r="AP593" s="5" t="str">
        <f>Table2[[#This Row],[final_fate1]]</f>
        <v>Hu</v>
      </c>
      <c r="AQ593" s="6">
        <v>14</v>
      </c>
      <c r="AR593" s="7">
        <v>14</v>
      </c>
      <c r="AS593" s="7">
        <f>Table2[[#This Row],[final_obs_date]]-Table2[[#This Row],[init_date]]</f>
        <v>14</v>
      </c>
      <c r="AT593" s="7">
        <f>(Table2[[#This Row],[final_obs_date2]]-Table2[[#This Row],[estHD]])+16</f>
        <v>11</v>
      </c>
      <c r="AU593" s="38">
        <v>3</v>
      </c>
      <c r="AV593" s="33">
        <v>3</v>
      </c>
      <c r="AW593" s="33">
        <f>Table2[[#This Row],[final_obs_date2]]-Table2[[#This Row],[pen_obs_date]]</f>
        <v>61</v>
      </c>
      <c r="AX593" s="67">
        <v>61</v>
      </c>
      <c r="AY593" s="6">
        <f>Table2[[#This Row],[final_obs_date]]</f>
        <v>61</v>
      </c>
      <c r="AZ593" s="6"/>
      <c r="BA593" s="91" t="s">
        <v>47</v>
      </c>
      <c r="BB593" s="6" t="b">
        <f>Table2[[#This Row],[final_obs_date]]&lt;(Table2[[#This Row],[estHD]]-2)</f>
        <v>1</v>
      </c>
      <c r="BC593" s="24">
        <f>IF(Table2[[#This Row],[field_fate]]="H",1,0)</f>
        <v>0</v>
      </c>
      <c r="BD593" s="16">
        <f>IF(Table2[[#This Row],[cam_fate2]]="H",1,0)</f>
        <v>0</v>
      </c>
      <c r="BE593" s="6" t="b">
        <f>NOT(Table2[[#This Row],[HF_C]]=Table2[[#This Row],[HF]])</f>
        <v>0</v>
      </c>
      <c r="BF593" s="6" t="b">
        <f>NOT(Table2[[#This Row],[cam_fate2]]=Table2[[#This Row],[field_fate3]])</f>
        <v>1</v>
      </c>
      <c r="BG593" s="6" t="b">
        <f>OR(Table2[[#This Row],[field_fate3]]="U",Table2[[#This Row],[field_fate3]]="U-H")</f>
        <v>0</v>
      </c>
      <c r="BH593" s="8">
        <v>54</v>
      </c>
      <c r="BI593" s="8">
        <v>58</v>
      </c>
      <c r="BJ593" s="14">
        <f>IF(ISTEXT(Table2[[#This Row],[j.cam]]),Table2[[#This Row],[j]],Table2[[#This Row],[j.cam]])</f>
        <v>58</v>
      </c>
      <c r="BK593" s="9">
        <v>61</v>
      </c>
      <c r="BL593" s="15">
        <f>IF(ISTEXT(Table2[[#This Row],[k.cam]]), Table2[[#This Row],[k]], Table2[[#This Row],[k.cam]])</f>
        <v>61</v>
      </c>
      <c r="BM593" s="4" t="s">
        <v>24</v>
      </c>
      <c r="BN593" s="8" t="s">
        <v>24</v>
      </c>
      <c r="BO593" s="4">
        <v>3</v>
      </c>
      <c r="BP593" s="4">
        <f>Table2[[#This Row],[final_obs_date]]-Table2[[#This Row],[i]]</f>
        <v>7</v>
      </c>
      <c r="BQ593" s="4" t="b">
        <f>Table2[[#This Row],[final_obs_date2]]&gt;Table2[[#This Row],[estHD]]+3</f>
        <v>0</v>
      </c>
      <c r="BR593" s="4" t="s">
        <v>27</v>
      </c>
      <c r="BS593" s="4" t="s">
        <v>91</v>
      </c>
      <c r="BT593" s="79" t="s">
        <v>1366</v>
      </c>
      <c r="BU593" s="26" t="s">
        <v>387</v>
      </c>
      <c r="BV593" s="79" t="s">
        <v>1450</v>
      </c>
      <c r="BW593" s="49"/>
      <c r="BX593" s="47"/>
      <c r="BY593" s="36" t="s">
        <v>839</v>
      </c>
    </row>
    <row r="594" spans="1:77" hidden="1" x14ac:dyDescent="0.35">
      <c r="A594" s="64">
        <v>30122</v>
      </c>
      <c r="B594" s="2" t="s">
        <v>122</v>
      </c>
      <c r="C594" s="46">
        <v>2021</v>
      </c>
      <c r="D594" s="3">
        <v>29.75694</v>
      </c>
      <c r="E594" s="3">
        <v>-93.110569999999996</v>
      </c>
      <c r="F594" s="3" t="s">
        <v>24</v>
      </c>
      <c r="G594" s="3" t="s">
        <v>24</v>
      </c>
      <c r="H594" s="3" t="s">
        <v>26</v>
      </c>
      <c r="I594" s="43" t="s">
        <v>997</v>
      </c>
      <c r="J594" s="116">
        <v>73</v>
      </c>
      <c r="K594" s="4">
        <v>73</v>
      </c>
      <c r="L594" s="22">
        <f>IF(ISNUMBER(Table2[[#This Row],[estHD]]),ABS(Table2[[#This Row],[HD]]-Table2[[#This Row],[estHD]]),"NA")</f>
        <v>0</v>
      </c>
      <c r="M594" s="4" t="b">
        <f>Table2[[#This Row],[HD]]=Table2[[#This Row],[estHD]]</f>
        <v>1</v>
      </c>
      <c r="N594" s="4" t="str">
        <f>IF(ISNUMBER([1]!Table2[[#This Row],[hatch_date]]), [1]!Table2[[#This Row],[hatch_date]]-16, "NA")</f>
        <v>NA</v>
      </c>
      <c r="O594" s="31">
        <v>57</v>
      </c>
      <c r="P594" s="23">
        <f>IF(ISNUMBER(Table2[[#This Row],[nest_age1]]),ABS(Table2[[#This Row],[nest_age1]]-Table2[[#This Row],[nest_age_feb]]),"NA")</f>
        <v>0</v>
      </c>
      <c r="Q594" s="24">
        <f>IF(ISNUMBER(Table2[[#This Row],[final_obs_int2]]),ABS(Table2[[#This Row],[final_obs_int2]]-Table2[[#This Row],[final_obs_int_feb]]), "NA")</f>
        <v>0</v>
      </c>
      <c r="R594" s="24"/>
      <c r="S594" s="20" t="s">
        <v>75</v>
      </c>
      <c r="T594" s="20" t="str">
        <f>Table2[[#This Row],[camera_old]]</f>
        <v>Y</v>
      </c>
      <c r="U594" s="22" t="s">
        <v>88</v>
      </c>
      <c r="V594" s="16" t="s">
        <v>31</v>
      </c>
      <c r="W594" s="16">
        <v>15</v>
      </c>
      <c r="X594" s="145">
        <v>3</v>
      </c>
      <c r="Y594" s="147" t="s">
        <v>31</v>
      </c>
      <c r="Z594" s="146" t="s">
        <v>31</v>
      </c>
      <c r="AA594" s="4" t="str">
        <f>Table2[[#This Row],[field_fate]]</f>
        <v>D</v>
      </c>
      <c r="AB594" s="4" t="str">
        <f>Table2[[#This Row],[field_fate2]]</f>
        <v>D</v>
      </c>
      <c r="AC594" s="94" t="str">
        <f>Table2[[#This Row],[field_fate3]]</f>
        <v>D</v>
      </c>
      <c r="AD594" s="94" t="str">
        <f>Table2[[#This Row],[field_fate4]]</f>
        <v>D</v>
      </c>
      <c r="AE594" s="94" t="str">
        <f>Table2[[#This Row],[field_fate5]]</f>
        <v>D</v>
      </c>
      <c r="AF594" s="94" t="str">
        <f>Table2[[#This Row],[field_fate5]]</f>
        <v>D</v>
      </c>
      <c r="AG594" s="94" t="str">
        <f>Table2[[#This Row],[field_fate5]]</f>
        <v>D</v>
      </c>
      <c r="AH594" s="94" t="str">
        <f>Table2[[#This Row],[field_fate2]]</f>
        <v>D</v>
      </c>
      <c r="AI594" s="94" t="str">
        <f>Table2[[#This Row],[field_fate8]]</f>
        <v>D</v>
      </c>
      <c r="AJ594" s="94" t="str">
        <f>Table2[[#This Row],[field_fate10]]</f>
        <v>D</v>
      </c>
      <c r="AK594" s="94" t="b">
        <f>Table2[[#This Row],[field_fate_feb]]=Table2[[#This Row],[field_fate10]]</f>
        <v>1</v>
      </c>
      <c r="AL594" s="43" t="s">
        <v>31</v>
      </c>
      <c r="AM594" s="160" t="b">
        <f>Table2[[#This Row],[cam_fate2]]="NA"</f>
        <v>0</v>
      </c>
      <c r="AN594" s="19" t="str">
        <f>Table2[[#This Row],[cam_fate1]]</f>
        <v>D</v>
      </c>
      <c r="AO594" s="2" t="s">
        <v>31</v>
      </c>
      <c r="AP594" s="5" t="str">
        <f>Table2[[#This Row],[final_fate1]]</f>
        <v>D</v>
      </c>
      <c r="AQ594" s="6">
        <v>15</v>
      </c>
      <c r="AR594" s="72">
        <v>15</v>
      </c>
      <c r="AS594" s="155">
        <f>Table2[[#This Row],[final_obs_date]]-Table2[[#This Row],[init_date]]</f>
        <v>15</v>
      </c>
      <c r="AT594" s="155">
        <f>(Table2[[#This Row],[final_obs_date2]]-Table2[[#This Row],[estHD]])+16</f>
        <v>15</v>
      </c>
      <c r="AU594" s="38">
        <v>3</v>
      </c>
      <c r="AV594" s="33">
        <v>3</v>
      </c>
      <c r="AW594" s="33">
        <f>Table2[[#This Row],[final_obs_date2]]-Table2[[#This Row],[pen_obs_date]]</f>
        <v>3</v>
      </c>
      <c r="AX594" s="67">
        <v>72</v>
      </c>
      <c r="AY594" s="157">
        <f>Table2[[#This Row],[final_obs_date]]</f>
        <v>72</v>
      </c>
      <c r="AZ594" s="6">
        <v>69</v>
      </c>
      <c r="BA594" s="92" t="s">
        <v>60</v>
      </c>
      <c r="BB594" s="6" t="b">
        <f>Table2[[#This Row],[final_obs_date]]&lt;(Table2[[#This Row],[estHD]]-2)</f>
        <v>0</v>
      </c>
      <c r="BC594" s="32">
        <f>IF(Table2[[#This Row],[field_fate]]="H",1,0)</f>
        <v>0</v>
      </c>
      <c r="BD594" s="16">
        <f>IF(Table2[[#This Row],[cam_fate2]]="H",1,0)</f>
        <v>0</v>
      </c>
      <c r="BE594" s="6" t="b">
        <f>NOT(Table2[[#This Row],[HF_C]]=Table2[[#This Row],[HF]])</f>
        <v>0</v>
      </c>
      <c r="BF594" s="38" t="b">
        <f>NOT(Table2[[#This Row],[cam_fate2]]=Table2[[#This Row],[field_fate3]])</f>
        <v>0</v>
      </c>
      <c r="BG594" s="38" t="b">
        <f>OR(Table2[[#This Row],[field_fate3]]="U",Table2[[#This Row],[field_fate3]]="U-H")</f>
        <v>0</v>
      </c>
      <c r="BH594" s="8">
        <v>58</v>
      </c>
      <c r="BI594" s="8">
        <v>69</v>
      </c>
      <c r="BJ594" s="14">
        <f>IF(ISTEXT(Table2[[#This Row],[j.cam]]),Table2[[#This Row],[j]],Table2[[#This Row],[j.cam]])</f>
        <v>69</v>
      </c>
      <c r="BK594" s="8">
        <v>72</v>
      </c>
      <c r="BL594" s="14">
        <f>IF(ISTEXT(Table2[[#This Row],[k.cam]]), Table2[[#This Row],[k]], Table2[[#This Row],[k.cam]])</f>
        <v>72</v>
      </c>
      <c r="BM594" s="4" t="s">
        <v>24</v>
      </c>
      <c r="BN594" s="8" t="s">
        <v>24</v>
      </c>
      <c r="BO594" s="4">
        <v>5</v>
      </c>
      <c r="BP594" s="4">
        <f>Table2[[#This Row],[final_obs_date]]-Table2[[#This Row],[i]]</f>
        <v>14</v>
      </c>
      <c r="BQ594" s="4" t="b">
        <f>Table2[[#This Row],[final_obs_date2]]&gt;Table2[[#This Row],[estHD]]+3</f>
        <v>0</v>
      </c>
      <c r="BR594" s="3" t="s">
        <v>33</v>
      </c>
      <c r="BS594" s="3" t="s">
        <v>365</v>
      </c>
      <c r="BT594" s="125" t="s">
        <v>1367</v>
      </c>
      <c r="BU594" s="4" t="s">
        <v>388</v>
      </c>
      <c r="BV594" s="79" t="s">
        <v>1668</v>
      </c>
      <c r="BW594" s="69"/>
      <c r="BX594" s="36"/>
      <c r="BY594" s="36" t="s">
        <v>24</v>
      </c>
    </row>
    <row r="595" spans="1:77" hidden="1" x14ac:dyDescent="0.35">
      <c r="A595" s="64">
        <v>30123</v>
      </c>
      <c r="B595" s="2" t="s">
        <v>122</v>
      </c>
      <c r="C595" s="46">
        <v>2021</v>
      </c>
      <c r="D595" s="3">
        <v>29.75611</v>
      </c>
      <c r="E595" s="3">
        <v>-93.107039999999998</v>
      </c>
      <c r="F595" s="3">
        <v>50</v>
      </c>
      <c r="G595" s="3">
        <v>30</v>
      </c>
      <c r="H595" s="3" t="s">
        <v>26</v>
      </c>
      <c r="I595" s="43"/>
      <c r="J595" s="55">
        <v>60</v>
      </c>
      <c r="K595" s="4">
        <v>61</v>
      </c>
      <c r="L595" s="22">
        <f>IF(ISNUMBER(Table2[[#This Row],[estHD]]),ABS(Table2[[#This Row],[HD]]-Table2[[#This Row],[estHD]]),"NA")</f>
        <v>1</v>
      </c>
      <c r="M595" s="4" t="b">
        <f>Table2[[#This Row],[HD]]=Table2[[#This Row],[estHD]]</f>
        <v>0</v>
      </c>
      <c r="N595" s="4" t="str">
        <f>IF(ISNUMBER([1]!Table2[[#This Row],[hatch_date]]), [1]!Table2[[#This Row],[hatch_date]]-28, "NA")</f>
        <v>NA</v>
      </c>
      <c r="O595" s="31">
        <v>33</v>
      </c>
      <c r="P595" s="23">
        <f>IF(ISNUMBER(Table2[[#This Row],[nest_age1]]),ABS(Table2[[#This Row],[nest_age1]]-Table2[[#This Row],[nest_age_feb]]),"NA")</f>
        <v>1</v>
      </c>
      <c r="Q595" s="24">
        <f>IF(ISNUMBER(Table2[[#This Row],[final_obs_int2]]),ABS(Table2[[#This Row],[final_obs_int2]]-Table2[[#This Row],[final_obs_int_feb]]), "NA")</f>
        <v>0</v>
      </c>
      <c r="R595" s="24"/>
      <c r="S595" s="57" t="s">
        <v>88</v>
      </c>
      <c r="T595" s="57" t="str">
        <f>Table2[[#This Row],[camera_old]]</f>
        <v>N</v>
      </c>
      <c r="U595" s="24"/>
      <c r="V595" s="16" t="s">
        <v>24</v>
      </c>
      <c r="W595" s="16">
        <v>29</v>
      </c>
      <c r="X595" s="145">
        <v>3</v>
      </c>
      <c r="Y595" s="147" t="s">
        <v>37</v>
      </c>
      <c r="Z595" s="146" t="s">
        <v>37</v>
      </c>
      <c r="AA595" s="4" t="str">
        <f>Table2[[#This Row],[field_fate]]</f>
        <v>H</v>
      </c>
      <c r="AB595" s="4" t="str">
        <f>Table2[[#This Row],[field_fate2]]</f>
        <v>H</v>
      </c>
      <c r="AC595" s="4" t="str">
        <f>Table2[[#This Row],[field_fate3]]</f>
        <v>H</v>
      </c>
      <c r="AD595" s="4" t="str">
        <f>Table2[[#This Row],[field_fate4]]</f>
        <v>H</v>
      </c>
      <c r="AE595" s="4" t="str">
        <f>Table2[[#This Row],[field_fate5]]</f>
        <v>H</v>
      </c>
      <c r="AF595" s="4" t="str">
        <f>Table2[[#This Row],[field_fate5]]</f>
        <v>H</v>
      </c>
      <c r="AG595" s="4" t="str">
        <f>Table2[[#This Row],[field_fate5]]</f>
        <v>H</v>
      </c>
      <c r="AH595" s="4" t="str">
        <f>Table2[[#This Row],[field_fate2]]</f>
        <v>H</v>
      </c>
      <c r="AI595" s="4" t="str">
        <f>Table2[[#This Row],[field_fate8]]</f>
        <v>H</v>
      </c>
      <c r="AJ595" s="4" t="str">
        <f>Table2[[#This Row],[field_fate10]]</f>
        <v>H</v>
      </c>
      <c r="AK595" s="4" t="b">
        <f>Table2[[#This Row],[field_fate_feb]]=Table2[[#This Row],[field_fate10]]</f>
        <v>1</v>
      </c>
      <c r="AL595" s="43" t="s">
        <v>24</v>
      </c>
      <c r="AM595" s="43" t="b">
        <f>Table2[[#This Row],[cam_fate2]]="NA"</f>
        <v>1</v>
      </c>
      <c r="AN595" s="19" t="str">
        <f>Table2[[#This Row],[cam_fate1]]</f>
        <v>NA</v>
      </c>
      <c r="AO595" s="2" t="s">
        <v>37</v>
      </c>
      <c r="AP595" s="5" t="str">
        <f>Table2[[#This Row],[final_fate1]]</f>
        <v>H</v>
      </c>
      <c r="AQ595" s="6">
        <v>28</v>
      </c>
      <c r="AR595" s="7">
        <v>29</v>
      </c>
      <c r="AS595" s="7">
        <f>Table2[[#This Row],[final_obs_date]]-Table2[[#This Row],[init_date]]</f>
        <v>28</v>
      </c>
      <c r="AT595" s="7">
        <f>(Table2[[#This Row],[final_obs_date2]]-Table2[[#This Row],[estHD]])+16</f>
        <v>17</v>
      </c>
      <c r="AU595" s="38">
        <v>3</v>
      </c>
      <c r="AV595" s="33">
        <v>3</v>
      </c>
      <c r="AW595" s="33">
        <f>Table2[[#This Row],[final_obs_date2]]-Table2[[#This Row],[pen_obs_date]]</f>
        <v>61</v>
      </c>
      <c r="AX595" s="67">
        <v>61</v>
      </c>
      <c r="AY595" s="6">
        <f>Table2[[#This Row],[final_obs_date]]</f>
        <v>61</v>
      </c>
      <c r="AZ595" s="6"/>
      <c r="BA595" s="91" t="s">
        <v>23</v>
      </c>
      <c r="BB595" s="6" t="b">
        <f>Table2[[#This Row],[final_obs_date]]&lt;(Table2[[#This Row],[estHD]]-2)</f>
        <v>0</v>
      </c>
      <c r="BC595" s="24">
        <f>IF(Table2[[#This Row],[field_fate]]="H",1,0)</f>
        <v>1</v>
      </c>
      <c r="BD595" s="16">
        <f>IF(Table2[[#This Row],[cam_fate2]]="H",1,0)</f>
        <v>0</v>
      </c>
      <c r="BE595" s="6" t="b">
        <f>NOT(Table2[[#This Row],[HF_C]]=Table2[[#This Row],[HF]])</f>
        <v>1</v>
      </c>
      <c r="BF595" s="6" t="b">
        <f>NOT(Table2[[#This Row],[cam_fate2]]=Table2[[#This Row],[field_fate3]])</f>
        <v>1</v>
      </c>
      <c r="BG595" s="6" t="b">
        <f>OR(Table2[[#This Row],[field_fate3]]="U",Table2[[#This Row],[field_fate3]]="U-H")</f>
        <v>0</v>
      </c>
      <c r="BH595" s="8">
        <v>58</v>
      </c>
      <c r="BI595" s="8">
        <v>61</v>
      </c>
      <c r="BJ595" s="14">
        <f>IF(ISTEXT(Table2[[#This Row],[j.cam]]),Table2[[#This Row],[j]],Table2[[#This Row],[j.cam]])</f>
        <v>61</v>
      </c>
      <c r="BK595" s="9">
        <v>61</v>
      </c>
      <c r="BL595" s="15">
        <f>IF(ISTEXT(Table2[[#This Row],[k.cam]]), Table2[[#This Row],[k]], Table2[[#This Row],[k.cam]])</f>
        <v>61</v>
      </c>
      <c r="BM595" s="4" t="s">
        <v>24</v>
      </c>
      <c r="BN595" s="8" t="s">
        <v>24</v>
      </c>
      <c r="BO595" s="4">
        <v>2</v>
      </c>
      <c r="BP595" s="4">
        <f>Table2[[#This Row],[final_obs_date]]-Table2[[#This Row],[i]]</f>
        <v>3</v>
      </c>
      <c r="BQ595" s="4" t="b">
        <f>Table2[[#This Row],[final_obs_date2]]&gt;Table2[[#This Row],[estHD]]+3</f>
        <v>0</v>
      </c>
      <c r="BR595" s="4" t="s">
        <v>27</v>
      </c>
      <c r="BS595" s="4" t="s">
        <v>58</v>
      </c>
      <c r="BT595" s="79" t="s">
        <v>1335</v>
      </c>
      <c r="BU595" s="26" t="s">
        <v>86</v>
      </c>
      <c r="BV595" s="79" t="s">
        <v>1430</v>
      </c>
      <c r="BW595" s="49"/>
      <c r="BX595" s="47"/>
      <c r="BY595" s="36" t="s">
        <v>24</v>
      </c>
    </row>
    <row r="596" spans="1:77" hidden="1" x14ac:dyDescent="0.35">
      <c r="A596" s="64">
        <v>30124</v>
      </c>
      <c r="B596" s="2" t="s">
        <v>122</v>
      </c>
      <c r="C596" s="46">
        <v>2021</v>
      </c>
      <c r="D596" s="3">
        <v>29.756270000000001</v>
      </c>
      <c r="E596" s="3">
        <v>-93.108249999999998</v>
      </c>
      <c r="F596" s="3" t="s">
        <v>24</v>
      </c>
      <c r="G596" s="3" t="s">
        <v>24</v>
      </c>
      <c r="H596" s="3" t="s">
        <v>26</v>
      </c>
      <c r="I596" s="43"/>
      <c r="J596" s="116">
        <v>68</v>
      </c>
      <c r="K596" s="4">
        <v>68</v>
      </c>
      <c r="L596" s="22">
        <f>IF(ISNUMBER(Table2[[#This Row],[estHD]]),ABS(Table2[[#This Row],[HD]]-Table2[[#This Row],[estHD]]),"NA")</f>
        <v>0</v>
      </c>
      <c r="M596" s="4" t="b">
        <f>Table2[[#This Row],[HD]]=Table2[[#This Row],[estHD]]</f>
        <v>1</v>
      </c>
      <c r="N596" s="4">
        <f>IF(ISNUMBER(Table2[[#This Row],[HD]]),Table2[[#This Row],[HD]]-16,"NA")</f>
        <v>52</v>
      </c>
      <c r="O596" s="31">
        <v>52</v>
      </c>
      <c r="P596" s="23">
        <f>IF(ISNUMBER(Table2[[#This Row],[nest_age1]]),ABS(Table2[[#This Row],[nest_age1]]-Table2[[#This Row],[nest_age_feb]]),"NA")</f>
        <v>1</v>
      </c>
      <c r="Q596" s="24">
        <f>IF(ISNUMBER(Table2[[#This Row],[final_obs_int2]]),ABS(Table2[[#This Row],[final_obs_int2]]-Table2[[#This Row],[final_obs_int_feb]]), "NA")</f>
        <v>1</v>
      </c>
      <c r="R596" s="24">
        <f>(Table2[[#This Row],[k_adj]]-Table2[[#This Row],[estHD]])/Table2[[#This Row],[estHD]]</f>
        <v>0</v>
      </c>
      <c r="S596" s="20" t="s">
        <v>75</v>
      </c>
      <c r="T596" s="20" t="str">
        <f>Table2[[#This Row],[camera_old]]</f>
        <v>Y</v>
      </c>
      <c r="U596" s="22" t="s">
        <v>88</v>
      </c>
      <c r="V596" s="16" t="s">
        <v>37</v>
      </c>
      <c r="W596" s="16">
        <v>16</v>
      </c>
      <c r="X596" s="145">
        <v>3</v>
      </c>
      <c r="Y596" s="148" t="s">
        <v>37</v>
      </c>
      <c r="Z596" s="146" t="s">
        <v>37</v>
      </c>
      <c r="AA596" s="4" t="str">
        <f>Table2[[#This Row],[field_fate]]</f>
        <v>H</v>
      </c>
      <c r="AB596" s="4" t="str">
        <f>Table2[[#This Row],[field_fate2]]</f>
        <v>H</v>
      </c>
      <c r="AC596" s="94" t="str">
        <f>Table2[[#This Row],[field_fate3]]</f>
        <v>H</v>
      </c>
      <c r="AD596" s="94" t="str">
        <f>Table2[[#This Row],[field_fate4]]</f>
        <v>H</v>
      </c>
      <c r="AE596" s="94" t="str">
        <f>Table2[[#This Row],[field_fate5]]</f>
        <v>H</v>
      </c>
      <c r="AF596" s="94" t="str">
        <f>Table2[[#This Row],[field_fate5]]</f>
        <v>H</v>
      </c>
      <c r="AG596" s="94" t="str">
        <f>Table2[[#This Row],[field_fate5]]</f>
        <v>H</v>
      </c>
      <c r="AH596" s="94" t="str">
        <f>Table2[[#This Row],[field_fate2]]</f>
        <v>H</v>
      </c>
      <c r="AI596" s="94" t="str">
        <f>Table2[[#This Row],[field_fate8]]</f>
        <v>H</v>
      </c>
      <c r="AJ596" s="94" t="str">
        <f>Table2[[#This Row],[field_fate10]]</f>
        <v>H</v>
      </c>
      <c r="AK596" s="94" t="b">
        <f>Table2[[#This Row],[field_fate_feb]]=Table2[[#This Row],[field_fate10]]</f>
        <v>1</v>
      </c>
      <c r="AL596" s="43" t="s">
        <v>37</v>
      </c>
      <c r="AM596" s="160" t="b">
        <f>Table2[[#This Row],[cam_fate2]]="NA"</f>
        <v>0</v>
      </c>
      <c r="AN596" s="19" t="str">
        <f>Table2[[#This Row],[cam_fate1]]</f>
        <v>H</v>
      </c>
      <c r="AO596" s="2" t="s">
        <v>37</v>
      </c>
      <c r="AP596" s="5" t="str">
        <f>Table2[[#This Row],[final_fate1]]</f>
        <v>H</v>
      </c>
      <c r="AQ596" s="6">
        <v>17</v>
      </c>
      <c r="AR596" s="72">
        <v>17</v>
      </c>
      <c r="AS596" s="155">
        <f>Table2[[#This Row],[final_obs_date]]-Table2[[#This Row],[init_date]]</f>
        <v>17</v>
      </c>
      <c r="AT596" s="155">
        <f>(Table2[[#This Row],[final_obs_date2]]-Table2[[#This Row],[estHD]])+16</f>
        <v>17</v>
      </c>
      <c r="AU596" s="38">
        <v>4</v>
      </c>
      <c r="AV596" s="33">
        <v>4</v>
      </c>
      <c r="AW596" s="33">
        <f>Table2[[#This Row],[final_obs_date2]]-Table2[[#This Row],[pen_obs_date]]</f>
        <v>4</v>
      </c>
      <c r="AX596" s="67">
        <v>69</v>
      </c>
      <c r="AY596" s="157">
        <f>Table2[[#This Row],[final_obs_date]]</f>
        <v>69</v>
      </c>
      <c r="AZ596" s="6">
        <v>65</v>
      </c>
      <c r="BA596" s="92" t="s">
        <v>60</v>
      </c>
      <c r="BB596" s="6" t="b">
        <f>Table2[[#This Row],[final_obs_date]]&lt;(Table2[[#This Row],[estHD]]-2)</f>
        <v>0</v>
      </c>
      <c r="BC596" s="32">
        <f>IF(Table2[[#This Row],[field_fate]]="H",1,0)</f>
        <v>1</v>
      </c>
      <c r="BD596" s="16">
        <f>IF(Table2[[#This Row],[cam_fate2]]="H",1,0)</f>
        <v>1</v>
      </c>
      <c r="BE596" s="6" t="b">
        <f>NOT(Table2[[#This Row],[HF_C]]=Table2[[#This Row],[HF]])</f>
        <v>0</v>
      </c>
      <c r="BF596" s="38" t="b">
        <f>NOT(Table2[[#This Row],[cam_fate2]]=Table2[[#This Row],[field_fate3]])</f>
        <v>0</v>
      </c>
      <c r="BG596" s="38" t="b">
        <f>OR(Table2[[#This Row],[field_fate3]]="U",Table2[[#This Row],[field_fate3]]="U-H")</f>
        <v>0</v>
      </c>
      <c r="BH596" s="8">
        <v>58</v>
      </c>
      <c r="BI596" s="8">
        <v>68</v>
      </c>
      <c r="BJ596" s="14">
        <f>IF(ISTEXT(Table2[[#This Row],[j.cam]]),Table2[[#This Row],[j]],Table2[[#This Row],[j.cam]])</f>
        <v>68</v>
      </c>
      <c r="BK596" s="8">
        <v>68</v>
      </c>
      <c r="BL596" s="14">
        <f>IF(ISTEXT(Table2[[#This Row],[k.cam]]), Table2[[#This Row],[k]], Table2[[#This Row],[k.cam]])</f>
        <v>68</v>
      </c>
      <c r="BM596" s="4" t="s">
        <v>24</v>
      </c>
      <c r="BN596" s="8" t="s">
        <v>24</v>
      </c>
      <c r="BO596" s="4">
        <v>4</v>
      </c>
      <c r="BP596" s="4">
        <f>Table2[[#This Row],[final_obs_date]]-Table2[[#This Row],[i]]</f>
        <v>11</v>
      </c>
      <c r="BQ596" s="4" t="b">
        <f>Table2[[#This Row],[final_obs_date2]]&gt;Table2[[#This Row],[estHD]]+3</f>
        <v>0</v>
      </c>
      <c r="BR596" s="3" t="s">
        <v>33</v>
      </c>
      <c r="BS596" s="3" t="s">
        <v>389</v>
      </c>
      <c r="BT596" s="125" t="s">
        <v>1336</v>
      </c>
      <c r="BU596" s="4" t="s">
        <v>390</v>
      </c>
      <c r="BV596" s="79" t="s">
        <v>1623</v>
      </c>
      <c r="BW596" s="69"/>
      <c r="BX596" s="36"/>
      <c r="BY596" s="36" t="s">
        <v>840</v>
      </c>
    </row>
    <row r="597" spans="1:77" hidden="1" x14ac:dyDescent="0.35">
      <c r="A597" s="64">
        <v>30126</v>
      </c>
      <c r="B597" s="2" t="s">
        <v>122</v>
      </c>
      <c r="C597" s="46">
        <v>2021</v>
      </c>
      <c r="D597" s="3">
        <v>29.759150000000002</v>
      </c>
      <c r="E597" s="3">
        <v>-93.120800000000003</v>
      </c>
      <c r="F597" s="3">
        <v>0</v>
      </c>
      <c r="G597" s="3">
        <v>0</v>
      </c>
      <c r="H597" s="3" t="s">
        <v>354</v>
      </c>
      <c r="I597" s="43"/>
      <c r="J597" s="55">
        <v>65</v>
      </c>
      <c r="K597" s="4">
        <v>65</v>
      </c>
      <c r="L597" s="22">
        <f>IF(ISNUMBER(Table2[[#This Row],[estHD]]),ABS(Table2[[#This Row],[HD]]-Table2[[#This Row],[estHD]]),"NA")</f>
        <v>0</v>
      </c>
      <c r="M597" s="4" t="b">
        <f>Table2[[#This Row],[HD]]=Table2[[#This Row],[estHD]]</f>
        <v>1</v>
      </c>
      <c r="N597" s="4" t="str">
        <f>IF(ISNUMBER([1]!Table2[[#This Row],[hatch_date]]),[1]!Table2[[#This Row],[hatch_date]]-19,"NA")</f>
        <v>NA</v>
      </c>
      <c r="O597" s="31">
        <v>46</v>
      </c>
      <c r="P597" s="23" t="e">
        <f>IF(ISNUMBER(Table2[[#This Row],[nest_age1]]),ABS(Table2[[#This Row],[nest_age1]]-Table2[[#This Row],[nest_age_feb]]),"NA")</f>
        <v>#VALUE!</v>
      </c>
      <c r="Q597" s="24">
        <f>IF(ISNUMBER(Table2[[#This Row],[final_obs_int2]]),ABS(Table2[[#This Row],[final_obs_int2]]-Table2[[#This Row],[final_obs_int_feb]]), "NA")</f>
        <v>0</v>
      </c>
      <c r="R597" s="24"/>
      <c r="S597" s="57" t="s">
        <v>88</v>
      </c>
      <c r="T597" s="57" t="str">
        <f>Table2[[#This Row],[camera_old]]</f>
        <v>N</v>
      </c>
      <c r="U597" s="24"/>
      <c r="V597" s="16" t="s">
        <v>24</v>
      </c>
      <c r="W597" s="16" t="s">
        <v>24</v>
      </c>
      <c r="X597" s="145">
        <v>4</v>
      </c>
      <c r="Y597" s="147" t="s">
        <v>90</v>
      </c>
      <c r="Z597" s="146" t="s">
        <v>104</v>
      </c>
      <c r="AA597" s="4" t="str">
        <f>Table2[[#This Row],[field_fate]]</f>
        <v>U-H</v>
      </c>
      <c r="AB597" s="4" t="str">
        <f>Table2[[#This Row],[field_fate2]]</f>
        <v>U-H</v>
      </c>
      <c r="AC597" s="4" t="str">
        <f>Table2[[#This Row],[field_fate3]]</f>
        <v>U-H</v>
      </c>
      <c r="AD597" s="4" t="str">
        <f>Table2[[#This Row],[field_fate4]]</f>
        <v>U-H</v>
      </c>
      <c r="AE597" s="4" t="str">
        <f>Table2[[#This Row],[field_fate5]]</f>
        <v>U-H</v>
      </c>
      <c r="AF597" s="4" t="str">
        <f>Table2[[#This Row],[field_fate5]]</f>
        <v>U-H</v>
      </c>
      <c r="AG597" s="4" t="str">
        <f>Table2[[#This Row],[field_fate5]]</f>
        <v>U-H</v>
      </c>
      <c r="AH597" s="4" t="str">
        <f>Table2[[#This Row],[field_fate2]]</f>
        <v>U-H</v>
      </c>
      <c r="AI597" s="4" t="str">
        <f>Table2[[#This Row],[field_fate8]]</f>
        <v>U-H</v>
      </c>
      <c r="AJ597" s="4" t="str">
        <f>Table2[[#This Row],[field_fate10]]</f>
        <v>U-H</v>
      </c>
      <c r="AK597" s="4" t="b">
        <f>Table2[[#This Row],[field_fate_feb]]=Table2[[#This Row],[field_fate10]]</f>
        <v>0</v>
      </c>
      <c r="AL597" s="43" t="s">
        <v>24</v>
      </c>
      <c r="AM597" s="43" t="b">
        <f>Table2[[#This Row],[cam_fate2]]="NA"</f>
        <v>1</v>
      </c>
      <c r="AN597" s="19" t="str">
        <f>Table2[[#This Row],[cam_fate1]]</f>
        <v>NA</v>
      </c>
      <c r="AO597" s="2" t="s">
        <v>104</v>
      </c>
      <c r="AP597" s="5" t="str">
        <f>Table2[[#This Row],[final_fate1]]</f>
        <v>U-H</v>
      </c>
      <c r="AQ597" s="6">
        <v>23</v>
      </c>
      <c r="AR597" s="7">
        <v>23</v>
      </c>
      <c r="AS597" s="7">
        <f>Table2[[#This Row],[final_obs_date]]-Table2[[#This Row],[init_date]]</f>
        <v>23</v>
      </c>
      <c r="AT597" s="7">
        <f>(Table2[[#This Row],[final_obs_date2]]-Table2[[#This Row],[estHD]])+16</f>
        <v>20</v>
      </c>
      <c r="AU597" s="38">
        <v>4</v>
      </c>
      <c r="AV597" s="33">
        <v>4</v>
      </c>
      <c r="AW597" s="33">
        <f>Table2[[#This Row],[final_obs_date2]]-Table2[[#This Row],[pen_obs_date]]</f>
        <v>69</v>
      </c>
      <c r="AX597" s="67">
        <v>69</v>
      </c>
      <c r="AY597" s="6">
        <f>Table2[[#This Row],[final_obs_date]]</f>
        <v>69</v>
      </c>
      <c r="AZ597" s="6"/>
      <c r="BA597" s="91" t="s">
        <v>47</v>
      </c>
      <c r="BB597" s="6" t="b">
        <f>Table2[[#This Row],[final_obs_date]]&lt;(Table2[[#This Row],[estHD]]-2)</f>
        <v>0</v>
      </c>
      <c r="BC597" s="24">
        <f>IF(Table2[[#This Row],[field_fate]]="H",1,0)</f>
        <v>0</v>
      </c>
      <c r="BD597" s="16">
        <f>IF(Table2[[#This Row],[cam_fate2]]="H",1,0)</f>
        <v>0</v>
      </c>
      <c r="BE597" s="6" t="b">
        <f>NOT(Table2[[#This Row],[HF_C]]=Table2[[#This Row],[HF]])</f>
        <v>0</v>
      </c>
      <c r="BF597" s="6" t="b">
        <f>NOT(Table2[[#This Row],[cam_fate2]]=Table2[[#This Row],[field_fate3]])</f>
        <v>1</v>
      </c>
      <c r="BG597" s="6" t="b">
        <f>OR(Table2[[#This Row],[field_fate3]]="U",Table2[[#This Row],[field_fate3]]="U-H")</f>
        <v>1</v>
      </c>
      <c r="BH597" s="8">
        <v>61</v>
      </c>
      <c r="BI597" s="8">
        <v>65</v>
      </c>
      <c r="BJ597" s="14">
        <f>IF(ISTEXT(Table2[[#This Row],[j.cam]]),Table2[[#This Row],[j]],Table2[[#This Row],[j.cam]])</f>
        <v>65</v>
      </c>
      <c r="BK597" s="9">
        <v>69</v>
      </c>
      <c r="BL597" s="15">
        <f>IF(ISTEXT(Table2[[#This Row],[k.cam]]), Table2[[#This Row],[k]], Table2[[#This Row],[k.cam]])</f>
        <v>69</v>
      </c>
      <c r="BM597" s="4" t="s">
        <v>24</v>
      </c>
      <c r="BN597" s="8" t="s">
        <v>24</v>
      </c>
      <c r="BO597" s="4">
        <v>3</v>
      </c>
      <c r="BP597" s="4">
        <f>Table2[[#This Row],[final_obs_date]]-Table2[[#This Row],[i]]</f>
        <v>8</v>
      </c>
      <c r="BQ597" s="4" t="b">
        <f>Table2[[#This Row],[final_obs_date2]]&gt;Table2[[#This Row],[estHD]]+3</f>
        <v>1</v>
      </c>
      <c r="BR597" s="4" t="s">
        <v>33</v>
      </c>
      <c r="BS597" s="4" t="s">
        <v>90</v>
      </c>
      <c r="BT597" s="79" t="s">
        <v>1340</v>
      </c>
      <c r="BU597" s="26" t="s">
        <v>391</v>
      </c>
      <c r="BV597" s="79" t="s">
        <v>1454</v>
      </c>
      <c r="BW597" s="49"/>
      <c r="BX597" s="47"/>
      <c r="BY597" s="36" t="s">
        <v>841</v>
      </c>
    </row>
    <row r="598" spans="1:77" hidden="1" x14ac:dyDescent="0.35">
      <c r="A598" s="64">
        <v>30127</v>
      </c>
      <c r="B598" s="2" t="s">
        <v>122</v>
      </c>
      <c r="C598" s="46">
        <v>2021</v>
      </c>
      <c r="D598" s="3">
        <v>29.758030000000002</v>
      </c>
      <c r="E598" s="3">
        <v>-93.115840000000006</v>
      </c>
      <c r="F598" s="3">
        <v>0</v>
      </c>
      <c r="G598" s="3">
        <v>0</v>
      </c>
      <c r="H598" s="3" t="s">
        <v>354</v>
      </c>
      <c r="I598" s="43"/>
      <c r="J598" s="55">
        <v>65</v>
      </c>
      <c r="K598" s="4">
        <v>69</v>
      </c>
      <c r="L598" s="22">
        <f>IF(ISNUMBER(Table2[[#This Row],[estHD]]),ABS(Table2[[#This Row],[HD]]-Table2[[#This Row],[estHD]]),"NA")</f>
        <v>4</v>
      </c>
      <c r="M598" s="4" t="b">
        <f>Table2[[#This Row],[HD]]=Table2[[#This Row],[estHD]]</f>
        <v>0</v>
      </c>
      <c r="N598" s="4" t="str">
        <f>IF(ISNUMBER([1]!Table2[[#This Row],[hatch_date]]),[1]!Table2[[#This Row],[hatch_date]]-19,"NA")</f>
        <v>NA</v>
      </c>
      <c r="O598" s="31">
        <v>50</v>
      </c>
      <c r="P598" s="23">
        <f>IF(ISNUMBER(Table2[[#This Row],[nest_age1]]),ABS(Table2[[#This Row],[nest_age1]]-Table2[[#This Row],[nest_age_feb]]),"NA")</f>
        <v>4</v>
      </c>
      <c r="Q598" s="24">
        <f>IF(ISNUMBER(Table2[[#This Row],[final_obs_int2]]),ABS(Table2[[#This Row],[final_obs_int2]]-Table2[[#This Row],[final_obs_int_feb]]), "NA")</f>
        <v>0</v>
      </c>
      <c r="R598" s="24"/>
      <c r="S598" s="57" t="s">
        <v>88</v>
      </c>
      <c r="T598" s="57" t="str">
        <f>Table2[[#This Row],[camera_old]]</f>
        <v>N</v>
      </c>
      <c r="U598" s="24"/>
      <c r="V598" s="16" t="s">
        <v>24</v>
      </c>
      <c r="W598" s="16">
        <v>23</v>
      </c>
      <c r="X598" s="145">
        <v>4</v>
      </c>
      <c r="Y598" s="149" t="s">
        <v>37</v>
      </c>
      <c r="Z598" s="146" t="s">
        <v>37</v>
      </c>
      <c r="AA598" s="4" t="str">
        <f>Table2[[#This Row],[field_fate]]</f>
        <v>H</v>
      </c>
      <c r="AB598" s="4" t="str">
        <f>Table2[[#This Row],[field_fate2]]</f>
        <v>H</v>
      </c>
      <c r="AC598" s="4" t="str">
        <f>Table2[[#This Row],[field_fate3]]</f>
        <v>H</v>
      </c>
      <c r="AD598" s="4" t="str">
        <f>Table2[[#This Row],[field_fate4]]</f>
        <v>H</v>
      </c>
      <c r="AE598" s="4" t="str">
        <f>Table2[[#This Row],[field_fate5]]</f>
        <v>H</v>
      </c>
      <c r="AF598" s="4" t="str">
        <f>Table2[[#This Row],[field_fate5]]</f>
        <v>H</v>
      </c>
      <c r="AG598" s="4" t="str">
        <f>Table2[[#This Row],[field_fate5]]</f>
        <v>H</v>
      </c>
      <c r="AH598" s="4" t="str">
        <f>Table2[[#This Row],[field_fate2]]</f>
        <v>H</v>
      </c>
      <c r="AI598" s="4" t="str">
        <f>Table2[[#This Row],[field_fate8]]</f>
        <v>H</v>
      </c>
      <c r="AJ598" s="4" t="str">
        <f>Table2[[#This Row],[field_fate10]]</f>
        <v>H</v>
      </c>
      <c r="AK598" s="4" t="b">
        <f>Table2[[#This Row],[field_fate_feb]]=Table2[[#This Row],[field_fate10]]</f>
        <v>1</v>
      </c>
      <c r="AL598" s="43" t="s">
        <v>24</v>
      </c>
      <c r="AM598" s="43" t="b">
        <f>Table2[[#This Row],[cam_fate2]]="NA"</f>
        <v>1</v>
      </c>
      <c r="AN598" s="19" t="str">
        <f>Table2[[#This Row],[cam_fate1]]</f>
        <v>NA</v>
      </c>
      <c r="AO598" s="2" t="s">
        <v>37</v>
      </c>
      <c r="AP598" s="5" t="str">
        <f>Table2[[#This Row],[final_fate1]]</f>
        <v>H</v>
      </c>
      <c r="AQ598" s="6">
        <v>19</v>
      </c>
      <c r="AR598" s="7">
        <v>23</v>
      </c>
      <c r="AS598" s="7">
        <f>Table2[[#This Row],[final_obs_date]]-Table2[[#This Row],[init_date]]</f>
        <v>19</v>
      </c>
      <c r="AT598" s="7">
        <f>(Table2[[#This Row],[final_obs_date2]]-Table2[[#This Row],[estHD]])+16</f>
        <v>20</v>
      </c>
      <c r="AU598" s="38">
        <v>4</v>
      </c>
      <c r="AV598" s="33">
        <v>4</v>
      </c>
      <c r="AW598" s="33">
        <f>Table2[[#This Row],[final_obs_date2]]-Table2[[#This Row],[pen_obs_date]]</f>
        <v>69</v>
      </c>
      <c r="AX598" s="67">
        <v>69</v>
      </c>
      <c r="AY598" s="6">
        <f>Table2[[#This Row],[final_obs_date]]</f>
        <v>69</v>
      </c>
      <c r="AZ598" s="6"/>
      <c r="BA598" s="91" t="s">
        <v>47</v>
      </c>
      <c r="BB598" s="6" t="b">
        <f>Table2[[#This Row],[final_obs_date]]&lt;(Table2[[#This Row],[estHD]]-2)</f>
        <v>0</v>
      </c>
      <c r="BC598" s="24">
        <f>IF(Table2[[#This Row],[field_fate]]="H",1,0)</f>
        <v>1</v>
      </c>
      <c r="BD598" s="16">
        <f>IF(Table2[[#This Row],[cam_fate2]]="H",1,0)</f>
        <v>0</v>
      </c>
      <c r="BE598" s="6" t="b">
        <f>NOT(Table2[[#This Row],[HF_C]]=Table2[[#This Row],[HF]])</f>
        <v>1</v>
      </c>
      <c r="BF598" s="6" t="b">
        <f>NOT(Table2[[#This Row],[cam_fate2]]=Table2[[#This Row],[field_fate3]])</f>
        <v>1</v>
      </c>
      <c r="BG598" s="6" t="b">
        <f>OR(Table2[[#This Row],[field_fate3]]="U",Table2[[#This Row],[field_fate3]]="U-H")</f>
        <v>0</v>
      </c>
      <c r="BH598" s="8">
        <v>61</v>
      </c>
      <c r="BI598" s="8">
        <v>69</v>
      </c>
      <c r="BJ598" s="14">
        <f>IF(ISTEXT(Table2[[#This Row],[j.cam]]),Table2[[#This Row],[j]],Table2[[#This Row],[j.cam]])</f>
        <v>69</v>
      </c>
      <c r="BK598" s="9">
        <v>69</v>
      </c>
      <c r="BL598" s="15">
        <f>IF(ISTEXT(Table2[[#This Row],[k.cam]]), Table2[[#This Row],[k]], Table2[[#This Row],[k.cam]])</f>
        <v>69</v>
      </c>
      <c r="BM598" s="4" t="s">
        <v>24</v>
      </c>
      <c r="BN598" s="8" t="s">
        <v>24</v>
      </c>
      <c r="BO598" s="4">
        <v>3</v>
      </c>
      <c r="BP598" s="4">
        <f>Table2[[#This Row],[final_obs_date]]-Table2[[#This Row],[i]]</f>
        <v>8</v>
      </c>
      <c r="BQ598" s="4" t="b">
        <f>Table2[[#This Row],[final_obs_date2]]&gt;Table2[[#This Row],[estHD]]+3</f>
        <v>1</v>
      </c>
      <c r="BR598" s="4" t="s">
        <v>33</v>
      </c>
      <c r="BS598" s="4" t="s">
        <v>139</v>
      </c>
      <c r="BT598" s="79" t="s">
        <v>1340</v>
      </c>
      <c r="BU598" s="26" t="s">
        <v>392</v>
      </c>
      <c r="BV598" s="79" t="s">
        <v>1454</v>
      </c>
      <c r="BW598" s="49"/>
      <c r="BX598" s="47"/>
      <c r="BY598" s="36" t="s">
        <v>24</v>
      </c>
    </row>
    <row r="599" spans="1:77" hidden="1" x14ac:dyDescent="0.35">
      <c r="A599" s="64">
        <v>30128</v>
      </c>
      <c r="B599" s="2" t="s">
        <v>35</v>
      </c>
      <c r="C599" s="46">
        <v>2021</v>
      </c>
      <c r="D599" s="3">
        <v>29.763680000000001</v>
      </c>
      <c r="E599" s="3">
        <v>-93.141980000000004</v>
      </c>
      <c r="F599" s="3">
        <v>0</v>
      </c>
      <c r="G599" s="3">
        <v>0</v>
      </c>
      <c r="H599" s="3" t="s">
        <v>26</v>
      </c>
      <c r="I599" s="43"/>
      <c r="J599" s="55">
        <v>80</v>
      </c>
      <c r="K599" s="4">
        <v>80</v>
      </c>
      <c r="L599" s="22">
        <f>IF(ISNUMBER(Table2[[#This Row],[estHD]]),ABS(Table2[[#This Row],[HD]]-Table2[[#This Row],[estHD]]),"NA")</f>
        <v>0</v>
      </c>
      <c r="M599" s="4" t="b">
        <f>Table2[[#This Row],[HD]]=Table2[[#This Row],[estHD]]</f>
        <v>1</v>
      </c>
      <c r="N599" s="4" t="str">
        <f>IF(ISNUMBER([1]!Table2[[#This Row],[hatch_date]]),[1]!Table2[[#This Row],[hatch_date]]-19,"NA")</f>
        <v>NA</v>
      </c>
      <c r="O599" s="31">
        <v>61</v>
      </c>
      <c r="P599" s="23" t="e">
        <f>IF(ISNUMBER(Table2[[#This Row],[nest_age1]]),ABS(Table2[[#This Row],[nest_age1]]-Table2[[#This Row],[nest_age_feb]]),"NA")</f>
        <v>#VALUE!</v>
      </c>
      <c r="Q599" s="24">
        <f>IF(ISNUMBER(Table2[[#This Row],[final_obs_int2]]),ABS(Table2[[#This Row],[final_obs_int2]]-Table2[[#This Row],[final_obs_int_feb]]), "NA")</f>
        <v>0</v>
      </c>
      <c r="R599" s="24"/>
      <c r="S599" s="57" t="s">
        <v>88</v>
      </c>
      <c r="T599" s="57" t="str">
        <f>Table2[[#This Row],[camera_old]]</f>
        <v>N</v>
      </c>
      <c r="U599" s="24"/>
      <c r="V599" s="16" t="s">
        <v>24</v>
      </c>
      <c r="W599" s="16" t="s">
        <v>24</v>
      </c>
      <c r="X599" s="145">
        <v>5</v>
      </c>
      <c r="Y599" s="147" t="s">
        <v>48</v>
      </c>
      <c r="Z599" s="146" t="s">
        <v>48</v>
      </c>
      <c r="AA599" s="4" t="str">
        <f>Table2[[#This Row],[field_fate]]</f>
        <v>F</v>
      </c>
      <c r="AB599" s="4" t="str">
        <f>Table2[[#This Row],[field_fate2]]</f>
        <v>F</v>
      </c>
      <c r="AC599" s="4" t="str">
        <f>Table2[[#This Row],[field_fate3]]</f>
        <v>F</v>
      </c>
      <c r="AD599" s="4" t="str">
        <f>Table2[[#This Row],[field_fate4]]</f>
        <v>F</v>
      </c>
      <c r="AE599" s="4" t="str">
        <f>Table2[[#This Row],[field_fate5]]</f>
        <v>F</v>
      </c>
      <c r="AF599" s="4" t="str">
        <f>Table2[[#This Row],[field_fate5]]</f>
        <v>F</v>
      </c>
      <c r="AG599" s="4" t="str">
        <f>Table2[[#This Row],[field_fate5]]</f>
        <v>F</v>
      </c>
      <c r="AH599" s="4" t="str">
        <f>Table2[[#This Row],[field_fate2]]</f>
        <v>F</v>
      </c>
      <c r="AI599" s="4" t="str">
        <f>Table2[[#This Row],[field_fate8]]</f>
        <v>F</v>
      </c>
      <c r="AJ599" s="4" t="str">
        <f>Table2[[#This Row],[field_fate10]]</f>
        <v>F</v>
      </c>
      <c r="AK599" s="4" t="b">
        <f>Table2[[#This Row],[field_fate_feb]]=Table2[[#This Row],[field_fate10]]</f>
        <v>1</v>
      </c>
      <c r="AL599" s="43" t="s">
        <v>24</v>
      </c>
      <c r="AM599" s="43" t="b">
        <f>Table2[[#This Row],[cam_fate2]]="NA"</f>
        <v>1</v>
      </c>
      <c r="AN599" s="19" t="str">
        <f>Table2[[#This Row],[cam_fate1]]</f>
        <v>NA</v>
      </c>
      <c r="AO599" s="2" t="s">
        <v>48</v>
      </c>
      <c r="AP599" s="5" t="str">
        <f>Table2[[#This Row],[final_fate1]]</f>
        <v>F</v>
      </c>
      <c r="AQ599" s="6">
        <v>13</v>
      </c>
      <c r="AR599" s="7">
        <v>13</v>
      </c>
      <c r="AS599" s="7">
        <f>Table2[[#This Row],[final_obs_date]]-Table2[[#This Row],[init_date]]</f>
        <v>13</v>
      </c>
      <c r="AT599" s="7">
        <f>(Table2[[#This Row],[final_obs_date2]]-Table2[[#This Row],[estHD]])+16</f>
        <v>10</v>
      </c>
      <c r="AU599" s="38">
        <v>5</v>
      </c>
      <c r="AV599" s="33">
        <v>5</v>
      </c>
      <c r="AW599" s="33">
        <f>Table2[[#This Row],[final_obs_date2]]-Table2[[#This Row],[pen_obs_date]]</f>
        <v>74</v>
      </c>
      <c r="AX599" s="67">
        <v>74</v>
      </c>
      <c r="AY599" s="6">
        <f>Table2[[#This Row],[final_obs_date]]</f>
        <v>74</v>
      </c>
      <c r="AZ599" s="6"/>
      <c r="BA599" s="91" t="s">
        <v>47</v>
      </c>
      <c r="BB599" s="6" t="b">
        <f>Table2[[#This Row],[final_obs_date]]&lt;(Table2[[#This Row],[estHD]]-2)</f>
        <v>1</v>
      </c>
      <c r="BC599" s="24">
        <f>IF(Table2[[#This Row],[field_fate]]="H",1,0)</f>
        <v>0</v>
      </c>
      <c r="BD599" s="16">
        <f>IF(Table2[[#This Row],[cam_fate2]]="H",1,0)</f>
        <v>0</v>
      </c>
      <c r="BE599" s="6" t="b">
        <f>NOT(Table2[[#This Row],[HF_C]]=Table2[[#This Row],[HF]])</f>
        <v>0</v>
      </c>
      <c r="BF599" s="6" t="b">
        <f>NOT(Table2[[#This Row],[cam_fate2]]=Table2[[#This Row],[field_fate3]])</f>
        <v>1</v>
      </c>
      <c r="BG599" s="6" t="b">
        <f>OR(Table2[[#This Row],[field_fate3]]="U",Table2[[#This Row],[field_fate3]]="U-H")</f>
        <v>0</v>
      </c>
      <c r="BH599" s="8">
        <v>65</v>
      </c>
      <c r="BI599" s="8">
        <v>69</v>
      </c>
      <c r="BJ599" s="14">
        <f>IF(ISTEXT(Table2[[#This Row],[j.cam]]),Table2[[#This Row],[j]],Table2[[#This Row],[j.cam]])</f>
        <v>69</v>
      </c>
      <c r="BK599" s="9">
        <v>74</v>
      </c>
      <c r="BL599" s="15">
        <f>IF(ISTEXT(Table2[[#This Row],[k.cam]]), Table2[[#This Row],[k]], Table2[[#This Row],[k.cam]])</f>
        <v>74</v>
      </c>
      <c r="BM599" s="4" t="s">
        <v>24</v>
      </c>
      <c r="BN599" s="8" t="s">
        <v>24</v>
      </c>
      <c r="BO599" s="4">
        <v>3</v>
      </c>
      <c r="BP599" s="4">
        <f>Table2[[#This Row],[final_obs_date]]-Table2[[#This Row],[i]]</f>
        <v>9</v>
      </c>
      <c r="BQ599" s="4" t="b">
        <f>Table2[[#This Row],[final_obs_date2]]&gt;Table2[[#This Row],[estHD]]+3</f>
        <v>0</v>
      </c>
      <c r="BR599" s="4" t="s">
        <v>33</v>
      </c>
      <c r="BS599" s="4" t="s">
        <v>45</v>
      </c>
      <c r="BT599" s="79" t="s">
        <v>1368</v>
      </c>
      <c r="BU599" s="26" t="s">
        <v>132</v>
      </c>
      <c r="BV599" s="79" t="s">
        <v>1479</v>
      </c>
      <c r="BW599" s="49"/>
      <c r="BX599" s="47"/>
      <c r="BY599" s="36" t="s">
        <v>24</v>
      </c>
    </row>
    <row r="600" spans="1:77" hidden="1" x14ac:dyDescent="0.35">
      <c r="A600" s="64">
        <v>30129</v>
      </c>
      <c r="B600" s="2" t="s">
        <v>35</v>
      </c>
      <c r="C600" s="46">
        <v>2021</v>
      </c>
      <c r="D600" s="3">
        <v>29.76642</v>
      </c>
      <c r="E600" s="3">
        <v>-93.154330000000002</v>
      </c>
      <c r="F600" s="3">
        <v>0</v>
      </c>
      <c r="G600" s="3">
        <v>0</v>
      </c>
      <c r="H600" s="3" t="s">
        <v>26</v>
      </c>
      <c r="I600" s="43"/>
      <c r="J600" s="55">
        <v>77</v>
      </c>
      <c r="K600" s="4">
        <v>77</v>
      </c>
      <c r="L600" s="22">
        <f>IF(ISNUMBER(Table2[[#This Row],[estHD]]),ABS(Table2[[#This Row],[HD]]-Table2[[#This Row],[estHD]]),"NA")</f>
        <v>0</v>
      </c>
      <c r="M600" s="4" t="b">
        <f>Table2[[#This Row],[HD]]=Table2[[#This Row],[estHD]]</f>
        <v>1</v>
      </c>
      <c r="N600" s="4" t="str">
        <f>IF(ISNUMBER([1]!Table2[[#This Row],[hatch_date]]),[1]!Table2[[#This Row],[hatch_date]]-19,"NA")</f>
        <v>NA</v>
      </c>
      <c r="O600" s="31">
        <v>58</v>
      </c>
      <c r="P600" s="23" t="e">
        <f>IF(ISNUMBER(Table2[[#This Row],[nest_age1]]),ABS(Table2[[#This Row],[nest_age1]]-Table2[[#This Row],[nest_age_feb]]),"NA")</f>
        <v>#VALUE!</v>
      </c>
      <c r="Q600" s="24">
        <f>IF(ISNUMBER(Table2[[#This Row],[final_obs_int2]]),ABS(Table2[[#This Row],[final_obs_int2]]-Table2[[#This Row],[final_obs_int_feb]]), "NA")</f>
        <v>0</v>
      </c>
      <c r="R600" s="24"/>
      <c r="S600" s="57" t="s">
        <v>88</v>
      </c>
      <c r="T600" s="57" t="str">
        <f>Table2[[#This Row],[camera_old]]</f>
        <v>N</v>
      </c>
      <c r="U600" s="24"/>
      <c r="V600" s="16" t="s">
        <v>24</v>
      </c>
      <c r="W600" s="16" t="s">
        <v>24</v>
      </c>
      <c r="X600" s="145">
        <v>4</v>
      </c>
      <c r="Y600" s="148" t="s">
        <v>48</v>
      </c>
      <c r="Z600" s="146" t="s">
        <v>48</v>
      </c>
      <c r="AA600" s="4" t="str">
        <f>Table2[[#This Row],[field_fate]]</f>
        <v>F</v>
      </c>
      <c r="AB600" s="4" t="str">
        <f>Table2[[#This Row],[field_fate2]]</f>
        <v>F</v>
      </c>
      <c r="AC600" s="4" t="str">
        <f>Table2[[#This Row],[field_fate3]]</f>
        <v>F</v>
      </c>
      <c r="AD600" s="4" t="str">
        <f>Table2[[#This Row],[field_fate4]]</f>
        <v>F</v>
      </c>
      <c r="AE600" s="4" t="str">
        <f>Table2[[#This Row],[field_fate5]]</f>
        <v>F</v>
      </c>
      <c r="AF600" s="4" t="str">
        <f>Table2[[#This Row],[field_fate5]]</f>
        <v>F</v>
      </c>
      <c r="AG600" s="4" t="str">
        <f>Table2[[#This Row],[field_fate5]]</f>
        <v>F</v>
      </c>
      <c r="AH600" s="4" t="str">
        <f>Table2[[#This Row],[field_fate2]]</f>
        <v>F</v>
      </c>
      <c r="AI600" s="4" t="str">
        <f>Table2[[#This Row],[field_fate8]]</f>
        <v>F</v>
      </c>
      <c r="AJ600" s="4" t="str">
        <f>Table2[[#This Row],[field_fate10]]</f>
        <v>F</v>
      </c>
      <c r="AK600" s="4" t="b">
        <f>Table2[[#This Row],[field_fate_feb]]=Table2[[#This Row],[field_fate10]]</f>
        <v>1</v>
      </c>
      <c r="AL600" s="43" t="s">
        <v>24</v>
      </c>
      <c r="AM600" s="43" t="b">
        <f>Table2[[#This Row],[cam_fate2]]="NA"</f>
        <v>1</v>
      </c>
      <c r="AN600" s="19" t="str">
        <f>Table2[[#This Row],[cam_fate1]]</f>
        <v>NA</v>
      </c>
      <c r="AO600" s="2" t="s">
        <v>48</v>
      </c>
      <c r="AP600" s="5" t="str">
        <f>Table2[[#This Row],[final_fate1]]</f>
        <v>F</v>
      </c>
      <c r="AQ600" s="6">
        <v>11</v>
      </c>
      <c r="AR600" s="7">
        <v>11</v>
      </c>
      <c r="AS600" s="7">
        <f>Table2[[#This Row],[final_obs_date]]-Table2[[#This Row],[init_date]]</f>
        <v>11</v>
      </c>
      <c r="AT600" s="7">
        <f>(Table2[[#This Row],[final_obs_date2]]-Table2[[#This Row],[estHD]])+16</f>
        <v>8</v>
      </c>
      <c r="AU600" s="38">
        <v>4</v>
      </c>
      <c r="AV600" s="33">
        <v>4</v>
      </c>
      <c r="AW600" s="33">
        <f>Table2[[#This Row],[final_obs_date2]]-Table2[[#This Row],[pen_obs_date]]</f>
        <v>69</v>
      </c>
      <c r="AX600" s="67">
        <v>69</v>
      </c>
      <c r="AY600" s="6">
        <f>Table2[[#This Row],[final_obs_date]]</f>
        <v>69</v>
      </c>
      <c r="AZ600" s="6"/>
      <c r="BA600" s="91" t="s">
        <v>47</v>
      </c>
      <c r="BB600" s="6" t="b">
        <f>Table2[[#This Row],[final_obs_date]]&lt;(Table2[[#This Row],[estHD]]-2)</f>
        <v>1</v>
      </c>
      <c r="BC600" s="24">
        <f>IF(Table2[[#This Row],[field_fate]]="H",1,0)</f>
        <v>0</v>
      </c>
      <c r="BD600" s="16">
        <f>IF(Table2[[#This Row],[cam_fate2]]="H",1,0)</f>
        <v>0</v>
      </c>
      <c r="BE600" s="6" t="b">
        <f>NOT(Table2[[#This Row],[HF_C]]=Table2[[#This Row],[HF]])</f>
        <v>0</v>
      </c>
      <c r="BF600" s="6" t="b">
        <f>NOT(Table2[[#This Row],[cam_fate2]]=Table2[[#This Row],[field_fate3]])</f>
        <v>1</v>
      </c>
      <c r="BG600" s="6" t="b">
        <f>OR(Table2[[#This Row],[field_fate3]]="U",Table2[[#This Row],[field_fate3]]="U-H")</f>
        <v>0</v>
      </c>
      <c r="BH600" s="8">
        <v>65</v>
      </c>
      <c r="BI600" s="8">
        <v>65</v>
      </c>
      <c r="BJ600" s="14">
        <f>IF(ISTEXT(Table2[[#This Row],[j.cam]]),Table2[[#This Row],[j]],Table2[[#This Row],[j.cam]])</f>
        <v>65</v>
      </c>
      <c r="BK600" s="9">
        <v>69</v>
      </c>
      <c r="BL600" s="15">
        <f>IF(ISTEXT(Table2[[#This Row],[k.cam]]), Table2[[#This Row],[k]], Table2[[#This Row],[k.cam]])</f>
        <v>69</v>
      </c>
      <c r="BM600" s="4" t="s">
        <v>24</v>
      </c>
      <c r="BN600" s="8" t="s">
        <v>24</v>
      </c>
      <c r="BO600" s="4">
        <v>2</v>
      </c>
      <c r="BP600" s="4">
        <f>Table2[[#This Row],[final_obs_date]]-Table2[[#This Row],[i]]</f>
        <v>4</v>
      </c>
      <c r="BQ600" s="4" t="b">
        <f>Table2[[#This Row],[final_obs_date2]]&gt;Table2[[#This Row],[estHD]]+3</f>
        <v>0</v>
      </c>
      <c r="BR600" s="4" t="s">
        <v>27</v>
      </c>
      <c r="BS600" s="4" t="s">
        <v>45</v>
      </c>
      <c r="BT600" s="79" t="s">
        <v>1345</v>
      </c>
      <c r="BU600" s="26" t="s">
        <v>183</v>
      </c>
      <c r="BV600" s="79" t="s">
        <v>1429</v>
      </c>
      <c r="BW600" s="49"/>
      <c r="BX600" s="47"/>
      <c r="BY600" s="36" t="s">
        <v>842</v>
      </c>
    </row>
    <row r="601" spans="1:77" hidden="1" x14ac:dyDescent="0.35">
      <c r="A601" s="64">
        <v>30130</v>
      </c>
      <c r="B601" s="2" t="s">
        <v>122</v>
      </c>
      <c r="C601" s="46">
        <v>2021</v>
      </c>
      <c r="D601" s="3">
        <v>29.75797</v>
      </c>
      <c r="E601" s="3">
        <v>-93.116780000000006</v>
      </c>
      <c r="F601" s="3">
        <v>0</v>
      </c>
      <c r="G601" s="3">
        <v>0</v>
      </c>
      <c r="H601" s="3" t="s">
        <v>354</v>
      </c>
      <c r="I601" s="43"/>
      <c r="J601" s="55">
        <v>69</v>
      </c>
      <c r="K601" s="4">
        <v>69</v>
      </c>
      <c r="L601" s="22">
        <f>IF(ISNUMBER(Table2[[#This Row],[estHD]]),ABS(Table2[[#This Row],[HD]]-Table2[[#This Row],[estHD]]),"NA")</f>
        <v>0</v>
      </c>
      <c r="M601" s="4" t="b">
        <f>Table2[[#This Row],[HD]]=Table2[[#This Row],[estHD]]</f>
        <v>1</v>
      </c>
      <c r="N601" s="4" t="str">
        <f>IF(ISNUMBER([1]!Table2[[#This Row],[hatch_date]]),[1]!Table2[[#This Row],[hatch_date]]-19,"NA")</f>
        <v>NA</v>
      </c>
      <c r="O601" s="31">
        <v>50</v>
      </c>
      <c r="P601" s="23" t="e">
        <f>IF(ISNUMBER(Table2[[#This Row],[nest_age1]]),ABS(Table2[[#This Row],[nest_age1]]-Table2[[#This Row],[nest_age_feb]]),"NA")</f>
        <v>#VALUE!</v>
      </c>
      <c r="Q601" s="24">
        <f>IF(ISNUMBER(Table2[[#This Row],[final_obs_int2]]),ABS(Table2[[#This Row],[final_obs_int2]]-Table2[[#This Row],[final_obs_int_feb]]), "NA")</f>
        <v>0</v>
      </c>
      <c r="R601" s="24"/>
      <c r="S601" s="57" t="s">
        <v>88</v>
      </c>
      <c r="T601" s="57" t="str">
        <f>Table2[[#This Row],[camera_old]]</f>
        <v>N</v>
      </c>
      <c r="U601" s="24"/>
      <c r="V601" s="16" t="s">
        <v>24</v>
      </c>
      <c r="W601" s="16" t="s">
        <v>24</v>
      </c>
      <c r="X601" s="145">
        <v>3</v>
      </c>
      <c r="Y601" s="147" t="s">
        <v>90</v>
      </c>
      <c r="Z601" s="146" t="s">
        <v>104</v>
      </c>
      <c r="AA601" s="4" t="str">
        <f>Table2[[#This Row],[field_fate]]</f>
        <v>U-H</v>
      </c>
      <c r="AB601" s="4" t="str">
        <f>Table2[[#This Row],[field_fate2]]</f>
        <v>U-H</v>
      </c>
      <c r="AC601" s="4" t="str">
        <f>Table2[[#This Row],[field_fate3]]</f>
        <v>U-H</v>
      </c>
      <c r="AD601" s="4" t="str">
        <f>Table2[[#This Row],[field_fate4]]</f>
        <v>U-H</v>
      </c>
      <c r="AE601" s="4" t="str">
        <f>Table2[[#This Row],[field_fate5]]</f>
        <v>U-H</v>
      </c>
      <c r="AF601" s="4" t="str">
        <f>Table2[[#This Row],[field_fate5]]</f>
        <v>U-H</v>
      </c>
      <c r="AG601" s="4" t="str">
        <f>Table2[[#This Row],[field_fate5]]</f>
        <v>U-H</v>
      </c>
      <c r="AH601" s="4" t="str">
        <f>Table2[[#This Row],[field_fate2]]</f>
        <v>U-H</v>
      </c>
      <c r="AI601" s="4" t="str">
        <f>Table2[[#This Row],[field_fate8]]</f>
        <v>U-H</v>
      </c>
      <c r="AJ601" s="4" t="str">
        <f>Table2[[#This Row],[field_fate10]]</f>
        <v>U-H</v>
      </c>
      <c r="AK601" s="4" t="b">
        <f>Table2[[#This Row],[field_fate_feb]]=Table2[[#This Row],[field_fate10]]</f>
        <v>0</v>
      </c>
      <c r="AL601" s="43" t="s">
        <v>24</v>
      </c>
      <c r="AM601" s="43" t="b">
        <f>Table2[[#This Row],[cam_fate2]]="NA"</f>
        <v>1</v>
      </c>
      <c r="AN601" s="19" t="str">
        <f>Table2[[#This Row],[cam_fate1]]</f>
        <v>NA</v>
      </c>
      <c r="AO601" s="2" t="s">
        <v>104</v>
      </c>
      <c r="AP601" s="5" t="str">
        <f>Table2[[#This Row],[final_fate1]]</f>
        <v>U-H</v>
      </c>
      <c r="AQ601" s="6">
        <v>22</v>
      </c>
      <c r="AR601" s="7">
        <v>22</v>
      </c>
      <c r="AS601" s="7">
        <f>Table2[[#This Row],[final_obs_date]]-Table2[[#This Row],[init_date]]</f>
        <v>22</v>
      </c>
      <c r="AT601" s="7">
        <f>(Table2[[#This Row],[final_obs_date2]]-Table2[[#This Row],[estHD]])+16</f>
        <v>19</v>
      </c>
      <c r="AU601" s="38">
        <v>3</v>
      </c>
      <c r="AV601" s="33">
        <v>3</v>
      </c>
      <c r="AW601" s="33">
        <f>Table2[[#This Row],[final_obs_date2]]-Table2[[#This Row],[pen_obs_date]]</f>
        <v>72</v>
      </c>
      <c r="AX601" s="67">
        <v>72</v>
      </c>
      <c r="AY601" s="6">
        <f>Table2[[#This Row],[final_obs_date]]</f>
        <v>72</v>
      </c>
      <c r="AZ601" s="6"/>
      <c r="BA601" s="91" t="s">
        <v>47</v>
      </c>
      <c r="BB601" s="6" t="b">
        <f>Table2[[#This Row],[final_obs_date]]&lt;(Table2[[#This Row],[estHD]]-2)</f>
        <v>0</v>
      </c>
      <c r="BC601" s="24">
        <f>IF(Table2[[#This Row],[field_fate]]="H",1,0)</f>
        <v>0</v>
      </c>
      <c r="BD601" s="16">
        <f>IF(Table2[[#This Row],[cam_fate2]]="H",1,0)</f>
        <v>0</v>
      </c>
      <c r="BE601" s="6" t="b">
        <f>NOT(Table2[[#This Row],[HF_C]]=Table2[[#This Row],[HF]])</f>
        <v>0</v>
      </c>
      <c r="BF601" s="6" t="b">
        <f>NOT(Table2[[#This Row],[cam_fate2]]=Table2[[#This Row],[field_fate3]])</f>
        <v>1</v>
      </c>
      <c r="BG601" s="6" t="b">
        <f>OR(Table2[[#This Row],[field_fate3]]="U",Table2[[#This Row],[field_fate3]]="U-H")</f>
        <v>1</v>
      </c>
      <c r="BH601" s="8">
        <v>65</v>
      </c>
      <c r="BI601" s="8">
        <v>69</v>
      </c>
      <c r="BJ601" s="14">
        <f>IF(ISTEXT(Table2[[#This Row],[j.cam]]),Table2[[#This Row],[j]],Table2[[#This Row],[j.cam]])</f>
        <v>69</v>
      </c>
      <c r="BK601" s="9">
        <v>72</v>
      </c>
      <c r="BL601" s="15">
        <f>IF(ISTEXT(Table2[[#This Row],[k.cam]]), Table2[[#This Row],[k]], Table2[[#This Row],[k.cam]])</f>
        <v>72</v>
      </c>
      <c r="BM601" s="4" t="s">
        <v>24</v>
      </c>
      <c r="BN601" s="8" t="s">
        <v>24</v>
      </c>
      <c r="BO601" s="4">
        <v>3</v>
      </c>
      <c r="BP601" s="4">
        <f>Table2[[#This Row],[final_obs_date]]-Table2[[#This Row],[i]]</f>
        <v>7</v>
      </c>
      <c r="BQ601" s="4" t="b">
        <f>Table2[[#This Row],[final_obs_date2]]&gt;Table2[[#This Row],[estHD]]+3</f>
        <v>0</v>
      </c>
      <c r="BR601" s="4" t="s">
        <v>27</v>
      </c>
      <c r="BS601" s="4" t="s">
        <v>45</v>
      </c>
      <c r="BT601" s="79" t="s">
        <v>1369</v>
      </c>
      <c r="BU601" s="26" t="s">
        <v>170</v>
      </c>
      <c r="BV601" s="79" t="s">
        <v>1450</v>
      </c>
      <c r="BW601" s="49"/>
      <c r="BX601" s="47"/>
      <c r="BY601" s="36" t="s">
        <v>843</v>
      </c>
    </row>
    <row r="602" spans="1:77" hidden="1" x14ac:dyDescent="0.35">
      <c r="A602" s="64">
        <v>30131</v>
      </c>
      <c r="B602" s="2" t="s">
        <v>122</v>
      </c>
      <c r="C602" s="46">
        <v>2021</v>
      </c>
      <c r="D602" s="3">
        <v>29.757429999999999</v>
      </c>
      <c r="E602" s="3">
        <v>-93.113919999999993</v>
      </c>
      <c r="F602" s="3">
        <v>0</v>
      </c>
      <c r="G602" s="3">
        <v>0</v>
      </c>
      <c r="H602" s="3" t="s">
        <v>354</v>
      </c>
      <c r="I602" s="43"/>
      <c r="J602" s="55">
        <v>84</v>
      </c>
      <c r="K602" s="4">
        <v>84</v>
      </c>
      <c r="L602" s="22">
        <f>IF(ISNUMBER(Table2[[#This Row],[estHD]]),ABS(Table2[[#This Row],[HD]]-Table2[[#This Row],[estHD]]),"NA")</f>
        <v>0</v>
      </c>
      <c r="M602" s="4" t="b">
        <f>Table2[[#This Row],[HD]]=Table2[[#This Row],[estHD]]</f>
        <v>1</v>
      </c>
      <c r="N602" s="4" t="str">
        <f>IF(ISNUMBER([1]!Table2[[#This Row],[hatch_date]]),[1]!Table2[[#This Row],[hatch_date]]-19,"NA")</f>
        <v>NA</v>
      </c>
      <c r="O602" s="31">
        <v>65</v>
      </c>
      <c r="P602" s="23">
        <f>IF(ISNUMBER(Table2[[#This Row],[nest_age1]]),ABS(Table2[[#This Row],[nest_age1]]-Table2[[#This Row],[nest_age_feb]]),"NA")</f>
        <v>0</v>
      </c>
      <c r="Q602" s="24">
        <f>IF(ISNUMBER(Table2[[#This Row],[final_obs_int2]]),ABS(Table2[[#This Row],[final_obs_int2]]-Table2[[#This Row],[final_obs_int_feb]]), "NA")</f>
        <v>0</v>
      </c>
      <c r="R602" s="24"/>
      <c r="S602" s="57" t="s">
        <v>88</v>
      </c>
      <c r="T602" s="57" t="str">
        <f>Table2[[#This Row],[camera_old]]</f>
        <v>N</v>
      </c>
      <c r="U602" s="24"/>
      <c r="V602" s="16" t="s">
        <v>24</v>
      </c>
      <c r="W602" s="16">
        <v>12</v>
      </c>
      <c r="X602" s="145">
        <v>5</v>
      </c>
      <c r="Y602" s="149" t="s">
        <v>48</v>
      </c>
      <c r="Z602" s="146" t="s">
        <v>48</v>
      </c>
      <c r="AA602" s="4" t="str">
        <f>Table2[[#This Row],[field_fate]]</f>
        <v>F</v>
      </c>
      <c r="AB602" s="4" t="str">
        <f>Table2[[#This Row],[field_fate2]]</f>
        <v>F</v>
      </c>
      <c r="AC602" s="4" t="str">
        <f>Table2[[#This Row],[field_fate3]]</f>
        <v>F</v>
      </c>
      <c r="AD602" s="4" t="str">
        <f>Table2[[#This Row],[field_fate4]]</f>
        <v>F</v>
      </c>
      <c r="AE602" s="4" t="str">
        <f>Table2[[#This Row],[field_fate5]]</f>
        <v>F</v>
      </c>
      <c r="AF602" s="4" t="str">
        <f>Table2[[#This Row],[field_fate5]]</f>
        <v>F</v>
      </c>
      <c r="AG602" s="4" t="str">
        <f>Table2[[#This Row],[field_fate5]]</f>
        <v>F</v>
      </c>
      <c r="AH602" s="4" t="str">
        <f>Table2[[#This Row],[field_fate2]]</f>
        <v>F</v>
      </c>
      <c r="AI602" s="4" t="str">
        <f>Table2[[#This Row],[field_fate8]]</f>
        <v>F</v>
      </c>
      <c r="AJ602" s="4" t="str">
        <f>Table2[[#This Row],[field_fate10]]</f>
        <v>F</v>
      </c>
      <c r="AK602" s="4" t="b">
        <f>Table2[[#This Row],[field_fate_feb]]=Table2[[#This Row],[field_fate10]]</f>
        <v>1</v>
      </c>
      <c r="AL602" s="43" t="s">
        <v>24</v>
      </c>
      <c r="AM602" s="43" t="b">
        <f>Table2[[#This Row],[cam_fate2]]="NA"</f>
        <v>1</v>
      </c>
      <c r="AN602" s="19" t="str">
        <f>Table2[[#This Row],[cam_fate1]]</f>
        <v>NA</v>
      </c>
      <c r="AO602" s="2" t="s">
        <v>48</v>
      </c>
      <c r="AP602" s="5" t="str">
        <f>Table2[[#This Row],[final_fate1]]</f>
        <v>F</v>
      </c>
      <c r="AQ602" s="6">
        <v>12</v>
      </c>
      <c r="AR602" s="7">
        <v>12</v>
      </c>
      <c r="AS602" s="7">
        <f>Table2[[#This Row],[final_obs_date]]-Table2[[#This Row],[init_date]]</f>
        <v>12</v>
      </c>
      <c r="AT602" s="7">
        <f>(Table2[[#This Row],[final_obs_date2]]-Table2[[#This Row],[estHD]])+16</f>
        <v>9</v>
      </c>
      <c r="AU602" s="38">
        <v>5</v>
      </c>
      <c r="AV602" s="33">
        <v>5</v>
      </c>
      <c r="AW602" s="33">
        <f>Table2[[#This Row],[final_obs_date2]]-Table2[[#This Row],[pen_obs_date]]</f>
        <v>77</v>
      </c>
      <c r="AX602" s="67">
        <v>77</v>
      </c>
      <c r="AY602" s="6">
        <f>Table2[[#This Row],[final_obs_date]]</f>
        <v>77</v>
      </c>
      <c r="AZ602" s="6"/>
      <c r="BA602" s="91" t="s">
        <v>47</v>
      </c>
      <c r="BB602" s="6" t="b">
        <f>Table2[[#This Row],[final_obs_date]]&lt;(Table2[[#This Row],[estHD]]-2)</f>
        <v>1</v>
      </c>
      <c r="BC602" s="24">
        <f>IF(Table2[[#This Row],[field_fate]]="H",1,0)</f>
        <v>0</v>
      </c>
      <c r="BD602" s="16">
        <f>IF(Table2[[#This Row],[cam_fate2]]="H",1,0)</f>
        <v>0</v>
      </c>
      <c r="BE602" s="6" t="b">
        <f>NOT(Table2[[#This Row],[HF_C]]=Table2[[#This Row],[HF]])</f>
        <v>0</v>
      </c>
      <c r="BF602" s="6" t="b">
        <f>NOT(Table2[[#This Row],[cam_fate2]]=Table2[[#This Row],[field_fate3]])</f>
        <v>1</v>
      </c>
      <c r="BG602" s="6" t="b">
        <f>OR(Table2[[#This Row],[field_fate3]]="U",Table2[[#This Row],[field_fate3]]="U-H")</f>
        <v>0</v>
      </c>
      <c r="BH602" s="8">
        <v>72</v>
      </c>
      <c r="BI602" s="8">
        <v>72</v>
      </c>
      <c r="BJ602" s="14">
        <f>IF(ISTEXT(Table2[[#This Row],[j.cam]]),Table2[[#This Row],[j]],Table2[[#This Row],[j.cam]])</f>
        <v>72</v>
      </c>
      <c r="BK602" s="9">
        <v>77</v>
      </c>
      <c r="BL602" s="15">
        <f>IF(ISTEXT(Table2[[#This Row],[k.cam]]), Table2[[#This Row],[k]], Table2[[#This Row],[k.cam]])</f>
        <v>77</v>
      </c>
      <c r="BM602" s="4" t="s">
        <v>24</v>
      </c>
      <c r="BN602" s="8" t="s">
        <v>24</v>
      </c>
      <c r="BO602" s="4">
        <v>2</v>
      </c>
      <c r="BP602" s="4">
        <f>Table2[[#This Row],[final_obs_date]]-Table2[[#This Row],[i]]</f>
        <v>5</v>
      </c>
      <c r="BQ602" s="4" t="b">
        <f>Table2[[#This Row],[final_obs_date2]]&gt;Table2[[#This Row],[estHD]]+3</f>
        <v>0</v>
      </c>
      <c r="BR602" s="4" t="s">
        <v>33</v>
      </c>
      <c r="BS602" s="4" t="s">
        <v>45</v>
      </c>
      <c r="BT602" s="79" t="s">
        <v>1350</v>
      </c>
      <c r="BU602" s="26" t="s">
        <v>87</v>
      </c>
      <c r="BV602" s="79" t="s">
        <v>1464</v>
      </c>
      <c r="BW602" s="49"/>
      <c r="BX602" s="47"/>
      <c r="BY602" s="36" t="s">
        <v>24</v>
      </c>
    </row>
    <row r="603" spans="1:77" hidden="1" x14ac:dyDescent="0.35">
      <c r="A603" s="64">
        <v>30132</v>
      </c>
      <c r="B603" s="2" t="s">
        <v>157</v>
      </c>
      <c r="C603" s="46">
        <v>2021</v>
      </c>
      <c r="D603" s="3">
        <v>29.765090000000001</v>
      </c>
      <c r="E603" s="3">
        <v>-93.374219999999994</v>
      </c>
      <c r="F603" s="3">
        <v>0</v>
      </c>
      <c r="G603" s="3">
        <v>0</v>
      </c>
      <c r="H603" s="3" t="s">
        <v>354</v>
      </c>
      <c r="I603" s="43"/>
      <c r="J603" s="55">
        <v>91</v>
      </c>
      <c r="K603" s="4">
        <v>91</v>
      </c>
      <c r="L603" s="22">
        <f>IF(ISNUMBER(Table2[[#This Row],[estHD]]),ABS(Table2[[#This Row],[HD]]-Table2[[#This Row],[estHD]]),"NA")</f>
        <v>0</v>
      </c>
      <c r="M603" s="4" t="b">
        <f>Table2[[#This Row],[HD]]=Table2[[#This Row],[estHD]]</f>
        <v>1</v>
      </c>
      <c r="N603" s="4" t="str">
        <f>IF(ISNUMBER([1]!Table2[[#This Row],[hatch_date]]),[1]!Table2[[#This Row],[hatch_date]]-19,"NA")</f>
        <v>NA</v>
      </c>
      <c r="O603" s="31">
        <v>72</v>
      </c>
      <c r="P603" s="23">
        <f>IF(ISNUMBER(Table2[[#This Row],[nest_age1]]),ABS(Table2[[#This Row],[nest_age1]]-Table2[[#This Row],[nest_age_feb]]),"NA")</f>
        <v>0</v>
      </c>
      <c r="Q603" s="24">
        <f>IF(ISNUMBER(Table2[[#This Row],[final_obs_int2]]),ABS(Table2[[#This Row],[final_obs_int2]]-Table2[[#This Row],[final_obs_int_feb]]), "NA")</f>
        <v>0</v>
      </c>
      <c r="R603" s="24"/>
      <c r="S603" s="57" t="s">
        <v>88</v>
      </c>
      <c r="T603" s="57" t="str">
        <f>Table2[[#This Row],[camera_old]]</f>
        <v>N</v>
      </c>
      <c r="U603" s="24"/>
      <c r="V603" s="16" t="s">
        <v>24</v>
      </c>
      <c r="W603" s="16">
        <v>15</v>
      </c>
      <c r="X603" s="145">
        <v>8</v>
      </c>
      <c r="Y603" s="148" t="s">
        <v>48</v>
      </c>
      <c r="Z603" s="146" t="s">
        <v>48</v>
      </c>
      <c r="AA603" s="4" t="str">
        <f>Table2[[#This Row],[field_fate]]</f>
        <v>F</v>
      </c>
      <c r="AB603" s="4" t="str">
        <f>Table2[[#This Row],[field_fate2]]</f>
        <v>F</v>
      </c>
      <c r="AC603" s="4" t="str">
        <f>Table2[[#This Row],[field_fate3]]</f>
        <v>F</v>
      </c>
      <c r="AD603" s="4" t="str">
        <f>Table2[[#This Row],[field_fate4]]</f>
        <v>F</v>
      </c>
      <c r="AE603" s="4" t="str">
        <f>Table2[[#This Row],[field_fate5]]</f>
        <v>F</v>
      </c>
      <c r="AF603" s="4" t="str">
        <f>Table2[[#This Row],[field_fate5]]</f>
        <v>F</v>
      </c>
      <c r="AG603" s="4" t="str">
        <f>Table2[[#This Row],[field_fate5]]</f>
        <v>F</v>
      </c>
      <c r="AH603" s="4" t="str">
        <f>Table2[[#This Row],[field_fate2]]</f>
        <v>F</v>
      </c>
      <c r="AI603" s="4" t="str">
        <f>Table2[[#This Row],[field_fate8]]</f>
        <v>F</v>
      </c>
      <c r="AJ603" s="4" t="str">
        <f>Table2[[#This Row],[field_fate10]]</f>
        <v>F</v>
      </c>
      <c r="AK603" s="4" t="b">
        <f>Table2[[#This Row],[field_fate_feb]]=Table2[[#This Row],[field_fate10]]</f>
        <v>1</v>
      </c>
      <c r="AL603" s="43" t="s">
        <v>24</v>
      </c>
      <c r="AM603" s="43" t="b">
        <f>Table2[[#This Row],[cam_fate2]]="NA"</f>
        <v>1</v>
      </c>
      <c r="AN603" s="19" t="str">
        <f>Table2[[#This Row],[cam_fate1]]</f>
        <v>NA</v>
      </c>
      <c r="AO603" s="2" t="s">
        <v>48</v>
      </c>
      <c r="AP603" s="5" t="str">
        <f>Table2[[#This Row],[final_fate1]]</f>
        <v>F</v>
      </c>
      <c r="AQ603" s="6">
        <v>15</v>
      </c>
      <c r="AR603" s="7">
        <v>15</v>
      </c>
      <c r="AS603" s="7">
        <f>Table2[[#This Row],[final_obs_date]]-Table2[[#This Row],[init_date]]</f>
        <v>15</v>
      </c>
      <c r="AT603" s="7">
        <f>(Table2[[#This Row],[final_obs_date2]]-Table2[[#This Row],[estHD]])+16</f>
        <v>12</v>
      </c>
      <c r="AU603" s="38">
        <v>8</v>
      </c>
      <c r="AV603" s="33">
        <v>8</v>
      </c>
      <c r="AW603" s="33">
        <f>Table2[[#This Row],[final_obs_date2]]-Table2[[#This Row],[pen_obs_date]]</f>
        <v>87</v>
      </c>
      <c r="AX603" s="67">
        <v>87</v>
      </c>
      <c r="AY603" s="6">
        <f>Table2[[#This Row],[final_obs_date]]</f>
        <v>87</v>
      </c>
      <c r="AZ603" s="6"/>
      <c r="BA603" s="91" t="s">
        <v>47</v>
      </c>
      <c r="BB603" s="6" t="b">
        <f>Table2[[#This Row],[final_obs_date]]&lt;(Table2[[#This Row],[estHD]]-2)</f>
        <v>1</v>
      </c>
      <c r="BC603" s="24">
        <f>IF(Table2[[#This Row],[field_fate]]="H",1,0)</f>
        <v>0</v>
      </c>
      <c r="BD603" s="16">
        <f>IF(Table2[[#This Row],[cam_fate2]]="H",1,0)</f>
        <v>0</v>
      </c>
      <c r="BE603" s="6" t="b">
        <f>NOT(Table2[[#This Row],[HF_C]]=Table2[[#This Row],[HF]])</f>
        <v>0</v>
      </c>
      <c r="BF603" s="6" t="b">
        <f>NOT(Table2[[#This Row],[cam_fate2]]=Table2[[#This Row],[field_fate3]])</f>
        <v>1</v>
      </c>
      <c r="BG603" s="6" t="b">
        <f>OR(Table2[[#This Row],[field_fate3]]="U",Table2[[#This Row],[field_fate3]]="U-H")</f>
        <v>0</v>
      </c>
      <c r="BH603" s="8">
        <v>76</v>
      </c>
      <c r="BI603" s="8">
        <v>79</v>
      </c>
      <c r="BJ603" s="14">
        <f>IF(ISTEXT(Table2[[#This Row],[j.cam]]),Table2[[#This Row],[j]],Table2[[#This Row],[j.cam]])</f>
        <v>79</v>
      </c>
      <c r="BK603" s="9">
        <v>87</v>
      </c>
      <c r="BL603" s="15">
        <f>IF(ISTEXT(Table2[[#This Row],[k.cam]]), Table2[[#This Row],[k]], Table2[[#This Row],[k.cam]])</f>
        <v>87</v>
      </c>
      <c r="BM603" s="4" t="s">
        <v>24</v>
      </c>
      <c r="BN603" s="8" t="s">
        <v>24</v>
      </c>
      <c r="BO603" s="4">
        <v>3</v>
      </c>
      <c r="BP603" s="4">
        <f>Table2[[#This Row],[final_obs_date]]-Table2[[#This Row],[i]]</f>
        <v>11</v>
      </c>
      <c r="BQ603" s="4" t="b">
        <f>Table2[[#This Row],[final_obs_date2]]&gt;Table2[[#This Row],[estHD]]+3</f>
        <v>0</v>
      </c>
      <c r="BR603" s="4" t="s">
        <v>58</v>
      </c>
      <c r="BS603" s="4" t="s">
        <v>28</v>
      </c>
      <c r="BT603" s="79" t="s">
        <v>1370</v>
      </c>
      <c r="BU603" s="26" t="s">
        <v>85</v>
      </c>
      <c r="BV603" s="79" t="s">
        <v>1669</v>
      </c>
      <c r="BW603" s="49"/>
      <c r="BX603" s="47"/>
      <c r="BY603" s="36" t="s">
        <v>819</v>
      </c>
    </row>
    <row r="604" spans="1:77" hidden="1" x14ac:dyDescent="0.35">
      <c r="A604" s="64">
        <v>30133</v>
      </c>
      <c r="B604" s="2" t="s">
        <v>122</v>
      </c>
      <c r="C604" s="46">
        <v>2021</v>
      </c>
      <c r="D604" s="3">
        <v>29.758590000000002</v>
      </c>
      <c r="E604" s="3">
        <v>-93.119870000000006</v>
      </c>
      <c r="F604" s="3">
        <v>0</v>
      </c>
      <c r="G604" s="3">
        <v>0</v>
      </c>
      <c r="H604" s="3" t="s">
        <v>354</v>
      </c>
      <c r="I604" s="43"/>
      <c r="J604" s="55">
        <v>92</v>
      </c>
      <c r="K604" s="4">
        <v>92</v>
      </c>
      <c r="L604" s="22">
        <f>IF(ISNUMBER(Table2[[#This Row],[estHD]]),ABS(Table2[[#This Row],[HD]]-Table2[[#This Row],[estHD]]),"NA")</f>
        <v>0</v>
      </c>
      <c r="M604" s="4" t="b">
        <f>Table2[[#This Row],[HD]]=Table2[[#This Row],[estHD]]</f>
        <v>1</v>
      </c>
      <c r="N604" s="4" t="str">
        <f>IF(ISNUMBER([1]!Table2[[#This Row],[hatch_date]]),[1]!Table2[[#This Row],[hatch_date]]-19,"NA")</f>
        <v>NA</v>
      </c>
      <c r="O604" s="31">
        <v>73</v>
      </c>
      <c r="P604" s="23" t="e">
        <f>IF(ISNUMBER(Table2[[#This Row],[nest_age1]]),ABS(Table2[[#This Row],[nest_age1]]-Table2[[#This Row],[nest_age_feb]]),"NA")</f>
        <v>#VALUE!</v>
      </c>
      <c r="Q604" s="24">
        <f>IF(ISNUMBER(Table2[[#This Row],[final_obs_int2]]),ABS(Table2[[#This Row],[final_obs_int2]]-Table2[[#This Row],[final_obs_int_feb]]), "NA")</f>
        <v>0</v>
      </c>
      <c r="R604" s="24"/>
      <c r="S604" s="57" t="s">
        <v>88</v>
      </c>
      <c r="T604" s="57" t="str">
        <f>Table2[[#This Row],[camera_old]]</f>
        <v>N</v>
      </c>
      <c r="U604" s="24"/>
      <c r="V604" s="16" t="s">
        <v>24</v>
      </c>
      <c r="W604" s="16" t="s">
        <v>24</v>
      </c>
      <c r="X604" s="145">
        <v>5</v>
      </c>
      <c r="Y604" s="147" t="s">
        <v>90</v>
      </c>
      <c r="Z604" s="146" t="s">
        <v>104</v>
      </c>
      <c r="AA604" s="4" t="str">
        <f>Table2[[#This Row],[field_fate]]</f>
        <v>U-H</v>
      </c>
      <c r="AB604" s="4" t="str">
        <f>Table2[[#This Row],[field_fate2]]</f>
        <v>U-H</v>
      </c>
      <c r="AC604" s="4" t="str">
        <f>Table2[[#This Row],[field_fate3]]</f>
        <v>U-H</v>
      </c>
      <c r="AD604" s="4" t="str">
        <f>Table2[[#This Row],[field_fate4]]</f>
        <v>U-H</v>
      </c>
      <c r="AE604" s="4" t="str">
        <f>Table2[[#This Row],[field_fate5]]</f>
        <v>U-H</v>
      </c>
      <c r="AF604" s="4" t="str">
        <f>Table2[[#This Row],[field_fate5]]</f>
        <v>U-H</v>
      </c>
      <c r="AG604" s="4" t="str">
        <f>Table2[[#This Row],[field_fate5]]</f>
        <v>U-H</v>
      </c>
      <c r="AH604" s="4" t="str">
        <f>Table2[[#This Row],[field_fate2]]</f>
        <v>U-H</v>
      </c>
      <c r="AI604" s="4" t="str">
        <f>Table2[[#This Row],[field_fate8]]</f>
        <v>U-H</v>
      </c>
      <c r="AJ604" s="4" t="str">
        <f>Table2[[#This Row],[field_fate10]]</f>
        <v>U-H</v>
      </c>
      <c r="AK604" s="4" t="b">
        <f>Table2[[#This Row],[field_fate_feb]]=Table2[[#This Row],[field_fate10]]</f>
        <v>0</v>
      </c>
      <c r="AL604" s="43" t="s">
        <v>24</v>
      </c>
      <c r="AM604" s="43" t="b">
        <f>Table2[[#This Row],[cam_fate2]]="NA"</f>
        <v>1</v>
      </c>
      <c r="AN604" s="19" t="str">
        <f>Table2[[#This Row],[cam_fate1]]</f>
        <v>NA</v>
      </c>
      <c r="AO604" s="2" t="s">
        <v>104</v>
      </c>
      <c r="AP604" s="5" t="str">
        <f>Table2[[#This Row],[final_fate1]]</f>
        <v>U-H</v>
      </c>
      <c r="AQ604" s="6">
        <v>21</v>
      </c>
      <c r="AR604" s="7">
        <v>21</v>
      </c>
      <c r="AS604" s="7">
        <f>Table2[[#This Row],[final_obs_date]]-Table2[[#This Row],[init_date]]</f>
        <v>21</v>
      </c>
      <c r="AT604" s="7">
        <f>(Table2[[#This Row],[final_obs_date2]]-Table2[[#This Row],[estHD]])+16</f>
        <v>18</v>
      </c>
      <c r="AU604" s="38">
        <v>5</v>
      </c>
      <c r="AV604" s="33">
        <v>5</v>
      </c>
      <c r="AW604" s="33">
        <f>Table2[[#This Row],[final_obs_date2]]-Table2[[#This Row],[pen_obs_date]]</f>
        <v>94</v>
      </c>
      <c r="AX604" s="67">
        <v>94</v>
      </c>
      <c r="AY604" s="6">
        <f>Table2[[#This Row],[final_obs_date]]</f>
        <v>94</v>
      </c>
      <c r="AZ604" s="6"/>
      <c r="BA604" s="91" t="s">
        <v>47</v>
      </c>
      <c r="BB604" s="6" t="b">
        <f>Table2[[#This Row],[final_obs_date]]&lt;(Table2[[#This Row],[estHD]]-2)</f>
        <v>0</v>
      </c>
      <c r="BC604" s="24">
        <f>IF(Table2[[#This Row],[field_fate]]="H",1,0)</f>
        <v>0</v>
      </c>
      <c r="BD604" s="16">
        <f>IF(Table2[[#This Row],[cam_fate2]]="H",1,0)</f>
        <v>0</v>
      </c>
      <c r="BE604" s="6" t="b">
        <f>NOT(Table2[[#This Row],[HF_C]]=Table2[[#This Row],[HF]])</f>
        <v>0</v>
      </c>
      <c r="BF604" s="6" t="b">
        <f>NOT(Table2[[#This Row],[cam_fate2]]=Table2[[#This Row],[field_fate3]])</f>
        <v>1</v>
      </c>
      <c r="BG604" s="6" t="b">
        <f>OR(Table2[[#This Row],[field_fate3]]="U",Table2[[#This Row],[field_fate3]]="U-H")</f>
        <v>1</v>
      </c>
      <c r="BH604" s="8">
        <v>77</v>
      </c>
      <c r="BI604" s="8">
        <v>89</v>
      </c>
      <c r="BJ604" s="14">
        <f>IF(ISTEXT(Table2[[#This Row],[j.cam]]),Table2[[#This Row],[j]],Table2[[#This Row],[j.cam]])</f>
        <v>89</v>
      </c>
      <c r="BK604" s="9">
        <v>94</v>
      </c>
      <c r="BL604" s="15">
        <f>IF(ISTEXT(Table2[[#This Row],[k.cam]]), Table2[[#This Row],[k]], Table2[[#This Row],[k.cam]])</f>
        <v>94</v>
      </c>
      <c r="BM604" s="4" t="s">
        <v>24</v>
      </c>
      <c r="BN604" s="8" t="s">
        <v>24</v>
      </c>
      <c r="BO604" s="4">
        <v>5</v>
      </c>
      <c r="BP604" s="4">
        <f>Table2[[#This Row],[final_obs_date]]-Table2[[#This Row],[i]]</f>
        <v>17</v>
      </c>
      <c r="BQ604" s="4" t="b">
        <f>Table2[[#This Row],[final_obs_date2]]&gt;Table2[[#This Row],[estHD]]+3</f>
        <v>0</v>
      </c>
      <c r="BR604" s="4" t="s">
        <v>33</v>
      </c>
      <c r="BS604" s="4" t="s">
        <v>45</v>
      </c>
      <c r="BT604" s="79" t="s">
        <v>1371</v>
      </c>
      <c r="BU604" s="26" t="s">
        <v>393</v>
      </c>
      <c r="BV604" s="79" t="s">
        <v>1670</v>
      </c>
      <c r="BW604" s="49"/>
      <c r="BX604" s="47"/>
      <c r="BY604" s="36" t="s">
        <v>844</v>
      </c>
    </row>
    <row r="605" spans="1:77" hidden="1" x14ac:dyDescent="0.35">
      <c r="A605" s="64">
        <v>30134</v>
      </c>
      <c r="B605" s="2" t="s">
        <v>122</v>
      </c>
      <c r="C605" s="46">
        <v>2021</v>
      </c>
      <c r="D605" s="3">
        <v>29.756889999999999</v>
      </c>
      <c r="E605" s="3">
        <v>-93.112579999999994</v>
      </c>
      <c r="F605" s="3">
        <v>0</v>
      </c>
      <c r="G605" s="3">
        <v>0</v>
      </c>
      <c r="H605" s="3" t="s">
        <v>354</v>
      </c>
      <c r="I605" s="43"/>
      <c r="J605" s="55">
        <v>81</v>
      </c>
      <c r="K605" s="4">
        <v>81</v>
      </c>
      <c r="L605" s="22">
        <f>IF(ISNUMBER(Table2[[#This Row],[estHD]]),ABS(Table2[[#This Row],[HD]]-Table2[[#This Row],[estHD]]),"NA")</f>
        <v>0</v>
      </c>
      <c r="M605" s="4" t="b">
        <f>Table2[[#This Row],[HD]]=Table2[[#This Row],[estHD]]</f>
        <v>1</v>
      </c>
      <c r="N605" s="4" t="str">
        <f>IF(ISNUMBER([1]!Table2[[#This Row],[hatch_date]]),[1]!Table2[[#This Row],[hatch_date]]-19,"NA")</f>
        <v>NA</v>
      </c>
      <c r="O605" s="31">
        <v>62</v>
      </c>
      <c r="P605" s="23" t="e">
        <f>IF(ISNUMBER(Table2[[#This Row],[nest_age1]]),ABS(Table2[[#This Row],[nest_age1]]-Table2[[#This Row],[nest_age_feb]]),"NA")</f>
        <v>#VALUE!</v>
      </c>
      <c r="Q605" s="24">
        <f>IF(ISNUMBER(Table2[[#This Row],[final_obs_int2]]),ABS(Table2[[#This Row],[final_obs_int2]]-Table2[[#This Row],[final_obs_int_feb]]), "NA")</f>
        <v>0</v>
      </c>
      <c r="R605" s="24"/>
      <c r="S605" s="57" t="s">
        <v>88</v>
      </c>
      <c r="T605" s="57" t="str">
        <f>Table2[[#This Row],[camera_old]]</f>
        <v>N</v>
      </c>
      <c r="U605" s="24"/>
      <c r="V605" s="16" t="s">
        <v>24</v>
      </c>
      <c r="W605" s="16" t="s">
        <v>24</v>
      </c>
      <c r="X605" s="145">
        <v>4</v>
      </c>
      <c r="Y605" s="149" t="s">
        <v>90</v>
      </c>
      <c r="Z605" s="146" t="s">
        <v>90</v>
      </c>
      <c r="AA605" s="4" t="str">
        <f>Table2[[#This Row],[field_fate]]</f>
        <v>U</v>
      </c>
      <c r="AB605" s="4" t="str">
        <f>Table2[[#This Row],[field_fate2]]</f>
        <v>U</v>
      </c>
      <c r="AC605" s="4" t="str">
        <f>Table2[[#This Row],[field_fate3]]</f>
        <v>U</v>
      </c>
      <c r="AD605" s="4" t="str">
        <f>Table2[[#This Row],[field_fate4]]</f>
        <v>U</v>
      </c>
      <c r="AE605" s="4" t="str">
        <f>Table2[[#This Row],[field_fate5]]</f>
        <v>U</v>
      </c>
      <c r="AF605" s="4" t="str">
        <f>Table2[[#This Row],[field_fate5]]</f>
        <v>U</v>
      </c>
      <c r="AG605" s="4" t="str">
        <f>Table2[[#This Row],[field_fate5]]</f>
        <v>U</v>
      </c>
      <c r="AH605" s="4" t="str">
        <f>Table2[[#This Row],[field_fate2]]</f>
        <v>U</v>
      </c>
      <c r="AI605" s="4" t="str">
        <f>Table2[[#This Row],[field_fate8]]</f>
        <v>U</v>
      </c>
      <c r="AJ605" s="4" t="str">
        <f>Table2[[#This Row],[field_fate10]]</f>
        <v>U</v>
      </c>
      <c r="AK605" s="4" t="b">
        <f>Table2[[#This Row],[field_fate_feb]]=Table2[[#This Row],[field_fate10]]</f>
        <v>1</v>
      </c>
      <c r="AL605" s="43" t="s">
        <v>24</v>
      </c>
      <c r="AM605" s="43" t="b">
        <f>Table2[[#This Row],[cam_fate2]]="NA"</f>
        <v>1</v>
      </c>
      <c r="AN605" s="19" t="str">
        <f>Table2[[#This Row],[cam_fate1]]</f>
        <v>NA</v>
      </c>
      <c r="AO605" s="2" t="s">
        <v>90</v>
      </c>
      <c r="AP605" s="5" t="str">
        <f>Table2[[#This Row],[final_fate1]]</f>
        <v>U</v>
      </c>
      <c r="AQ605" s="6">
        <v>19</v>
      </c>
      <c r="AR605" s="7">
        <v>19</v>
      </c>
      <c r="AS605" s="7">
        <f>Table2[[#This Row],[final_obs_date]]-Table2[[#This Row],[init_date]]</f>
        <v>19</v>
      </c>
      <c r="AT605" s="7">
        <f>(Table2[[#This Row],[final_obs_date2]]-Table2[[#This Row],[estHD]])+16</f>
        <v>16</v>
      </c>
      <c r="AU605" s="38">
        <v>4</v>
      </c>
      <c r="AV605" s="33">
        <v>4</v>
      </c>
      <c r="AW605" s="33">
        <f>Table2[[#This Row],[final_obs_date2]]-Table2[[#This Row],[pen_obs_date]]</f>
        <v>81</v>
      </c>
      <c r="AX605" s="67">
        <v>81</v>
      </c>
      <c r="AY605" s="6">
        <f>Table2[[#This Row],[final_obs_date]]</f>
        <v>81</v>
      </c>
      <c r="AZ605" s="6"/>
      <c r="BA605" s="91" t="s">
        <v>47</v>
      </c>
      <c r="BB605" s="6" t="b">
        <f>Table2[[#This Row],[final_obs_date]]&lt;(Table2[[#This Row],[estHD]]-2)</f>
        <v>0</v>
      </c>
      <c r="BC605" s="24">
        <f>IF(Table2[[#This Row],[field_fate]]="H",1,0)</f>
        <v>0</v>
      </c>
      <c r="BD605" s="16">
        <f>IF(Table2[[#This Row],[cam_fate2]]="H",1,0)</f>
        <v>0</v>
      </c>
      <c r="BE605" s="6" t="b">
        <f>NOT(Table2[[#This Row],[HF_C]]=Table2[[#This Row],[HF]])</f>
        <v>0</v>
      </c>
      <c r="BF605" s="6" t="b">
        <f>NOT(Table2[[#This Row],[cam_fate2]]=Table2[[#This Row],[field_fate3]])</f>
        <v>1</v>
      </c>
      <c r="BG605" s="6" t="b">
        <f>OR(Table2[[#This Row],[field_fate3]]="U",Table2[[#This Row],[field_fate3]]="U-H")</f>
        <v>1</v>
      </c>
      <c r="BH605" s="8">
        <v>77</v>
      </c>
      <c r="BI605" s="8">
        <v>77</v>
      </c>
      <c r="BJ605" s="14">
        <f>IF(ISTEXT(Table2[[#This Row],[j.cam]]),Table2[[#This Row],[j]],Table2[[#This Row],[j.cam]])</f>
        <v>77</v>
      </c>
      <c r="BK605" s="9">
        <v>81</v>
      </c>
      <c r="BL605" s="15">
        <f>IF(ISTEXT(Table2[[#This Row],[k.cam]]), Table2[[#This Row],[k]], Table2[[#This Row],[k.cam]])</f>
        <v>81</v>
      </c>
      <c r="BM605" s="4" t="s">
        <v>24</v>
      </c>
      <c r="BN605" s="8" t="s">
        <v>24</v>
      </c>
      <c r="BO605" s="4">
        <v>2</v>
      </c>
      <c r="BP605" s="4">
        <f>Table2[[#This Row],[final_obs_date]]-Table2[[#This Row],[i]]</f>
        <v>4</v>
      </c>
      <c r="BQ605" s="4" t="b">
        <f>Table2[[#This Row],[final_obs_date2]]&gt;Table2[[#This Row],[estHD]]+3</f>
        <v>0</v>
      </c>
      <c r="BR605" s="4" t="s">
        <v>33</v>
      </c>
      <c r="BS605" s="4" t="s">
        <v>45</v>
      </c>
      <c r="BT605" s="79" t="s">
        <v>1352</v>
      </c>
      <c r="BU605" s="26" t="s">
        <v>87</v>
      </c>
      <c r="BV605" s="79" t="s">
        <v>1429</v>
      </c>
      <c r="BW605" s="49"/>
      <c r="BX605" s="47"/>
      <c r="BY605" s="36" t="s">
        <v>845</v>
      </c>
    </row>
    <row r="606" spans="1:77" hidden="1" x14ac:dyDescent="0.35">
      <c r="A606" s="64">
        <v>30135</v>
      </c>
      <c r="B606" s="2" t="s">
        <v>122</v>
      </c>
      <c r="C606" s="46">
        <v>2021</v>
      </c>
      <c r="D606" s="3">
        <v>29.75545</v>
      </c>
      <c r="E606" s="3">
        <v>-93.106669999999994</v>
      </c>
      <c r="F606" s="3">
        <v>0</v>
      </c>
      <c r="G606" s="3">
        <v>0</v>
      </c>
      <c r="H606" s="3" t="s">
        <v>354</v>
      </c>
      <c r="I606" s="43"/>
      <c r="J606" s="55">
        <v>81</v>
      </c>
      <c r="K606" s="4">
        <v>81</v>
      </c>
      <c r="L606" s="22">
        <f>IF(ISNUMBER(Table2[[#This Row],[estHD]]),ABS(Table2[[#This Row],[HD]]-Table2[[#This Row],[estHD]]),"NA")</f>
        <v>0</v>
      </c>
      <c r="M606" s="4" t="b">
        <f>Table2[[#This Row],[HD]]=Table2[[#This Row],[estHD]]</f>
        <v>1</v>
      </c>
      <c r="N606" s="4" t="str">
        <f>IF(ISNUMBER([1]!Table2[[#This Row],[hatch_date]]),[1]!Table2[[#This Row],[hatch_date]]-19,"NA")</f>
        <v>NA</v>
      </c>
      <c r="O606" s="31">
        <v>62</v>
      </c>
      <c r="P606" s="23">
        <f>IF(ISNUMBER(Table2[[#This Row],[nest_age1]]),ABS(Table2[[#This Row],[nest_age1]]-Table2[[#This Row],[nest_age_feb]]),"NA")</f>
        <v>0</v>
      </c>
      <c r="Q606" s="24">
        <f>IF(ISNUMBER(Table2[[#This Row],[final_obs_int2]]),ABS(Table2[[#This Row],[final_obs_int2]]-Table2[[#This Row],[final_obs_int_feb]]), "NA")</f>
        <v>0</v>
      </c>
      <c r="R606" s="24"/>
      <c r="S606" s="57" t="s">
        <v>88</v>
      </c>
      <c r="T606" s="57" t="str">
        <f>Table2[[#This Row],[camera_old]]</f>
        <v>N</v>
      </c>
      <c r="U606" s="24"/>
      <c r="V606" s="16" t="s">
        <v>24</v>
      </c>
      <c r="W606" s="16">
        <v>24</v>
      </c>
      <c r="X606" s="145">
        <v>5</v>
      </c>
      <c r="Y606" s="148" t="s">
        <v>31</v>
      </c>
      <c r="Z606" s="146" t="s">
        <v>31</v>
      </c>
      <c r="AA606" s="4" t="str">
        <f>Table2[[#This Row],[field_fate]]</f>
        <v>D</v>
      </c>
      <c r="AB606" s="4" t="str">
        <f>Table2[[#This Row],[field_fate2]]</f>
        <v>D</v>
      </c>
      <c r="AC606" s="4" t="str">
        <f>Table2[[#This Row],[field_fate3]]</f>
        <v>D</v>
      </c>
      <c r="AD606" s="4" t="str">
        <f>Table2[[#This Row],[field_fate4]]</f>
        <v>D</v>
      </c>
      <c r="AE606" s="4" t="str">
        <f>Table2[[#This Row],[field_fate5]]</f>
        <v>D</v>
      </c>
      <c r="AF606" s="4" t="str">
        <f>Table2[[#This Row],[field_fate5]]</f>
        <v>D</v>
      </c>
      <c r="AG606" s="4" t="str">
        <f>Table2[[#This Row],[field_fate5]]</f>
        <v>D</v>
      </c>
      <c r="AH606" s="4" t="str">
        <f>Table2[[#This Row],[field_fate2]]</f>
        <v>D</v>
      </c>
      <c r="AI606" s="4" t="str">
        <f>Table2[[#This Row],[field_fate8]]</f>
        <v>D</v>
      </c>
      <c r="AJ606" s="4" t="str">
        <f>Table2[[#This Row],[field_fate10]]</f>
        <v>D</v>
      </c>
      <c r="AK606" s="4" t="b">
        <f>Table2[[#This Row],[field_fate_feb]]=Table2[[#This Row],[field_fate10]]</f>
        <v>1</v>
      </c>
      <c r="AL606" s="43" t="s">
        <v>24</v>
      </c>
      <c r="AM606" s="43" t="b">
        <f>Table2[[#This Row],[cam_fate2]]="NA"</f>
        <v>1</v>
      </c>
      <c r="AN606" s="19" t="str">
        <f>Table2[[#This Row],[cam_fate1]]</f>
        <v>NA</v>
      </c>
      <c r="AO606" s="2" t="s">
        <v>31</v>
      </c>
      <c r="AP606" s="5" t="str">
        <f>Table2[[#This Row],[final_fate1]]</f>
        <v>D</v>
      </c>
      <c r="AQ606" s="6">
        <v>24</v>
      </c>
      <c r="AR606" s="7">
        <v>24</v>
      </c>
      <c r="AS606" s="7">
        <f>Table2[[#This Row],[final_obs_date]]-Table2[[#This Row],[init_date]]</f>
        <v>24</v>
      </c>
      <c r="AT606" s="7">
        <f>(Table2[[#This Row],[final_obs_date2]]-Table2[[#This Row],[estHD]])+16</f>
        <v>21</v>
      </c>
      <c r="AU606" s="38">
        <v>5</v>
      </c>
      <c r="AV606" s="33">
        <v>5</v>
      </c>
      <c r="AW606" s="33">
        <f>Table2[[#This Row],[final_obs_date2]]-Table2[[#This Row],[pen_obs_date]]</f>
        <v>86</v>
      </c>
      <c r="AX606" s="67">
        <v>86</v>
      </c>
      <c r="AY606" s="6">
        <f>Table2[[#This Row],[final_obs_date]]</f>
        <v>86</v>
      </c>
      <c r="AZ606" s="6"/>
      <c r="BA606" s="91" t="s">
        <v>47</v>
      </c>
      <c r="BB606" s="6" t="b">
        <f>Table2[[#This Row],[final_obs_date]]&lt;(Table2[[#This Row],[estHD]]-2)</f>
        <v>0</v>
      </c>
      <c r="BC606" s="24">
        <f>IF(Table2[[#This Row],[field_fate]]="H",1,0)</f>
        <v>0</v>
      </c>
      <c r="BD606" s="16">
        <f>IF(Table2[[#This Row],[cam_fate2]]="H",1,0)</f>
        <v>0</v>
      </c>
      <c r="BE606" s="6" t="b">
        <f>NOT(Table2[[#This Row],[HF_C]]=Table2[[#This Row],[HF]])</f>
        <v>0</v>
      </c>
      <c r="BF606" s="6" t="b">
        <f>NOT(Table2[[#This Row],[cam_fate2]]=Table2[[#This Row],[field_fate3]])</f>
        <v>1</v>
      </c>
      <c r="BG606" s="6" t="b">
        <f>OR(Table2[[#This Row],[field_fate3]]="U",Table2[[#This Row],[field_fate3]]="U-H")</f>
        <v>0</v>
      </c>
      <c r="BH606" s="8">
        <v>77</v>
      </c>
      <c r="BI606" s="8">
        <v>81</v>
      </c>
      <c r="BJ606" s="14">
        <f>IF(ISTEXT(Table2[[#This Row],[j.cam]]),Table2[[#This Row],[j]],Table2[[#This Row],[j.cam]])</f>
        <v>81</v>
      </c>
      <c r="BK606" s="9">
        <v>86</v>
      </c>
      <c r="BL606" s="15">
        <f>IF(ISTEXT(Table2[[#This Row],[k.cam]]), Table2[[#This Row],[k]], Table2[[#This Row],[k.cam]])</f>
        <v>86</v>
      </c>
      <c r="BM606" s="4" t="s">
        <v>24</v>
      </c>
      <c r="BN606" s="8" t="s">
        <v>24</v>
      </c>
      <c r="BO606" s="4">
        <v>3</v>
      </c>
      <c r="BP606" s="4">
        <f>Table2[[#This Row],[final_obs_date]]-Table2[[#This Row],[i]]</f>
        <v>9</v>
      </c>
      <c r="BQ606" s="4" t="b">
        <f>Table2[[#This Row],[final_obs_date2]]&gt;Table2[[#This Row],[estHD]]+3</f>
        <v>1</v>
      </c>
      <c r="BR606" s="4" t="s">
        <v>33</v>
      </c>
      <c r="BS606" s="4" t="s">
        <v>365</v>
      </c>
      <c r="BT606" s="79" t="s">
        <v>1372</v>
      </c>
      <c r="BU606" s="26" t="s">
        <v>366</v>
      </c>
      <c r="BV606" s="79" t="s">
        <v>1479</v>
      </c>
      <c r="BW606" s="49"/>
      <c r="BX606" s="47"/>
      <c r="BY606" s="36" t="s">
        <v>24</v>
      </c>
    </row>
    <row r="607" spans="1:77" hidden="1" x14ac:dyDescent="0.35">
      <c r="A607" s="64">
        <v>30136</v>
      </c>
      <c r="B607" s="2" t="s">
        <v>122</v>
      </c>
      <c r="C607" s="46">
        <v>2021</v>
      </c>
      <c r="D607" s="3">
        <v>29.759150000000002</v>
      </c>
      <c r="E607" s="3">
        <v>-93.121949999999998</v>
      </c>
      <c r="F607" s="3">
        <v>0</v>
      </c>
      <c r="G607" s="3">
        <v>0</v>
      </c>
      <c r="H607" s="3" t="s">
        <v>354</v>
      </c>
      <c r="I607" s="43"/>
      <c r="J607" s="55">
        <v>96</v>
      </c>
      <c r="K607" s="4">
        <v>96</v>
      </c>
      <c r="L607" s="22">
        <f>IF(ISNUMBER(Table2[[#This Row],[estHD]]),ABS(Table2[[#This Row],[HD]]-Table2[[#This Row],[estHD]]),"NA")</f>
        <v>0</v>
      </c>
      <c r="M607" s="4" t="b">
        <f>Table2[[#This Row],[HD]]=Table2[[#This Row],[estHD]]</f>
        <v>1</v>
      </c>
      <c r="N607" s="4" t="str">
        <f>IF(ISNUMBER([1]!Table2[[#This Row],[hatch_date]]),[1]!Table2[[#This Row],[hatch_date]]-19,"NA")</f>
        <v>NA</v>
      </c>
      <c r="O607" s="31">
        <v>77</v>
      </c>
      <c r="P607" s="23">
        <f>IF(ISNUMBER(Table2[[#This Row],[nest_age1]]),ABS(Table2[[#This Row],[nest_age1]]-Table2[[#This Row],[nest_age_feb]]),"NA")</f>
        <v>0</v>
      </c>
      <c r="Q607" s="24">
        <f>IF(ISNUMBER(Table2[[#This Row],[final_obs_int2]]),ABS(Table2[[#This Row],[final_obs_int2]]-Table2[[#This Row],[final_obs_int_feb]]), "NA")</f>
        <v>0</v>
      </c>
      <c r="R607" s="24"/>
      <c r="S607" s="57" t="s">
        <v>88</v>
      </c>
      <c r="T607" s="57" t="str">
        <f>Table2[[#This Row],[camera_old]]</f>
        <v>N</v>
      </c>
      <c r="U607" s="24"/>
      <c r="V607" s="16" t="s">
        <v>24</v>
      </c>
      <c r="W607" s="16">
        <v>16</v>
      </c>
      <c r="X607" s="145">
        <v>4</v>
      </c>
      <c r="Y607" s="147" t="s">
        <v>48</v>
      </c>
      <c r="Z607" s="146" t="s">
        <v>94</v>
      </c>
      <c r="AA607" s="4" t="str">
        <f>Table2[[#This Row],[field_fate]]</f>
        <v>U-F</v>
      </c>
      <c r="AB607" s="4" t="str">
        <f>Table2[[#This Row],[field_fate2]]</f>
        <v>U-F</v>
      </c>
      <c r="AC607" s="4" t="str">
        <f>Table2[[#This Row],[field_fate3]]</f>
        <v>U-F</v>
      </c>
      <c r="AD607" s="4" t="str">
        <f>Table2[[#This Row],[field_fate4]]</f>
        <v>U-F</v>
      </c>
      <c r="AE607" s="4" t="str">
        <f>Table2[[#This Row],[field_fate5]]</f>
        <v>U-F</v>
      </c>
      <c r="AF607" s="4" t="str">
        <f>Table2[[#This Row],[field_fate5]]</f>
        <v>U-F</v>
      </c>
      <c r="AG607" s="4" t="str">
        <f>Table2[[#This Row],[field_fate5]]</f>
        <v>U-F</v>
      </c>
      <c r="AH607" s="4" t="str">
        <f>Table2[[#This Row],[field_fate2]]</f>
        <v>U-F</v>
      </c>
      <c r="AI607" s="4" t="str">
        <f>Table2[[#This Row],[field_fate8]]</f>
        <v>U-F</v>
      </c>
      <c r="AJ607" s="4" t="str">
        <f>Table2[[#This Row],[field_fate10]]</f>
        <v>U-F</v>
      </c>
      <c r="AK607" s="4" t="b">
        <f>Table2[[#This Row],[field_fate_feb]]=Table2[[#This Row],[field_fate10]]</f>
        <v>0</v>
      </c>
      <c r="AL607" s="43" t="s">
        <v>24</v>
      </c>
      <c r="AM607" s="43" t="b">
        <f>Table2[[#This Row],[cam_fate2]]="NA"</f>
        <v>1</v>
      </c>
      <c r="AN607" s="19" t="str">
        <f>Table2[[#This Row],[cam_fate1]]</f>
        <v>NA</v>
      </c>
      <c r="AO607" s="2" t="s">
        <v>94</v>
      </c>
      <c r="AP607" s="5" t="str">
        <f>Table2[[#This Row],[final_fate1]]</f>
        <v>U-F</v>
      </c>
      <c r="AQ607" s="6">
        <v>16</v>
      </c>
      <c r="AR607" s="7">
        <v>16</v>
      </c>
      <c r="AS607" s="7">
        <f>Table2[[#This Row],[final_obs_date]]-Table2[[#This Row],[init_date]]</f>
        <v>16</v>
      </c>
      <c r="AT607" s="7">
        <f>(Table2[[#This Row],[final_obs_date2]]-Table2[[#This Row],[estHD]])+16</f>
        <v>13</v>
      </c>
      <c r="AU607" s="38">
        <v>4</v>
      </c>
      <c r="AV607" s="33">
        <v>4</v>
      </c>
      <c r="AW607" s="33">
        <f>Table2[[#This Row],[final_obs_date2]]-Table2[[#This Row],[pen_obs_date]]</f>
        <v>93</v>
      </c>
      <c r="AX607" s="67">
        <v>93</v>
      </c>
      <c r="AY607" s="6">
        <f>Table2[[#This Row],[final_obs_date]]</f>
        <v>93</v>
      </c>
      <c r="AZ607" s="6"/>
      <c r="BA607" s="91" t="s">
        <v>47</v>
      </c>
      <c r="BB607" s="6" t="b">
        <f>Table2[[#This Row],[final_obs_date]]&lt;(Table2[[#This Row],[estHD]]-2)</f>
        <v>1</v>
      </c>
      <c r="BC607" s="24">
        <f>IF(Table2[[#This Row],[field_fate]]="H",1,0)</f>
        <v>0</v>
      </c>
      <c r="BD607" s="16">
        <f>IF(Table2[[#This Row],[cam_fate2]]="H",1,0)</f>
        <v>0</v>
      </c>
      <c r="BE607" s="6" t="b">
        <f>NOT(Table2[[#This Row],[HF_C]]=Table2[[#This Row],[HF]])</f>
        <v>0</v>
      </c>
      <c r="BF607" s="6" t="b">
        <f>NOT(Table2[[#This Row],[cam_fate2]]=Table2[[#This Row],[field_fate3]])</f>
        <v>1</v>
      </c>
      <c r="BG607" s="6" t="b">
        <f>OR(Table2[[#This Row],[field_fate3]]="U",Table2[[#This Row],[field_fate3]]="U-H")</f>
        <v>0</v>
      </c>
      <c r="BH607" s="8">
        <v>89</v>
      </c>
      <c r="BI607" s="8">
        <v>89</v>
      </c>
      <c r="BJ607" s="14">
        <f>IF(ISTEXT(Table2[[#This Row],[j.cam]]),Table2[[#This Row],[j]],Table2[[#This Row],[j.cam]])</f>
        <v>89</v>
      </c>
      <c r="BK607" s="9">
        <v>93</v>
      </c>
      <c r="BL607" s="15">
        <f>IF(ISTEXT(Table2[[#This Row],[k.cam]]), Table2[[#This Row],[k]], Table2[[#This Row],[k.cam]])</f>
        <v>93</v>
      </c>
      <c r="BM607" s="4" t="s">
        <v>24</v>
      </c>
      <c r="BN607" s="8" t="s">
        <v>24</v>
      </c>
      <c r="BO607" s="4">
        <v>4</v>
      </c>
      <c r="BP607" s="4">
        <f>Table2[[#This Row],[final_obs_date]]-Table2[[#This Row],[i]]</f>
        <v>4</v>
      </c>
      <c r="BQ607" s="4" t="b">
        <f>Table2[[#This Row],[final_obs_date2]]&gt;Table2[[#This Row],[estHD]]+3</f>
        <v>0</v>
      </c>
      <c r="BR607" s="4" t="s">
        <v>27</v>
      </c>
      <c r="BS607" s="4" t="s">
        <v>45</v>
      </c>
      <c r="BT607" s="79" t="s">
        <v>1373</v>
      </c>
      <c r="BU607" s="26" t="s">
        <v>89</v>
      </c>
      <c r="BV607" s="79" t="s">
        <v>1671</v>
      </c>
      <c r="BW607" s="49"/>
      <c r="BX607" s="47"/>
      <c r="BY607" s="36" t="s">
        <v>846</v>
      </c>
    </row>
    <row r="608" spans="1:77" hidden="1" x14ac:dyDescent="0.35">
      <c r="A608" s="64">
        <v>30137</v>
      </c>
      <c r="B608" s="2" t="s">
        <v>122</v>
      </c>
      <c r="C608" s="46">
        <v>2021</v>
      </c>
      <c r="D608" s="3">
        <v>29.758430000000001</v>
      </c>
      <c r="E608" s="3">
        <v>-93.119889999999998</v>
      </c>
      <c r="F608" s="3">
        <v>0</v>
      </c>
      <c r="G608" s="3">
        <v>0</v>
      </c>
      <c r="H608" s="3" t="s">
        <v>354</v>
      </c>
      <c r="I608" s="43"/>
      <c r="J608" s="55">
        <v>94</v>
      </c>
      <c r="K608" s="4">
        <v>94</v>
      </c>
      <c r="L608" s="22">
        <f>IF(ISNUMBER(Table2[[#This Row],[estHD]]),ABS(Table2[[#This Row],[HD]]-Table2[[#This Row],[estHD]]),"NA")</f>
        <v>0</v>
      </c>
      <c r="M608" s="4" t="b">
        <f>Table2[[#This Row],[HD]]=Table2[[#This Row],[estHD]]</f>
        <v>1</v>
      </c>
      <c r="N608" s="4" t="str">
        <f>IF(ISNUMBER([1]!Table2[[#This Row],[hatch_date]]),[1]!Table2[[#This Row],[hatch_date]]-19,"NA")</f>
        <v>NA</v>
      </c>
      <c r="O608" s="31">
        <v>75</v>
      </c>
      <c r="P608" s="23">
        <f>IF(ISNUMBER(Table2[[#This Row],[nest_age1]]),ABS(Table2[[#This Row],[nest_age1]]-Table2[[#This Row],[nest_age_feb]]),"NA")</f>
        <v>0</v>
      </c>
      <c r="Q608" s="24">
        <f>IF(ISNUMBER(Table2[[#This Row],[final_obs_int2]]),ABS(Table2[[#This Row],[final_obs_int2]]-Table2[[#This Row],[final_obs_int_feb]]), "NA")</f>
        <v>0</v>
      </c>
      <c r="R608" s="24"/>
      <c r="S608" s="57" t="s">
        <v>88</v>
      </c>
      <c r="T608" s="57" t="str">
        <f>Table2[[#This Row],[camera_old]]</f>
        <v>N</v>
      </c>
      <c r="U608" s="24"/>
      <c r="V608" s="16" t="s">
        <v>24</v>
      </c>
      <c r="W608" s="16">
        <v>18</v>
      </c>
      <c r="X608" s="145">
        <v>4</v>
      </c>
      <c r="Y608" s="149" t="s">
        <v>31</v>
      </c>
      <c r="Z608" s="146" t="s">
        <v>31</v>
      </c>
      <c r="AA608" s="4" t="str">
        <f>Table2[[#This Row],[field_fate]]</f>
        <v>D</v>
      </c>
      <c r="AB608" s="4" t="str">
        <f>Table2[[#This Row],[field_fate2]]</f>
        <v>D</v>
      </c>
      <c r="AC608" s="4" t="str">
        <f>Table2[[#This Row],[field_fate3]]</f>
        <v>D</v>
      </c>
      <c r="AD608" s="4" t="str">
        <f>Table2[[#This Row],[field_fate4]]</f>
        <v>D</v>
      </c>
      <c r="AE608" s="4" t="str">
        <f>Table2[[#This Row],[field_fate5]]</f>
        <v>D</v>
      </c>
      <c r="AF608" s="4" t="str">
        <f>Table2[[#This Row],[field_fate5]]</f>
        <v>D</v>
      </c>
      <c r="AG608" s="4" t="str">
        <f>Table2[[#This Row],[field_fate5]]</f>
        <v>D</v>
      </c>
      <c r="AH608" s="4" t="str">
        <f>Table2[[#This Row],[field_fate2]]</f>
        <v>D</v>
      </c>
      <c r="AI608" s="4" t="str">
        <f>Table2[[#This Row],[field_fate8]]</f>
        <v>D</v>
      </c>
      <c r="AJ608" s="4" t="str">
        <f>Table2[[#This Row],[field_fate10]]</f>
        <v>D</v>
      </c>
      <c r="AK608" s="4" t="b">
        <f>Table2[[#This Row],[field_fate_feb]]=Table2[[#This Row],[field_fate10]]</f>
        <v>1</v>
      </c>
      <c r="AL608" s="43" t="s">
        <v>24</v>
      </c>
      <c r="AM608" s="43" t="b">
        <f>Table2[[#This Row],[cam_fate2]]="NA"</f>
        <v>1</v>
      </c>
      <c r="AN608" s="19" t="str">
        <f>Table2[[#This Row],[cam_fate1]]</f>
        <v>NA</v>
      </c>
      <c r="AO608" s="2" t="s">
        <v>24</v>
      </c>
      <c r="AP608" s="5" t="str">
        <f>Table2[[#This Row],[final_fate1]]</f>
        <v>NA</v>
      </c>
      <c r="AQ608" s="6">
        <v>18</v>
      </c>
      <c r="AR608" s="7">
        <v>18</v>
      </c>
      <c r="AS608" s="7">
        <f>Table2[[#This Row],[final_obs_date]]-Table2[[#This Row],[init_date]]</f>
        <v>18</v>
      </c>
      <c r="AT608" s="7">
        <f>(Table2[[#This Row],[final_obs_date2]]-Table2[[#This Row],[estHD]])+16</f>
        <v>15</v>
      </c>
      <c r="AU608" s="38">
        <v>4</v>
      </c>
      <c r="AV608" s="33">
        <v>4</v>
      </c>
      <c r="AW608" s="33">
        <f>Table2[[#This Row],[final_obs_date2]]-Table2[[#This Row],[pen_obs_date]]</f>
        <v>93</v>
      </c>
      <c r="AX608" s="67">
        <v>93</v>
      </c>
      <c r="AY608" s="6">
        <f>Table2[[#This Row],[final_obs_date]]</f>
        <v>93</v>
      </c>
      <c r="AZ608" s="6"/>
      <c r="BA608" s="91" t="s">
        <v>47</v>
      </c>
      <c r="BB608" s="6" t="b">
        <f>Table2[[#This Row],[final_obs_date]]&lt;(Table2[[#This Row],[estHD]]-2)</f>
        <v>0</v>
      </c>
      <c r="BC608" s="24">
        <f>IF(Table2[[#This Row],[field_fate]]="H",1,0)</f>
        <v>0</v>
      </c>
      <c r="BD608" s="16">
        <f>IF(Table2[[#This Row],[cam_fate2]]="H",1,0)</f>
        <v>0</v>
      </c>
      <c r="BE608" s="6" t="b">
        <f>NOT(Table2[[#This Row],[HF_C]]=Table2[[#This Row],[HF]])</f>
        <v>0</v>
      </c>
      <c r="BF608" s="6" t="b">
        <f>NOT(Table2[[#This Row],[cam_fate2]]=Table2[[#This Row],[field_fate3]])</f>
        <v>1</v>
      </c>
      <c r="BG608" s="6" t="b">
        <f>OR(Table2[[#This Row],[field_fate3]]="U",Table2[[#This Row],[field_fate3]]="U-H")</f>
        <v>0</v>
      </c>
      <c r="BH608" s="8">
        <v>81</v>
      </c>
      <c r="BI608" s="8">
        <v>89</v>
      </c>
      <c r="BJ608" s="14">
        <f>IF(ISTEXT(Table2[[#This Row],[j.cam]]),Table2[[#This Row],[j]],Table2[[#This Row],[j.cam]])</f>
        <v>89</v>
      </c>
      <c r="BK608" s="9">
        <v>93</v>
      </c>
      <c r="BL608" s="15">
        <f>IF(ISTEXT(Table2[[#This Row],[k.cam]]), Table2[[#This Row],[k]], Table2[[#This Row],[k.cam]])</f>
        <v>93</v>
      </c>
      <c r="BM608" s="4" t="s">
        <v>24</v>
      </c>
      <c r="BN608" s="8" t="s">
        <v>24</v>
      </c>
      <c r="BO608" s="4">
        <v>4</v>
      </c>
      <c r="BP608" s="4">
        <f>Table2[[#This Row],[final_obs_date]]-Table2[[#This Row],[i]]</f>
        <v>12</v>
      </c>
      <c r="BQ608" s="4" t="b">
        <f>Table2[[#This Row],[final_obs_date2]]&gt;Table2[[#This Row],[estHD]]+3</f>
        <v>0</v>
      </c>
      <c r="BR608" s="4" t="s">
        <v>33</v>
      </c>
      <c r="BS608" s="4" t="s">
        <v>45</v>
      </c>
      <c r="BT608" s="79" t="s">
        <v>1373</v>
      </c>
      <c r="BU608" s="26" t="s">
        <v>302</v>
      </c>
      <c r="BV608" s="79" t="s">
        <v>1671</v>
      </c>
      <c r="BW608" s="49"/>
      <c r="BX608" s="47"/>
      <c r="BY608" s="36" t="s">
        <v>847</v>
      </c>
    </row>
    <row r="609" spans="1:77" ht="18.5" hidden="1" x14ac:dyDescent="0.35">
      <c r="A609" s="64">
        <v>30138</v>
      </c>
      <c r="B609" s="2" t="s">
        <v>122</v>
      </c>
      <c r="C609" s="46">
        <v>2021</v>
      </c>
      <c r="D609" s="3">
        <v>29.758330000000001</v>
      </c>
      <c r="E609" s="3">
        <v>-93.120760000000004</v>
      </c>
      <c r="F609" s="3">
        <v>0</v>
      </c>
      <c r="G609" s="3">
        <v>0</v>
      </c>
      <c r="H609" s="3" t="s">
        <v>26</v>
      </c>
      <c r="I609" s="43"/>
      <c r="J609" s="55">
        <v>85</v>
      </c>
      <c r="K609" s="4">
        <v>85</v>
      </c>
      <c r="L609" s="22">
        <f>IF(ISNUMBER(Table2[[#This Row],[estHD]]),ABS(Table2[[#This Row],[HD]]-Table2[[#This Row],[estHD]]),"NA")</f>
        <v>0</v>
      </c>
      <c r="M609" s="4" t="b">
        <f>Table2[[#This Row],[HD]]=Table2[[#This Row],[estHD]]</f>
        <v>1</v>
      </c>
      <c r="N609" s="4" t="str">
        <f>IF(ISNUMBER([1]!Table2[[#This Row],[hatch_date]]),[1]!Table2[[#This Row],[hatch_date]]-19,"NA")</f>
        <v>NA</v>
      </c>
      <c r="O609" s="31">
        <v>66</v>
      </c>
      <c r="P609" s="23">
        <f>IF(ISNUMBER(Table2[[#This Row],[nest_age1]]),ABS(Table2[[#This Row],[nest_age1]]-Table2[[#This Row],[nest_age_feb]]),"NA")</f>
        <v>0</v>
      </c>
      <c r="Q609" s="24">
        <f>IF(ISNUMBER(Table2[[#This Row],[final_obs_int2]]),ABS(Table2[[#This Row],[final_obs_int2]]-Table2[[#This Row],[final_obs_int_feb]]), "NA")</f>
        <v>0</v>
      </c>
      <c r="R609" s="24"/>
      <c r="S609" s="57" t="s">
        <v>88</v>
      </c>
      <c r="T609" s="57" t="str">
        <f>Table2[[#This Row],[camera_old]]</f>
        <v>N</v>
      </c>
      <c r="U609" s="24"/>
      <c r="V609" s="16" t="s">
        <v>24</v>
      </c>
      <c r="W609" s="16">
        <v>18</v>
      </c>
      <c r="X609" s="145">
        <v>1</v>
      </c>
      <c r="Y609" s="147" t="s">
        <v>91</v>
      </c>
      <c r="Z609" s="146" t="s">
        <v>91</v>
      </c>
      <c r="AA609" s="4" t="str">
        <f>Table2[[#This Row],[field_fate]]</f>
        <v>Hu</v>
      </c>
      <c r="AB609" s="4" t="str">
        <f>Table2[[#This Row],[field_fate2]]</f>
        <v>Hu</v>
      </c>
      <c r="AC609" s="4" t="str">
        <f>Table2[[#This Row],[field_fate3]]</f>
        <v>Hu</v>
      </c>
      <c r="AD609" s="4" t="str">
        <f>Table2[[#This Row],[field_fate4]]</f>
        <v>Hu</v>
      </c>
      <c r="AE609" s="4" t="str">
        <f>Table2[[#This Row],[field_fate5]]</f>
        <v>Hu</v>
      </c>
      <c r="AF609" s="4" t="str">
        <f>Table2[[#This Row],[field_fate5]]</f>
        <v>Hu</v>
      </c>
      <c r="AG609" s="4" t="str">
        <f>Table2[[#This Row],[field_fate5]]</f>
        <v>Hu</v>
      </c>
      <c r="AH609" s="4" t="str">
        <f>Table2[[#This Row],[field_fate2]]</f>
        <v>Hu</v>
      </c>
      <c r="AI609" s="4" t="str">
        <f>Table2[[#This Row],[field_fate8]]</f>
        <v>Hu</v>
      </c>
      <c r="AJ609" s="4" t="str">
        <f>Table2[[#This Row],[field_fate10]]</f>
        <v>Hu</v>
      </c>
      <c r="AK609" s="4" t="b">
        <f>Table2[[#This Row],[field_fate_feb]]=Table2[[#This Row],[field_fate10]]</f>
        <v>1</v>
      </c>
      <c r="AL609" s="43" t="s">
        <v>24</v>
      </c>
      <c r="AM609" s="43" t="b">
        <f>Table2[[#This Row],[cam_fate2]]="NA"</f>
        <v>1</v>
      </c>
      <c r="AN609" s="19" t="str">
        <f>Table2[[#This Row],[cam_fate1]]</f>
        <v>NA</v>
      </c>
      <c r="AO609" s="2" t="s">
        <v>91</v>
      </c>
      <c r="AP609" s="5" t="str">
        <f>Table2[[#This Row],[final_fate1]]</f>
        <v>Hu</v>
      </c>
      <c r="AQ609" s="6">
        <v>18</v>
      </c>
      <c r="AR609" s="7">
        <v>18</v>
      </c>
      <c r="AS609" s="7">
        <f>Table2[[#This Row],[final_obs_date]]-Table2[[#This Row],[init_date]]</f>
        <v>18</v>
      </c>
      <c r="AT609" s="7">
        <f>(Table2[[#This Row],[final_obs_date2]]-Table2[[#This Row],[estHD]])+16</f>
        <v>15</v>
      </c>
      <c r="AU609" s="38">
        <v>1</v>
      </c>
      <c r="AV609" s="33">
        <v>1</v>
      </c>
      <c r="AW609" s="33">
        <f>Table2[[#This Row],[final_obs_date2]]-Table2[[#This Row],[pen_obs_date]]</f>
        <v>84</v>
      </c>
      <c r="AX609" s="67">
        <v>84</v>
      </c>
      <c r="AY609" s="6">
        <f>Table2[[#This Row],[final_obs_date]]</f>
        <v>84</v>
      </c>
      <c r="AZ609" s="6"/>
      <c r="BA609" s="91" t="s">
        <v>47</v>
      </c>
      <c r="BB609" s="6" t="b">
        <f>Table2[[#This Row],[final_obs_date]]&lt;(Table2[[#This Row],[estHD]]-2)</f>
        <v>0</v>
      </c>
      <c r="BC609" s="24">
        <f>IF(Table2[[#This Row],[field_fate]]="H",1,0)</f>
        <v>0</v>
      </c>
      <c r="BD609" s="16">
        <f>IF(Table2[[#This Row],[cam_fate2]]="H",1,0)</f>
        <v>0</v>
      </c>
      <c r="BE609" s="6" t="b">
        <f>NOT(Table2[[#This Row],[HF_C]]=Table2[[#This Row],[HF]])</f>
        <v>0</v>
      </c>
      <c r="BF609" s="6" t="b">
        <f>NOT(Table2[[#This Row],[cam_fate2]]=Table2[[#This Row],[field_fate3]])</f>
        <v>1</v>
      </c>
      <c r="BG609" s="6" t="b">
        <f>OR(Table2[[#This Row],[field_fate3]]="U",Table2[[#This Row],[field_fate3]]="U-H")</f>
        <v>0</v>
      </c>
      <c r="BH609" s="8">
        <v>81</v>
      </c>
      <c r="BI609" s="8">
        <v>83</v>
      </c>
      <c r="BJ609" s="14">
        <f>IF(ISTEXT(Table2[[#This Row],[j.cam]]),Table2[[#This Row],[j]],Table2[[#This Row],[j.cam]])</f>
        <v>83</v>
      </c>
      <c r="BK609" s="9">
        <v>84</v>
      </c>
      <c r="BL609" s="15">
        <f>IF(ISTEXT(Table2[[#This Row],[k.cam]]), Table2[[#This Row],[k]], Table2[[#This Row],[k.cam]])</f>
        <v>84</v>
      </c>
      <c r="BM609" s="4" t="s">
        <v>24</v>
      </c>
      <c r="BN609" s="8" t="s">
        <v>24</v>
      </c>
      <c r="BO609" s="4">
        <v>3</v>
      </c>
      <c r="BP609" s="4">
        <f>Table2[[#This Row],[final_obs_date]]-Table2[[#This Row],[i]]</f>
        <v>3</v>
      </c>
      <c r="BQ609" s="4" t="b">
        <f>Table2[[#This Row],[final_obs_date2]]&gt;Table2[[#This Row],[estHD]]+3</f>
        <v>0</v>
      </c>
      <c r="BR609" s="4" t="s">
        <v>33</v>
      </c>
      <c r="BS609" s="4" t="s">
        <v>48</v>
      </c>
      <c r="BT609" s="79" t="s">
        <v>1374</v>
      </c>
      <c r="BU609" s="26" t="s">
        <v>394</v>
      </c>
      <c r="BV609" s="79" t="s">
        <v>1672</v>
      </c>
      <c r="BW609" s="49"/>
      <c r="BX609" s="47"/>
      <c r="BY609" s="36" t="s">
        <v>848</v>
      </c>
    </row>
    <row r="610" spans="1:77" hidden="1" x14ac:dyDescent="0.35">
      <c r="A610" s="64">
        <v>30139</v>
      </c>
      <c r="B610" s="2" t="s">
        <v>122</v>
      </c>
      <c r="C610" s="46">
        <v>2021</v>
      </c>
      <c r="D610" s="3">
        <v>29.759209999999999</v>
      </c>
      <c r="E610" s="3">
        <v>-93.121539999999996</v>
      </c>
      <c r="F610" s="3">
        <v>0</v>
      </c>
      <c r="G610" s="3">
        <v>0</v>
      </c>
      <c r="H610" s="3" t="s">
        <v>354</v>
      </c>
      <c r="I610" s="43"/>
      <c r="J610" s="55" t="s">
        <v>24</v>
      </c>
      <c r="K610" s="4" t="s">
        <v>24</v>
      </c>
      <c r="L610" s="22" t="str">
        <f>IF(ISNUMBER(Table2[[#This Row],[estHD]]),ABS(Table2[[#This Row],[HD]]-Table2[[#This Row],[estHD]]),"NA")</f>
        <v>NA</v>
      </c>
      <c r="M610" s="4" t="b">
        <f>Table2[[#This Row],[HD]]=Table2[[#This Row],[estHD]]</f>
        <v>1</v>
      </c>
      <c r="N610" s="4" t="str">
        <f>IF(ISNUMBER([1]!Table2[[#This Row],[hatch_date]]),[1]!Table2[[#This Row],[hatch_date]]-19,"NA")</f>
        <v>NA</v>
      </c>
      <c r="O610" s="31" t="s">
        <v>24</v>
      </c>
      <c r="P610" s="23" t="str">
        <f>IF(ISNUMBER(Table2[[#This Row],[nest_age1]]),ABS(Table2[[#This Row],[nest_age1]]-Table2[[#This Row],[nest_age_feb]]),"NA")</f>
        <v>NA</v>
      </c>
      <c r="Q610" s="24">
        <f>IF(ISNUMBER(Table2[[#This Row],[final_obs_int2]]),ABS(Table2[[#This Row],[final_obs_int2]]-Table2[[#This Row],[final_obs_int_feb]]), "NA")</f>
        <v>0</v>
      </c>
      <c r="R610" s="24"/>
      <c r="S610" s="57" t="s">
        <v>88</v>
      </c>
      <c r="T610" s="57" t="str">
        <f>Table2[[#This Row],[camera_old]]</f>
        <v>N</v>
      </c>
      <c r="U610" s="24"/>
      <c r="V610" s="16" t="s">
        <v>24</v>
      </c>
      <c r="W610" s="16" t="s">
        <v>24</v>
      </c>
      <c r="X610" s="145">
        <v>5</v>
      </c>
      <c r="Y610" s="147" t="s">
        <v>90</v>
      </c>
      <c r="Z610" s="146" t="s">
        <v>90</v>
      </c>
      <c r="AA610" s="4" t="str">
        <f>Table2[[#This Row],[field_fate]]</f>
        <v>U</v>
      </c>
      <c r="AB610" s="4" t="str">
        <f>Table2[[#This Row],[field_fate2]]</f>
        <v>U</v>
      </c>
      <c r="AC610" s="4" t="str">
        <f>Table2[[#This Row],[field_fate3]]</f>
        <v>U</v>
      </c>
      <c r="AD610" s="4" t="str">
        <f>Table2[[#This Row],[field_fate4]]</f>
        <v>U</v>
      </c>
      <c r="AE610" s="4" t="str">
        <f>Table2[[#This Row],[field_fate5]]</f>
        <v>U</v>
      </c>
      <c r="AF610" s="4" t="str">
        <f>Table2[[#This Row],[field_fate5]]</f>
        <v>U</v>
      </c>
      <c r="AG610" s="4" t="str">
        <f>Table2[[#This Row],[field_fate5]]</f>
        <v>U</v>
      </c>
      <c r="AH610" s="4" t="str">
        <f>Table2[[#This Row],[field_fate2]]</f>
        <v>U</v>
      </c>
      <c r="AI610" s="4" t="str">
        <f>Table2[[#This Row],[field_fate8]]</f>
        <v>U</v>
      </c>
      <c r="AJ610" s="4" t="str">
        <f>Table2[[#This Row],[field_fate10]]</f>
        <v>U</v>
      </c>
      <c r="AK610" s="4" t="b">
        <f>Table2[[#This Row],[field_fate_feb]]=Table2[[#This Row],[field_fate10]]</f>
        <v>1</v>
      </c>
      <c r="AL610" s="43" t="s">
        <v>24</v>
      </c>
      <c r="AM610" s="43" t="b">
        <f>Table2[[#This Row],[cam_fate2]]="NA"</f>
        <v>1</v>
      </c>
      <c r="AN610" s="19" t="str">
        <f>Table2[[#This Row],[cam_fate1]]</f>
        <v>NA</v>
      </c>
      <c r="AO610" s="2" t="s">
        <v>90</v>
      </c>
      <c r="AP610" s="5" t="str">
        <f>Table2[[#This Row],[final_fate1]]</f>
        <v>U</v>
      </c>
      <c r="AQ610" s="6" t="s">
        <v>24</v>
      </c>
      <c r="AR610" s="7" t="s">
        <v>24</v>
      </c>
      <c r="AS610" s="7" t="e">
        <f>Table2[[#This Row],[final_obs_date]]-Table2[[#This Row],[init_date]]</f>
        <v>#VALUE!</v>
      </c>
      <c r="AT610" s="7" t="e">
        <f>(Table2[[#This Row],[final_obs_date2]]-Table2[[#This Row],[estHD]])+16</f>
        <v>#VALUE!</v>
      </c>
      <c r="AU610" s="38">
        <v>5</v>
      </c>
      <c r="AV610" s="33">
        <v>5</v>
      </c>
      <c r="AW610" s="33">
        <f>Table2[[#This Row],[final_obs_date2]]-Table2[[#This Row],[pen_obs_date]]</f>
        <v>94</v>
      </c>
      <c r="AX610" s="67">
        <v>94</v>
      </c>
      <c r="AY610" s="6">
        <f>Table2[[#This Row],[final_obs_date]]</f>
        <v>94</v>
      </c>
      <c r="AZ610" s="6"/>
      <c r="BA610" s="91" t="s">
        <v>47</v>
      </c>
      <c r="BB610" s="6" t="e">
        <f>Table2[[#This Row],[final_obs_date]]&lt;(Table2[[#This Row],[estHD]]-2)</f>
        <v>#VALUE!</v>
      </c>
      <c r="BC610" s="24">
        <f>IF(Table2[[#This Row],[field_fate]]="H",1,0)</f>
        <v>0</v>
      </c>
      <c r="BD610" s="16">
        <f>IF(Table2[[#This Row],[cam_fate2]]="H",1,0)</f>
        <v>0</v>
      </c>
      <c r="BE610" s="6" t="b">
        <f>NOT(Table2[[#This Row],[HF_C]]=Table2[[#This Row],[HF]])</f>
        <v>0</v>
      </c>
      <c r="BF610" s="6" t="b">
        <f>NOT(Table2[[#This Row],[cam_fate2]]=Table2[[#This Row],[field_fate3]])</f>
        <v>1</v>
      </c>
      <c r="BG610" s="6" t="b">
        <f>OR(Table2[[#This Row],[field_fate3]]="U",Table2[[#This Row],[field_fate3]]="U-H")</f>
        <v>1</v>
      </c>
      <c r="BH610" s="8">
        <v>89</v>
      </c>
      <c r="BI610" s="8">
        <v>89</v>
      </c>
      <c r="BJ610" s="14">
        <f>IF(ISTEXT(Table2[[#This Row],[j.cam]]),Table2[[#This Row],[j]],Table2[[#This Row],[j.cam]])</f>
        <v>89</v>
      </c>
      <c r="BK610" s="9">
        <v>94</v>
      </c>
      <c r="BL610" s="15">
        <f>IF(ISTEXT(Table2[[#This Row],[k.cam]]), Table2[[#This Row],[k]], Table2[[#This Row],[k.cam]])</f>
        <v>94</v>
      </c>
      <c r="BM610" s="4" t="s">
        <v>24</v>
      </c>
      <c r="BN610" s="8" t="s">
        <v>24</v>
      </c>
      <c r="BO610" s="4">
        <v>2</v>
      </c>
      <c r="BP610" s="4">
        <f>Table2[[#This Row],[final_obs_date]]-Table2[[#This Row],[i]]</f>
        <v>5</v>
      </c>
      <c r="BQ610" s="4" t="e">
        <f>Table2[[#This Row],[final_obs_date2]]&gt;Table2[[#This Row],[estHD]]+3</f>
        <v>#VALUE!</v>
      </c>
      <c r="BR610" s="4" t="s">
        <v>33</v>
      </c>
      <c r="BS610" s="4" t="s">
        <v>45</v>
      </c>
      <c r="BT610" s="79" t="s">
        <v>1375</v>
      </c>
      <c r="BU610" s="26" t="s">
        <v>87</v>
      </c>
      <c r="BV610" s="79" t="s">
        <v>1464</v>
      </c>
      <c r="BW610" s="49"/>
      <c r="BX610" s="47"/>
      <c r="BY610" s="36" t="s">
        <v>24</v>
      </c>
    </row>
    <row r="611" spans="1:77" hidden="1" x14ac:dyDescent="0.35">
      <c r="A611" s="64">
        <v>30140</v>
      </c>
      <c r="B611" s="2" t="s">
        <v>122</v>
      </c>
      <c r="C611" s="46">
        <v>2021</v>
      </c>
      <c r="D611" s="3">
        <v>29.75629</v>
      </c>
      <c r="E611" s="3">
        <v>-93.108750000000001</v>
      </c>
      <c r="F611" s="3">
        <v>0</v>
      </c>
      <c r="G611" s="3">
        <v>0</v>
      </c>
      <c r="H611" s="3" t="s">
        <v>354</v>
      </c>
      <c r="I611" s="43"/>
      <c r="J611" s="55">
        <v>101</v>
      </c>
      <c r="K611" s="4">
        <v>101</v>
      </c>
      <c r="L611" s="22">
        <f>IF(ISNUMBER(Table2[[#This Row],[estHD]]),ABS(Table2[[#This Row],[HD]]-Table2[[#This Row],[estHD]]),"NA")</f>
        <v>0</v>
      </c>
      <c r="M611" s="4" t="b">
        <f>Table2[[#This Row],[HD]]=Table2[[#This Row],[estHD]]</f>
        <v>1</v>
      </c>
      <c r="N611" s="4" t="str">
        <f>IF(ISNUMBER([1]!Table2[[#This Row],[hatch_date]]),[1]!Table2[[#This Row],[hatch_date]]-19,"NA")</f>
        <v>NA</v>
      </c>
      <c r="O611" s="31">
        <v>82</v>
      </c>
      <c r="P611" s="23">
        <f>IF(ISNUMBER(Table2[[#This Row],[nest_age1]]),ABS(Table2[[#This Row],[nest_age1]]-Table2[[#This Row],[nest_age_feb]]),"NA")</f>
        <v>0</v>
      </c>
      <c r="Q611" s="24">
        <f>IF(ISNUMBER(Table2[[#This Row],[final_obs_int2]]),ABS(Table2[[#This Row],[final_obs_int2]]-Table2[[#This Row],[final_obs_int_feb]]), "NA")</f>
        <v>0</v>
      </c>
      <c r="R611" s="24"/>
      <c r="S611" s="57" t="s">
        <v>88</v>
      </c>
      <c r="T611" s="57" t="str">
        <f>Table2[[#This Row],[camera_old]]</f>
        <v>N</v>
      </c>
      <c r="U611" s="24"/>
      <c r="V611" s="16" t="s">
        <v>24</v>
      </c>
      <c r="W611" s="16">
        <v>12</v>
      </c>
      <c r="X611" s="145">
        <v>5</v>
      </c>
      <c r="Y611" s="147" t="s">
        <v>48</v>
      </c>
      <c r="Z611" s="146" t="s">
        <v>48</v>
      </c>
      <c r="AA611" s="4" t="str">
        <f>Table2[[#This Row],[field_fate]]</f>
        <v>F</v>
      </c>
      <c r="AB611" s="4" t="str">
        <f>Table2[[#This Row],[field_fate2]]</f>
        <v>F</v>
      </c>
      <c r="AC611" s="4" t="str">
        <f>Table2[[#This Row],[field_fate3]]</f>
        <v>F</v>
      </c>
      <c r="AD611" s="4" t="str">
        <f>Table2[[#This Row],[field_fate4]]</f>
        <v>F</v>
      </c>
      <c r="AE611" s="4" t="str">
        <f>Table2[[#This Row],[field_fate5]]</f>
        <v>F</v>
      </c>
      <c r="AF611" s="4" t="str">
        <f>Table2[[#This Row],[field_fate5]]</f>
        <v>F</v>
      </c>
      <c r="AG611" s="4" t="str">
        <f>Table2[[#This Row],[field_fate5]]</f>
        <v>F</v>
      </c>
      <c r="AH611" s="4" t="str">
        <f>Table2[[#This Row],[field_fate2]]</f>
        <v>F</v>
      </c>
      <c r="AI611" s="4" t="str">
        <f>Table2[[#This Row],[field_fate8]]</f>
        <v>F</v>
      </c>
      <c r="AJ611" s="4" t="str">
        <f>Table2[[#This Row],[field_fate10]]</f>
        <v>F</v>
      </c>
      <c r="AK611" s="4" t="b">
        <f>Table2[[#This Row],[field_fate_feb]]=Table2[[#This Row],[field_fate10]]</f>
        <v>1</v>
      </c>
      <c r="AL611" s="43" t="s">
        <v>24</v>
      </c>
      <c r="AM611" s="43" t="b">
        <f>Table2[[#This Row],[cam_fate2]]="NA"</f>
        <v>1</v>
      </c>
      <c r="AN611" s="19" t="str">
        <f>Table2[[#This Row],[cam_fate1]]</f>
        <v>NA</v>
      </c>
      <c r="AO611" s="2" t="s">
        <v>24</v>
      </c>
      <c r="AP611" s="5" t="str">
        <f>Table2[[#This Row],[final_fate1]]</f>
        <v>NA</v>
      </c>
      <c r="AQ611" s="6">
        <v>12</v>
      </c>
      <c r="AR611" s="7">
        <v>12</v>
      </c>
      <c r="AS611" s="7">
        <f>Table2[[#This Row],[final_obs_date]]-Table2[[#This Row],[init_date]]</f>
        <v>12</v>
      </c>
      <c r="AT611" s="7">
        <f>(Table2[[#This Row],[final_obs_date2]]-Table2[[#This Row],[estHD]])+16</f>
        <v>9</v>
      </c>
      <c r="AU611" s="38">
        <v>5</v>
      </c>
      <c r="AV611" s="33">
        <v>5</v>
      </c>
      <c r="AW611" s="33">
        <f>Table2[[#This Row],[final_obs_date2]]-Table2[[#This Row],[pen_obs_date]]</f>
        <v>94</v>
      </c>
      <c r="AX611" s="67">
        <v>94</v>
      </c>
      <c r="AY611" s="6">
        <f>Table2[[#This Row],[final_obs_date]]</f>
        <v>94</v>
      </c>
      <c r="AZ611" s="6"/>
      <c r="BA611" s="91" t="s">
        <v>47</v>
      </c>
      <c r="BB611" s="6" t="b">
        <f>Table2[[#This Row],[final_obs_date]]&lt;(Table2[[#This Row],[estHD]]-2)</f>
        <v>1</v>
      </c>
      <c r="BC611" s="24">
        <f>IF(Table2[[#This Row],[field_fate]]="H",1,0)</f>
        <v>0</v>
      </c>
      <c r="BD611" s="16">
        <f>IF(Table2[[#This Row],[cam_fate2]]="H",1,0)</f>
        <v>0</v>
      </c>
      <c r="BE611" s="6" t="b">
        <f>NOT(Table2[[#This Row],[HF_C]]=Table2[[#This Row],[HF]])</f>
        <v>0</v>
      </c>
      <c r="BF611" s="6" t="b">
        <f>NOT(Table2[[#This Row],[cam_fate2]]=Table2[[#This Row],[field_fate3]])</f>
        <v>1</v>
      </c>
      <c r="BG611" s="6" t="b">
        <f>OR(Table2[[#This Row],[field_fate3]]="U",Table2[[#This Row],[field_fate3]]="U-H")</f>
        <v>0</v>
      </c>
      <c r="BH611" s="8">
        <v>89</v>
      </c>
      <c r="BI611" s="8">
        <v>89</v>
      </c>
      <c r="BJ611" s="14">
        <f>IF(ISTEXT(Table2[[#This Row],[j.cam]]),Table2[[#This Row],[j]],Table2[[#This Row],[j.cam]])</f>
        <v>89</v>
      </c>
      <c r="BK611" s="9">
        <v>94</v>
      </c>
      <c r="BL611" s="15">
        <f>IF(ISTEXT(Table2[[#This Row],[k.cam]]), Table2[[#This Row],[k]], Table2[[#This Row],[k.cam]])</f>
        <v>94</v>
      </c>
      <c r="BM611" s="4" t="s">
        <v>24</v>
      </c>
      <c r="BN611" s="8" t="s">
        <v>24</v>
      </c>
      <c r="BO611" s="4">
        <v>2</v>
      </c>
      <c r="BP611" s="4">
        <f>Table2[[#This Row],[final_obs_date]]-Table2[[#This Row],[i]]</f>
        <v>5</v>
      </c>
      <c r="BQ611" s="4" t="b">
        <f>Table2[[#This Row],[final_obs_date2]]&gt;Table2[[#This Row],[estHD]]+3</f>
        <v>0</v>
      </c>
      <c r="BR611" s="4" t="s">
        <v>27</v>
      </c>
      <c r="BS611" s="4" t="s">
        <v>45</v>
      </c>
      <c r="BT611" s="79" t="s">
        <v>1375</v>
      </c>
      <c r="BU611" s="26" t="s">
        <v>183</v>
      </c>
      <c r="BV611" s="79" t="s">
        <v>1464</v>
      </c>
      <c r="BW611" s="49"/>
      <c r="BX611" s="47"/>
      <c r="BY611" s="36" t="s">
        <v>849</v>
      </c>
    </row>
    <row r="612" spans="1:77" hidden="1" x14ac:dyDescent="0.35">
      <c r="A612" s="64">
        <v>30142</v>
      </c>
      <c r="B612" s="2" t="s">
        <v>35</v>
      </c>
      <c r="C612" s="46">
        <v>2021</v>
      </c>
      <c r="D612" s="3">
        <v>29.765229999999999</v>
      </c>
      <c r="E612" s="3">
        <v>-93.148340000000005</v>
      </c>
      <c r="F612" s="3">
        <v>0</v>
      </c>
      <c r="G612" s="3">
        <v>0</v>
      </c>
      <c r="H612" s="3" t="s">
        <v>26</v>
      </c>
      <c r="I612" s="43"/>
      <c r="J612" s="55">
        <v>106</v>
      </c>
      <c r="K612" s="4">
        <v>106</v>
      </c>
      <c r="L612" s="22">
        <f>IF(ISNUMBER(Table2[[#This Row],[estHD]]),ABS(Table2[[#This Row],[HD]]-Table2[[#This Row],[estHD]]),"NA")</f>
        <v>0</v>
      </c>
      <c r="M612" s="4" t="b">
        <f>Table2[[#This Row],[HD]]=Table2[[#This Row],[estHD]]</f>
        <v>1</v>
      </c>
      <c r="N612" s="4" t="str">
        <f>IF(ISNUMBER([1]!Table2[[#This Row],[hatch_date]]),[1]!Table2[[#This Row],[hatch_date]]-19,"NA")</f>
        <v>NA</v>
      </c>
      <c r="O612" s="31">
        <v>87</v>
      </c>
      <c r="P612" s="23" t="e">
        <f>IF(ISNUMBER(Table2[[#This Row],[nest_age1]]),ABS(Table2[[#This Row],[nest_age1]]-Table2[[#This Row],[nest_age_feb]]),"NA")</f>
        <v>#VALUE!</v>
      </c>
      <c r="Q612" s="24">
        <f>IF(ISNUMBER(Table2[[#This Row],[final_obs_int2]]),ABS(Table2[[#This Row],[final_obs_int2]]-Table2[[#This Row],[final_obs_int_feb]]), "NA")</f>
        <v>0</v>
      </c>
      <c r="R612" s="24"/>
      <c r="S612" s="57" t="s">
        <v>88</v>
      </c>
      <c r="T612" s="57" t="str">
        <f>Table2[[#This Row],[camera_old]]</f>
        <v>N</v>
      </c>
      <c r="U612" s="24"/>
      <c r="V612" s="16" t="s">
        <v>24</v>
      </c>
      <c r="W612" s="16" t="s">
        <v>24</v>
      </c>
      <c r="X612" s="145">
        <v>5</v>
      </c>
      <c r="Y612" s="147" t="s">
        <v>31</v>
      </c>
      <c r="Z612" s="146" t="s">
        <v>31</v>
      </c>
      <c r="AA612" s="4" t="str">
        <f>Table2[[#This Row],[field_fate]]</f>
        <v>D</v>
      </c>
      <c r="AB612" s="4" t="str">
        <f>Table2[[#This Row],[field_fate2]]</f>
        <v>D</v>
      </c>
      <c r="AC612" s="4" t="str">
        <f>Table2[[#This Row],[field_fate3]]</f>
        <v>D</v>
      </c>
      <c r="AD612" s="4" t="str">
        <f>Table2[[#This Row],[field_fate4]]</f>
        <v>D</v>
      </c>
      <c r="AE612" s="4" t="str">
        <f>Table2[[#This Row],[field_fate5]]</f>
        <v>D</v>
      </c>
      <c r="AF612" s="4" t="str">
        <f>Table2[[#This Row],[field_fate5]]</f>
        <v>D</v>
      </c>
      <c r="AG612" s="4" t="str">
        <f>Table2[[#This Row],[field_fate5]]</f>
        <v>D</v>
      </c>
      <c r="AH612" s="4" t="str">
        <f>Table2[[#This Row],[field_fate2]]</f>
        <v>D</v>
      </c>
      <c r="AI612" s="4" t="str">
        <f>Table2[[#This Row],[field_fate8]]</f>
        <v>D</v>
      </c>
      <c r="AJ612" s="4" t="str">
        <f>Table2[[#This Row],[field_fate10]]</f>
        <v>D</v>
      </c>
      <c r="AK612" s="4" t="b">
        <f>Table2[[#This Row],[field_fate_feb]]=Table2[[#This Row],[field_fate10]]</f>
        <v>1</v>
      </c>
      <c r="AL612" s="43" t="s">
        <v>24</v>
      </c>
      <c r="AM612" s="43" t="b">
        <f>Table2[[#This Row],[cam_fate2]]="NA"</f>
        <v>1</v>
      </c>
      <c r="AN612" s="19" t="str">
        <f>Table2[[#This Row],[cam_fate1]]</f>
        <v>NA</v>
      </c>
      <c r="AO612" s="2" t="s">
        <v>31</v>
      </c>
      <c r="AP612" s="5" t="str">
        <f>Table2[[#This Row],[final_fate1]]</f>
        <v>D</v>
      </c>
      <c r="AQ612" s="6">
        <v>12</v>
      </c>
      <c r="AR612" s="7">
        <v>12</v>
      </c>
      <c r="AS612" s="7">
        <f>Table2[[#This Row],[final_obs_date]]-Table2[[#This Row],[init_date]]</f>
        <v>12</v>
      </c>
      <c r="AT612" s="7">
        <f>(Table2[[#This Row],[final_obs_date2]]-Table2[[#This Row],[estHD]])+16</f>
        <v>9</v>
      </c>
      <c r="AU612" s="38">
        <v>5</v>
      </c>
      <c r="AV612" s="33">
        <v>5</v>
      </c>
      <c r="AW612" s="33">
        <f>Table2[[#This Row],[final_obs_date2]]-Table2[[#This Row],[pen_obs_date]]</f>
        <v>99</v>
      </c>
      <c r="AX612" s="67">
        <v>99</v>
      </c>
      <c r="AY612" s="6">
        <f>Table2[[#This Row],[final_obs_date]]</f>
        <v>99</v>
      </c>
      <c r="AZ612" s="6"/>
      <c r="BA612" s="91" t="s">
        <v>47</v>
      </c>
      <c r="BB612" s="6" t="b">
        <f>Table2[[#This Row],[final_obs_date]]&lt;(Table2[[#This Row],[estHD]]-2)</f>
        <v>1</v>
      </c>
      <c r="BC612" s="24">
        <f>IF(Table2[[#This Row],[field_fate]]="H",1,0)</f>
        <v>0</v>
      </c>
      <c r="BD612" s="16">
        <f>IF(Table2[[#This Row],[cam_fate2]]="H",1,0)</f>
        <v>0</v>
      </c>
      <c r="BE612" s="6" t="b">
        <f>NOT(Table2[[#This Row],[HF_C]]=Table2[[#This Row],[HF]])</f>
        <v>0</v>
      </c>
      <c r="BF612" s="6" t="b">
        <f>NOT(Table2[[#This Row],[cam_fate2]]=Table2[[#This Row],[field_fate3]])</f>
        <v>1</v>
      </c>
      <c r="BG612" s="6" t="b">
        <f>OR(Table2[[#This Row],[field_fate3]]="U",Table2[[#This Row],[field_fate3]]="U-H")</f>
        <v>0</v>
      </c>
      <c r="BH612" s="8">
        <v>94</v>
      </c>
      <c r="BI612" s="8">
        <v>94</v>
      </c>
      <c r="BJ612" s="14">
        <f>IF(ISTEXT(Table2[[#This Row],[j.cam]]),Table2[[#This Row],[j]],Table2[[#This Row],[j.cam]])</f>
        <v>94</v>
      </c>
      <c r="BK612" s="9">
        <v>99</v>
      </c>
      <c r="BL612" s="15">
        <f>IF(ISTEXT(Table2[[#This Row],[k.cam]]), Table2[[#This Row],[k]], Table2[[#This Row],[k.cam]])</f>
        <v>99</v>
      </c>
      <c r="BM612" s="4" t="s">
        <v>24</v>
      </c>
      <c r="BN612" s="8" t="s">
        <v>24</v>
      </c>
      <c r="BO612" s="4">
        <v>2</v>
      </c>
      <c r="BP612" s="4">
        <f>Table2[[#This Row],[final_obs_date]]-Table2[[#This Row],[i]]</f>
        <v>5</v>
      </c>
      <c r="BQ612" s="4" t="b">
        <f>Table2[[#This Row],[final_obs_date2]]&gt;Table2[[#This Row],[estHD]]+3</f>
        <v>0</v>
      </c>
      <c r="BR612" s="4" t="s">
        <v>33</v>
      </c>
      <c r="BS612" s="4" t="s">
        <v>365</v>
      </c>
      <c r="BT612" s="79" t="s">
        <v>1376</v>
      </c>
      <c r="BU612" s="26" t="s">
        <v>369</v>
      </c>
      <c r="BV612" s="79" t="s">
        <v>1464</v>
      </c>
      <c r="BW612" s="49"/>
      <c r="BX612" s="47"/>
      <c r="BY612" s="36" t="s">
        <v>24</v>
      </c>
    </row>
    <row r="613" spans="1:77" hidden="1" x14ac:dyDescent="0.35">
      <c r="A613" s="64">
        <v>30143</v>
      </c>
      <c r="B613" s="2" t="s">
        <v>35</v>
      </c>
      <c r="C613" s="46">
        <v>2021</v>
      </c>
      <c r="D613" s="3">
        <v>29.76642</v>
      </c>
      <c r="E613" s="3">
        <v>-93.155950000000004</v>
      </c>
      <c r="F613" s="3">
        <v>0</v>
      </c>
      <c r="G613" s="3">
        <v>0</v>
      </c>
      <c r="H613" s="3" t="s">
        <v>26</v>
      </c>
      <c r="I613" s="43"/>
      <c r="J613" s="55">
        <v>109</v>
      </c>
      <c r="K613" s="4">
        <v>109</v>
      </c>
      <c r="L613" s="22">
        <f>IF(ISNUMBER(Table2[[#This Row],[estHD]]),ABS(Table2[[#This Row],[HD]]-Table2[[#This Row],[estHD]]),"NA")</f>
        <v>0</v>
      </c>
      <c r="M613" s="4" t="b">
        <f>Table2[[#This Row],[HD]]=Table2[[#This Row],[estHD]]</f>
        <v>1</v>
      </c>
      <c r="N613" s="4" t="str">
        <f>IF(ISNUMBER([1]!Table2[[#This Row],[hatch_date]]),[1]!Table2[[#This Row],[hatch_date]]-19,"NA")</f>
        <v>NA</v>
      </c>
      <c r="O613" s="31">
        <v>90</v>
      </c>
      <c r="P613" s="23" t="e">
        <f>IF(ISNUMBER(Table2[[#This Row],[nest_age1]]),ABS(Table2[[#This Row],[nest_age1]]-Table2[[#This Row],[nest_age_feb]]),"NA")</f>
        <v>#VALUE!</v>
      </c>
      <c r="Q613" s="24">
        <f>IF(ISNUMBER(Table2[[#This Row],[final_obs_int2]]),ABS(Table2[[#This Row],[final_obs_int2]]-Table2[[#This Row],[final_obs_int_feb]]), "NA")</f>
        <v>0</v>
      </c>
      <c r="R613" s="24"/>
      <c r="S613" s="57" t="s">
        <v>88</v>
      </c>
      <c r="T613" s="57" t="str">
        <f>Table2[[#This Row],[camera_old]]</f>
        <v>N</v>
      </c>
      <c r="U613" s="24"/>
      <c r="V613" s="16" t="s">
        <v>24</v>
      </c>
      <c r="W613" s="16" t="s">
        <v>24</v>
      </c>
      <c r="X613" s="145">
        <v>3</v>
      </c>
      <c r="Y613" s="147" t="s">
        <v>91</v>
      </c>
      <c r="Z613" s="146" t="s">
        <v>91</v>
      </c>
      <c r="AA613" s="4" t="str">
        <f>Table2[[#This Row],[field_fate]]</f>
        <v>Hu</v>
      </c>
      <c r="AB613" s="4" t="str">
        <f>Table2[[#This Row],[field_fate2]]</f>
        <v>Hu</v>
      </c>
      <c r="AC613" s="4" t="str">
        <f>Table2[[#This Row],[field_fate3]]</f>
        <v>Hu</v>
      </c>
      <c r="AD613" s="4" t="str">
        <f>Table2[[#This Row],[field_fate4]]</f>
        <v>Hu</v>
      </c>
      <c r="AE613" s="4" t="str">
        <f>Table2[[#This Row],[field_fate5]]</f>
        <v>Hu</v>
      </c>
      <c r="AF613" s="4" t="str">
        <f>Table2[[#This Row],[field_fate5]]</f>
        <v>Hu</v>
      </c>
      <c r="AG613" s="4" t="str">
        <f>Table2[[#This Row],[field_fate5]]</f>
        <v>Hu</v>
      </c>
      <c r="AH613" s="4" t="str">
        <f>Table2[[#This Row],[field_fate2]]</f>
        <v>Hu</v>
      </c>
      <c r="AI613" s="4" t="str">
        <f>Table2[[#This Row],[field_fate8]]</f>
        <v>Hu</v>
      </c>
      <c r="AJ613" s="4" t="str">
        <f>Table2[[#This Row],[field_fate10]]</f>
        <v>Hu</v>
      </c>
      <c r="AK613" s="4" t="b">
        <f>Table2[[#This Row],[field_fate_feb]]=Table2[[#This Row],[field_fate10]]</f>
        <v>1</v>
      </c>
      <c r="AL613" s="43" t="s">
        <v>24</v>
      </c>
      <c r="AM613" s="43" t="b">
        <f>Table2[[#This Row],[cam_fate2]]="NA"</f>
        <v>1</v>
      </c>
      <c r="AN613" s="19" t="str">
        <f>Table2[[#This Row],[cam_fate1]]</f>
        <v>NA</v>
      </c>
      <c r="AO613" s="2" t="s">
        <v>24</v>
      </c>
      <c r="AP613" s="5" t="str">
        <f>Table2[[#This Row],[final_fate1]]</f>
        <v>NA</v>
      </c>
      <c r="AQ613" s="6">
        <v>12</v>
      </c>
      <c r="AR613" s="7">
        <v>12</v>
      </c>
      <c r="AS613" s="7">
        <f>Table2[[#This Row],[final_obs_date]]-Table2[[#This Row],[init_date]]</f>
        <v>12</v>
      </c>
      <c r="AT613" s="7">
        <f>(Table2[[#This Row],[final_obs_date2]]-Table2[[#This Row],[estHD]])+16</f>
        <v>9</v>
      </c>
      <c r="AU613" s="38">
        <v>3</v>
      </c>
      <c r="AV613" s="33">
        <v>3</v>
      </c>
      <c r="AW613" s="33">
        <f>Table2[[#This Row],[final_obs_date2]]-Table2[[#This Row],[pen_obs_date]]</f>
        <v>102</v>
      </c>
      <c r="AX613" s="67">
        <v>102</v>
      </c>
      <c r="AY613" s="6">
        <f>Table2[[#This Row],[final_obs_date]]</f>
        <v>102</v>
      </c>
      <c r="AZ613" s="6"/>
      <c r="BA613" s="91" t="s">
        <v>47</v>
      </c>
      <c r="BB613" s="6" t="b">
        <f>Table2[[#This Row],[final_obs_date]]&lt;(Table2[[#This Row],[estHD]]-2)</f>
        <v>1</v>
      </c>
      <c r="BC613" s="24">
        <f>IF(Table2[[#This Row],[field_fate]]="H",1,0)</f>
        <v>0</v>
      </c>
      <c r="BD613" s="16">
        <f>IF(Table2[[#This Row],[cam_fate2]]="H",1,0)</f>
        <v>0</v>
      </c>
      <c r="BE613" s="6" t="b">
        <f>NOT(Table2[[#This Row],[HF_C]]=Table2[[#This Row],[HF]])</f>
        <v>0</v>
      </c>
      <c r="BF613" s="6" t="b">
        <f>NOT(Table2[[#This Row],[cam_fate2]]=Table2[[#This Row],[field_fate3]])</f>
        <v>1</v>
      </c>
      <c r="BG613" s="6" t="b">
        <f>OR(Table2[[#This Row],[field_fate3]]="U",Table2[[#This Row],[field_fate3]]="U-H")</f>
        <v>0</v>
      </c>
      <c r="BH613" s="8">
        <v>94</v>
      </c>
      <c r="BI613" s="8">
        <v>99</v>
      </c>
      <c r="BJ613" s="14">
        <f>IF(ISTEXT(Table2[[#This Row],[j.cam]]),Table2[[#This Row],[j]],Table2[[#This Row],[j.cam]])</f>
        <v>99</v>
      </c>
      <c r="BK613" s="9">
        <v>102</v>
      </c>
      <c r="BL613" s="15">
        <f>IF(ISTEXT(Table2[[#This Row],[k.cam]]), Table2[[#This Row],[k]], Table2[[#This Row],[k.cam]])</f>
        <v>102</v>
      </c>
      <c r="BM613" s="4" t="s">
        <v>24</v>
      </c>
      <c r="BN613" s="8" t="s">
        <v>24</v>
      </c>
      <c r="BO613" s="4">
        <v>3</v>
      </c>
      <c r="BP613" s="4">
        <f>Table2[[#This Row],[final_obs_date]]-Table2[[#This Row],[i]]</f>
        <v>8</v>
      </c>
      <c r="BQ613" s="4" t="b">
        <f>Table2[[#This Row],[final_obs_date2]]&gt;Table2[[#This Row],[estHD]]+3</f>
        <v>0</v>
      </c>
      <c r="BR613" s="4" t="s">
        <v>33</v>
      </c>
      <c r="BS613" s="4" t="s">
        <v>45</v>
      </c>
      <c r="BT613" s="79" t="s">
        <v>1377</v>
      </c>
      <c r="BU613" s="26" t="s">
        <v>132</v>
      </c>
      <c r="BV613" s="79" t="s">
        <v>1434</v>
      </c>
      <c r="BW613" s="49"/>
      <c r="BX613" s="47"/>
      <c r="BY613" s="36" t="s">
        <v>850</v>
      </c>
    </row>
    <row r="614" spans="1:77" hidden="1" x14ac:dyDescent="0.35">
      <c r="A614" s="109">
        <v>30301</v>
      </c>
      <c r="B614" s="2" t="s">
        <v>122</v>
      </c>
      <c r="C614" s="46">
        <v>2021</v>
      </c>
      <c r="D614" s="3">
        <v>29.75976</v>
      </c>
      <c r="E614" s="3">
        <v>-93.122569999999996</v>
      </c>
      <c r="F614" s="3">
        <v>5</v>
      </c>
      <c r="G614" s="3">
        <v>10</v>
      </c>
      <c r="H614" s="3" t="s">
        <v>354</v>
      </c>
      <c r="I614" s="43"/>
      <c r="J614" s="116">
        <v>93</v>
      </c>
      <c r="K614" s="4">
        <v>94</v>
      </c>
      <c r="L614" s="22">
        <f>IF(ISNUMBER(Table2[[#This Row],[estHD]]),ABS(Table2[[#This Row],[HD]]-Table2[[#This Row],[estHD]]),"NA")</f>
        <v>1</v>
      </c>
      <c r="M614" s="4" t="b">
        <f>Table2[[#This Row],[HD]]=Table2[[#This Row],[estHD]]</f>
        <v>0</v>
      </c>
      <c r="N614" s="4" t="str">
        <f>IF(ISNUMBER([1]!Table2[[#This Row],[hatch_date]]), [1]!Table2[[#This Row],[hatch_date]]-16, "NA")</f>
        <v>NA</v>
      </c>
      <c r="O614" s="31">
        <v>78</v>
      </c>
      <c r="P614" s="23">
        <f>IF(ISNUMBER(Table2[[#This Row],[nest_age1]]),ABS(Table2[[#This Row],[nest_age1]]-Table2[[#This Row],[nest_age_feb]]),"NA")</f>
        <v>0</v>
      </c>
      <c r="Q614" s="24">
        <f>IF(ISNUMBER(Table2[[#This Row],[final_obs_int2]]),ABS(Table2[[#This Row],[final_obs_int2]]-Table2[[#This Row],[final_obs_int_feb]]), "NA")</f>
        <v>0</v>
      </c>
      <c r="R614" s="24">
        <f>(Table2[[#This Row],[k_adj]]-Table2[[#This Row],[estHD]])/Table2[[#This Row],[estHD]]</f>
        <v>1.0752688172043012E-2</v>
      </c>
      <c r="S614" s="20" t="s">
        <v>75</v>
      </c>
      <c r="T614" s="20" t="str">
        <f>Table2[[#This Row],[camera_old]]</f>
        <v>Y</v>
      </c>
      <c r="U614" s="22" t="s">
        <v>88</v>
      </c>
      <c r="V614" s="16" t="s">
        <v>37</v>
      </c>
      <c r="W614" s="16">
        <v>16</v>
      </c>
      <c r="X614" s="145">
        <v>5</v>
      </c>
      <c r="Y614" s="147" t="s">
        <v>37</v>
      </c>
      <c r="Z614" s="146" t="s">
        <v>37</v>
      </c>
      <c r="AA614" s="4" t="str">
        <f>Table2[[#This Row],[field_fate]]</f>
        <v>H</v>
      </c>
      <c r="AB614" s="4" t="str">
        <f>Table2[[#This Row],[field_fate2]]</f>
        <v>H</v>
      </c>
      <c r="AC614" s="94" t="str">
        <f>Table2[[#This Row],[field_fate3]]</f>
        <v>H</v>
      </c>
      <c r="AD614" s="94" t="str">
        <f>Table2[[#This Row],[field_fate4]]</f>
        <v>H</v>
      </c>
      <c r="AE614" s="94" t="str">
        <f>Table2[[#This Row],[field_fate5]]</f>
        <v>H</v>
      </c>
      <c r="AF614" s="94" t="str">
        <f>Table2[[#This Row],[field_fate5]]</f>
        <v>H</v>
      </c>
      <c r="AG614" s="94" t="str">
        <f>Table2[[#This Row],[field_fate5]]</f>
        <v>H</v>
      </c>
      <c r="AH614" s="94" t="str">
        <f>Table2[[#This Row],[field_fate2]]</f>
        <v>H</v>
      </c>
      <c r="AI614" s="94" t="str">
        <f>Table2[[#This Row],[field_fate8]]</f>
        <v>H</v>
      </c>
      <c r="AJ614" s="94" t="str">
        <f>Table2[[#This Row],[field_fate10]]</f>
        <v>H</v>
      </c>
      <c r="AK614" s="94" t="b">
        <f>Table2[[#This Row],[field_fate_feb]]=Table2[[#This Row],[field_fate10]]</f>
        <v>1</v>
      </c>
      <c r="AL614" s="43" t="s">
        <v>37</v>
      </c>
      <c r="AM614" s="160" t="b">
        <f>Table2[[#This Row],[cam_fate2]]="NA"</f>
        <v>0</v>
      </c>
      <c r="AN614" s="19" t="str">
        <f>Table2[[#This Row],[cam_fate1]]</f>
        <v>H</v>
      </c>
      <c r="AO614" s="2" t="s">
        <v>37</v>
      </c>
      <c r="AP614" s="5" t="str">
        <f>Table2[[#This Row],[final_fate1]]</f>
        <v>H</v>
      </c>
      <c r="AQ614" s="6">
        <v>16</v>
      </c>
      <c r="AR614" s="72">
        <v>17</v>
      </c>
      <c r="AS614" s="155">
        <f>Table2[[#This Row],[final_obs_date]]-Table2[[#This Row],[init_date]]</f>
        <v>16</v>
      </c>
      <c r="AT614" s="155">
        <f>(Table2[[#This Row],[final_obs_date2]]-Table2[[#This Row],[estHD]])+16</f>
        <v>17</v>
      </c>
      <c r="AU614" s="38">
        <v>5</v>
      </c>
      <c r="AV614" s="33">
        <v>5</v>
      </c>
      <c r="AW614" s="33">
        <f>Table2[[#This Row],[final_obs_date2]]-Table2[[#This Row],[pen_obs_date]]</f>
        <v>5</v>
      </c>
      <c r="AX614" s="67">
        <v>94</v>
      </c>
      <c r="AY614" s="157">
        <f>Table2[[#This Row],[final_obs_date]]</f>
        <v>94</v>
      </c>
      <c r="AZ614" s="6">
        <v>89</v>
      </c>
      <c r="BA614" s="92" t="s">
        <v>60</v>
      </c>
      <c r="BB614" s="6" t="b">
        <f>Table2[[#This Row],[final_obs_date]]&lt;(Table2[[#This Row],[estHD]]-2)</f>
        <v>0</v>
      </c>
      <c r="BC614" s="32">
        <f>IF(Table2[[#This Row],[field_fate]]="H",1,0)</f>
        <v>1</v>
      </c>
      <c r="BD614" s="16">
        <f>IF(Table2[[#This Row],[cam_fate2]]="H",1,0)</f>
        <v>1</v>
      </c>
      <c r="BE614" s="6" t="b">
        <f>NOT(Table2[[#This Row],[HF_C]]=Table2[[#This Row],[HF]])</f>
        <v>0</v>
      </c>
      <c r="BF614" s="38" t="b">
        <f>NOT(Table2[[#This Row],[cam_fate2]]=Table2[[#This Row],[field_fate3]])</f>
        <v>0</v>
      </c>
      <c r="BG614" s="38" t="b">
        <f>OR(Table2[[#This Row],[field_fate3]]="U",Table2[[#This Row],[field_fate3]]="U-H")</f>
        <v>0</v>
      </c>
      <c r="BH614" s="8">
        <v>89</v>
      </c>
      <c r="BI614" s="8">
        <v>94</v>
      </c>
      <c r="BJ614" s="14">
        <f>IF(ISTEXT(Table2[[#This Row],[j.cam]]),Table2[[#This Row],[j]],Table2[[#This Row],[j.cam]])</f>
        <v>94</v>
      </c>
      <c r="BK614" s="8">
        <v>94</v>
      </c>
      <c r="BL614" s="14">
        <f>IF(ISTEXT(Table2[[#This Row],[k.cam]]), Table2[[#This Row],[k]], Table2[[#This Row],[k.cam]])</f>
        <v>94</v>
      </c>
      <c r="BM614" s="4" t="s">
        <v>24</v>
      </c>
      <c r="BN614" s="8" t="s">
        <v>24</v>
      </c>
      <c r="BO614" s="4">
        <v>2</v>
      </c>
      <c r="BP614" s="4">
        <f>Table2[[#This Row],[final_obs_date]]-Table2[[#This Row],[i]]</f>
        <v>5</v>
      </c>
      <c r="BQ614" s="4" t="b">
        <f>Table2[[#This Row],[final_obs_date2]]&gt;Table2[[#This Row],[estHD]]+3</f>
        <v>0</v>
      </c>
      <c r="BR614" s="3" t="s">
        <v>33</v>
      </c>
      <c r="BS614" s="3" t="s">
        <v>165</v>
      </c>
      <c r="BT614" s="125" t="s">
        <v>1375</v>
      </c>
      <c r="BU614" s="4" t="s">
        <v>373</v>
      </c>
      <c r="BV614" s="79" t="s">
        <v>1464</v>
      </c>
      <c r="BW614" s="69"/>
      <c r="BX614" s="36"/>
      <c r="BY614" s="36" t="s">
        <v>851</v>
      </c>
    </row>
    <row r="615" spans="1:77" hidden="1" x14ac:dyDescent="0.35">
      <c r="A615" s="64">
        <v>30302</v>
      </c>
      <c r="B615" s="2" t="s">
        <v>122</v>
      </c>
      <c r="C615" s="46">
        <v>2021</v>
      </c>
      <c r="D615" s="3">
        <v>29.758780000000002</v>
      </c>
      <c r="E615" s="3">
        <v>-93.120260000000002</v>
      </c>
      <c r="F615" s="3">
        <v>0</v>
      </c>
      <c r="G615" s="3">
        <v>0</v>
      </c>
      <c r="H615" s="3" t="s">
        <v>354</v>
      </c>
      <c r="I615" s="43"/>
      <c r="J615" s="55" t="s">
        <v>24</v>
      </c>
      <c r="K615" s="4" t="s">
        <v>24</v>
      </c>
      <c r="L615" s="22" t="str">
        <f>IF(ISNUMBER(Table2[[#This Row],[estHD]]),ABS(Table2[[#This Row],[HD]]-Table2[[#This Row],[estHD]]),"NA")</f>
        <v>NA</v>
      </c>
      <c r="M615" s="4" t="b">
        <f>Table2[[#This Row],[HD]]=Table2[[#This Row],[estHD]]</f>
        <v>1</v>
      </c>
      <c r="N615" s="4" t="str">
        <f>IF(ISNUMBER([1]!Table2[[#This Row],[hatch_date]]),[1]!Table2[[#This Row],[hatch_date]]-19,"NA")</f>
        <v>NA</v>
      </c>
      <c r="O615" s="31" t="s">
        <v>24</v>
      </c>
      <c r="P615" s="23" t="str">
        <f>IF(ISNUMBER(Table2[[#This Row],[nest_age1]]),ABS(Table2[[#This Row],[nest_age1]]-Table2[[#This Row],[nest_age_feb]]),"NA")</f>
        <v>NA</v>
      </c>
      <c r="Q615" s="24">
        <f>IF(ISNUMBER(Table2[[#This Row],[final_obs_int2]]),ABS(Table2[[#This Row],[final_obs_int2]]-Table2[[#This Row],[final_obs_int_feb]]), "NA")</f>
        <v>0</v>
      </c>
      <c r="R615" s="24"/>
      <c r="S615" s="57" t="s">
        <v>88</v>
      </c>
      <c r="T615" s="57" t="str">
        <f>Table2[[#This Row],[camera_old]]</f>
        <v>N</v>
      </c>
      <c r="U615" s="24"/>
      <c r="V615" s="16" t="s">
        <v>24</v>
      </c>
      <c r="W615" s="16" t="s">
        <v>24</v>
      </c>
      <c r="X615" s="145">
        <v>5</v>
      </c>
      <c r="Y615" s="147" t="s">
        <v>90</v>
      </c>
      <c r="Z615" s="146" t="s">
        <v>90</v>
      </c>
      <c r="AA615" s="4" t="str">
        <f>Table2[[#This Row],[field_fate]]</f>
        <v>U</v>
      </c>
      <c r="AB615" s="4" t="str">
        <f>Table2[[#This Row],[field_fate2]]</f>
        <v>U</v>
      </c>
      <c r="AC615" s="4" t="str">
        <f>Table2[[#This Row],[field_fate3]]</f>
        <v>U</v>
      </c>
      <c r="AD615" s="4" t="str">
        <f>Table2[[#This Row],[field_fate4]]</f>
        <v>U</v>
      </c>
      <c r="AE615" s="4" t="str">
        <f>Table2[[#This Row],[field_fate5]]</f>
        <v>U</v>
      </c>
      <c r="AF615" s="4" t="str">
        <f>Table2[[#This Row],[field_fate5]]</f>
        <v>U</v>
      </c>
      <c r="AG615" s="4" t="str">
        <f>Table2[[#This Row],[field_fate5]]</f>
        <v>U</v>
      </c>
      <c r="AH615" s="4" t="str">
        <f>Table2[[#This Row],[field_fate2]]</f>
        <v>U</v>
      </c>
      <c r="AI615" s="4" t="str">
        <f>Table2[[#This Row],[field_fate8]]</f>
        <v>U</v>
      </c>
      <c r="AJ615" s="4" t="str">
        <f>Table2[[#This Row],[field_fate10]]</f>
        <v>U</v>
      </c>
      <c r="AK615" s="4" t="b">
        <f>Table2[[#This Row],[field_fate_feb]]=Table2[[#This Row],[field_fate10]]</f>
        <v>1</v>
      </c>
      <c r="AL615" s="43" t="s">
        <v>24</v>
      </c>
      <c r="AM615" s="43" t="b">
        <f>Table2[[#This Row],[cam_fate2]]="NA"</f>
        <v>1</v>
      </c>
      <c r="AN615" s="19" t="str">
        <f>Table2[[#This Row],[cam_fate1]]</f>
        <v>NA</v>
      </c>
      <c r="AO615" s="2" t="s">
        <v>90</v>
      </c>
      <c r="AP615" s="5" t="str">
        <f>Table2[[#This Row],[final_fate1]]</f>
        <v>U</v>
      </c>
      <c r="AQ615" s="6" t="s">
        <v>24</v>
      </c>
      <c r="AR615" s="7" t="s">
        <v>24</v>
      </c>
      <c r="AS615" s="7" t="e">
        <f>Table2[[#This Row],[final_obs_date]]-Table2[[#This Row],[init_date]]</f>
        <v>#VALUE!</v>
      </c>
      <c r="AT615" s="7" t="e">
        <f>(Table2[[#This Row],[final_obs_date2]]-Table2[[#This Row],[estHD]])+16</f>
        <v>#VALUE!</v>
      </c>
      <c r="AU615" s="38">
        <v>5</v>
      </c>
      <c r="AV615" s="33">
        <v>5</v>
      </c>
      <c r="AW615" s="33">
        <f>Table2[[#This Row],[final_obs_date2]]-Table2[[#This Row],[pen_obs_date]]</f>
        <v>94</v>
      </c>
      <c r="AX615" s="67">
        <v>94</v>
      </c>
      <c r="AY615" s="6">
        <f>Table2[[#This Row],[final_obs_date]]</f>
        <v>94</v>
      </c>
      <c r="AZ615" s="6"/>
      <c r="BA615" s="91" t="s">
        <v>47</v>
      </c>
      <c r="BB615" s="6" t="e">
        <f>Table2[[#This Row],[final_obs_date]]&lt;(Table2[[#This Row],[estHD]]-2)</f>
        <v>#VALUE!</v>
      </c>
      <c r="BC615" s="24">
        <f>IF(Table2[[#This Row],[field_fate]]="H",1,0)</f>
        <v>0</v>
      </c>
      <c r="BD615" s="16">
        <f>IF(Table2[[#This Row],[cam_fate2]]="H",1,0)</f>
        <v>0</v>
      </c>
      <c r="BE615" s="6" t="b">
        <f>NOT(Table2[[#This Row],[HF_C]]=Table2[[#This Row],[HF]])</f>
        <v>0</v>
      </c>
      <c r="BF615" s="6" t="b">
        <f>NOT(Table2[[#This Row],[cam_fate2]]=Table2[[#This Row],[field_fate3]])</f>
        <v>1</v>
      </c>
      <c r="BG615" s="6" t="b">
        <f>OR(Table2[[#This Row],[field_fate3]]="U",Table2[[#This Row],[field_fate3]]="U-H")</f>
        <v>1</v>
      </c>
      <c r="BH615" s="8">
        <v>89</v>
      </c>
      <c r="BI615" s="8">
        <v>89</v>
      </c>
      <c r="BJ615" s="14">
        <f>IF(ISTEXT(Table2[[#This Row],[j.cam]]),Table2[[#This Row],[j]],Table2[[#This Row],[j.cam]])</f>
        <v>89</v>
      </c>
      <c r="BK615" s="9">
        <v>94</v>
      </c>
      <c r="BL615" s="15">
        <f>IF(ISTEXT(Table2[[#This Row],[k.cam]]), Table2[[#This Row],[k]], Table2[[#This Row],[k.cam]])</f>
        <v>94</v>
      </c>
      <c r="BM615" s="4" t="s">
        <v>24</v>
      </c>
      <c r="BN615" s="8" t="s">
        <v>24</v>
      </c>
      <c r="BO615" s="4">
        <v>2</v>
      </c>
      <c r="BP615" s="4">
        <f>Table2[[#This Row],[final_obs_date]]-Table2[[#This Row],[i]]</f>
        <v>5</v>
      </c>
      <c r="BQ615" s="4" t="e">
        <f>Table2[[#This Row],[final_obs_date2]]&gt;Table2[[#This Row],[estHD]]+3</f>
        <v>#VALUE!</v>
      </c>
      <c r="BR615" s="4" t="s">
        <v>33</v>
      </c>
      <c r="BS615" s="4" t="s">
        <v>45</v>
      </c>
      <c r="BT615" s="79" t="s">
        <v>1375</v>
      </c>
      <c r="BU615" s="26" t="s">
        <v>87</v>
      </c>
      <c r="BV615" s="79" t="s">
        <v>1464</v>
      </c>
      <c r="BW615" s="49"/>
      <c r="BX615" s="47"/>
      <c r="BY615" s="36" t="s">
        <v>24</v>
      </c>
    </row>
    <row r="616" spans="1:77" hidden="1" x14ac:dyDescent="0.35">
      <c r="A616" s="64">
        <v>30303</v>
      </c>
      <c r="B616" s="2" t="s">
        <v>35</v>
      </c>
      <c r="C616" s="46">
        <v>2021</v>
      </c>
      <c r="D616" s="3">
        <v>29.769659999999998</v>
      </c>
      <c r="E616" s="3">
        <v>-93.167820000000006</v>
      </c>
      <c r="F616" s="3">
        <v>20</v>
      </c>
      <c r="G616" s="3">
        <v>5</v>
      </c>
      <c r="H616" s="3" t="s">
        <v>26</v>
      </c>
      <c r="I616" s="43"/>
      <c r="J616" s="55">
        <v>100</v>
      </c>
      <c r="K616" s="4">
        <v>100</v>
      </c>
      <c r="L616" s="22">
        <f>IF(ISNUMBER(Table2[[#This Row],[estHD]]),ABS(Table2[[#This Row],[HD]]-Table2[[#This Row],[estHD]]),"NA")</f>
        <v>0</v>
      </c>
      <c r="M616" s="4" t="b">
        <f>Table2[[#This Row],[HD]]=Table2[[#This Row],[estHD]]</f>
        <v>1</v>
      </c>
      <c r="N616" s="4" t="str">
        <f>IF(ISNUMBER([1]!Table2[[#This Row],[hatch_date]]),[1]!Table2[[#This Row],[hatch_date]]-19,"NA")</f>
        <v>NA</v>
      </c>
      <c r="O616" s="31">
        <v>81</v>
      </c>
      <c r="P616" s="23" t="e">
        <f>IF(ISNUMBER(Table2[[#This Row],[nest_age1]]),ABS(Table2[[#This Row],[nest_age1]]-Table2[[#This Row],[nest_age_feb]]),"NA")</f>
        <v>#VALUE!</v>
      </c>
      <c r="Q616" s="24">
        <f>IF(ISNUMBER(Table2[[#This Row],[final_obs_int2]]),ABS(Table2[[#This Row],[final_obs_int2]]-Table2[[#This Row],[final_obs_int_feb]]), "NA")</f>
        <v>0</v>
      </c>
      <c r="R616" s="24"/>
      <c r="S616" s="57" t="s">
        <v>88</v>
      </c>
      <c r="T616" s="57" t="str">
        <f>Table2[[#This Row],[camera_old]]</f>
        <v>N</v>
      </c>
      <c r="U616" s="24"/>
      <c r="V616" s="16" t="s">
        <v>24</v>
      </c>
      <c r="W616" s="16" t="s">
        <v>24</v>
      </c>
      <c r="X616" s="145">
        <v>5</v>
      </c>
      <c r="Y616" s="147" t="s">
        <v>48</v>
      </c>
      <c r="Z616" s="146" t="s">
        <v>48</v>
      </c>
      <c r="AA616" s="4" t="str">
        <f>Table2[[#This Row],[field_fate]]</f>
        <v>F</v>
      </c>
      <c r="AB616" s="4" t="str">
        <f>Table2[[#This Row],[field_fate2]]</f>
        <v>F</v>
      </c>
      <c r="AC616" s="4" t="str">
        <f>Table2[[#This Row],[field_fate3]]</f>
        <v>F</v>
      </c>
      <c r="AD616" s="4" t="str">
        <f>Table2[[#This Row],[field_fate4]]</f>
        <v>F</v>
      </c>
      <c r="AE616" s="4" t="str">
        <f>Table2[[#This Row],[field_fate5]]</f>
        <v>F</v>
      </c>
      <c r="AF616" s="4" t="str">
        <f>Table2[[#This Row],[field_fate5]]</f>
        <v>F</v>
      </c>
      <c r="AG616" s="4" t="str">
        <f>Table2[[#This Row],[field_fate5]]</f>
        <v>F</v>
      </c>
      <c r="AH616" s="4" t="str">
        <f>Table2[[#This Row],[field_fate2]]</f>
        <v>F</v>
      </c>
      <c r="AI616" s="4" t="str">
        <f>Table2[[#This Row],[field_fate8]]</f>
        <v>F</v>
      </c>
      <c r="AJ616" s="4" t="str">
        <f>Table2[[#This Row],[field_fate10]]</f>
        <v>F</v>
      </c>
      <c r="AK616" s="4" t="b">
        <f>Table2[[#This Row],[field_fate_feb]]=Table2[[#This Row],[field_fate10]]</f>
        <v>1</v>
      </c>
      <c r="AL616" s="43" t="s">
        <v>24</v>
      </c>
      <c r="AM616" s="43" t="b">
        <f>Table2[[#This Row],[cam_fate2]]="NA"</f>
        <v>1</v>
      </c>
      <c r="AN616" s="19" t="str">
        <f>Table2[[#This Row],[cam_fate1]]</f>
        <v>NA</v>
      </c>
      <c r="AO616" s="2" t="s">
        <v>48</v>
      </c>
      <c r="AP616" s="5" t="str">
        <f>Table2[[#This Row],[final_fate1]]</f>
        <v>F</v>
      </c>
      <c r="AQ616" s="6">
        <v>18</v>
      </c>
      <c r="AR616" s="7">
        <v>18</v>
      </c>
      <c r="AS616" s="7">
        <f>Table2[[#This Row],[final_obs_date]]-Table2[[#This Row],[init_date]]</f>
        <v>18</v>
      </c>
      <c r="AT616" s="7">
        <f>(Table2[[#This Row],[final_obs_date2]]-Table2[[#This Row],[estHD]])+16</f>
        <v>15</v>
      </c>
      <c r="AU616" s="38">
        <v>5</v>
      </c>
      <c r="AV616" s="33">
        <v>5</v>
      </c>
      <c r="AW616" s="33">
        <f>Table2[[#This Row],[final_obs_date2]]-Table2[[#This Row],[pen_obs_date]]</f>
        <v>99</v>
      </c>
      <c r="AX616" s="67">
        <v>99</v>
      </c>
      <c r="AY616" s="6">
        <f>Table2[[#This Row],[final_obs_date]]</f>
        <v>99</v>
      </c>
      <c r="AZ616" s="6"/>
      <c r="BA616" s="91" t="s">
        <v>47</v>
      </c>
      <c r="BB616" s="6" t="b">
        <f>Table2[[#This Row],[final_obs_date]]&lt;(Table2[[#This Row],[estHD]]-2)</f>
        <v>0</v>
      </c>
      <c r="BC616" s="24">
        <f>IF(Table2[[#This Row],[field_fate]]="H",1,0)</f>
        <v>0</v>
      </c>
      <c r="BD616" s="16">
        <f>IF(Table2[[#This Row],[cam_fate2]]="H",1,0)</f>
        <v>0</v>
      </c>
      <c r="BE616" s="6" t="b">
        <f>NOT(Table2[[#This Row],[HF_C]]=Table2[[#This Row],[HF]])</f>
        <v>0</v>
      </c>
      <c r="BF616" s="6" t="b">
        <f>NOT(Table2[[#This Row],[cam_fate2]]=Table2[[#This Row],[field_fate3]])</f>
        <v>1</v>
      </c>
      <c r="BG616" s="6" t="b">
        <f>OR(Table2[[#This Row],[field_fate3]]="U",Table2[[#This Row],[field_fate3]]="U-H")</f>
        <v>0</v>
      </c>
      <c r="BH616" s="8">
        <v>94</v>
      </c>
      <c r="BI616" s="8">
        <v>94</v>
      </c>
      <c r="BJ616" s="14">
        <f>IF(ISTEXT(Table2[[#This Row],[j.cam]]),Table2[[#This Row],[j]],Table2[[#This Row],[j.cam]])</f>
        <v>94</v>
      </c>
      <c r="BK616" s="9">
        <v>99</v>
      </c>
      <c r="BL616" s="15">
        <f>IF(ISTEXT(Table2[[#This Row],[k.cam]]), Table2[[#This Row],[k]], Table2[[#This Row],[k.cam]])</f>
        <v>99</v>
      </c>
      <c r="BM616" s="4" t="s">
        <v>24</v>
      </c>
      <c r="BN616" s="8" t="s">
        <v>24</v>
      </c>
      <c r="BO616" s="4">
        <v>2</v>
      </c>
      <c r="BP616" s="4">
        <f>Table2[[#This Row],[final_obs_date]]-Table2[[#This Row],[i]]</f>
        <v>5</v>
      </c>
      <c r="BQ616" s="4" t="b">
        <f>Table2[[#This Row],[final_obs_date2]]&gt;Table2[[#This Row],[estHD]]+3</f>
        <v>0</v>
      </c>
      <c r="BR616" s="4" t="s">
        <v>33</v>
      </c>
      <c r="BS616" s="4" t="s">
        <v>45</v>
      </c>
      <c r="BT616" s="79" t="s">
        <v>1376</v>
      </c>
      <c r="BU616" s="26" t="s">
        <v>87</v>
      </c>
      <c r="BV616" s="79" t="s">
        <v>1464</v>
      </c>
      <c r="BW616" s="49"/>
      <c r="BX616" s="47"/>
      <c r="BY616" s="36" t="s">
        <v>24</v>
      </c>
    </row>
    <row r="617" spans="1:77" hidden="1" x14ac:dyDescent="0.35">
      <c r="A617" s="64">
        <v>30304</v>
      </c>
      <c r="B617" s="2" t="s">
        <v>122</v>
      </c>
      <c r="C617" s="46">
        <v>2021</v>
      </c>
      <c r="D617" s="3">
        <v>29.758759999999999</v>
      </c>
      <c r="E617" s="3">
        <v>-93.119590000000002</v>
      </c>
      <c r="F617" s="3">
        <v>0</v>
      </c>
      <c r="G617" s="3">
        <v>0</v>
      </c>
      <c r="H617" s="3" t="s">
        <v>354</v>
      </c>
      <c r="I617" s="43"/>
      <c r="J617" s="55">
        <v>100</v>
      </c>
      <c r="K617" s="4">
        <v>100</v>
      </c>
      <c r="L617" s="22">
        <f>IF(ISNUMBER(Table2[[#This Row],[estHD]]),ABS(Table2[[#This Row],[HD]]-Table2[[#This Row],[estHD]]),"NA")</f>
        <v>0</v>
      </c>
      <c r="M617" s="4" t="b">
        <f>Table2[[#This Row],[HD]]=Table2[[#This Row],[estHD]]</f>
        <v>1</v>
      </c>
      <c r="N617" s="4" t="str">
        <f>IF(ISNUMBER([1]!Table2[[#This Row],[hatch_date]]),[1]!Table2[[#This Row],[hatch_date]]-19,"NA")</f>
        <v>NA</v>
      </c>
      <c r="O617" s="31">
        <v>81</v>
      </c>
      <c r="P617" s="23">
        <f>IF(ISNUMBER(Table2[[#This Row],[nest_age1]]),ABS(Table2[[#This Row],[nest_age1]]-Table2[[#This Row],[nest_age_feb]]),"NA")</f>
        <v>0</v>
      </c>
      <c r="Q617" s="24">
        <f>IF(ISNUMBER(Table2[[#This Row],[final_obs_int2]]),ABS(Table2[[#This Row],[final_obs_int2]]-Table2[[#This Row],[final_obs_int_feb]]), "NA")</f>
        <v>0</v>
      </c>
      <c r="R617" s="24"/>
      <c r="S617" s="57" t="s">
        <v>88</v>
      </c>
      <c r="T617" s="57" t="str">
        <f>Table2[[#This Row],[camera_old]]</f>
        <v>N</v>
      </c>
      <c r="U617" s="24"/>
      <c r="V617" s="16" t="s">
        <v>24</v>
      </c>
      <c r="W617" s="16">
        <v>17</v>
      </c>
      <c r="X617" s="145">
        <v>4</v>
      </c>
      <c r="Y617" s="147" t="s">
        <v>31</v>
      </c>
      <c r="Z617" s="146" t="s">
        <v>31</v>
      </c>
      <c r="AA617" s="4" t="str">
        <f>Table2[[#This Row],[field_fate]]</f>
        <v>D</v>
      </c>
      <c r="AB617" s="4" t="str">
        <f>Table2[[#This Row],[field_fate2]]</f>
        <v>D</v>
      </c>
      <c r="AC617" s="4" t="str">
        <f>Table2[[#This Row],[field_fate3]]</f>
        <v>D</v>
      </c>
      <c r="AD617" s="4" t="str">
        <f>Table2[[#This Row],[field_fate4]]</f>
        <v>D</v>
      </c>
      <c r="AE617" s="4" t="str">
        <f>Table2[[#This Row],[field_fate5]]</f>
        <v>D</v>
      </c>
      <c r="AF617" s="4" t="str">
        <f>Table2[[#This Row],[field_fate5]]</f>
        <v>D</v>
      </c>
      <c r="AG617" s="4" t="str">
        <f>Table2[[#This Row],[field_fate5]]</f>
        <v>D</v>
      </c>
      <c r="AH617" s="4" t="str">
        <f>Table2[[#This Row],[field_fate2]]</f>
        <v>D</v>
      </c>
      <c r="AI617" s="4" t="str">
        <f>Table2[[#This Row],[field_fate8]]</f>
        <v>D</v>
      </c>
      <c r="AJ617" s="4" t="str">
        <f>Table2[[#This Row],[field_fate10]]</f>
        <v>D</v>
      </c>
      <c r="AK617" s="4" t="b">
        <f>Table2[[#This Row],[field_fate_feb]]=Table2[[#This Row],[field_fate10]]</f>
        <v>1</v>
      </c>
      <c r="AL617" s="43" t="s">
        <v>24</v>
      </c>
      <c r="AM617" s="43" t="b">
        <f>Table2[[#This Row],[cam_fate2]]="NA"</f>
        <v>1</v>
      </c>
      <c r="AN617" s="19" t="str">
        <f>Table2[[#This Row],[cam_fate1]]</f>
        <v>NA</v>
      </c>
      <c r="AO617" s="2" t="s">
        <v>31</v>
      </c>
      <c r="AP617" s="5" t="str">
        <f>Table2[[#This Row],[final_fate1]]</f>
        <v>D</v>
      </c>
      <c r="AQ617" s="6">
        <v>17</v>
      </c>
      <c r="AR617" s="7">
        <v>17</v>
      </c>
      <c r="AS617" s="7">
        <f>Table2[[#This Row],[final_obs_date]]-Table2[[#This Row],[init_date]]</f>
        <v>17</v>
      </c>
      <c r="AT617" s="7">
        <f>(Table2[[#This Row],[final_obs_date2]]-Table2[[#This Row],[estHD]])+16</f>
        <v>14</v>
      </c>
      <c r="AU617" s="38">
        <v>4</v>
      </c>
      <c r="AV617" s="33">
        <v>4</v>
      </c>
      <c r="AW617" s="33">
        <f>Table2[[#This Row],[final_obs_date2]]-Table2[[#This Row],[pen_obs_date]]</f>
        <v>98</v>
      </c>
      <c r="AX617" s="67">
        <v>98</v>
      </c>
      <c r="AY617" s="6">
        <f>Table2[[#This Row],[final_obs_date]]</f>
        <v>98</v>
      </c>
      <c r="AZ617" s="6"/>
      <c r="BA617" s="91" t="s">
        <v>47</v>
      </c>
      <c r="BB617" s="6" t="b">
        <f>Table2[[#This Row],[final_obs_date]]&lt;(Table2[[#This Row],[estHD]]-2)</f>
        <v>0</v>
      </c>
      <c r="BC617" s="24">
        <f>IF(Table2[[#This Row],[field_fate]]="H",1,0)</f>
        <v>0</v>
      </c>
      <c r="BD617" s="16">
        <f>IF(Table2[[#This Row],[cam_fate2]]="H",1,0)</f>
        <v>0</v>
      </c>
      <c r="BE617" s="6" t="b">
        <f>NOT(Table2[[#This Row],[HF_C]]=Table2[[#This Row],[HF]])</f>
        <v>0</v>
      </c>
      <c r="BF617" s="6" t="b">
        <f>NOT(Table2[[#This Row],[cam_fate2]]=Table2[[#This Row],[field_fate3]])</f>
        <v>1</v>
      </c>
      <c r="BG617" s="6" t="b">
        <f>OR(Table2[[#This Row],[field_fate3]]="U",Table2[[#This Row],[field_fate3]]="U-H")</f>
        <v>0</v>
      </c>
      <c r="BH617" s="8">
        <v>94</v>
      </c>
      <c r="BI617" s="8">
        <v>94</v>
      </c>
      <c r="BJ617" s="14">
        <f>IF(ISTEXT(Table2[[#This Row],[j.cam]]),Table2[[#This Row],[j]],Table2[[#This Row],[j.cam]])</f>
        <v>94</v>
      </c>
      <c r="BK617" s="9">
        <v>98</v>
      </c>
      <c r="BL617" s="15">
        <f>IF(ISTEXT(Table2[[#This Row],[k.cam]]), Table2[[#This Row],[k]], Table2[[#This Row],[k.cam]])</f>
        <v>98</v>
      </c>
      <c r="BM617" s="4" t="s">
        <v>24</v>
      </c>
      <c r="BN617" s="8" t="s">
        <v>24</v>
      </c>
      <c r="BO617" s="4">
        <v>2</v>
      </c>
      <c r="BP617" s="4">
        <f>Table2[[#This Row],[final_obs_date]]-Table2[[#This Row],[i]]</f>
        <v>4</v>
      </c>
      <c r="BQ617" s="4" t="b">
        <f>Table2[[#This Row],[final_obs_date2]]&gt;Table2[[#This Row],[estHD]]+3</f>
        <v>0</v>
      </c>
      <c r="BR617" s="4" t="s">
        <v>33</v>
      </c>
      <c r="BS617" s="4" t="s">
        <v>365</v>
      </c>
      <c r="BT617" s="79" t="s">
        <v>1378</v>
      </c>
      <c r="BU617" s="26" t="s">
        <v>369</v>
      </c>
      <c r="BV617" s="79" t="s">
        <v>1429</v>
      </c>
      <c r="BW617" s="49"/>
      <c r="BX617" s="47"/>
      <c r="BY617" s="36" t="s">
        <v>24</v>
      </c>
    </row>
    <row r="618" spans="1:77" hidden="1" x14ac:dyDescent="0.35">
      <c r="A618" s="64">
        <v>30305</v>
      </c>
      <c r="B618" s="2" t="s">
        <v>122</v>
      </c>
      <c r="C618" s="46">
        <v>2021</v>
      </c>
      <c r="D618" s="3">
        <v>29.757359999999998</v>
      </c>
      <c r="E618" s="3">
        <v>-93.113609999999994</v>
      </c>
      <c r="F618" s="3">
        <v>0</v>
      </c>
      <c r="G618" s="3">
        <v>0</v>
      </c>
      <c r="H618" s="3" t="s">
        <v>354</v>
      </c>
      <c r="I618" s="43"/>
      <c r="J618" s="55">
        <v>110</v>
      </c>
      <c r="K618" s="4">
        <v>110</v>
      </c>
      <c r="L618" s="22">
        <f>IF(ISNUMBER(Table2[[#This Row],[estHD]]),ABS(Table2[[#This Row],[HD]]-Table2[[#This Row],[estHD]]),"NA")</f>
        <v>0</v>
      </c>
      <c r="M618" s="4" t="b">
        <f>Table2[[#This Row],[HD]]=Table2[[#This Row],[estHD]]</f>
        <v>1</v>
      </c>
      <c r="N618" s="4" t="str">
        <f>IF(ISNUMBER([1]!Table2[[#This Row],[hatch_date]]),[1]!Table2[[#This Row],[hatch_date]]-19,"NA")</f>
        <v>NA</v>
      </c>
      <c r="O618" s="31">
        <v>91</v>
      </c>
      <c r="P618" s="23" t="e">
        <f>IF(ISNUMBER(Table2[[#This Row],[nest_age1]]),ABS(Table2[[#This Row],[nest_age1]]-Table2[[#This Row],[nest_age_feb]]),"NA")</f>
        <v>#VALUE!</v>
      </c>
      <c r="Q618" s="24">
        <f>IF(ISNUMBER(Table2[[#This Row],[final_obs_int2]]),ABS(Table2[[#This Row],[final_obs_int2]]-Table2[[#This Row],[final_obs_int_feb]]), "NA")</f>
        <v>0</v>
      </c>
      <c r="R618" s="24"/>
      <c r="S618" s="57" t="s">
        <v>88</v>
      </c>
      <c r="T618" s="57" t="str">
        <f>Table2[[#This Row],[camera_old]]</f>
        <v>N</v>
      </c>
      <c r="U618" s="24"/>
      <c r="V618" s="16" t="s">
        <v>24</v>
      </c>
      <c r="W618" s="16" t="s">
        <v>24</v>
      </c>
      <c r="X618" s="145">
        <v>4</v>
      </c>
      <c r="Y618" s="147" t="s">
        <v>48</v>
      </c>
      <c r="Z618" s="146" t="s">
        <v>48</v>
      </c>
      <c r="AA618" s="4" t="str">
        <f>Table2[[#This Row],[field_fate]]</f>
        <v>F</v>
      </c>
      <c r="AB618" s="4" t="str">
        <f>Table2[[#This Row],[field_fate2]]</f>
        <v>F</v>
      </c>
      <c r="AC618" s="4" t="str">
        <f>Table2[[#This Row],[field_fate3]]</f>
        <v>F</v>
      </c>
      <c r="AD618" s="4" t="str">
        <f>Table2[[#This Row],[field_fate4]]</f>
        <v>F</v>
      </c>
      <c r="AE618" s="4" t="str">
        <f>Table2[[#This Row],[field_fate5]]</f>
        <v>F</v>
      </c>
      <c r="AF618" s="4" t="str">
        <f>Table2[[#This Row],[field_fate5]]</f>
        <v>F</v>
      </c>
      <c r="AG618" s="4" t="str">
        <f>Table2[[#This Row],[field_fate5]]</f>
        <v>F</v>
      </c>
      <c r="AH618" s="4" t="str">
        <f>Table2[[#This Row],[field_fate2]]</f>
        <v>F</v>
      </c>
      <c r="AI618" s="4" t="str">
        <f>Table2[[#This Row],[field_fate8]]</f>
        <v>F</v>
      </c>
      <c r="AJ618" s="4" t="str">
        <f>Table2[[#This Row],[field_fate10]]</f>
        <v>F</v>
      </c>
      <c r="AK618" s="4" t="b">
        <f>Table2[[#This Row],[field_fate_feb]]=Table2[[#This Row],[field_fate10]]</f>
        <v>1</v>
      </c>
      <c r="AL618" s="43" t="s">
        <v>24</v>
      </c>
      <c r="AM618" s="43" t="b">
        <f>Table2[[#This Row],[cam_fate2]]="NA"</f>
        <v>1</v>
      </c>
      <c r="AN618" s="19" t="str">
        <f>Table2[[#This Row],[cam_fate1]]</f>
        <v>NA</v>
      </c>
      <c r="AO618" s="2" t="s">
        <v>24</v>
      </c>
      <c r="AP618" s="5" t="str">
        <f>Table2[[#This Row],[final_fate1]]</f>
        <v>NA</v>
      </c>
      <c r="AQ618" s="6">
        <v>11</v>
      </c>
      <c r="AR618" s="7">
        <v>11</v>
      </c>
      <c r="AS618" s="7">
        <f>Table2[[#This Row],[final_obs_date]]-Table2[[#This Row],[init_date]]</f>
        <v>11</v>
      </c>
      <c r="AT618" s="7">
        <f>(Table2[[#This Row],[final_obs_date2]]-Table2[[#This Row],[estHD]])+16</f>
        <v>8</v>
      </c>
      <c r="AU618" s="38">
        <v>4</v>
      </c>
      <c r="AV618" s="33">
        <v>4</v>
      </c>
      <c r="AW618" s="33">
        <f>Table2[[#This Row],[final_obs_date2]]-Table2[[#This Row],[pen_obs_date]]</f>
        <v>102</v>
      </c>
      <c r="AX618" s="67">
        <v>102</v>
      </c>
      <c r="AY618" s="6">
        <f>Table2[[#This Row],[final_obs_date]]</f>
        <v>102</v>
      </c>
      <c r="AZ618" s="6"/>
      <c r="BA618" s="91" t="s">
        <v>47</v>
      </c>
      <c r="BB618" s="6" t="b">
        <f>Table2[[#This Row],[final_obs_date]]&lt;(Table2[[#This Row],[estHD]]-2)</f>
        <v>1</v>
      </c>
      <c r="BC618" s="24">
        <f>IF(Table2[[#This Row],[field_fate]]="H",1,0)</f>
        <v>0</v>
      </c>
      <c r="BD618" s="16">
        <f>IF(Table2[[#This Row],[cam_fate2]]="H",1,0)</f>
        <v>0</v>
      </c>
      <c r="BE618" s="6" t="b">
        <f>NOT(Table2[[#This Row],[HF_C]]=Table2[[#This Row],[HF]])</f>
        <v>0</v>
      </c>
      <c r="BF618" s="6" t="b">
        <f>NOT(Table2[[#This Row],[cam_fate2]]=Table2[[#This Row],[field_fate3]])</f>
        <v>1</v>
      </c>
      <c r="BG618" s="6" t="b">
        <f>OR(Table2[[#This Row],[field_fate3]]="U",Table2[[#This Row],[field_fate3]]="U-H")</f>
        <v>0</v>
      </c>
      <c r="BH618" s="8">
        <v>94</v>
      </c>
      <c r="BI618" s="8">
        <v>98</v>
      </c>
      <c r="BJ618" s="14">
        <f>IF(ISTEXT(Table2[[#This Row],[j.cam]]),Table2[[#This Row],[j]],Table2[[#This Row],[j.cam]])</f>
        <v>98</v>
      </c>
      <c r="BK618" s="9">
        <v>102</v>
      </c>
      <c r="BL618" s="15">
        <f>IF(ISTEXT(Table2[[#This Row],[k.cam]]), Table2[[#This Row],[k]], Table2[[#This Row],[k.cam]])</f>
        <v>102</v>
      </c>
      <c r="BM618" s="4" t="s">
        <v>24</v>
      </c>
      <c r="BN618" s="8" t="s">
        <v>24</v>
      </c>
      <c r="BO618" s="4">
        <v>3</v>
      </c>
      <c r="BP618" s="4">
        <f>Table2[[#This Row],[final_obs_date]]-Table2[[#This Row],[i]]</f>
        <v>8</v>
      </c>
      <c r="BQ618" s="4" t="b">
        <f>Table2[[#This Row],[final_obs_date2]]&gt;Table2[[#This Row],[estHD]]+3</f>
        <v>0</v>
      </c>
      <c r="BR618" s="4" t="s">
        <v>33</v>
      </c>
      <c r="BS618" s="4" t="s">
        <v>45</v>
      </c>
      <c r="BT618" s="79" t="s">
        <v>1379</v>
      </c>
      <c r="BU618" s="26" t="s">
        <v>132</v>
      </c>
      <c r="BV618" s="79" t="s">
        <v>1454</v>
      </c>
      <c r="BW618" s="49"/>
      <c r="BX618" s="47"/>
      <c r="BY618" s="36" t="s">
        <v>852</v>
      </c>
    </row>
    <row r="619" spans="1:77" hidden="1" x14ac:dyDescent="0.35">
      <c r="A619" s="64">
        <v>30306</v>
      </c>
      <c r="B619" s="2" t="s">
        <v>157</v>
      </c>
      <c r="C619" s="46">
        <v>2021</v>
      </c>
      <c r="D619" s="3">
        <v>29.765129999999999</v>
      </c>
      <c r="E619" s="3">
        <v>-93.375399999999999</v>
      </c>
      <c r="F619" s="3">
        <v>0</v>
      </c>
      <c r="G619" s="3">
        <v>0</v>
      </c>
      <c r="H619" s="3" t="s">
        <v>354</v>
      </c>
      <c r="I619" s="43"/>
      <c r="J619" s="55">
        <v>114</v>
      </c>
      <c r="K619" s="4">
        <v>118</v>
      </c>
      <c r="L619" s="22">
        <f>IF(ISNUMBER(Table2[[#This Row],[estHD]]),ABS(Table2[[#This Row],[HD]]-Table2[[#This Row],[estHD]]),"NA")</f>
        <v>4</v>
      </c>
      <c r="M619" s="4" t="b">
        <f>Table2[[#This Row],[HD]]=Table2[[#This Row],[estHD]]</f>
        <v>0</v>
      </c>
      <c r="N619" s="4" t="str">
        <f>IF(ISNUMBER([1]!Table2[[#This Row],[hatch_date]]),[1]!Table2[[#This Row],[hatch_date]]-19,"NA")</f>
        <v>NA</v>
      </c>
      <c r="O619" s="31">
        <v>99</v>
      </c>
      <c r="P619" s="23">
        <f>IF(ISNUMBER(Table2[[#This Row],[nest_age1]]),ABS(Table2[[#This Row],[nest_age1]]-Table2[[#This Row],[nest_age_feb]]),"NA")</f>
        <v>4</v>
      </c>
      <c r="Q619" s="24">
        <f>IF(ISNUMBER(Table2[[#This Row],[final_obs_int2]]),ABS(Table2[[#This Row],[final_obs_int2]]-Table2[[#This Row],[final_obs_int_feb]]), "NA")</f>
        <v>0</v>
      </c>
      <c r="R619" s="24"/>
      <c r="S619" s="57" t="s">
        <v>88</v>
      </c>
      <c r="T619" s="57" t="str">
        <f>Table2[[#This Row],[camera_old]]</f>
        <v>N</v>
      </c>
      <c r="U619" s="24"/>
      <c r="V619" s="16" t="s">
        <v>24</v>
      </c>
      <c r="W619" s="16">
        <v>23</v>
      </c>
      <c r="X619" s="145">
        <v>3</v>
      </c>
      <c r="Y619" s="147" t="s">
        <v>37</v>
      </c>
      <c r="Z619" s="146" t="s">
        <v>37</v>
      </c>
      <c r="AA619" s="4" t="str">
        <f>Table2[[#This Row],[field_fate]]</f>
        <v>H</v>
      </c>
      <c r="AB619" s="4" t="str">
        <f>Table2[[#This Row],[field_fate2]]</f>
        <v>H</v>
      </c>
      <c r="AC619" s="4" t="str">
        <f>Table2[[#This Row],[field_fate3]]</f>
        <v>H</v>
      </c>
      <c r="AD619" s="4" t="str">
        <f>Table2[[#This Row],[field_fate4]]</f>
        <v>H</v>
      </c>
      <c r="AE619" s="4" t="str">
        <f>Table2[[#This Row],[field_fate5]]</f>
        <v>H</v>
      </c>
      <c r="AF619" s="4" t="str">
        <f>Table2[[#This Row],[field_fate5]]</f>
        <v>H</v>
      </c>
      <c r="AG619" s="4" t="str">
        <f>Table2[[#This Row],[field_fate5]]</f>
        <v>H</v>
      </c>
      <c r="AH619" s="4" t="str">
        <f>Table2[[#This Row],[field_fate2]]</f>
        <v>H</v>
      </c>
      <c r="AI619" s="4" t="str">
        <f>Table2[[#This Row],[field_fate8]]</f>
        <v>H</v>
      </c>
      <c r="AJ619" s="4" t="str">
        <f>Table2[[#This Row],[field_fate10]]</f>
        <v>H</v>
      </c>
      <c r="AK619" s="4" t="b">
        <f>Table2[[#This Row],[field_fate_feb]]=Table2[[#This Row],[field_fate10]]</f>
        <v>1</v>
      </c>
      <c r="AL619" s="43" t="s">
        <v>24</v>
      </c>
      <c r="AM619" s="43" t="b">
        <f>Table2[[#This Row],[cam_fate2]]="NA"</f>
        <v>1</v>
      </c>
      <c r="AN619" s="19" t="str">
        <f>Table2[[#This Row],[cam_fate1]]</f>
        <v>NA</v>
      </c>
      <c r="AO619" s="2" t="s">
        <v>37</v>
      </c>
      <c r="AP619" s="5" t="str">
        <f>Table2[[#This Row],[final_fate1]]</f>
        <v>H</v>
      </c>
      <c r="AQ619" s="6">
        <v>19</v>
      </c>
      <c r="AR619" s="7">
        <v>23</v>
      </c>
      <c r="AS619" s="7">
        <f>Table2[[#This Row],[final_obs_date]]-Table2[[#This Row],[init_date]]</f>
        <v>19</v>
      </c>
      <c r="AT619" s="7">
        <f>(Table2[[#This Row],[final_obs_date2]]-Table2[[#This Row],[estHD]])+16</f>
        <v>20</v>
      </c>
      <c r="AU619" s="38">
        <v>3</v>
      </c>
      <c r="AV619" s="33">
        <v>3</v>
      </c>
      <c r="AW619" s="33">
        <f>Table2[[#This Row],[final_obs_date2]]-Table2[[#This Row],[pen_obs_date]]</f>
        <v>118</v>
      </c>
      <c r="AX619" s="67">
        <v>118</v>
      </c>
      <c r="AY619" s="6">
        <f>Table2[[#This Row],[final_obs_date]]</f>
        <v>118</v>
      </c>
      <c r="AZ619" s="6"/>
      <c r="BA619" s="91" t="s">
        <v>47</v>
      </c>
      <c r="BB619" s="6" t="b">
        <f>Table2[[#This Row],[final_obs_date]]&lt;(Table2[[#This Row],[estHD]]-2)</f>
        <v>0</v>
      </c>
      <c r="BC619" s="24">
        <f>IF(Table2[[#This Row],[field_fate]]="H",1,0)</f>
        <v>1</v>
      </c>
      <c r="BD619" s="16">
        <f>IF(Table2[[#This Row],[cam_fate2]]="H",1,0)</f>
        <v>0</v>
      </c>
      <c r="BE619" s="6" t="b">
        <f>NOT(Table2[[#This Row],[HF_C]]=Table2[[#This Row],[HF]])</f>
        <v>1</v>
      </c>
      <c r="BF619" s="6" t="b">
        <f>NOT(Table2[[#This Row],[cam_fate2]]=Table2[[#This Row],[field_fate3]])</f>
        <v>1</v>
      </c>
      <c r="BG619" s="6" t="b">
        <f>OR(Table2[[#This Row],[field_fate3]]="U",Table2[[#This Row],[field_fate3]]="U-H")</f>
        <v>0</v>
      </c>
      <c r="BH619" s="8">
        <v>96</v>
      </c>
      <c r="BI619" s="8">
        <v>118</v>
      </c>
      <c r="BJ619" s="14">
        <f>IF(ISTEXT(Table2[[#This Row],[j.cam]]),Table2[[#This Row],[j]],Table2[[#This Row],[j.cam]])</f>
        <v>118</v>
      </c>
      <c r="BK619" s="9">
        <v>118</v>
      </c>
      <c r="BL619" s="15">
        <f>IF(ISTEXT(Table2[[#This Row],[k.cam]]), Table2[[#This Row],[k]], Table2[[#This Row],[k.cam]])</f>
        <v>118</v>
      </c>
      <c r="BM619" s="4" t="s">
        <v>24</v>
      </c>
      <c r="BN619" s="8" t="s">
        <v>24</v>
      </c>
      <c r="BO619" s="4">
        <v>6</v>
      </c>
      <c r="BP619" s="4">
        <f>Table2[[#This Row],[final_obs_date]]-Table2[[#This Row],[i]]</f>
        <v>22</v>
      </c>
      <c r="BQ619" s="4" t="b">
        <f>Table2[[#This Row],[final_obs_date2]]&gt;Table2[[#This Row],[estHD]]+3</f>
        <v>1</v>
      </c>
      <c r="BR619" s="4" t="s">
        <v>33</v>
      </c>
      <c r="BS619" s="4" t="s">
        <v>53</v>
      </c>
      <c r="BT619" s="79" t="s">
        <v>1380</v>
      </c>
      <c r="BU619" s="26" t="s">
        <v>367</v>
      </c>
      <c r="BV619" s="79" t="s">
        <v>1673</v>
      </c>
      <c r="BW619" s="49"/>
      <c r="BX619" s="47"/>
      <c r="BY619" s="36" t="s">
        <v>24</v>
      </c>
    </row>
    <row r="620" spans="1:77" hidden="1" x14ac:dyDescent="0.35">
      <c r="A620" s="64">
        <v>30308</v>
      </c>
      <c r="B620" s="2" t="s">
        <v>122</v>
      </c>
      <c r="C620" s="46">
        <v>2021</v>
      </c>
      <c r="D620" s="3">
        <v>29.757930000000002</v>
      </c>
      <c r="E620" s="3">
        <v>-93.116519999999994</v>
      </c>
      <c r="F620" s="3">
        <v>0</v>
      </c>
      <c r="G620" s="3">
        <v>0</v>
      </c>
      <c r="H620" s="3" t="s">
        <v>354</v>
      </c>
      <c r="I620" s="43"/>
      <c r="J620" s="55">
        <v>115</v>
      </c>
      <c r="K620" s="4">
        <v>115</v>
      </c>
      <c r="L620" s="22">
        <f>IF(ISNUMBER(Table2[[#This Row],[estHD]]),ABS(Table2[[#This Row],[HD]]-Table2[[#This Row],[estHD]]),"NA")</f>
        <v>0</v>
      </c>
      <c r="M620" s="4" t="b">
        <f>Table2[[#This Row],[HD]]=Table2[[#This Row],[estHD]]</f>
        <v>1</v>
      </c>
      <c r="N620" s="4" t="str">
        <f>IF(ISNUMBER([1]!Table2[[#This Row],[hatch_date]]),[1]!Table2[[#This Row],[hatch_date]]-19,"NA")</f>
        <v>NA</v>
      </c>
      <c r="O620" s="31">
        <v>96</v>
      </c>
      <c r="P620" s="23">
        <f>IF(ISNUMBER(Table2[[#This Row],[nest_age1]]),ABS(Table2[[#This Row],[nest_age1]]-Table2[[#This Row],[nest_age_feb]]),"NA")</f>
        <v>0</v>
      </c>
      <c r="Q620" s="24">
        <f>IF(ISNUMBER(Table2[[#This Row],[final_obs_int2]]),ABS(Table2[[#This Row],[final_obs_int2]]-Table2[[#This Row],[final_obs_int_feb]]), "NA")</f>
        <v>0</v>
      </c>
      <c r="R620" s="24"/>
      <c r="S620" s="57" t="s">
        <v>88</v>
      </c>
      <c r="T620" s="57" t="str">
        <f>Table2[[#This Row],[camera_old]]</f>
        <v>N</v>
      </c>
      <c r="U620" s="24"/>
      <c r="V620" s="16" t="s">
        <v>24</v>
      </c>
      <c r="W620" s="16">
        <v>10</v>
      </c>
      <c r="X620" s="145">
        <v>2</v>
      </c>
      <c r="Y620" s="147" t="s">
        <v>31</v>
      </c>
      <c r="Z620" s="146" t="s">
        <v>31</v>
      </c>
      <c r="AA620" s="4" t="str">
        <f>Table2[[#This Row],[field_fate]]</f>
        <v>D</v>
      </c>
      <c r="AB620" s="4" t="str">
        <f>Table2[[#This Row],[field_fate2]]</f>
        <v>D</v>
      </c>
      <c r="AC620" s="4" t="str">
        <f>Table2[[#This Row],[field_fate3]]</f>
        <v>D</v>
      </c>
      <c r="AD620" s="4" t="str">
        <f>Table2[[#This Row],[field_fate4]]</f>
        <v>D</v>
      </c>
      <c r="AE620" s="4" t="str">
        <f>Table2[[#This Row],[field_fate5]]</f>
        <v>D</v>
      </c>
      <c r="AF620" s="4" t="str">
        <f>Table2[[#This Row],[field_fate5]]</f>
        <v>D</v>
      </c>
      <c r="AG620" s="4" t="str">
        <f>Table2[[#This Row],[field_fate5]]</f>
        <v>D</v>
      </c>
      <c r="AH620" s="4" t="str">
        <f>Table2[[#This Row],[field_fate2]]</f>
        <v>D</v>
      </c>
      <c r="AI620" s="4" t="str">
        <f>Table2[[#This Row],[field_fate8]]</f>
        <v>D</v>
      </c>
      <c r="AJ620" s="4" t="str">
        <f>Table2[[#This Row],[field_fate10]]</f>
        <v>D</v>
      </c>
      <c r="AK620" s="4" t="b">
        <f>Table2[[#This Row],[field_fate_feb]]=Table2[[#This Row],[field_fate10]]</f>
        <v>1</v>
      </c>
      <c r="AL620" s="43" t="s">
        <v>24</v>
      </c>
      <c r="AM620" s="43" t="b">
        <f>Table2[[#This Row],[cam_fate2]]="NA"</f>
        <v>1</v>
      </c>
      <c r="AN620" s="19" t="str">
        <f>Table2[[#This Row],[cam_fate1]]</f>
        <v>NA</v>
      </c>
      <c r="AO620" s="2" t="s">
        <v>31</v>
      </c>
      <c r="AP620" s="5" t="str">
        <f>Table2[[#This Row],[final_fate1]]</f>
        <v>D</v>
      </c>
      <c r="AQ620" s="6">
        <v>10</v>
      </c>
      <c r="AR620" s="7">
        <v>10</v>
      </c>
      <c r="AS620" s="7">
        <f>Table2[[#This Row],[final_obs_date]]-Table2[[#This Row],[init_date]]</f>
        <v>8</v>
      </c>
      <c r="AT620" s="7">
        <f>(Table2[[#This Row],[final_obs_date2]]-Table2[[#This Row],[estHD]])+16</f>
        <v>5</v>
      </c>
      <c r="AU620" s="41">
        <v>2</v>
      </c>
      <c r="AV620" s="33">
        <v>2</v>
      </c>
      <c r="AW620" s="33">
        <f>Table2[[#This Row],[final_obs_date2]]-Table2[[#This Row],[pen_obs_date]]</f>
        <v>104</v>
      </c>
      <c r="AX620" s="68">
        <v>104</v>
      </c>
      <c r="AY620" s="10">
        <f>Table2[[#This Row],[final_obs_date]]</f>
        <v>104</v>
      </c>
      <c r="AZ620" s="10"/>
      <c r="BA620" s="91" t="s">
        <v>47</v>
      </c>
      <c r="BB620" s="10" t="b">
        <f>Table2[[#This Row],[final_obs_date]]&lt;(Table2[[#This Row],[estHD]]-2)</f>
        <v>1</v>
      </c>
      <c r="BC620" s="24">
        <f>IF(Table2[[#This Row],[field_fate]]="H",1,0)</f>
        <v>0</v>
      </c>
      <c r="BD620" s="16">
        <f>IF(Table2[[#This Row],[cam_fate2]]="H",1,0)</f>
        <v>0</v>
      </c>
      <c r="BE620" s="6" t="b">
        <f>NOT(Table2[[#This Row],[HF_C]]=Table2[[#This Row],[HF]])</f>
        <v>0</v>
      </c>
      <c r="BF620" s="6" t="b">
        <f>NOT(Table2[[#This Row],[cam_fate2]]=Table2[[#This Row],[field_fate3]])</f>
        <v>1</v>
      </c>
      <c r="BG620" s="6" t="b">
        <f>OR(Table2[[#This Row],[field_fate3]]="U",Table2[[#This Row],[field_fate3]]="U-H")</f>
        <v>0</v>
      </c>
      <c r="BH620" s="8">
        <v>98</v>
      </c>
      <c r="BI620" s="8">
        <v>102</v>
      </c>
      <c r="BJ620" s="14">
        <f>IF(ISTEXT(Table2[[#This Row],[j.cam]]),Table2[[#This Row],[j]],Table2[[#This Row],[j.cam]])</f>
        <v>102</v>
      </c>
      <c r="BK620" s="9">
        <v>106</v>
      </c>
      <c r="BL620" s="15">
        <f>IF(ISTEXT(Table2[[#This Row],[k.cam]]), Table2[[#This Row],[k]], Table2[[#This Row],[k.cam]])</f>
        <v>106</v>
      </c>
      <c r="BM620" s="4" t="s">
        <v>24</v>
      </c>
      <c r="BN620" s="8" t="s">
        <v>24</v>
      </c>
      <c r="BO620" s="4">
        <v>4</v>
      </c>
      <c r="BP620" s="4">
        <f>Table2[[#This Row],[final_obs_date]]-Table2[[#This Row],[i]]</f>
        <v>6</v>
      </c>
      <c r="BQ620" s="4" t="b">
        <f>Table2[[#This Row],[final_obs_date2]]&gt;Table2[[#This Row],[estHD]]+3</f>
        <v>0</v>
      </c>
      <c r="BR620" s="11" t="s">
        <v>45</v>
      </c>
      <c r="BS620" s="4" t="s">
        <v>365</v>
      </c>
      <c r="BT620" s="79" t="s">
        <v>1381</v>
      </c>
      <c r="BU620" s="26" t="s">
        <v>395</v>
      </c>
      <c r="BV620" s="79" t="s">
        <v>1674</v>
      </c>
      <c r="BW620" s="49" t="s">
        <v>468</v>
      </c>
      <c r="BX620" s="47"/>
      <c r="BY620" s="36" t="s">
        <v>24</v>
      </c>
    </row>
    <row r="621" spans="1:77" hidden="1" x14ac:dyDescent="0.35">
      <c r="A621" s="109">
        <v>30309</v>
      </c>
      <c r="B621" s="2" t="s">
        <v>122</v>
      </c>
      <c r="C621" s="46">
        <v>2021</v>
      </c>
      <c r="D621" s="3">
        <v>29.755299999999998</v>
      </c>
      <c r="E621" s="3">
        <v>-93.105810000000005</v>
      </c>
      <c r="F621" s="3" t="s">
        <v>24</v>
      </c>
      <c r="G621" s="3">
        <v>5</v>
      </c>
      <c r="H621" s="3" t="s">
        <v>354</v>
      </c>
      <c r="I621" s="43"/>
      <c r="J621" s="116">
        <v>100</v>
      </c>
      <c r="K621" s="4">
        <v>102</v>
      </c>
      <c r="L621" s="22">
        <f>IF(ISNUMBER(Table2[[#This Row],[estHD]]),ABS(Table2[[#This Row],[HD]]-Table2[[#This Row],[estHD]]),"NA")</f>
        <v>2</v>
      </c>
      <c r="M621" s="4" t="b">
        <f>Table2[[#This Row],[HD]]=Table2[[#This Row],[estHD]]</f>
        <v>0</v>
      </c>
      <c r="N621" s="4">
        <f>IF(ISNUMBER(Table2[[#This Row],[HD]]),Table2[[#This Row],[HD]]-16,"NA")</f>
        <v>86</v>
      </c>
      <c r="O621" s="31">
        <v>86</v>
      </c>
      <c r="P621" s="23">
        <f>IF(ISNUMBER(Table2[[#This Row],[nest_age1]]),ABS(Table2[[#This Row],[nest_age1]]-Table2[[#This Row],[nest_age_feb]]),"NA")</f>
        <v>2</v>
      </c>
      <c r="Q621" s="24">
        <f>IF(ISNUMBER(Table2[[#This Row],[final_obs_int2]]),ABS(Table2[[#This Row],[final_obs_int2]]-Table2[[#This Row],[final_obs_int_feb]]), "NA")</f>
        <v>0</v>
      </c>
      <c r="R621" s="24">
        <f>(Table2[[#This Row],[k_adj]]-Table2[[#This Row],[estHD]])/Table2[[#This Row],[estHD]]</f>
        <v>0.02</v>
      </c>
      <c r="S621" s="20" t="s">
        <v>75</v>
      </c>
      <c r="T621" s="20" t="str">
        <f>Table2[[#This Row],[camera_old]]</f>
        <v>Y</v>
      </c>
      <c r="U621" s="22" t="s">
        <v>88</v>
      </c>
      <c r="V621" s="16" t="s">
        <v>37</v>
      </c>
      <c r="W621" s="16">
        <v>18</v>
      </c>
      <c r="X621" s="145">
        <v>4</v>
      </c>
      <c r="Y621" s="147" t="s">
        <v>37</v>
      </c>
      <c r="Z621" s="146" t="s">
        <v>37</v>
      </c>
      <c r="AA621" s="4" t="str">
        <f>Table2[[#This Row],[field_fate]]</f>
        <v>H</v>
      </c>
      <c r="AB621" s="4" t="str">
        <f>Table2[[#This Row],[field_fate2]]</f>
        <v>H</v>
      </c>
      <c r="AC621" s="94" t="str">
        <f>Table2[[#This Row],[field_fate3]]</f>
        <v>H</v>
      </c>
      <c r="AD621" s="94" t="str">
        <f>Table2[[#This Row],[field_fate4]]</f>
        <v>H</v>
      </c>
      <c r="AE621" s="94" t="str">
        <f>Table2[[#This Row],[field_fate5]]</f>
        <v>H</v>
      </c>
      <c r="AF621" s="94" t="str">
        <f>Table2[[#This Row],[field_fate5]]</f>
        <v>H</v>
      </c>
      <c r="AG621" s="94" t="str">
        <f>Table2[[#This Row],[field_fate5]]</f>
        <v>H</v>
      </c>
      <c r="AH621" s="94" t="str">
        <f>Table2[[#This Row],[field_fate2]]</f>
        <v>H</v>
      </c>
      <c r="AI621" s="94" t="str">
        <f>Table2[[#This Row],[field_fate8]]</f>
        <v>H</v>
      </c>
      <c r="AJ621" s="94" t="str">
        <f>Table2[[#This Row],[field_fate10]]</f>
        <v>H</v>
      </c>
      <c r="AK621" s="94" t="b">
        <f>Table2[[#This Row],[field_fate_feb]]=Table2[[#This Row],[field_fate10]]</f>
        <v>1</v>
      </c>
      <c r="AL621" s="43" t="s">
        <v>37</v>
      </c>
      <c r="AM621" s="160" t="b">
        <f>Table2[[#This Row],[cam_fate2]]="NA"</f>
        <v>0</v>
      </c>
      <c r="AN621" s="19" t="str">
        <f>Table2[[#This Row],[cam_fate1]]</f>
        <v>H</v>
      </c>
      <c r="AO621" s="2" t="s">
        <v>37</v>
      </c>
      <c r="AP621" s="5" t="str">
        <f>Table2[[#This Row],[final_fate1]]</f>
        <v>H</v>
      </c>
      <c r="AQ621" s="6">
        <v>16</v>
      </c>
      <c r="AR621" s="72">
        <v>18</v>
      </c>
      <c r="AS621" s="155">
        <f>Table2[[#This Row],[final_obs_date]]-Table2[[#This Row],[init_date]]</f>
        <v>16</v>
      </c>
      <c r="AT621" s="155">
        <f>(Table2[[#This Row],[final_obs_date2]]-Table2[[#This Row],[estHD]])+16</f>
        <v>18</v>
      </c>
      <c r="AU621" s="38">
        <v>4</v>
      </c>
      <c r="AV621" s="33">
        <v>4</v>
      </c>
      <c r="AW621" s="33">
        <f>Table2[[#This Row],[final_obs_date2]]-Table2[[#This Row],[pen_obs_date]]</f>
        <v>4</v>
      </c>
      <c r="AX621" s="67">
        <v>102</v>
      </c>
      <c r="AY621" s="157">
        <f>Table2[[#This Row],[final_obs_date]]</f>
        <v>102</v>
      </c>
      <c r="AZ621" s="6">
        <v>98</v>
      </c>
      <c r="BA621" s="92" t="s">
        <v>60</v>
      </c>
      <c r="BB621" s="6" t="b">
        <f>Table2[[#This Row],[final_obs_date]]&lt;(Table2[[#This Row],[estHD]]-2)</f>
        <v>0</v>
      </c>
      <c r="BC621" s="32">
        <f>IF(Table2[[#This Row],[field_fate]]="H",1,0)</f>
        <v>1</v>
      </c>
      <c r="BD621" s="16">
        <f>IF(Table2[[#This Row],[cam_fate2]]="H",1,0)</f>
        <v>1</v>
      </c>
      <c r="BE621" s="6" t="b">
        <f>NOT(Table2[[#This Row],[HF_C]]=Table2[[#This Row],[HF]])</f>
        <v>0</v>
      </c>
      <c r="BF621" s="38" t="b">
        <f>NOT(Table2[[#This Row],[cam_fate2]]=Table2[[#This Row],[field_fate3]])</f>
        <v>0</v>
      </c>
      <c r="BG621" s="38" t="b">
        <f>OR(Table2[[#This Row],[field_fate3]]="U",Table2[[#This Row],[field_fate3]]="U-H")</f>
        <v>0</v>
      </c>
      <c r="BH621" s="8">
        <v>98</v>
      </c>
      <c r="BI621" s="8">
        <v>102</v>
      </c>
      <c r="BJ621" s="14">
        <f>IF(ISTEXT(Table2[[#This Row],[j.cam]]),Table2[[#This Row],[j]],Table2[[#This Row],[j.cam]])</f>
        <v>102</v>
      </c>
      <c r="BK621" s="8">
        <v>102</v>
      </c>
      <c r="BL621" s="14">
        <f>IF(ISTEXT(Table2[[#This Row],[k.cam]]), Table2[[#This Row],[k]], Table2[[#This Row],[k.cam]])</f>
        <v>102</v>
      </c>
      <c r="BM621" s="4" t="s">
        <v>24</v>
      </c>
      <c r="BN621" s="8" t="s">
        <v>24</v>
      </c>
      <c r="BO621" s="4">
        <v>2</v>
      </c>
      <c r="BP621" s="4">
        <f>Table2[[#This Row],[final_obs_date]]-Table2[[#This Row],[i]]</f>
        <v>4</v>
      </c>
      <c r="BQ621" s="4" t="b">
        <f>Table2[[#This Row],[final_obs_date2]]&gt;Table2[[#This Row],[estHD]]+3</f>
        <v>0</v>
      </c>
      <c r="BR621" s="3" t="s">
        <v>33</v>
      </c>
      <c r="BS621" s="3" t="s">
        <v>165</v>
      </c>
      <c r="BT621" s="125" t="s">
        <v>1382</v>
      </c>
      <c r="BU621" s="4" t="s">
        <v>373</v>
      </c>
      <c r="BV621" s="79" t="s">
        <v>1429</v>
      </c>
      <c r="BW621" s="69"/>
      <c r="BX621" s="36"/>
      <c r="BY621" s="36" t="s">
        <v>853</v>
      </c>
    </row>
    <row r="622" spans="1:77" hidden="1" x14ac:dyDescent="0.35">
      <c r="A622" s="64">
        <v>30310</v>
      </c>
      <c r="B622" s="2" t="s">
        <v>35</v>
      </c>
      <c r="C622" s="46">
        <v>2021</v>
      </c>
      <c r="D622" s="3">
        <v>29.768070000000002</v>
      </c>
      <c r="E622" s="3">
        <v>-93.162260000000003</v>
      </c>
      <c r="F622" s="3">
        <v>0</v>
      </c>
      <c r="G622" s="3">
        <v>0</v>
      </c>
      <c r="H622" s="3" t="s">
        <v>26</v>
      </c>
      <c r="I622" s="43"/>
      <c r="J622" s="55">
        <v>100</v>
      </c>
      <c r="K622" s="4">
        <v>100</v>
      </c>
      <c r="L622" s="22">
        <f>IF(ISNUMBER(Table2[[#This Row],[estHD]]),ABS(Table2[[#This Row],[HD]]-Table2[[#This Row],[estHD]]),"NA")</f>
        <v>0</v>
      </c>
      <c r="M622" s="4" t="b">
        <f>Table2[[#This Row],[HD]]=Table2[[#This Row],[estHD]]</f>
        <v>1</v>
      </c>
      <c r="N622" s="4" t="str">
        <f>IF(ISNUMBER([1]!Table2[[#This Row],[hatch_date]]),[1]!Table2[[#This Row],[hatch_date]]-19,"NA")</f>
        <v>NA</v>
      </c>
      <c r="O622" s="31">
        <v>81</v>
      </c>
      <c r="P622" s="23" t="e">
        <f>IF(ISNUMBER(Table2[[#This Row],[nest_age1]]),ABS(Table2[[#This Row],[nest_age1]]-Table2[[#This Row],[nest_age_feb]]),"NA")</f>
        <v>#VALUE!</v>
      </c>
      <c r="Q622" s="24">
        <f>IF(ISNUMBER(Table2[[#This Row],[final_obs_int2]]),ABS(Table2[[#This Row],[final_obs_int2]]-Table2[[#This Row],[final_obs_int_feb]]), "NA")</f>
        <v>0</v>
      </c>
      <c r="R622" s="24"/>
      <c r="S622" s="57" t="s">
        <v>88</v>
      </c>
      <c r="T622" s="57" t="str">
        <f>Table2[[#This Row],[camera_old]]</f>
        <v>N</v>
      </c>
      <c r="U622" s="24"/>
      <c r="V622" s="16" t="s">
        <v>24</v>
      </c>
      <c r="W622" s="16" t="s">
        <v>24</v>
      </c>
      <c r="X622" s="145">
        <v>3</v>
      </c>
      <c r="Y622" s="147" t="s">
        <v>90</v>
      </c>
      <c r="Z622" s="146" t="s">
        <v>90</v>
      </c>
      <c r="AA622" s="4" t="str">
        <f>Table2[[#This Row],[field_fate]]</f>
        <v>U</v>
      </c>
      <c r="AB622" s="4" t="str">
        <f>Table2[[#This Row],[field_fate2]]</f>
        <v>U</v>
      </c>
      <c r="AC622" s="4" t="str">
        <f>Table2[[#This Row],[field_fate3]]</f>
        <v>U</v>
      </c>
      <c r="AD622" s="4" t="str">
        <f>Table2[[#This Row],[field_fate4]]</f>
        <v>U</v>
      </c>
      <c r="AE622" s="4" t="str">
        <f>Table2[[#This Row],[field_fate5]]</f>
        <v>U</v>
      </c>
      <c r="AF622" s="4" t="str">
        <f>Table2[[#This Row],[field_fate5]]</f>
        <v>U</v>
      </c>
      <c r="AG622" s="4" t="str">
        <f>Table2[[#This Row],[field_fate5]]</f>
        <v>U</v>
      </c>
      <c r="AH622" s="4" t="str">
        <f>Table2[[#This Row],[field_fate2]]</f>
        <v>U</v>
      </c>
      <c r="AI622" s="4" t="str">
        <f>Table2[[#This Row],[field_fate8]]</f>
        <v>U</v>
      </c>
      <c r="AJ622" s="4" t="str">
        <f>Table2[[#This Row],[field_fate10]]</f>
        <v>U</v>
      </c>
      <c r="AK622" s="4" t="b">
        <f>Table2[[#This Row],[field_fate_feb]]=Table2[[#This Row],[field_fate10]]</f>
        <v>1</v>
      </c>
      <c r="AL622" s="43" t="s">
        <v>24</v>
      </c>
      <c r="AM622" s="43" t="b">
        <f>Table2[[#This Row],[cam_fate2]]="NA"</f>
        <v>1</v>
      </c>
      <c r="AN622" s="19" t="str">
        <f>Table2[[#This Row],[cam_fate1]]</f>
        <v>NA</v>
      </c>
      <c r="AO622" s="2" t="s">
        <v>90</v>
      </c>
      <c r="AP622" s="5" t="str">
        <f>Table2[[#This Row],[final_fate1]]</f>
        <v>U</v>
      </c>
      <c r="AQ622" s="6">
        <v>21</v>
      </c>
      <c r="AR622" s="7">
        <v>21</v>
      </c>
      <c r="AS622" s="7">
        <f>Table2[[#This Row],[final_obs_date]]-Table2[[#This Row],[init_date]]</f>
        <v>21</v>
      </c>
      <c r="AT622" s="7">
        <f>(Table2[[#This Row],[final_obs_date2]]-Table2[[#This Row],[estHD]])+16</f>
        <v>18</v>
      </c>
      <c r="AU622" s="38">
        <v>3</v>
      </c>
      <c r="AV622" s="33">
        <v>3</v>
      </c>
      <c r="AW622" s="33">
        <f>Table2[[#This Row],[final_obs_date2]]-Table2[[#This Row],[pen_obs_date]]</f>
        <v>102</v>
      </c>
      <c r="AX622" s="67">
        <v>102</v>
      </c>
      <c r="AY622" s="6">
        <f>Table2[[#This Row],[final_obs_date]]</f>
        <v>102</v>
      </c>
      <c r="AZ622" s="6"/>
      <c r="BA622" s="91" t="s">
        <v>47</v>
      </c>
      <c r="BB622" s="6" t="b">
        <f>Table2[[#This Row],[final_obs_date]]&lt;(Table2[[#This Row],[estHD]]-2)</f>
        <v>0</v>
      </c>
      <c r="BC622" s="24">
        <f>IF(Table2[[#This Row],[field_fate]]="H",1,0)</f>
        <v>0</v>
      </c>
      <c r="BD622" s="16">
        <f>IF(Table2[[#This Row],[cam_fate2]]="H",1,0)</f>
        <v>0</v>
      </c>
      <c r="BE622" s="6" t="b">
        <f>NOT(Table2[[#This Row],[HF_C]]=Table2[[#This Row],[HF]])</f>
        <v>0</v>
      </c>
      <c r="BF622" s="6" t="b">
        <f>NOT(Table2[[#This Row],[cam_fate2]]=Table2[[#This Row],[field_fate3]])</f>
        <v>1</v>
      </c>
      <c r="BG622" s="6" t="b">
        <f>OR(Table2[[#This Row],[field_fate3]]="U",Table2[[#This Row],[field_fate3]]="U-H")</f>
        <v>1</v>
      </c>
      <c r="BH622" s="8">
        <v>99</v>
      </c>
      <c r="BI622" s="8">
        <v>99</v>
      </c>
      <c r="BJ622" s="14">
        <f>IF(ISTEXT(Table2[[#This Row],[j.cam]]),Table2[[#This Row],[j]],Table2[[#This Row],[j.cam]])</f>
        <v>99</v>
      </c>
      <c r="BK622" s="9">
        <v>102</v>
      </c>
      <c r="BL622" s="15">
        <f>IF(ISTEXT(Table2[[#This Row],[k.cam]]), Table2[[#This Row],[k]], Table2[[#This Row],[k.cam]])</f>
        <v>102</v>
      </c>
      <c r="BM622" s="4" t="s">
        <v>24</v>
      </c>
      <c r="BN622" s="8" t="s">
        <v>24</v>
      </c>
      <c r="BO622" s="4">
        <v>2</v>
      </c>
      <c r="BP622" s="4">
        <f>Table2[[#This Row],[final_obs_date]]-Table2[[#This Row],[i]]</f>
        <v>3</v>
      </c>
      <c r="BQ622" s="4" t="b">
        <f>Table2[[#This Row],[final_obs_date2]]&gt;Table2[[#This Row],[estHD]]+3</f>
        <v>0</v>
      </c>
      <c r="BR622" s="4" t="s">
        <v>33</v>
      </c>
      <c r="BS622" s="4" t="s">
        <v>45</v>
      </c>
      <c r="BT622" s="79" t="s">
        <v>1383</v>
      </c>
      <c r="BU622" s="26" t="s">
        <v>87</v>
      </c>
      <c r="BV622" s="79" t="s">
        <v>1430</v>
      </c>
      <c r="BW622" s="49"/>
      <c r="BX622" s="47"/>
      <c r="BY622" s="36" t="s">
        <v>854</v>
      </c>
    </row>
    <row r="623" spans="1:77" hidden="1" x14ac:dyDescent="0.35">
      <c r="A623" s="64">
        <v>30311</v>
      </c>
      <c r="B623" s="2" t="s">
        <v>35</v>
      </c>
      <c r="C623" s="46">
        <v>2021</v>
      </c>
      <c r="D623" s="3">
        <v>29.769580000000001</v>
      </c>
      <c r="E623" s="3">
        <v>-93.16798</v>
      </c>
      <c r="F623" s="3">
        <v>0</v>
      </c>
      <c r="G623" s="3">
        <v>0</v>
      </c>
      <c r="H623" s="3" t="s">
        <v>26</v>
      </c>
      <c r="I623" s="43"/>
      <c r="J623" s="55">
        <v>118</v>
      </c>
      <c r="K623" s="4">
        <v>118</v>
      </c>
      <c r="L623" s="22">
        <f>IF(ISNUMBER(Table2[[#This Row],[estHD]]),ABS(Table2[[#This Row],[HD]]-Table2[[#This Row],[estHD]]),"NA")</f>
        <v>0</v>
      </c>
      <c r="M623" s="4" t="b">
        <f>Table2[[#This Row],[HD]]=Table2[[#This Row],[estHD]]</f>
        <v>1</v>
      </c>
      <c r="N623" s="4" t="str">
        <f>IF(ISNUMBER([1]!Table2[[#This Row],[hatch_date]]),[1]!Table2[[#This Row],[hatch_date]]-19,"NA")</f>
        <v>NA</v>
      </c>
      <c r="O623" s="31">
        <v>99</v>
      </c>
      <c r="P623" s="23" t="e">
        <f>IF(ISNUMBER(Table2[[#This Row],[nest_age1]]),ABS(Table2[[#This Row],[nest_age1]]-Table2[[#This Row],[nest_age_feb]]),"NA")</f>
        <v>#VALUE!</v>
      </c>
      <c r="Q623" s="24">
        <f>IF(ISNUMBER(Table2[[#This Row],[final_obs_int2]]),ABS(Table2[[#This Row],[final_obs_int2]]-Table2[[#This Row],[final_obs_int_feb]]), "NA")</f>
        <v>0</v>
      </c>
      <c r="R623" s="24"/>
      <c r="S623" s="57" t="s">
        <v>88</v>
      </c>
      <c r="T623" s="57" t="str">
        <f>Table2[[#This Row],[camera_old]]</f>
        <v>N</v>
      </c>
      <c r="U623" s="24"/>
      <c r="V623" s="16" t="s">
        <v>24</v>
      </c>
      <c r="W623" s="16" t="s">
        <v>24</v>
      </c>
      <c r="X623" s="145">
        <v>3</v>
      </c>
      <c r="Y623" s="147" t="s">
        <v>48</v>
      </c>
      <c r="Z623" s="146" t="s">
        <v>48</v>
      </c>
      <c r="AA623" s="4" t="str">
        <f>Table2[[#This Row],[field_fate]]</f>
        <v>F</v>
      </c>
      <c r="AB623" s="4" t="str">
        <f>Table2[[#This Row],[field_fate2]]</f>
        <v>F</v>
      </c>
      <c r="AC623" s="4" t="str">
        <f>Table2[[#This Row],[field_fate3]]</f>
        <v>F</v>
      </c>
      <c r="AD623" s="4" t="str">
        <f>Table2[[#This Row],[field_fate4]]</f>
        <v>F</v>
      </c>
      <c r="AE623" s="4" t="str">
        <f>Table2[[#This Row],[field_fate5]]</f>
        <v>F</v>
      </c>
      <c r="AF623" s="4" t="str">
        <f>Table2[[#This Row],[field_fate5]]</f>
        <v>F</v>
      </c>
      <c r="AG623" s="4" t="str">
        <f>Table2[[#This Row],[field_fate5]]</f>
        <v>F</v>
      </c>
      <c r="AH623" s="4" t="str">
        <f>Table2[[#This Row],[field_fate2]]</f>
        <v>F</v>
      </c>
      <c r="AI623" s="4" t="str">
        <f>Table2[[#This Row],[field_fate8]]</f>
        <v>F</v>
      </c>
      <c r="AJ623" s="4" t="str">
        <f>Table2[[#This Row],[field_fate10]]</f>
        <v>F</v>
      </c>
      <c r="AK623" s="4" t="b">
        <f>Table2[[#This Row],[field_fate_feb]]=Table2[[#This Row],[field_fate10]]</f>
        <v>1</v>
      </c>
      <c r="AL623" s="43" t="s">
        <v>24</v>
      </c>
      <c r="AM623" s="43" t="b">
        <f>Table2[[#This Row],[cam_fate2]]="NA"</f>
        <v>1</v>
      </c>
      <c r="AN623" s="19" t="str">
        <f>Table2[[#This Row],[cam_fate1]]</f>
        <v>NA</v>
      </c>
      <c r="AO623" s="2" t="s">
        <v>24</v>
      </c>
      <c r="AP623" s="5" t="str">
        <f>Table2[[#This Row],[final_fate1]]</f>
        <v>NA</v>
      </c>
      <c r="AQ623" s="6">
        <v>3</v>
      </c>
      <c r="AR623" s="7">
        <v>3</v>
      </c>
      <c r="AS623" s="7">
        <f>Table2[[#This Row],[final_obs_date]]-Table2[[#This Row],[init_date]]</f>
        <v>3</v>
      </c>
      <c r="AT623" s="7">
        <f>(Table2[[#This Row],[final_obs_date2]]-Table2[[#This Row],[estHD]])+16</f>
        <v>0</v>
      </c>
      <c r="AU623" s="38">
        <v>3</v>
      </c>
      <c r="AV623" s="33">
        <v>3</v>
      </c>
      <c r="AW623" s="33">
        <f>Table2[[#This Row],[final_obs_date2]]-Table2[[#This Row],[pen_obs_date]]</f>
        <v>102</v>
      </c>
      <c r="AX623" s="67">
        <v>102</v>
      </c>
      <c r="AY623" s="6">
        <f>Table2[[#This Row],[final_obs_date]]</f>
        <v>102</v>
      </c>
      <c r="AZ623" s="6"/>
      <c r="BA623" s="91" t="s">
        <v>47</v>
      </c>
      <c r="BB623" s="6" t="b">
        <f>Table2[[#This Row],[final_obs_date]]&lt;(Table2[[#This Row],[estHD]]-2)</f>
        <v>1</v>
      </c>
      <c r="BC623" s="24">
        <f>IF(Table2[[#This Row],[field_fate]]="H",1,0)</f>
        <v>0</v>
      </c>
      <c r="BD623" s="16">
        <f>IF(Table2[[#This Row],[cam_fate2]]="H",1,0)</f>
        <v>0</v>
      </c>
      <c r="BE623" s="6" t="b">
        <f>NOT(Table2[[#This Row],[HF_C]]=Table2[[#This Row],[HF]])</f>
        <v>0</v>
      </c>
      <c r="BF623" s="6" t="b">
        <f>NOT(Table2[[#This Row],[cam_fate2]]=Table2[[#This Row],[field_fate3]])</f>
        <v>1</v>
      </c>
      <c r="BG623" s="6" t="b">
        <f>OR(Table2[[#This Row],[field_fate3]]="U",Table2[[#This Row],[field_fate3]]="U-H")</f>
        <v>0</v>
      </c>
      <c r="BH623" s="8">
        <v>99</v>
      </c>
      <c r="BI623" s="8">
        <v>99</v>
      </c>
      <c r="BJ623" s="14">
        <f>IF(ISTEXT(Table2[[#This Row],[j.cam]]),Table2[[#This Row],[j]],Table2[[#This Row],[j.cam]])</f>
        <v>99</v>
      </c>
      <c r="BK623" s="9">
        <v>102</v>
      </c>
      <c r="BL623" s="15">
        <f>IF(ISTEXT(Table2[[#This Row],[k.cam]]), Table2[[#This Row],[k]], Table2[[#This Row],[k.cam]])</f>
        <v>102</v>
      </c>
      <c r="BM623" s="4" t="s">
        <v>24</v>
      </c>
      <c r="BN623" s="8" t="s">
        <v>24</v>
      </c>
      <c r="BO623" s="4">
        <v>2</v>
      </c>
      <c r="BP623" s="4">
        <f>Table2[[#This Row],[final_obs_date]]-Table2[[#This Row],[i]]</f>
        <v>3</v>
      </c>
      <c r="BQ623" s="4" t="b">
        <f>Table2[[#This Row],[final_obs_date2]]&gt;Table2[[#This Row],[estHD]]+3</f>
        <v>0</v>
      </c>
      <c r="BR623" s="4" t="s">
        <v>58</v>
      </c>
      <c r="BS623" s="4" t="s">
        <v>45</v>
      </c>
      <c r="BT623" s="79" t="s">
        <v>1383</v>
      </c>
      <c r="BU623" s="26" t="s">
        <v>117</v>
      </c>
      <c r="BV623" s="79" t="s">
        <v>1430</v>
      </c>
      <c r="BW623" s="49"/>
      <c r="BX623" s="47"/>
      <c r="BY623" s="36" t="s">
        <v>24</v>
      </c>
    </row>
    <row r="624" spans="1:77" hidden="1" x14ac:dyDescent="0.35">
      <c r="A624" s="64">
        <v>30312</v>
      </c>
      <c r="B624" s="2" t="s">
        <v>35</v>
      </c>
      <c r="C624" s="46">
        <v>2021</v>
      </c>
      <c r="D624" s="3">
        <v>29.771820000000002</v>
      </c>
      <c r="E624" s="3">
        <v>-93.182400000000001</v>
      </c>
      <c r="F624" s="3">
        <v>80</v>
      </c>
      <c r="G624" s="3">
        <v>50</v>
      </c>
      <c r="H624" s="3" t="s">
        <v>26</v>
      </c>
      <c r="I624" s="43"/>
      <c r="J624" s="55">
        <v>106</v>
      </c>
      <c r="K624" s="4">
        <v>106</v>
      </c>
      <c r="L624" s="22">
        <f>IF(ISNUMBER(Table2[[#This Row],[estHD]]),ABS(Table2[[#This Row],[HD]]-Table2[[#This Row],[estHD]]),"NA")</f>
        <v>0</v>
      </c>
      <c r="M624" s="4" t="b">
        <f>Table2[[#This Row],[HD]]=Table2[[#This Row],[estHD]]</f>
        <v>1</v>
      </c>
      <c r="N624" s="4" t="str">
        <f>IF(ISNUMBER([1]!Table2[[#This Row],[hatch_date]]), [1]!Table2[[#This Row],[hatch_date]]-16, "NA")</f>
        <v>NA</v>
      </c>
      <c r="O624" s="31">
        <v>90</v>
      </c>
      <c r="P624" s="23" t="e">
        <f>IF(ISNUMBER(Table2[[#This Row],[nest_age1]]),ABS(Table2[[#This Row],[nest_age1]]-Table2[[#This Row],[nest_age_feb]]),"NA")</f>
        <v>#VALUE!</v>
      </c>
      <c r="Q624" s="24">
        <f>IF(ISNUMBER(Table2[[#This Row],[final_obs_int2]]),ABS(Table2[[#This Row],[final_obs_int2]]-Table2[[#This Row],[final_obs_int_feb]]), "NA")</f>
        <v>0</v>
      </c>
      <c r="R624" s="24"/>
      <c r="S624" s="57" t="s">
        <v>88</v>
      </c>
      <c r="T624" s="57" t="str">
        <f>Table2[[#This Row],[camera_old]]</f>
        <v>N</v>
      </c>
      <c r="U624" s="24"/>
      <c r="V624" s="16" t="s">
        <v>24</v>
      </c>
      <c r="W624" s="16" t="s">
        <v>24</v>
      </c>
      <c r="X624" s="145">
        <v>3</v>
      </c>
      <c r="Y624" s="147" t="s">
        <v>48</v>
      </c>
      <c r="Z624" s="146" t="s">
        <v>48</v>
      </c>
      <c r="AA624" s="4" t="str">
        <f>Table2[[#This Row],[field_fate]]</f>
        <v>F</v>
      </c>
      <c r="AB624" s="4" t="str">
        <f>Table2[[#This Row],[field_fate2]]</f>
        <v>F</v>
      </c>
      <c r="AC624" s="4" t="str">
        <f>Table2[[#This Row],[field_fate3]]</f>
        <v>F</v>
      </c>
      <c r="AD624" s="4" t="str">
        <f>Table2[[#This Row],[field_fate4]]</f>
        <v>F</v>
      </c>
      <c r="AE624" s="4" t="str">
        <f>Table2[[#This Row],[field_fate5]]</f>
        <v>F</v>
      </c>
      <c r="AF624" s="4" t="str">
        <f>Table2[[#This Row],[field_fate5]]</f>
        <v>F</v>
      </c>
      <c r="AG624" s="4" t="str">
        <f>Table2[[#This Row],[field_fate5]]</f>
        <v>F</v>
      </c>
      <c r="AH624" s="4" t="str">
        <f>Table2[[#This Row],[field_fate2]]</f>
        <v>F</v>
      </c>
      <c r="AI624" s="4" t="str">
        <f>Table2[[#This Row],[field_fate8]]</f>
        <v>F</v>
      </c>
      <c r="AJ624" s="4" t="str">
        <f>Table2[[#This Row],[field_fate10]]</f>
        <v>F</v>
      </c>
      <c r="AK624" s="4" t="b">
        <f>Table2[[#This Row],[field_fate_feb]]=Table2[[#This Row],[field_fate10]]</f>
        <v>1</v>
      </c>
      <c r="AL624" s="43" t="s">
        <v>24</v>
      </c>
      <c r="AM624" s="43" t="b">
        <f>Table2[[#This Row],[cam_fate2]]="NA"</f>
        <v>1</v>
      </c>
      <c r="AN624" s="19" t="str">
        <f>Table2[[#This Row],[cam_fate1]]</f>
        <v>NA</v>
      </c>
      <c r="AO624" s="2" t="s">
        <v>24</v>
      </c>
      <c r="AP624" s="5" t="str">
        <f>Table2[[#This Row],[final_fate1]]</f>
        <v>NA</v>
      </c>
      <c r="AQ624" s="6">
        <v>12</v>
      </c>
      <c r="AR624" s="7">
        <v>12</v>
      </c>
      <c r="AS624" s="7">
        <f>Table2[[#This Row],[final_obs_date]]-Table2[[#This Row],[init_date]]</f>
        <v>12</v>
      </c>
      <c r="AT624" s="7">
        <f>(Table2[[#This Row],[final_obs_date2]]-Table2[[#This Row],[estHD]])+16</f>
        <v>12</v>
      </c>
      <c r="AU624" s="38">
        <v>3</v>
      </c>
      <c r="AV624" s="33">
        <v>3</v>
      </c>
      <c r="AW624" s="33">
        <f>Table2[[#This Row],[final_obs_date2]]-Table2[[#This Row],[pen_obs_date]]</f>
        <v>102</v>
      </c>
      <c r="AX624" s="67">
        <v>102</v>
      </c>
      <c r="AY624" s="6">
        <f>Table2[[#This Row],[final_obs_date]]</f>
        <v>102</v>
      </c>
      <c r="AZ624" s="6"/>
      <c r="BA624" s="91" t="s">
        <v>60</v>
      </c>
      <c r="BB624" s="6" t="b">
        <f>Table2[[#This Row],[final_obs_date]]&lt;(Table2[[#This Row],[estHD]]-2)</f>
        <v>1</v>
      </c>
      <c r="BC624" s="24">
        <f>IF(Table2[[#This Row],[field_fate]]="H",1,0)</f>
        <v>0</v>
      </c>
      <c r="BD624" s="16">
        <f>IF(Table2[[#This Row],[cam_fate2]]="H",1,0)</f>
        <v>0</v>
      </c>
      <c r="BE624" s="6" t="b">
        <f>NOT(Table2[[#This Row],[HF_C]]=Table2[[#This Row],[HF]])</f>
        <v>0</v>
      </c>
      <c r="BF624" s="6" t="b">
        <f>NOT(Table2[[#This Row],[cam_fate2]]=Table2[[#This Row],[field_fate3]])</f>
        <v>1</v>
      </c>
      <c r="BG624" s="6" t="b">
        <f>OR(Table2[[#This Row],[field_fate3]]="U",Table2[[#This Row],[field_fate3]]="U-H")</f>
        <v>0</v>
      </c>
      <c r="BH624" s="8">
        <v>99</v>
      </c>
      <c r="BI624" s="8">
        <v>99</v>
      </c>
      <c r="BJ624" s="14">
        <f>IF(ISTEXT(Table2[[#This Row],[j.cam]]),Table2[[#This Row],[j]],Table2[[#This Row],[j.cam]])</f>
        <v>99</v>
      </c>
      <c r="BK624" s="9">
        <v>102</v>
      </c>
      <c r="BL624" s="15">
        <f>IF(ISTEXT(Table2[[#This Row],[k.cam]]), Table2[[#This Row],[k]], Table2[[#This Row],[k.cam]])</f>
        <v>102</v>
      </c>
      <c r="BM624" s="4" t="s">
        <v>24</v>
      </c>
      <c r="BN624" s="8" t="s">
        <v>24</v>
      </c>
      <c r="BO624" s="4">
        <v>2</v>
      </c>
      <c r="BP624" s="4">
        <f>Table2[[#This Row],[final_obs_date]]-Table2[[#This Row],[i]]</f>
        <v>3</v>
      </c>
      <c r="BQ624" s="4" t="b">
        <f>Table2[[#This Row],[final_obs_date2]]&gt;Table2[[#This Row],[estHD]]+3</f>
        <v>0</v>
      </c>
      <c r="BR624" s="4" t="s">
        <v>33</v>
      </c>
      <c r="BS624" s="4" t="s">
        <v>45</v>
      </c>
      <c r="BT624" s="79" t="s">
        <v>1383</v>
      </c>
      <c r="BU624" s="26" t="s">
        <v>87</v>
      </c>
      <c r="BV624" s="79" t="s">
        <v>1430</v>
      </c>
      <c r="BW624" s="49"/>
      <c r="BX624" s="47"/>
      <c r="BY624" s="36" t="s">
        <v>855</v>
      </c>
    </row>
    <row r="625" spans="1:77" hidden="1" x14ac:dyDescent="0.35">
      <c r="A625" s="64">
        <v>30313</v>
      </c>
      <c r="B625" s="2" t="s">
        <v>157</v>
      </c>
      <c r="C625" s="46">
        <v>2021</v>
      </c>
      <c r="D625" s="3">
        <v>29.765460000000001</v>
      </c>
      <c r="E625" s="3">
        <v>-93.378749999999997</v>
      </c>
      <c r="F625" s="3">
        <v>0</v>
      </c>
      <c r="G625" s="3">
        <v>0</v>
      </c>
      <c r="H625" s="3" t="s">
        <v>26</v>
      </c>
      <c r="I625" s="43"/>
      <c r="J625" s="55">
        <v>113</v>
      </c>
      <c r="K625" s="4">
        <v>118</v>
      </c>
      <c r="L625" s="22">
        <f>IF(ISNUMBER(Table2[[#This Row],[estHD]]),ABS(Table2[[#This Row],[HD]]-Table2[[#This Row],[estHD]]),"NA")</f>
        <v>5</v>
      </c>
      <c r="M625" s="4" t="b">
        <f>Table2[[#This Row],[HD]]=Table2[[#This Row],[estHD]]</f>
        <v>0</v>
      </c>
      <c r="N625" s="4" t="str">
        <f>IF(ISNUMBER([1]!Table2[[#This Row],[hatch_date]]),[1]!Table2[[#This Row],[hatch_date]]-19,"NA")</f>
        <v>NA</v>
      </c>
      <c r="O625" s="31">
        <v>99</v>
      </c>
      <c r="P625" s="23">
        <f>IF(ISNUMBER(Table2[[#This Row],[nest_age1]]),ABS(Table2[[#This Row],[nest_age1]]-Table2[[#This Row],[nest_age_feb]]),"NA")</f>
        <v>5</v>
      </c>
      <c r="Q625" s="25">
        <f>IF(ISNUMBER(Table2[[#This Row],[final_obs_int2]]),ABS(Table2[[#This Row],[final_obs_int2]]-Table2[[#This Row],[final_obs_int_feb]]), "NA")</f>
        <v>4</v>
      </c>
      <c r="R625" s="25"/>
      <c r="S625" s="57" t="s">
        <v>88</v>
      </c>
      <c r="T625" s="57" t="str">
        <f>Table2[[#This Row],[camera_old]]</f>
        <v>N</v>
      </c>
      <c r="U625" s="24"/>
      <c r="V625" s="16" t="s">
        <v>24</v>
      </c>
      <c r="W625" s="16">
        <v>24</v>
      </c>
      <c r="X625" s="145">
        <v>3</v>
      </c>
      <c r="Y625" s="147" t="s">
        <v>37</v>
      </c>
      <c r="Z625" s="146" t="s">
        <v>37</v>
      </c>
      <c r="AA625" s="4" t="str">
        <f>Table2[[#This Row],[field_fate]]</f>
        <v>H</v>
      </c>
      <c r="AB625" s="4" t="str">
        <f>Table2[[#This Row],[field_fate2]]</f>
        <v>H</v>
      </c>
      <c r="AC625" s="4" t="str">
        <f>Table2[[#This Row],[field_fate3]]</f>
        <v>H</v>
      </c>
      <c r="AD625" s="4" t="str">
        <f>Table2[[#This Row],[field_fate4]]</f>
        <v>H</v>
      </c>
      <c r="AE625" s="4" t="str">
        <f>Table2[[#This Row],[field_fate5]]</f>
        <v>H</v>
      </c>
      <c r="AF625" s="4" t="str">
        <f>Table2[[#This Row],[field_fate5]]</f>
        <v>H</v>
      </c>
      <c r="AG625" s="4" t="str">
        <f>Table2[[#This Row],[field_fate5]]</f>
        <v>H</v>
      </c>
      <c r="AH625" s="4" t="str">
        <f>Table2[[#This Row],[field_fate2]]</f>
        <v>H</v>
      </c>
      <c r="AI625" s="4" t="str">
        <f>Table2[[#This Row],[field_fate8]]</f>
        <v>H</v>
      </c>
      <c r="AJ625" s="4" t="str">
        <f>Table2[[#This Row],[field_fate10]]</f>
        <v>H</v>
      </c>
      <c r="AK625" s="4" t="b">
        <f>Table2[[#This Row],[field_fate_feb]]=Table2[[#This Row],[field_fate10]]</f>
        <v>1</v>
      </c>
      <c r="AL625" s="43" t="s">
        <v>24</v>
      </c>
      <c r="AM625" s="43" t="b">
        <f>Table2[[#This Row],[cam_fate2]]="NA"</f>
        <v>1</v>
      </c>
      <c r="AN625" s="19" t="str">
        <f>Table2[[#This Row],[cam_fate1]]</f>
        <v>NA</v>
      </c>
      <c r="AO625" s="2" t="s">
        <v>37</v>
      </c>
      <c r="AP625" s="5" t="str">
        <f>Table2[[#This Row],[final_fate1]]</f>
        <v>H</v>
      </c>
      <c r="AQ625" s="6">
        <v>19</v>
      </c>
      <c r="AR625" s="7">
        <v>24</v>
      </c>
      <c r="AS625" s="7">
        <f>Table2[[#This Row],[final_obs_date]]-Table2[[#This Row],[init_date]]</f>
        <v>19</v>
      </c>
      <c r="AT625" s="7">
        <f>(Table2[[#This Row],[final_obs_date2]]-Table2[[#This Row],[estHD]])+16</f>
        <v>21</v>
      </c>
      <c r="AU625" s="40">
        <v>7</v>
      </c>
      <c r="AV625" s="33">
        <v>7</v>
      </c>
      <c r="AW625" s="33">
        <f>Table2[[#This Row],[final_obs_date2]]-Table2[[#This Row],[pen_obs_date]]</f>
        <v>118</v>
      </c>
      <c r="AX625" s="67">
        <v>118</v>
      </c>
      <c r="AY625" s="6">
        <f>Table2[[#This Row],[final_obs_date]]</f>
        <v>118</v>
      </c>
      <c r="AZ625" s="6"/>
      <c r="BA625" s="91" t="s">
        <v>47</v>
      </c>
      <c r="BB625" s="6" t="b">
        <f>Table2[[#This Row],[final_obs_date]]&lt;(Table2[[#This Row],[estHD]]-2)</f>
        <v>0</v>
      </c>
      <c r="BC625" s="24">
        <f>IF(Table2[[#This Row],[field_fate]]="H",1,0)</f>
        <v>1</v>
      </c>
      <c r="BD625" s="16">
        <f>IF(Table2[[#This Row],[cam_fate2]]="H",1,0)</f>
        <v>0</v>
      </c>
      <c r="BE625" s="6" t="b">
        <f>NOT(Table2[[#This Row],[HF_C]]=Table2[[#This Row],[HF]])</f>
        <v>1</v>
      </c>
      <c r="BF625" s="6" t="b">
        <f>NOT(Table2[[#This Row],[cam_fate2]]=Table2[[#This Row],[field_fate3]])</f>
        <v>1</v>
      </c>
      <c r="BG625" s="6" t="b">
        <f>OR(Table2[[#This Row],[field_fate3]]="U",Table2[[#This Row],[field_fate3]]="U-H")</f>
        <v>0</v>
      </c>
      <c r="BH625" s="8">
        <v>101</v>
      </c>
      <c r="BI625" s="8">
        <v>118</v>
      </c>
      <c r="BJ625" s="14">
        <f>IF(ISTEXT(Table2[[#This Row],[j.cam]]),Table2[[#This Row],[j]],Table2[[#This Row],[j.cam]])</f>
        <v>118</v>
      </c>
      <c r="BK625" s="9">
        <v>118</v>
      </c>
      <c r="BL625" s="15">
        <f>IF(ISTEXT(Table2[[#This Row],[k.cam]]), Table2[[#This Row],[k]], Table2[[#This Row],[k.cam]])</f>
        <v>118</v>
      </c>
      <c r="BM625" s="4" t="s">
        <v>24</v>
      </c>
      <c r="BN625" s="8" t="s">
        <v>24</v>
      </c>
      <c r="BO625" s="4">
        <v>5</v>
      </c>
      <c r="BP625" s="4">
        <f>Table2[[#This Row],[final_obs_date]]-Table2[[#This Row],[i]]</f>
        <v>17</v>
      </c>
      <c r="BQ625" s="4" t="b">
        <f>Table2[[#This Row],[final_obs_date2]]&gt;Table2[[#This Row],[estHD]]+3</f>
        <v>1</v>
      </c>
      <c r="BR625" s="11" t="s">
        <v>100</v>
      </c>
      <c r="BS625" s="4" t="s">
        <v>127</v>
      </c>
      <c r="BT625" s="79" t="s">
        <v>1384</v>
      </c>
      <c r="BU625" s="26" t="s">
        <v>396</v>
      </c>
      <c r="BV625" s="79" t="s">
        <v>1675</v>
      </c>
      <c r="BW625" s="49" t="s">
        <v>466</v>
      </c>
      <c r="BX625" s="47"/>
      <c r="BY625" s="36" t="s">
        <v>24</v>
      </c>
    </row>
    <row r="626" spans="1:77" hidden="1" x14ac:dyDescent="0.35">
      <c r="A626" s="64">
        <v>30314</v>
      </c>
      <c r="B626" s="2" t="s">
        <v>157</v>
      </c>
      <c r="C626" s="46">
        <v>2021</v>
      </c>
      <c r="D626" s="3">
        <v>29.76549</v>
      </c>
      <c r="E626" s="3">
        <v>-93.378469999999993</v>
      </c>
      <c r="F626" s="3">
        <v>0</v>
      </c>
      <c r="G626" s="3">
        <v>0</v>
      </c>
      <c r="H626" s="3" t="s">
        <v>354</v>
      </c>
      <c r="I626" s="43"/>
      <c r="J626" s="55">
        <v>107</v>
      </c>
      <c r="K626" s="4">
        <v>111</v>
      </c>
      <c r="L626" s="22">
        <f>IF(ISNUMBER(Table2[[#This Row],[estHD]]),ABS(Table2[[#This Row],[HD]]-Table2[[#This Row],[estHD]]),"NA")</f>
        <v>4</v>
      </c>
      <c r="M626" s="4" t="b">
        <f>Table2[[#This Row],[HD]]=Table2[[#This Row],[estHD]]</f>
        <v>0</v>
      </c>
      <c r="N626" s="4" t="str">
        <f>IF(ISNUMBER([1]!Table2[[#This Row],[hatch_date]]),[1]!Table2[[#This Row],[hatch_date]]-19,"NA")</f>
        <v>NA</v>
      </c>
      <c r="O626" s="31">
        <v>92</v>
      </c>
      <c r="P626" s="23">
        <f>IF(ISNUMBER(Table2[[#This Row],[nest_age1]]),ABS(Table2[[#This Row],[nest_age1]]-Table2[[#This Row],[nest_age_feb]]),"NA")</f>
        <v>4</v>
      </c>
      <c r="Q626" s="24">
        <f>IF(ISNUMBER(Table2[[#This Row],[final_obs_int2]]),ABS(Table2[[#This Row],[final_obs_int2]]-Table2[[#This Row],[final_obs_int_feb]]), "NA")</f>
        <v>0</v>
      </c>
      <c r="R626" s="24"/>
      <c r="S626" s="57" t="s">
        <v>88</v>
      </c>
      <c r="T626" s="57" t="str">
        <f>Table2[[#This Row],[camera_old]]</f>
        <v>N</v>
      </c>
      <c r="U626" s="24"/>
      <c r="V626" s="16" t="s">
        <v>24</v>
      </c>
      <c r="W626" s="16">
        <v>23</v>
      </c>
      <c r="X626" s="145">
        <v>7</v>
      </c>
      <c r="Y626" s="147" t="s">
        <v>37</v>
      </c>
      <c r="Z626" s="146" t="s">
        <v>37</v>
      </c>
      <c r="AA626" s="4" t="str">
        <f>Table2[[#This Row],[field_fate]]</f>
        <v>H</v>
      </c>
      <c r="AB626" s="4" t="str">
        <f>Table2[[#This Row],[field_fate2]]</f>
        <v>H</v>
      </c>
      <c r="AC626" s="4" t="str">
        <f>Table2[[#This Row],[field_fate3]]</f>
        <v>H</v>
      </c>
      <c r="AD626" s="4" t="str">
        <f>Table2[[#This Row],[field_fate4]]</f>
        <v>H</v>
      </c>
      <c r="AE626" s="4" t="str">
        <f>Table2[[#This Row],[field_fate5]]</f>
        <v>H</v>
      </c>
      <c r="AF626" s="4" t="str">
        <f>Table2[[#This Row],[field_fate5]]</f>
        <v>H</v>
      </c>
      <c r="AG626" s="4" t="str">
        <f>Table2[[#This Row],[field_fate5]]</f>
        <v>H</v>
      </c>
      <c r="AH626" s="4" t="str">
        <f>Table2[[#This Row],[field_fate2]]</f>
        <v>H</v>
      </c>
      <c r="AI626" s="4" t="str">
        <f>Table2[[#This Row],[field_fate8]]</f>
        <v>H</v>
      </c>
      <c r="AJ626" s="4" t="str">
        <f>Table2[[#This Row],[field_fate10]]</f>
        <v>H</v>
      </c>
      <c r="AK626" s="4" t="b">
        <f>Table2[[#This Row],[field_fate_feb]]=Table2[[#This Row],[field_fate10]]</f>
        <v>1</v>
      </c>
      <c r="AL626" s="43" t="s">
        <v>24</v>
      </c>
      <c r="AM626" s="43" t="b">
        <f>Table2[[#This Row],[cam_fate2]]="NA"</f>
        <v>1</v>
      </c>
      <c r="AN626" s="19" t="str">
        <f>Table2[[#This Row],[cam_fate1]]</f>
        <v>NA</v>
      </c>
      <c r="AO626" s="2" t="s">
        <v>37</v>
      </c>
      <c r="AP626" s="5" t="str">
        <f>Table2[[#This Row],[final_fate1]]</f>
        <v>H</v>
      </c>
      <c r="AQ626" s="6">
        <v>19</v>
      </c>
      <c r="AR626" s="7">
        <v>23</v>
      </c>
      <c r="AS626" s="7">
        <f>Table2[[#This Row],[final_obs_date]]-Table2[[#This Row],[init_date]]</f>
        <v>19</v>
      </c>
      <c r="AT626" s="7">
        <f>(Table2[[#This Row],[final_obs_date2]]-Table2[[#This Row],[estHD]])+16</f>
        <v>20</v>
      </c>
      <c r="AU626" s="38">
        <v>7</v>
      </c>
      <c r="AV626" s="33">
        <v>7</v>
      </c>
      <c r="AW626" s="33">
        <f>Table2[[#This Row],[final_obs_date2]]-Table2[[#This Row],[pen_obs_date]]</f>
        <v>111</v>
      </c>
      <c r="AX626" s="67">
        <v>111</v>
      </c>
      <c r="AY626" s="6">
        <f>Table2[[#This Row],[final_obs_date]]</f>
        <v>111</v>
      </c>
      <c r="AZ626" s="6"/>
      <c r="BA626" s="91" t="s">
        <v>47</v>
      </c>
      <c r="BB626" s="6" t="b">
        <f>Table2[[#This Row],[final_obs_date]]&lt;(Table2[[#This Row],[estHD]]-2)</f>
        <v>0</v>
      </c>
      <c r="BC626" s="24">
        <f>IF(Table2[[#This Row],[field_fate]]="H",1,0)</f>
        <v>1</v>
      </c>
      <c r="BD626" s="16">
        <f>IF(Table2[[#This Row],[cam_fate2]]="H",1,0)</f>
        <v>0</v>
      </c>
      <c r="BE626" s="6" t="b">
        <f>NOT(Table2[[#This Row],[HF_C]]=Table2[[#This Row],[HF]])</f>
        <v>1</v>
      </c>
      <c r="BF626" s="6" t="b">
        <f>NOT(Table2[[#This Row],[cam_fate2]]=Table2[[#This Row],[field_fate3]])</f>
        <v>1</v>
      </c>
      <c r="BG626" s="6" t="b">
        <f>OR(Table2[[#This Row],[field_fate3]]="U",Table2[[#This Row],[field_fate3]]="U-H")</f>
        <v>0</v>
      </c>
      <c r="BH626" s="8">
        <v>101</v>
      </c>
      <c r="BI626" s="8">
        <v>111</v>
      </c>
      <c r="BJ626" s="14">
        <f>IF(ISTEXT(Table2[[#This Row],[j.cam]]),Table2[[#This Row],[j]],Table2[[#This Row],[j.cam]])</f>
        <v>111</v>
      </c>
      <c r="BK626" s="9">
        <v>111</v>
      </c>
      <c r="BL626" s="15">
        <f>IF(ISTEXT(Table2[[#This Row],[k.cam]]), Table2[[#This Row],[k]], Table2[[#This Row],[k.cam]])</f>
        <v>111</v>
      </c>
      <c r="BM626" s="4" t="s">
        <v>24</v>
      </c>
      <c r="BN626" s="8" t="s">
        <v>24</v>
      </c>
      <c r="BO626" s="4">
        <v>3</v>
      </c>
      <c r="BP626" s="4">
        <f>Table2[[#This Row],[final_obs_date]]-Table2[[#This Row],[i]]</f>
        <v>10</v>
      </c>
      <c r="BQ626" s="4" t="b">
        <f>Table2[[#This Row],[final_obs_date2]]&gt;Table2[[#This Row],[estHD]]+3</f>
        <v>1</v>
      </c>
      <c r="BR626" s="4" t="s">
        <v>33</v>
      </c>
      <c r="BS626" s="4" t="s">
        <v>79</v>
      </c>
      <c r="BT626" s="79" t="s">
        <v>1385</v>
      </c>
      <c r="BU626" s="26" t="s">
        <v>397</v>
      </c>
      <c r="BV626" s="79" t="s">
        <v>1526</v>
      </c>
      <c r="BW626" s="49"/>
      <c r="BX626" s="47"/>
      <c r="BY626" s="36" t="s">
        <v>24</v>
      </c>
    </row>
    <row r="627" spans="1:77" hidden="1" x14ac:dyDescent="0.35">
      <c r="A627" s="64">
        <v>30316</v>
      </c>
      <c r="B627" s="2" t="s">
        <v>157</v>
      </c>
      <c r="C627" s="46">
        <v>2021</v>
      </c>
      <c r="D627" s="3">
        <v>29.76512</v>
      </c>
      <c r="E627" s="3">
        <v>-93.375619999999998</v>
      </c>
      <c r="F627" s="3">
        <v>0</v>
      </c>
      <c r="G627" s="3">
        <v>0</v>
      </c>
      <c r="H627" s="3" t="s">
        <v>354</v>
      </c>
      <c r="I627" s="43"/>
      <c r="J627" s="55">
        <v>118</v>
      </c>
      <c r="K627" s="4">
        <v>121</v>
      </c>
      <c r="L627" s="22">
        <f>IF(ISNUMBER(Table2[[#This Row],[estHD]]),ABS(Table2[[#This Row],[HD]]-Table2[[#This Row],[estHD]]),"NA")</f>
        <v>3</v>
      </c>
      <c r="M627" s="4" t="b">
        <f>Table2[[#This Row],[HD]]=Table2[[#This Row],[estHD]]</f>
        <v>0</v>
      </c>
      <c r="N627" s="4" t="str">
        <f>IF(ISNUMBER([1]!Table2[[#This Row],[hatch_date]]),[1]!Table2[[#This Row],[hatch_date]]-19,"NA")</f>
        <v>NA</v>
      </c>
      <c r="O627" s="31">
        <v>102</v>
      </c>
      <c r="P627" s="23">
        <f>IF(ISNUMBER(Table2[[#This Row],[nest_age1]]),ABS(Table2[[#This Row],[nest_age1]]-Table2[[#This Row],[nest_age_feb]]),"NA")</f>
        <v>3</v>
      </c>
      <c r="Q627" s="24">
        <f>IF(ISNUMBER(Table2[[#This Row],[final_obs_int2]]),ABS(Table2[[#This Row],[final_obs_int2]]-Table2[[#This Row],[final_obs_int_feb]]), "NA")</f>
        <v>0</v>
      </c>
      <c r="R627" s="24"/>
      <c r="S627" s="57" t="s">
        <v>88</v>
      </c>
      <c r="T627" s="57" t="str">
        <f>Table2[[#This Row],[camera_old]]</f>
        <v>N</v>
      </c>
      <c r="U627" s="24"/>
      <c r="V627" s="16" t="s">
        <v>24</v>
      </c>
      <c r="W627" s="16">
        <v>22</v>
      </c>
      <c r="X627" s="145">
        <v>3</v>
      </c>
      <c r="Y627" s="147" t="s">
        <v>37</v>
      </c>
      <c r="Z627" s="146" t="s">
        <v>37</v>
      </c>
      <c r="AA627" s="4" t="str">
        <f>Table2[[#This Row],[field_fate]]</f>
        <v>H</v>
      </c>
      <c r="AB627" s="4" t="str">
        <f>Table2[[#This Row],[field_fate2]]</f>
        <v>H</v>
      </c>
      <c r="AC627" s="4" t="str">
        <f>Table2[[#This Row],[field_fate3]]</f>
        <v>H</v>
      </c>
      <c r="AD627" s="4" t="str">
        <f>Table2[[#This Row],[field_fate4]]</f>
        <v>H</v>
      </c>
      <c r="AE627" s="4" t="str">
        <f>Table2[[#This Row],[field_fate5]]</f>
        <v>H</v>
      </c>
      <c r="AF627" s="4" t="str">
        <f>Table2[[#This Row],[field_fate5]]</f>
        <v>H</v>
      </c>
      <c r="AG627" s="4" t="str">
        <f>Table2[[#This Row],[field_fate5]]</f>
        <v>H</v>
      </c>
      <c r="AH627" s="4" t="str">
        <f>Table2[[#This Row],[field_fate2]]</f>
        <v>H</v>
      </c>
      <c r="AI627" s="4" t="str">
        <f>Table2[[#This Row],[field_fate8]]</f>
        <v>H</v>
      </c>
      <c r="AJ627" s="4" t="str">
        <f>Table2[[#This Row],[field_fate10]]</f>
        <v>H</v>
      </c>
      <c r="AK627" s="4" t="b">
        <f>Table2[[#This Row],[field_fate_feb]]=Table2[[#This Row],[field_fate10]]</f>
        <v>1</v>
      </c>
      <c r="AL627" s="43" t="s">
        <v>24</v>
      </c>
      <c r="AM627" s="43" t="b">
        <f>Table2[[#This Row],[cam_fate2]]="NA"</f>
        <v>1</v>
      </c>
      <c r="AN627" s="19" t="str">
        <f>Table2[[#This Row],[cam_fate1]]</f>
        <v>NA</v>
      </c>
      <c r="AO627" s="2" t="s">
        <v>37</v>
      </c>
      <c r="AP627" s="5" t="str">
        <f>Table2[[#This Row],[final_fate1]]</f>
        <v>H</v>
      </c>
      <c r="AQ627" s="6">
        <v>19</v>
      </c>
      <c r="AR627" s="7">
        <v>22</v>
      </c>
      <c r="AS627" s="7">
        <f>Table2[[#This Row],[final_obs_date]]-Table2[[#This Row],[init_date]]</f>
        <v>19</v>
      </c>
      <c r="AT627" s="7">
        <f>(Table2[[#This Row],[final_obs_date2]]-Table2[[#This Row],[estHD]])+16</f>
        <v>19</v>
      </c>
      <c r="AU627" s="38">
        <v>3</v>
      </c>
      <c r="AV627" s="33">
        <v>3</v>
      </c>
      <c r="AW627" s="33">
        <f>Table2[[#This Row],[final_obs_date2]]-Table2[[#This Row],[pen_obs_date]]</f>
        <v>121</v>
      </c>
      <c r="AX627" s="67">
        <v>121</v>
      </c>
      <c r="AY627" s="6">
        <f>Table2[[#This Row],[final_obs_date]]</f>
        <v>121</v>
      </c>
      <c r="AZ627" s="6"/>
      <c r="BA627" s="91" t="s">
        <v>47</v>
      </c>
      <c r="BB627" s="6" t="b">
        <f>Table2[[#This Row],[final_obs_date]]&lt;(Table2[[#This Row],[estHD]]-2)</f>
        <v>0</v>
      </c>
      <c r="BC627" s="24">
        <f>IF(Table2[[#This Row],[field_fate]]="H",1,0)</f>
        <v>1</v>
      </c>
      <c r="BD627" s="16">
        <f>IF(Table2[[#This Row],[cam_fate2]]="H",1,0)</f>
        <v>0</v>
      </c>
      <c r="BE627" s="6" t="b">
        <f>NOT(Table2[[#This Row],[HF_C]]=Table2[[#This Row],[HF]])</f>
        <v>1</v>
      </c>
      <c r="BF627" s="6" t="b">
        <f>NOT(Table2[[#This Row],[cam_fate2]]=Table2[[#This Row],[field_fate3]])</f>
        <v>1</v>
      </c>
      <c r="BG627" s="6" t="b">
        <f>OR(Table2[[#This Row],[field_fate3]]="U",Table2[[#This Row],[field_fate3]]="U-H")</f>
        <v>0</v>
      </c>
      <c r="BH627" s="8">
        <v>101</v>
      </c>
      <c r="BI627" s="8">
        <v>121</v>
      </c>
      <c r="BJ627" s="14">
        <f>IF(ISTEXT(Table2[[#This Row],[j.cam]]),Table2[[#This Row],[j]],Table2[[#This Row],[j.cam]])</f>
        <v>121</v>
      </c>
      <c r="BK627" s="9">
        <v>121</v>
      </c>
      <c r="BL627" s="15">
        <f>IF(ISTEXT(Table2[[#This Row],[k.cam]]), Table2[[#This Row],[k]], Table2[[#This Row],[k.cam]])</f>
        <v>121</v>
      </c>
      <c r="BM627" s="4" t="s">
        <v>24</v>
      </c>
      <c r="BN627" s="8" t="s">
        <v>24</v>
      </c>
      <c r="BO627" s="4">
        <v>6</v>
      </c>
      <c r="BP627" s="4">
        <f>Table2[[#This Row],[final_obs_date]]-Table2[[#This Row],[i]]</f>
        <v>20</v>
      </c>
      <c r="BQ627" s="4" t="b">
        <f>Table2[[#This Row],[final_obs_date2]]&gt;Table2[[#This Row],[estHD]]+3</f>
        <v>0</v>
      </c>
      <c r="BR627" s="4" t="s">
        <v>33</v>
      </c>
      <c r="BS627" s="4" t="s">
        <v>127</v>
      </c>
      <c r="BT627" s="79" t="s">
        <v>1386</v>
      </c>
      <c r="BU627" s="26" t="s">
        <v>398</v>
      </c>
      <c r="BV627" s="79" t="s">
        <v>1676</v>
      </c>
      <c r="BW627" s="49"/>
      <c r="BX627" s="47"/>
      <c r="BY627" s="36" t="s">
        <v>856</v>
      </c>
    </row>
    <row r="628" spans="1:77" hidden="1" x14ac:dyDescent="0.35">
      <c r="A628" s="64">
        <v>30317</v>
      </c>
      <c r="B628" s="2" t="s">
        <v>157</v>
      </c>
      <c r="C628" s="46">
        <v>2021</v>
      </c>
      <c r="D628" s="3">
        <v>29.76484</v>
      </c>
      <c r="E628" s="3">
        <v>-93.374099999999999</v>
      </c>
      <c r="F628" s="3">
        <v>0</v>
      </c>
      <c r="G628" s="3">
        <v>0</v>
      </c>
      <c r="H628" s="3" t="s">
        <v>26</v>
      </c>
      <c r="I628" s="43"/>
      <c r="J628" s="55" t="s">
        <v>24</v>
      </c>
      <c r="K628" s="4">
        <v>121</v>
      </c>
      <c r="L628" s="22" t="str">
        <f>IF(ISNUMBER(Table2[[#This Row],[estHD]]),ABS(Table2[[#This Row],[HD]]-Table2[[#This Row],[estHD]]),"NA")</f>
        <v>NA</v>
      </c>
      <c r="M628" s="4" t="b">
        <f>Table2[[#This Row],[HD]]=Table2[[#This Row],[estHD]]</f>
        <v>0</v>
      </c>
      <c r="N628" s="4"/>
      <c r="O628" s="31"/>
      <c r="P628" s="23" t="str">
        <f>IF(ISNUMBER(Table2[[#This Row],[nest_age1]]),ABS(Table2[[#This Row],[nest_age1]]-Table2[[#This Row],[nest_age_feb]]),"NA")</f>
        <v>NA</v>
      </c>
      <c r="Q628" s="24">
        <f>IF(ISNUMBER(Table2[[#This Row],[final_obs_int2]]),ABS(Table2[[#This Row],[final_obs_int2]]-Table2[[#This Row],[final_obs_int_feb]]), "NA")</f>
        <v>0</v>
      </c>
      <c r="R628" s="24"/>
      <c r="S628" s="57" t="s">
        <v>88</v>
      </c>
      <c r="T628" s="57" t="str">
        <f>Table2[[#This Row],[camera_old]]</f>
        <v>N</v>
      </c>
      <c r="U628" s="24"/>
      <c r="V628" s="16" t="s">
        <v>24</v>
      </c>
      <c r="W628" s="16" t="s">
        <v>24</v>
      </c>
      <c r="X628" s="145">
        <v>3</v>
      </c>
      <c r="Y628" s="147" t="s">
        <v>37</v>
      </c>
      <c r="Z628" s="146" t="s">
        <v>37</v>
      </c>
      <c r="AA628" s="4" t="str">
        <f>Table2[[#This Row],[field_fate]]</f>
        <v>H</v>
      </c>
      <c r="AB628" s="4" t="str">
        <f>Table2[[#This Row],[field_fate2]]</f>
        <v>H</v>
      </c>
      <c r="AC628" s="4" t="str">
        <f>Table2[[#This Row],[field_fate3]]</f>
        <v>H</v>
      </c>
      <c r="AD628" s="4" t="str">
        <f>Table2[[#This Row],[field_fate4]]</f>
        <v>H</v>
      </c>
      <c r="AE628" s="4" t="str">
        <f>Table2[[#This Row],[field_fate5]]</f>
        <v>H</v>
      </c>
      <c r="AF628" s="4" t="str">
        <f>Table2[[#This Row],[field_fate5]]</f>
        <v>H</v>
      </c>
      <c r="AG628" s="4" t="str">
        <f>Table2[[#This Row],[field_fate5]]</f>
        <v>H</v>
      </c>
      <c r="AH628" s="4" t="str">
        <f>Table2[[#This Row],[field_fate2]]</f>
        <v>H</v>
      </c>
      <c r="AI628" s="4" t="str">
        <f>Table2[[#This Row],[field_fate8]]</f>
        <v>H</v>
      </c>
      <c r="AJ628" s="4" t="str">
        <f>Table2[[#This Row],[field_fate10]]</f>
        <v>H</v>
      </c>
      <c r="AK628" s="4" t="b">
        <f>Table2[[#This Row],[field_fate_feb]]=Table2[[#This Row],[field_fate10]]</f>
        <v>1</v>
      </c>
      <c r="AL628" s="43" t="s">
        <v>24</v>
      </c>
      <c r="AM628" s="43" t="b">
        <f>Table2[[#This Row],[cam_fate2]]="NA"</f>
        <v>1</v>
      </c>
      <c r="AN628" s="19" t="str">
        <f>Table2[[#This Row],[cam_fate1]]</f>
        <v>NA</v>
      </c>
      <c r="AO628" s="2" t="s">
        <v>37</v>
      </c>
      <c r="AP628" s="5" t="str">
        <f>Table2[[#This Row],[final_fate1]]</f>
        <v>H</v>
      </c>
      <c r="AQ628" s="6" t="s">
        <v>24</v>
      </c>
      <c r="AR628" s="7" t="s">
        <v>24</v>
      </c>
      <c r="AS628" s="7">
        <f>Table2[[#This Row],[final_obs_date]]-Table2[[#This Row],[init_date]]</f>
        <v>121</v>
      </c>
      <c r="AT628" s="7" t="e">
        <f>(Table2[[#This Row],[final_obs_date2]]-Table2[[#This Row],[estHD]])+16</f>
        <v>#VALUE!</v>
      </c>
      <c r="AU628" s="38">
        <v>3</v>
      </c>
      <c r="AV628" s="33">
        <v>3</v>
      </c>
      <c r="AW628" s="33">
        <f>Table2[[#This Row],[final_obs_date2]]-Table2[[#This Row],[pen_obs_date]]</f>
        <v>121</v>
      </c>
      <c r="AX628" s="67">
        <v>121</v>
      </c>
      <c r="AY628" s="6">
        <f>Table2[[#This Row],[final_obs_date]]</f>
        <v>121</v>
      </c>
      <c r="AZ628" s="6"/>
      <c r="BA628" s="91" t="s">
        <v>399</v>
      </c>
      <c r="BB628" s="6" t="e">
        <f>Table2[[#This Row],[final_obs_date]]&lt;(Table2[[#This Row],[estHD]]-2)</f>
        <v>#VALUE!</v>
      </c>
      <c r="BC628" s="24">
        <f>IF(Table2[[#This Row],[field_fate]]="H",1,0)</f>
        <v>1</v>
      </c>
      <c r="BD628" s="16">
        <f>IF(Table2[[#This Row],[cam_fate2]]="H",1,0)</f>
        <v>0</v>
      </c>
      <c r="BE628" s="6" t="b">
        <f>NOT(Table2[[#This Row],[HF_C]]=Table2[[#This Row],[HF]])</f>
        <v>1</v>
      </c>
      <c r="BF628" s="6" t="b">
        <f>NOT(Table2[[#This Row],[cam_fate2]]=Table2[[#This Row],[field_fate3]])</f>
        <v>1</v>
      </c>
      <c r="BG628" s="6" t="b">
        <f>OR(Table2[[#This Row],[field_fate3]]="U",Table2[[#This Row],[field_fate3]]="U-H")</f>
        <v>0</v>
      </c>
      <c r="BH628" s="8">
        <v>101</v>
      </c>
      <c r="BI628" s="8">
        <v>121</v>
      </c>
      <c r="BJ628" s="14">
        <f>IF(ISTEXT(Table2[[#This Row],[j.cam]]),Table2[[#This Row],[j]],Table2[[#This Row],[j.cam]])</f>
        <v>121</v>
      </c>
      <c r="BK628" s="9">
        <v>121</v>
      </c>
      <c r="BL628" s="15">
        <f>IF(ISTEXT(Table2[[#This Row],[k.cam]]), Table2[[#This Row],[k]], Table2[[#This Row],[k.cam]])</f>
        <v>121</v>
      </c>
      <c r="BM628" s="4" t="s">
        <v>24</v>
      </c>
      <c r="BN628" s="8" t="s">
        <v>24</v>
      </c>
      <c r="BO628" s="4">
        <v>6</v>
      </c>
      <c r="BP628" s="4">
        <f>Table2[[#This Row],[final_obs_date]]-Table2[[#This Row],[i]]</f>
        <v>20</v>
      </c>
      <c r="BQ628" s="4" t="e">
        <f>Table2[[#This Row],[final_obs_date2]]&gt;Table2[[#This Row],[estHD]]+3</f>
        <v>#VALUE!</v>
      </c>
      <c r="BR628" s="4" t="s">
        <v>400</v>
      </c>
      <c r="BS628" s="4" t="s">
        <v>401</v>
      </c>
      <c r="BT628" s="79" t="s">
        <v>1386</v>
      </c>
      <c r="BU628" s="26" t="s">
        <v>402</v>
      </c>
      <c r="BV628" s="79" t="s">
        <v>1676</v>
      </c>
      <c r="BW628" s="49"/>
      <c r="BX628" s="47"/>
      <c r="BY628" s="36" t="s">
        <v>857</v>
      </c>
    </row>
    <row r="629" spans="1:77" hidden="1" x14ac:dyDescent="0.35">
      <c r="A629" s="64">
        <v>30318</v>
      </c>
      <c r="B629" s="2" t="s">
        <v>157</v>
      </c>
      <c r="C629" s="46">
        <v>2021</v>
      </c>
      <c r="D629" s="3">
        <v>29.76492</v>
      </c>
      <c r="E629" s="3">
        <v>-93.37388</v>
      </c>
      <c r="F629" s="3">
        <v>0</v>
      </c>
      <c r="G629" s="3">
        <v>20</v>
      </c>
      <c r="H629" s="3" t="s">
        <v>354</v>
      </c>
      <c r="I629" s="43"/>
      <c r="J629" s="55" t="s">
        <v>24</v>
      </c>
      <c r="K629" s="4">
        <v>138</v>
      </c>
      <c r="L629" s="22" t="str">
        <f>IF(ISNUMBER(Table2[[#This Row],[estHD]]),ABS(Table2[[#This Row],[HD]]-Table2[[#This Row],[estHD]]),"NA")</f>
        <v>NA</v>
      </c>
      <c r="M629" s="4" t="b">
        <f>Table2[[#This Row],[HD]]=Table2[[#This Row],[estHD]]</f>
        <v>0</v>
      </c>
      <c r="N629" s="4"/>
      <c r="O629" s="31"/>
      <c r="P629" s="23" t="str">
        <f>IF(ISNUMBER(Table2[[#This Row],[nest_age1]]),ABS(Table2[[#This Row],[nest_age1]]-Table2[[#This Row],[nest_age_feb]]),"NA")</f>
        <v>NA</v>
      </c>
      <c r="Q629" s="24">
        <f>IF(ISNUMBER(Table2[[#This Row],[final_obs_int2]]),ABS(Table2[[#This Row],[final_obs_int2]]-Table2[[#This Row],[final_obs_int_feb]]), "NA")</f>
        <v>0</v>
      </c>
      <c r="R629" s="24"/>
      <c r="S629" s="57" t="s">
        <v>88</v>
      </c>
      <c r="T629" s="57" t="str">
        <f>Table2[[#This Row],[camera_old]]</f>
        <v>N</v>
      </c>
      <c r="U629" s="24"/>
      <c r="V629" s="16" t="s">
        <v>24</v>
      </c>
      <c r="W629" s="16" t="s">
        <v>24</v>
      </c>
      <c r="X629" s="145">
        <v>7</v>
      </c>
      <c r="Y629" s="147" t="s">
        <v>37</v>
      </c>
      <c r="Z629" s="146" t="s">
        <v>37</v>
      </c>
      <c r="AA629" s="4" t="str">
        <f>Table2[[#This Row],[field_fate]]</f>
        <v>H</v>
      </c>
      <c r="AB629" s="4" t="str">
        <f>Table2[[#This Row],[field_fate2]]</f>
        <v>H</v>
      </c>
      <c r="AC629" s="4" t="str">
        <f>Table2[[#This Row],[field_fate3]]</f>
        <v>H</v>
      </c>
      <c r="AD629" s="4" t="str">
        <f>Table2[[#This Row],[field_fate4]]</f>
        <v>H</v>
      </c>
      <c r="AE629" s="4" t="str">
        <f>Table2[[#This Row],[field_fate5]]</f>
        <v>H</v>
      </c>
      <c r="AF629" s="4" t="str">
        <f>Table2[[#This Row],[field_fate5]]</f>
        <v>H</v>
      </c>
      <c r="AG629" s="4" t="str">
        <f>Table2[[#This Row],[field_fate5]]</f>
        <v>H</v>
      </c>
      <c r="AH629" s="4" t="str">
        <f>Table2[[#This Row],[field_fate2]]</f>
        <v>H</v>
      </c>
      <c r="AI629" s="4" t="str">
        <f>Table2[[#This Row],[field_fate8]]</f>
        <v>H</v>
      </c>
      <c r="AJ629" s="4" t="str">
        <f>Table2[[#This Row],[field_fate10]]</f>
        <v>H</v>
      </c>
      <c r="AK629" s="4" t="b">
        <f>Table2[[#This Row],[field_fate_feb]]=Table2[[#This Row],[field_fate10]]</f>
        <v>1</v>
      </c>
      <c r="AL629" s="43" t="s">
        <v>24</v>
      </c>
      <c r="AM629" s="43" t="b">
        <f>Table2[[#This Row],[cam_fate2]]="NA"</f>
        <v>1</v>
      </c>
      <c r="AN629" s="19" t="str">
        <f>Table2[[#This Row],[cam_fate1]]</f>
        <v>NA</v>
      </c>
      <c r="AO629" s="2" t="s">
        <v>37</v>
      </c>
      <c r="AP629" s="5" t="str">
        <f>Table2[[#This Row],[final_fate1]]</f>
        <v>H</v>
      </c>
      <c r="AQ629" s="6" t="s">
        <v>24</v>
      </c>
      <c r="AR629" s="7" t="s">
        <v>24</v>
      </c>
      <c r="AS629" s="7">
        <f>Table2[[#This Row],[final_obs_date]]-Table2[[#This Row],[init_date]]</f>
        <v>138</v>
      </c>
      <c r="AT629" s="7" t="e">
        <f>(Table2[[#This Row],[final_obs_date2]]-Table2[[#This Row],[estHD]])+16</f>
        <v>#VALUE!</v>
      </c>
      <c r="AU629" s="38">
        <v>7</v>
      </c>
      <c r="AV629" s="33">
        <v>7</v>
      </c>
      <c r="AW629" s="33">
        <f>Table2[[#This Row],[final_obs_date2]]-Table2[[#This Row],[pen_obs_date]]</f>
        <v>138</v>
      </c>
      <c r="AX629" s="67">
        <v>138</v>
      </c>
      <c r="AY629" s="6">
        <f>Table2[[#This Row],[final_obs_date]]</f>
        <v>138</v>
      </c>
      <c r="AZ629" s="6"/>
      <c r="BA629" s="91" t="s">
        <v>399</v>
      </c>
      <c r="BB629" s="6" t="e">
        <f>Table2[[#This Row],[final_obs_date]]&lt;(Table2[[#This Row],[estHD]]-2)</f>
        <v>#VALUE!</v>
      </c>
      <c r="BC629" s="24">
        <f>IF(Table2[[#This Row],[field_fate]]="H",1,0)</f>
        <v>1</v>
      </c>
      <c r="BD629" s="16">
        <f>IF(Table2[[#This Row],[cam_fate2]]="H",1,0)</f>
        <v>0</v>
      </c>
      <c r="BE629" s="6" t="b">
        <f>NOT(Table2[[#This Row],[HF_C]]=Table2[[#This Row],[HF]])</f>
        <v>1</v>
      </c>
      <c r="BF629" s="6" t="b">
        <f>NOT(Table2[[#This Row],[cam_fate2]]=Table2[[#This Row],[field_fate3]])</f>
        <v>1</v>
      </c>
      <c r="BG629" s="6" t="b">
        <f>OR(Table2[[#This Row],[field_fate3]]="U",Table2[[#This Row],[field_fate3]]="U-H")</f>
        <v>0</v>
      </c>
      <c r="BH629" s="8">
        <v>121</v>
      </c>
      <c r="BI629" s="8">
        <v>138</v>
      </c>
      <c r="BJ629" s="14">
        <f>IF(ISTEXT(Table2[[#This Row],[j.cam]]),Table2[[#This Row],[j]],Table2[[#This Row],[j.cam]])</f>
        <v>138</v>
      </c>
      <c r="BK629" s="9">
        <v>138</v>
      </c>
      <c r="BL629" s="15">
        <f>IF(ISTEXT(Table2[[#This Row],[k.cam]]), Table2[[#This Row],[k]], Table2[[#This Row],[k.cam]])</f>
        <v>138</v>
      </c>
      <c r="BM629" s="4" t="s">
        <v>24</v>
      </c>
      <c r="BN629" s="8" t="s">
        <v>24</v>
      </c>
      <c r="BO629" s="4">
        <v>5</v>
      </c>
      <c r="BP629" s="4">
        <f>Table2[[#This Row],[final_obs_date]]-Table2[[#This Row],[i]]</f>
        <v>17</v>
      </c>
      <c r="BQ629" s="4" t="e">
        <f>Table2[[#This Row],[final_obs_date2]]&gt;Table2[[#This Row],[estHD]]+3</f>
        <v>#VALUE!</v>
      </c>
      <c r="BR629" s="4" t="s">
        <v>27</v>
      </c>
      <c r="BS629" s="4" t="s">
        <v>403</v>
      </c>
      <c r="BT629" s="79" t="s">
        <v>1387</v>
      </c>
      <c r="BU629" s="26" t="s">
        <v>404</v>
      </c>
      <c r="BV629" s="79" t="s">
        <v>1677</v>
      </c>
      <c r="BW629" s="49"/>
      <c r="BX629" s="47"/>
      <c r="BY629" s="36" t="s">
        <v>858</v>
      </c>
    </row>
    <row r="630" spans="1:77" hidden="1" x14ac:dyDescent="0.35">
      <c r="A630" s="64">
        <v>30319</v>
      </c>
      <c r="B630" s="2" t="s">
        <v>157</v>
      </c>
      <c r="C630" s="46">
        <v>2021</v>
      </c>
      <c r="D630" s="3">
        <v>29.76493</v>
      </c>
      <c r="E630" s="3">
        <v>-93.375</v>
      </c>
      <c r="F630" s="3">
        <v>0</v>
      </c>
      <c r="G630" s="3">
        <v>0</v>
      </c>
      <c r="H630" s="3" t="s">
        <v>26</v>
      </c>
      <c r="I630" s="43"/>
      <c r="J630" s="55" t="s">
        <v>24</v>
      </c>
      <c r="K630" s="4" t="s">
        <v>24</v>
      </c>
      <c r="L630" s="22" t="str">
        <f>IF(ISNUMBER(Table2[[#This Row],[estHD]]),ABS(Table2[[#This Row],[HD]]-Table2[[#This Row],[estHD]]),"NA")</f>
        <v>NA</v>
      </c>
      <c r="M630" s="4" t="b">
        <f>Table2[[#This Row],[HD]]=Table2[[#This Row],[estHD]]</f>
        <v>1</v>
      </c>
      <c r="N630" s="4"/>
      <c r="O630" s="31"/>
      <c r="P630" s="23" t="str">
        <f>IF(ISNUMBER(Table2[[#This Row],[nest_age1]]),ABS(Table2[[#This Row],[nest_age1]]-Table2[[#This Row],[nest_age_feb]]),"NA")</f>
        <v>NA</v>
      </c>
      <c r="Q630" s="24">
        <f>IF(ISNUMBER(Table2[[#This Row],[final_obs_int2]]),ABS(Table2[[#This Row],[final_obs_int2]]-Table2[[#This Row],[final_obs_int_feb]]), "NA")</f>
        <v>0</v>
      </c>
      <c r="R630" s="24"/>
      <c r="S630" s="57" t="s">
        <v>88</v>
      </c>
      <c r="T630" s="57" t="str">
        <f>Table2[[#This Row],[camera_old]]</f>
        <v>N</v>
      </c>
      <c r="U630" s="24"/>
      <c r="V630" s="16" t="s">
        <v>24</v>
      </c>
      <c r="W630" s="16" t="s">
        <v>24</v>
      </c>
      <c r="X630" s="145">
        <v>4</v>
      </c>
      <c r="Y630" s="147" t="s">
        <v>31</v>
      </c>
      <c r="Z630" s="146" t="s">
        <v>31</v>
      </c>
      <c r="AA630" s="4" t="str">
        <f>Table2[[#This Row],[field_fate]]</f>
        <v>D</v>
      </c>
      <c r="AB630" s="4" t="str">
        <f>Table2[[#This Row],[field_fate2]]</f>
        <v>D</v>
      </c>
      <c r="AC630" s="4" t="str">
        <f>Table2[[#This Row],[field_fate3]]</f>
        <v>D</v>
      </c>
      <c r="AD630" s="4" t="str">
        <f>Table2[[#This Row],[field_fate4]]</f>
        <v>D</v>
      </c>
      <c r="AE630" s="4" t="str">
        <f>Table2[[#This Row],[field_fate5]]</f>
        <v>D</v>
      </c>
      <c r="AF630" s="4" t="str">
        <f>Table2[[#This Row],[field_fate5]]</f>
        <v>D</v>
      </c>
      <c r="AG630" s="4" t="str">
        <f>Table2[[#This Row],[field_fate5]]</f>
        <v>D</v>
      </c>
      <c r="AH630" s="4" t="str">
        <f>Table2[[#This Row],[field_fate2]]</f>
        <v>D</v>
      </c>
      <c r="AI630" s="4" t="str">
        <f>Table2[[#This Row],[field_fate8]]</f>
        <v>D</v>
      </c>
      <c r="AJ630" s="4" t="str">
        <f>Table2[[#This Row],[field_fate10]]</f>
        <v>D</v>
      </c>
      <c r="AK630" s="4" t="b">
        <f>Table2[[#This Row],[field_fate_feb]]=Table2[[#This Row],[field_fate10]]</f>
        <v>1</v>
      </c>
      <c r="AL630" s="43" t="s">
        <v>24</v>
      </c>
      <c r="AM630" s="43" t="b">
        <f>Table2[[#This Row],[cam_fate2]]="NA"</f>
        <v>1</v>
      </c>
      <c r="AN630" s="19" t="str">
        <f>Table2[[#This Row],[cam_fate1]]</f>
        <v>NA</v>
      </c>
      <c r="AO630" s="2" t="s">
        <v>31</v>
      </c>
      <c r="AP630" s="5" t="str">
        <f>Table2[[#This Row],[final_fate1]]</f>
        <v>D</v>
      </c>
      <c r="AQ630" s="6" t="s">
        <v>24</v>
      </c>
      <c r="AR630" s="7" t="s">
        <v>24</v>
      </c>
      <c r="AS630" s="7">
        <f>Table2[[#This Row],[final_obs_date]]-Table2[[#This Row],[init_date]]</f>
        <v>135</v>
      </c>
      <c r="AT630" s="7" t="e">
        <f>(Table2[[#This Row],[final_obs_date2]]-Table2[[#This Row],[estHD]])+16</f>
        <v>#VALUE!</v>
      </c>
      <c r="AU630" s="38">
        <v>4</v>
      </c>
      <c r="AV630" s="33">
        <v>4</v>
      </c>
      <c r="AW630" s="33">
        <f>Table2[[#This Row],[final_obs_date2]]-Table2[[#This Row],[pen_obs_date]]</f>
        <v>135</v>
      </c>
      <c r="AX630" s="67">
        <v>135</v>
      </c>
      <c r="AY630" s="6">
        <f>Table2[[#This Row],[final_obs_date]]</f>
        <v>135</v>
      </c>
      <c r="AZ630" s="6"/>
      <c r="BA630" s="91" t="s">
        <v>399</v>
      </c>
      <c r="BB630" s="6" t="e">
        <f>Table2[[#This Row],[final_obs_date]]&lt;(Table2[[#This Row],[estHD]]-2)</f>
        <v>#VALUE!</v>
      </c>
      <c r="BC630" s="24">
        <f>IF(Table2[[#This Row],[field_fate]]="H",1,0)</f>
        <v>0</v>
      </c>
      <c r="BD630" s="16">
        <f>IF(Table2[[#This Row],[cam_fate2]]="H",1,0)</f>
        <v>0</v>
      </c>
      <c r="BE630" s="6" t="b">
        <f>NOT(Table2[[#This Row],[HF_C]]=Table2[[#This Row],[HF]])</f>
        <v>0</v>
      </c>
      <c r="BF630" s="6" t="b">
        <f>NOT(Table2[[#This Row],[cam_fate2]]=Table2[[#This Row],[field_fate3]])</f>
        <v>1</v>
      </c>
      <c r="BG630" s="6" t="b">
        <f>OR(Table2[[#This Row],[field_fate3]]="U",Table2[[#This Row],[field_fate3]]="U-H")</f>
        <v>0</v>
      </c>
      <c r="BH630" s="8">
        <v>124</v>
      </c>
      <c r="BI630" s="8">
        <v>132</v>
      </c>
      <c r="BJ630" s="14">
        <f>IF(ISTEXT(Table2[[#This Row],[j.cam]]),Table2[[#This Row],[j]],Table2[[#This Row],[j.cam]])</f>
        <v>132</v>
      </c>
      <c r="BK630" s="9">
        <v>135</v>
      </c>
      <c r="BL630" s="15">
        <f>IF(ISTEXT(Table2[[#This Row],[k.cam]]), Table2[[#This Row],[k]], Table2[[#This Row],[k.cam]])</f>
        <v>135</v>
      </c>
      <c r="BM630" s="4" t="s">
        <v>24</v>
      </c>
      <c r="BN630" s="8" t="s">
        <v>24</v>
      </c>
      <c r="BO630" s="4">
        <v>4</v>
      </c>
      <c r="BP630" s="4">
        <f>Table2[[#This Row],[final_obs_date]]-Table2[[#This Row],[i]]</f>
        <v>11</v>
      </c>
      <c r="BQ630" s="4" t="e">
        <f>Table2[[#This Row],[final_obs_date2]]&gt;Table2[[#This Row],[estHD]]+3</f>
        <v>#VALUE!</v>
      </c>
      <c r="BR630" s="4" t="s">
        <v>58</v>
      </c>
      <c r="BS630" s="4" t="s">
        <v>28</v>
      </c>
      <c r="BT630" s="79" t="s">
        <v>1388</v>
      </c>
      <c r="BU630" s="26" t="s">
        <v>405</v>
      </c>
      <c r="BV630" s="79" t="s">
        <v>1678</v>
      </c>
      <c r="BW630" s="49"/>
      <c r="BX630" s="47"/>
      <c r="BY630" s="36" t="s">
        <v>859</v>
      </c>
    </row>
    <row r="631" spans="1:77" hidden="1" x14ac:dyDescent="0.35">
      <c r="A631" s="64">
        <v>30400</v>
      </c>
      <c r="B631" s="2" t="s">
        <v>122</v>
      </c>
      <c r="C631" s="46">
        <v>2021</v>
      </c>
      <c r="D631" s="3">
        <v>29.75872</v>
      </c>
      <c r="E631" s="3">
        <v>-93.11985</v>
      </c>
      <c r="F631" s="3">
        <v>0</v>
      </c>
      <c r="G631" s="3">
        <v>0</v>
      </c>
      <c r="H631" s="3" t="s">
        <v>354</v>
      </c>
      <c r="I631" s="43"/>
      <c r="J631" s="55">
        <v>45</v>
      </c>
      <c r="K631" s="4">
        <v>46</v>
      </c>
      <c r="L631" s="22">
        <f>IF(ISNUMBER(Table2[[#This Row],[estHD]]),ABS(Table2[[#This Row],[HD]]-Table2[[#This Row],[estHD]]),"NA")</f>
        <v>1</v>
      </c>
      <c r="M631" s="4" t="b">
        <f>Table2[[#This Row],[HD]]=Table2[[#This Row],[estHD]]</f>
        <v>0</v>
      </c>
      <c r="N631" s="4" t="str">
        <f>IF(ISNUMBER([1]!Table2[[#This Row],[hatch_date]]), [1]!Table2[[#This Row],[hatch_date]]-28, "NA")</f>
        <v>NA</v>
      </c>
      <c r="O631" s="31">
        <v>18</v>
      </c>
      <c r="P631" s="23">
        <f>IF(ISNUMBER(Table2[[#This Row],[nest_age1]]),ABS(Table2[[#This Row],[nest_age1]]-Table2[[#This Row],[nest_age_feb]]),"NA")</f>
        <v>1</v>
      </c>
      <c r="Q631" s="24">
        <f>IF(ISNUMBER(Table2[[#This Row],[final_obs_int2]]),ABS(Table2[[#This Row],[final_obs_int2]]-Table2[[#This Row],[final_obs_int_feb]]), "NA")</f>
        <v>0</v>
      </c>
      <c r="R631" s="24"/>
      <c r="S631" s="57" t="s">
        <v>88</v>
      </c>
      <c r="T631" s="57" t="str">
        <f>Table2[[#This Row],[camera_old]]</f>
        <v>N</v>
      </c>
      <c r="U631" s="24"/>
      <c r="V631" s="16" t="s">
        <v>24</v>
      </c>
      <c r="W631" s="16">
        <v>29</v>
      </c>
      <c r="X631" s="145">
        <v>3</v>
      </c>
      <c r="Y631" s="148" t="s">
        <v>37</v>
      </c>
      <c r="Z631" s="146" t="s">
        <v>37</v>
      </c>
      <c r="AA631" s="4" t="str">
        <f>Table2[[#This Row],[field_fate]]</f>
        <v>H</v>
      </c>
      <c r="AB631" s="4" t="str">
        <f>Table2[[#This Row],[field_fate2]]</f>
        <v>H</v>
      </c>
      <c r="AC631" s="4" t="str">
        <f>Table2[[#This Row],[field_fate3]]</f>
        <v>H</v>
      </c>
      <c r="AD631" s="4" t="str">
        <f>Table2[[#This Row],[field_fate4]]</f>
        <v>H</v>
      </c>
      <c r="AE631" s="4" t="str">
        <f>Table2[[#This Row],[field_fate5]]</f>
        <v>H</v>
      </c>
      <c r="AF631" s="4" t="str">
        <f>Table2[[#This Row],[field_fate5]]</f>
        <v>H</v>
      </c>
      <c r="AG631" s="4" t="str">
        <f>Table2[[#This Row],[field_fate5]]</f>
        <v>H</v>
      </c>
      <c r="AH631" s="4" t="str">
        <f>Table2[[#This Row],[field_fate2]]</f>
        <v>H</v>
      </c>
      <c r="AI631" s="4" t="str">
        <f>Table2[[#This Row],[field_fate8]]</f>
        <v>H</v>
      </c>
      <c r="AJ631" s="4" t="str">
        <f>Table2[[#This Row],[field_fate10]]</f>
        <v>H</v>
      </c>
      <c r="AK631" s="4" t="b">
        <f>Table2[[#This Row],[field_fate_feb]]=Table2[[#This Row],[field_fate10]]</f>
        <v>1</v>
      </c>
      <c r="AL631" s="43" t="s">
        <v>24</v>
      </c>
      <c r="AM631" s="43" t="b">
        <f>Table2[[#This Row],[cam_fate2]]="NA"</f>
        <v>1</v>
      </c>
      <c r="AN631" s="19" t="str">
        <f>Table2[[#This Row],[cam_fate1]]</f>
        <v>NA</v>
      </c>
      <c r="AO631" s="2" t="s">
        <v>37</v>
      </c>
      <c r="AP631" s="5" t="str">
        <f>Table2[[#This Row],[final_fate1]]</f>
        <v>H</v>
      </c>
      <c r="AQ631" s="6">
        <v>28</v>
      </c>
      <c r="AR631" s="7">
        <v>29</v>
      </c>
      <c r="AS631" s="7">
        <f>Table2[[#This Row],[final_obs_date]]-Table2[[#This Row],[init_date]]</f>
        <v>28</v>
      </c>
      <c r="AT631" s="7">
        <f>(Table2[[#This Row],[final_obs_date2]]-Table2[[#This Row],[estHD]])+16</f>
        <v>17</v>
      </c>
      <c r="AU631" s="38">
        <v>3</v>
      </c>
      <c r="AV631" s="33">
        <v>3</v>
      </c>
      <c r="AW631" s="33">
        <f>Table2[[#This Row],[final_obs_date2]]-Table2[[#This Row],[pen_obs_date]]</f>
        <v>46</v>
      </c>
      <c r="AX631" s="67">
        <v>46</v>
      </c>
      <c r="AY631" s="6">
        <f>Table2[[#This Row],[final_obs_date]]</f>
        <v>46</v>
      </c>
      <c r="AZ631" s="6"/>
      <c r="BA631" s="91" t="s">
        <v>23</v>
      </c>
      <c r="BB631" s="6" t="b">
        <f>Table2[[#This Row],[final_obs_date]]&lt;(Table2[[#This Row],[estHD]]-2)</f>
        <v>0</v>
      </c>
      <c r="BC631" s="24">
        <f>IF(Table2[[#This Row],[field_fate]]="H",1,0)</f>
        <v>1</v>
      </c>
      <c r="BD631" s="16">
        <f>IF(Table2[[#This Row],[cam_fate2]]="H",1,0)</f>
        <v>0</v>
      </c>
      <c r="BE631" s="6" t="b">
        <f>NOT(Table2[[#This Row],[HF_C]]=Table2[[#This Row],[HF]])</f>
        <v>1</v>
      </c>
      <c r="BF631" s="6" t="b">
        <f>NOT(Table2[[#This Row],[cam_fate2]]=Table2[[#This Row],[field_fate3]])</f>
        <v>1</v>
      </c>
      <c r="BG631" s="6" t="b">
        <f>OR(Table2[[#This Row],[field_fate3]]="U",Table2[[#This Row],[field_fate3]]="U-H")</f>
        <v>0</v>
      </c>
      <c r="BH631" s="8">
        <v>26</v>
      </c>
      <c r="BI631" s="8">
        <v>46</v>
      </c>
      <c r="BJ631" s="14">
        <f>IF(ISTEXT(Table2[[#This Row],[j.cam]]),Table2[[#This Row],[j]],Table2[[#This Row],[j.cam]])</f>
        <v>46</v>
      </c>
      <c r="BK631" s="9">
        <v>46</v>
      </c>
      <c r="BL631" s="15">
        <f>IF(ISTEXT(Table2[[#This Row],[k.cam]]), Table2[[#This Row],[k]], Table2[[#This Row],[k.cam]])</f>
        <v>46</v>
      </c>
      <c r="BM631" s="4" t="s">
        <v>24</v>
      </c>
      <c r="BN631" s="8" t="s">
        <v>24</v>
      </c>
      <c r="BO631" s="4">
        <v>6</v>
      </c>
      <c r="BP631" s="4">
        <f>Table2[[#This Row],[final_obs_date]]-Table2[[#This Row],[i]]</f>
        <v>20</v>
      </c>
      <c r="BQ631" s="4" t="b">
        <f>Table2[[#This Row],[final_obs_date2]]&gt;Table2[[#This Row],[estHD]]+3</f>
        <v>0</v>
      </c>
      <c r="BR631" s="4" t="s">
        <v>27</v>
      </c>
      <c r="BS631" s="4" t="s">
        <v>155</v>
      </c>
      <c r="BT631" s="79" t="s">
        <v>1389</v>
      </c>
      <c r="BU631" s="26" t="s">
        <v>406</v>
      </c>
      <c r="BV631" s="79" t="s">
        <v>1679</v>
      </c>
      <c r="BW631" s="49"/>
      <c r="BX631" s="47"/>
      <c r="BY631" s="36" t="s">
        <v>24</v>
      </c>
    </row>
    <row r="632" spans="1:77" hidden="1" x14ac:dyDescent="0.35">
      <c r="A632" s="64">
        <v>30401</v>
      </c>
      <c r="B632" s="2" t="s">
        <v>122</v>
      </c>
      <c r="C632" s="46">
        <v>2021</v>
      </c>
      <c r="D632" s="3">
        <v>29.758710000000001</v>
      </c>
      <c r="E632" s="3">
        <v>-93.119860000000003</v>
      </c>
      <c r="F632" s="3">
        <v>0</v>
      </c>
      <c r="G632" s="3">
        <v>0</v>
      </c>
      <c r="H632" s="3" t="s">
        <v>354</v>
      </c>
      <c r="I632" s="43"/>
      <c r="J632" s="55">
        <v>41</v>
      </c>
      <c r="K632" s="4">
        <v>41</v>
      </c>
      <c r="L632" s="22">
        <f>IF(ISNUMBER(Table2[[#This Row],[estHD]]),ABS(Table2[[#This Row],[HD]]-Table2[[#This Row],[estHD]]),"NA")</f>
        <v>0</v>
      </c>
      <c r="M632" s="4" t="b">
        <f>Table2[[#This Row],[HD]]=Table2[[#This Row],[estHD]]</f>
        <v>1</v>
      </c>
      <c r="N632" s="4" t="str">
        <f>IF(ISNUMBER([1]!Table2[[#This Row],[hatch_date]]),[1]!Table2[[#This Row],[hatch_date]]-19,"NA")</f>
        <v>NA</v>
      </c>
      <c r="O632" s="31">
        <v>22</v>
      </c>
      <c r="P632" s="23" t="e">
        <f>IF(ISNUMBER(Table2[[#This Row],[nest_age1]]),ABS(Table2[[#This Row],[nest_age1]]-Table2[[#This Row],[nest_age_feb]]),"NA")</f>
        <v>#VALUE!</v>
      </c>
      <c r="Q632" s="24">
        <f>IF(ISNUMBER(Table2[[#This Row],[final_obs_int2]]),ABS(Table2[[#This Row],[final_obs_int2]]-Table2[[#This Row],[final_obs_int_feb]]), "NA")</f>
        <v>3</v>
      </c>
      <c r="R632" s="24"/>
      <c r="S632" s="57" t="s">
        <v>88</v>
      </c>
      <c r="T632" s="57" t="str">
        <f>Table2[[#This Row],[camera_old]]</f>
        <v>N</v>
      </c>
      <c r="U632" s="24"/>
      <c r="V632" s="16" t="s">
        <v>24</v>
      </c>
      <c r="W632" s="16" t="s">
        <v>24</v>
      </c>
      <c r="X632" s="145">
        <v>6</v>
      </c>
      <c r="Y632" s="147" t="s">
        <v>90</v>
      </c>
      <c r="Z632" s="146" t="s">
        <v>104</v>
      </c>
      <c r="AA632" s="4" t="str">
        <f>Table2[[#This Row],[field_fate]]</f>
        <v>U-H</v>
      </c>
      <c r="AB632" s="4" t="str">
        <f>Table2[[#This Row],[field_fate2]]</f>
        <v>U-H</v>
      </c>
      <c r="AC632" s="4" t="str">
        <f>Table2[[#This Row],[field_fate3]]</f>
        <v>U-H</v>
      </c>
      <c r="AD632" s="4" t="str">
        <f>Table2[[#This Row],[field_fate4]]</f>
        <v>U-H</v>
      </c>
      <c r="AE632" s="4" t="str">
        <f>Table2[[#This Row],[field_fate5]]</f>
        <v>U-H</v>
      </c>
      <c r="AF632" s="4" t="str">
        <f>Table2[[#This Row],[field_fate5]]</f>
        <v>U-H</v>
      </c>
      <c r="AG632" s="4" t="str">
        <f>Table2[[#This Row],[field_fate5]]</f>
        <v>U-H</v>
      </c>
      <c r="AH632" s="4" t="str">
        <f>Table2[[#This Row],[field_fate2]]</f>
        <v>U-H</v>
      </c>
      <c r="AI632" s="4" t="str">
        <f>Table2[[#This Row],[field_fate8]]</f>
        <v>U-H</v>
      </c>
      <c r="AJ632" s="4" t="str">
        <f>Table2[[#This Row],[field_fate10]]</f>
        <v>U-H</v>
      </c>
      <c r="AK632" s="4" t="b">
        <f>Table2[[#This Row],[field_fate_feb]]=Table2[[#This Row],[field_fate10]]</f>
        <v>0</v>
      </c>
      <c r="AL632" s="43" t="s">
        <v>24</v>
      </c>
      <c r="AM632" s="43" t="b">
        <f>Table2[[#This Row],[cam_fate2]]="NA"</f>
        <v>1</v>
      </c>
      <c r="AN632" s="19" t="str">
        <f>Table2[[#This Row],[cam_fate1]]</f>
        <v>NA</v>
      </c>
      <c r="AO632" s="2" t="s">
        <v>104</v>
      </c>
      <c r="AP632" s="5" t="str">
        <f>Table2[[#This Row],[final_fate1]]</f>
        <v>U-H</v>
      </c>
      <c r="AQ632" s="6">
        <v>24</v>
      </c>
      <c r="AR632" s="7">
        <v>24</v>
      </c>
      <c r="AS632" s="7">
        <f>Table2[[#This Row],[final_obs_date]]-Table2[[#This Row],[init_date]]</f>
        <v>24</v>
      </c>
      <c r="AT632" s="7">
        <f>(Table2[[#This Row],[final_obs_date2]]-Table2[[#This Row],[estHD]])+16</f>
        <v>21</v>
      </c>
      <c r="AU632" s="38">
        <v>3</v>
      </c>
      <c r="AV632" s="33">
        <v>3</v>
      </c>
      <c r="AW632" s="33">
        <f>Table2[[#This Row],[final_obs_date2]]-Table2[[#This Row],[pen_obs_date]]</f>
        <v>46</v>
      </c>
      <c r="AX632" s="67">
        <v>46</v>
      </c>
      <c r="AY632" s="6">
        <f>Table2[[#This Row],[final_obs_date]]</f>
        <v>46</v>
      </c>
      <c r="AZ632" s="6"/>
      <c r="BA632" s="91" t="s">
        <v>47</v>
      </c>
      <c r="BB632" s="6" t="b">
        <f>Table2[[#This Row],[final_obs_date]]&lt;(Table2[[#This Row],[estHD]]-2)</f>
        <v>0</v>
      </c>
      <c r="BC632" s="24">
        <f>IF(Table2[[#This Row],[field_fate]]="H",1,0)</f>
        <v>0</v>
      </c>
      <c r="BD632" s="16">
        <f>IF(Table2[[#This Row],[cam_fate2]]="H",1,0)</f>
        <v>0</v>
      </c>
      <c r="BE632" s="6" t="b">
        <f>NOT(Table2[[#This Row],[HF_C]]=Table2[[#This Row],[HF]])</f>
        <v>0</v>
      </c>
      <c r="BF632" s="6" t="b">
        <f>NOT(Table2[[#This Row],[cam_fate2]]=Table2[[#This Row],[field_fate3]])</f>
        <v>1</v>
      </c>
      <c r="BG632" s="6" t="b">
        <f>OR(Table2[[#This Row],[field_fate3]]="U",Table2[[#This Row],[field_fate3]]="U-H")</f>
        <v>1</v>
      </c>
      <c r="BH632" s="8">
        <v>26</v>
      </c>
      <c r="BI632" s="8">
        <v>43</v>
      </c>
      <c r="BJ632" s="14">
        <f>IF(ISTEXT(Table2[[#This Row],[j.cam]]),Table2[[#This Row],[j]],Table2[[#This Row],[j.cam]])</f>
        <v>43</v>
      </c>
      <c r="BK632" s="9">
        <v>46</v>
      </c>
      <c r="BL632" s="15">
        <f>IF(ISTEXT(Table2[[#This Row],[k.cam]]), Table2[[#This Row],[k]], Table2[[#This Row],[k.cam]])</f>
        <v>46</v>
      </c>
      <c r="BM632" s="4" t="s">
        <v>24</v>
      </c>
      <c r="BN632" s="8" t="s">
        <v>24</v>
      </c>
      <c r="BO632" s="4">
        <v>6</v>
      </c>
      <c r="BP632" s="4">
        <f>Table2[[#This Row],[final_obs_date]]-Table2[[#This Row],[i]]</f>
        <v>20</v>
      </c>
      <c r="BQ632" s="4" t="b">
        <f>Table2[[#This Row],[final_obs_date2]]&gt;Table2[[#This Row],[estHD]]+3</f>
        <v>1</v>
      </c>
      <c r="BR632" s="4" t="s">
        <v>66</v>
      </c>
      <c r="BS632" s="4" t="s">
        <v>45</v>
      </c>
      <c r="BT632" s="79" t="s">
        <v>1389</v>
      </c>
      <c r="BU632" s="26" t="s">
        <v>407</v>
      </c>
      <c r="BV632" s="79" t="s">
        <v>1679</v>
      </c>
      <c r="BW632" s="49"/>
      <c r="BX632" s="47"/>
      <c r="BY632" s="36" t="s">
        <v>860</v>
      </c>
    </row>
    <row r="633" spans="1:77" hidden="1" x14ac:dyDescent="0.35">
      <c r="A633" s="64">
        <v>30402</v>
      </c>
      <c r="B633" s="2" t="s">
        <v>122</v>
      </c>
      <c r="C633" s="46">
        <v>2021</v>
      </c>
      <c r="D633" s="3">
        <v>29.75872</v>
      </c>
      <c r="E633" s="3">
        <v>-93.119759999999999</v>
      </c>
      <c r="F633" s="3">
        <v>0</v>
      </c>
      <c r="G633" s="3">
        <v>0</v>
      </c>
      <c r="H633" s="3" t="s">
        <v>354</v>
      </c>
      <c r="I633" s="43"/>
      <c r="J633" s="55">
        <v>41</v>
      </c>
      <c r="K633" s="4">
        <v>41</v>
      </c>
      <c r="L633" s="22">
        <f>IF(ISNUMBER(Table2[[#This Row],[estHD]]),ABS(Table2[[#This Row],[HD]]-Table2[[#This Row],[estHD]]),"NA")</f>
        <v>0</v>
      </c>
      <c r="M633" s="4" t="b">
        <f>Table2[[#This Row],[HD]]=Table2[[#This Row],[estHD]]</f>
        <v>1</v>
      </c>
      <c r="N633" s="4" t="str">
        <f>IF(ISNUMBER([1]!Table2[[#This Row],[hatch_date]]),[1]!Table2[[#This Row],[hatch_date]]-19,"NA")</f>
        <v>NA</v>
      </c>
      <c r="O633" s="31">
        <v>22</v>
      </c>
      <c r="P633" s="23" t="e">
        <f>IF(ISNUMBER(Table2[[#This Row],[nest_age1]]),ABS(Table2[[#This Row],[nest_age1]]-Table2[[#This Row],[nest_age_feb]]),"NA")</f>
        <v>#VALUE!</v>
      </c>
      <c r="Q633" s="24">
        <f>IF(ISNUMBER(Table2[[#This Row],[final_obs_int2]]),ABS(Table2[[#This Row],[final_obs_int2]]-Table2[[#This Row],[final_obs_int_feb]]), "NA")</f>
        <v>3</v>
      </c>
      <c r="R633" s="24"/>
      <c r="S633" s="57" t="s">
        <v>88</v>
      </c>
      <c r="T633" s="57" t="str">
        <f>Table2[[#This Row],[camera_old]]</f>
        <v>N</v>
      </c>
      <c r="U633" s="24"/>
      <c r="V633" s="16" t="s">
        <v>24</v>
      </c>
      <c r="W633" s="16" t="s">
        <v>24</v>
      </c>
      <c r="X633" s="145">
        <v>6</v>
      </c>
      <c r="Y633" s="147" t="s">
        <v>90</v>
      </c>
      <c r="Z633" s="146" t="s">
        <v>104</v>
      </c>
      <c r="AA633" s="4" t="str">
        <f>Table2[[#This Row],[field_fate]]</f>
        <v>U-H</v>
      </c>
      <c r="AB633" s="4" t="str">
        <f>Table2[[#This Row],[field_fate2]]</f>
        <v>U-H</v>
      </c>
      <c r="AC633" s="4" t="str">
        <f>Table2[[#This Row],[field_fate3]]</f>
        <v>U-H</v>
      </c>
      <c r="AD633" s="4" t="str">
        <f>Table2[[#This Row],[field_fate4]]</f>
        <v>U-H</v>
      </c>
      <c r="AE633" s="4" t="str">
        <f>Table2[[#This Row],[field_fate5]]</f>
        <v>U-H</v>
      </c>
      <c r="AF633" s="4" t="str">
        <f>Table2[[#This Row],[field_fate5]]</f>
        <v>U-H</v>
      </c>
      <c r="AG633" s="4" t="str">
        <f>Table2[[#This Row],[field_fate5]]</f>
        <v>U-H</v>
      </c>
      <c r="AH633" s="4" t="str">
        <f>Table2[[#This Row],[field_fate2]]</f>
        <v>U-H</v>
      </c>
      <c r="AI633" s="4" t="str">
        <f>Table2[[#This Row],[field_fate8]]</f>
        <v>U-H</v>
      </c>
      <c r="AJ633" s="4" t="str">
        <f>Table2[[#This Row],[field_fate10]]</f>
        <v>U-H</v>
      </c>
      <c r="AK633" s="4" t="b">
        <f>Table2[[#This Row],[field_fate_feb]]=Table2[[#This Row],[field_fate10]]</f>
        <v>0</v>
      </c>
      <c r="AL633" s="43" t="s">
        <v>24</v>
      </c>
      <c r="AM633" s="43" t="b">
        <f>Table2[[#This Row],[cam_fate2]]="NA"</f>
        <v>1</v>
      </c>
      <c r="AN633" s="19" t="str">
        <f>Table2[[#This Row],[cam_fate1]]</f>
        <v>NA</v>
      </c>
      <c r="AO633" s="2" t="s">
        <v>104</v>
      </c>
      <c r="AP633" s="5" t="str">
        <f>Table2[[#This Row],[final_fate1]]</f>
        <v>U-H</v>
      </c>
      <c r="AQ633" s="6">
        <v>24</v>
      </c>
      <c r="AR633" s="7">
        <v>24</v>
      </c>
      <c r="AS633" s="7">
        <f>Table2[[#This Row],[final_obs_date]]-Table2[[#This Row],[init_date]]</f>
        <v>24</v>
      </c>
      <c r="AT633" s="7">
        <f>(Table2[[#This Row],[final_obs_date2]]-Table2[[#This Row],[estHD]])+16</f>
        <v>21</v>
      </c>
      <c r="AU633" s="38">
        <v>3</v>
      </c>
      <c r="AV633" s="33">
        <v>3</v>
      </c>
      <c r="AW633" s="33">
        <f>Table2[[#This Row],[final_obs_date2]]-Table2[[#This Row],[pen_obs_date]]</f>
        <v>46</v>
      </c>
      <c r="AX633" s="67">
        <v>46</v>
      </c>
      <c r="AY633" s="6">
        <f>Table2[[#This Row],[final_obs_date]]</f>
        <v>46</v>
      </c>
      <c r="AZ633" s="6"/>
      <c r="BA633" s="91" t="s">
        <v>47</v>
      </c>
      <c r="BB633" s="6" t="b">
        <f>Table2[[#This Row],[final_obs_date]]&lt;(Table2[[#This Row],[estHD]]-2)</f>
        <v>0</v>
      </c>
      <c r="BC633" s="24">
        <f>IF(Table2[[#This Row],[field_fate]]="H",1,0)</f>
        <v>0</v>
      </c>
      <c r="BD633" s="16">
        <f>IF(Table2[[#This Row],[cam_fate2]]="H",1,0)</f>
        <v>0</v>
      </c>
      <c r="BE633" s="6" t="b">
        <f>NOT(Table2[[#This Row],[HF_C]]=Table2[[#This Row],[HF]])</f>
        <v>0</v>
      </c>
      <c r="BF633" s="6" t="b">
        <f>NOT(Table2[[#This Row],[cam_fate2]]=Table2[[#This Row],[field_fate3]])</f>
        <v>1</v>
      </c>
      <c r="BG633" s="6" t="b">
        <f>OR(Table2[[#This Row],[field_fate3]]="U",Table2[[#This Row],[field_fate3]]="U-H")</f>
        <v>1</v>
      </c>
      <c r="BH633" s="8">
        <v>26</v>
      </c>
      <c r="BI633" s="8">
        <v>43</v>
      </c>
      <c r="BJ633" s="14">
        <f>IF(ISTEXT(Table2[[#This Row],[j.cam]]),Table2[[#This Row],[j]],Table2[[#This Row],[j.cam]])</f>
        <v>43</v>
      </c>
      <c r="BK633" s="9">
        <v>46</v>
      </c>
      <c r="BL633" s="15">
        <f>IF(ISTEXT(Table2[[#This Row],[k.cam]]), Table2[[#This Row],[k]], Table2[[#This Row],[k.cam]])</f>
        <v>46</v>
      </c>
      <c r="BM633" s="4" t="s">
        <v>24</v>
      </c>
      <c r="BN633" s="8" t="s">
        <v>24</v>
      </c>
      <c r="BO633" s="4">
        <v>6</v>
      </c>
      <c r="BP633" s="4">
        <f>Table2[[#This Row],[final_obs_date]]-Table2[[#This Row],[i]]</f>
        <v>20</v>
      </c>
      <c r="BQ633" s="4" t="b">
        <f>Table2[[#This Row],[final_obs_date2]]&gt;Table2[[#This Row],[estHD]]+3</f>
        <v>1</v>
      </c>
      <c r="BR633" s="4" t="s">
        <v>66</v>
      </c>
      <c r="BS633" s="4" t="s">
        <v>45</v>
      </c>
      <c r="BT633" s="79" t="s">
        <v>1389</v>
      </c>
      <c r="BU633" s="26" t="s">
        <v>407</v>
      </c>
      <c r="BV633" s="79" t="s">
        <v>1679</v>
      </c>
      <c r="BW633" s="49"/>
      <c r="BX633" s="47"/>
      <c r="BY633" s="36" t="s">
        <v>860</v>
      </c>
    </row>
    <row r="634" spans="1:77" hidden="1" x14ac:dyDescent="0.35">
      <c r="A634" s="64">
        <v>30404</v>
      </c>
      <c r="B634" s="2" t="s">
        <v>122</v>
      </c>
      <c r="C634" s="46">
        <v>2021</v>
      </c>
      <c r="D634" s="3">
        <v>29.758500000000002</v>
      </c>
      <c r="E634" s="3">
        <v>-93.118979999999993</v>
      </c>
      <c r="F634" s="3" t="s">
        <v>24</v>
      </c>
      <c r="G634" s="3" t="s">
        <v>24</v>
      </c>
      <c r="H634" s="3" t="s">
        <v>354</v>
      </c>
      <c r="I634" s="43"/>
      <c r="J634" s="55">
        <v>41</v>
      </c>
      <c r="K634" s="4">
        <v>41</v>
      </c>
      <c r="L634" s="22">
        <f>IF(ISNUMBER(Table2[[#This Row],[estHD]]),ABS(Table2[[#This Row],[HD]]-Table2[[#This Row],[estHD]]),"NA")</f>
        <v>0</v>
      </c>
      <c r="M634" s="4" t="b">
        <f>Table2[[#This Row],[HD]]=Table2[[#This Row],[estHD]]</f>
        <v>1</v>
      </c>
      <c r="N634" s="4" t="str">
        <f>IF(ISNUMBER([1]!Table2[[#This Row],[hatch_date]]),[1]!Table2[[#This Row],[hatch_date]]-19,"NA")</f>
        <v>NA</v>
      </c>
      <c r="O634" s="31">
        <v>22</v>
      </c>
      <c r="P634" s="23">
        <f>IF(ISNUMBER(Table2[[#This Row],[nest_age1]]),ABS(Table2[[#This Row],[nest_age1]]-Table2[[#This Row],[nest_age_feb]]),"NA")</f>
        <v>0</v>
      </c>
      <c r="Q634" s="24">
        <f>IF(ISNUMBER(Table2[[#This Row],[final_obs_int2]]),ABS(Table2[[#This Row],[final_obs_int2]]-Table2[[#This Row],[final_obs_int_feb]]), "NA")</f>
        <v>0</v>
      </c>
      <c r="R634" s="24"/>
      <c r="S634" s="57" t="s">
        <v>88</v>
      </c>
      <c r="T634" s="57" t="str">
        <f>Table2[[#This Row],[camera_old]]</f>
        <v>N</v>
      </c>
      <c r="U634" s="24"/>
      <c r="V634" s="16" t="s">
        <v>24</v>
      </c>
      <c r="W634" s="16">
        <v>13</v>
      </c>
      <c r="X634" s="145">
        <v>4</v>
      </c>
      <c r="Y634" s="149" t="s">
        <v>31</v>
      </c>
      <c r="Z634" s="146" t="s">
        <v>31</v>
      </c>
      <c r="AA634" s="4" t="str">
        <f>Table2[[#This Row],[field_fate]]</f>
        <v>D</v>
      </c>
      <c r="AB634" s="4" t="str">
        <f>Table2[[#This Row],[field_fate2]]</f>
        <v>D</v>
      </c>
      <c r="AC634" s="4" t="str">
        <f>Table2[[#This Row],[field_fate3]]</f>
        <v>D</v>
      </c>
      <c r="AD634" s="4" t="str">
        <f>Table2[[#This Row],[field_fate4]]</f>
        <v>D</v>
      </c>
      <c r="AE634" s="4" t="str">
        <f>Table2[[#This Row],[field_fate5]]</f>
        <v>D</v>
      </c>
      <c r="AF634" s="4" t="str">
        <f>Table2[[#This Row],[field_fate5]]</f>
        <v>D</v>
      </c>
      <c r="AG634" s="4" t="str">
        <f>Table2[[#This Row],[field_fate5]]</f>
        <v>D</v>
      </c>
      <c r="AH634" s="4" t="str">
        <f>Table2[[#This Row],[field_fate2]]</f>
        <v>D</v>
      </c>
      <c r="AI634" s="4" t="str">
        <f>Table2[[#This Row],[field_fate8]]</f>
        <v>D</v>
      </c>
      <c r="AJ634" s="4" t="str">
        <f>Table2[[#This Row],[field_fate10]]</f>
        <v>D</v>
      </c>
      <c r="AK634" s="4" t="b">
        <f>Table2[[#This Row],[field_fate_feb]]=Table2[[#This Row],[field_fate10]]</f>
        <v>1</v>
      </c>
      <c r="AL634" s="43" t="s">
        <v>24</v>
      </c>
      <c r="AM634" s="43" t="b">
        <f>Table2[[#This Row],[cam_fate2]]="NA"</f>
        <v>1</v>
      </c>
      <c r="AN634" s="19" t="str">
        <f>Table2[[#This Row],[cam_fate1]]</f>
        <v>NA</v>
      </c>
      <c r="AO634" s="2" t="s">
        <v>31</v>
      </c>
      <c r="AP634" s="5" t="str">
        <f>Table2[[#This Row],[final_fate1]]</f>
        <v>D</v>
      </c>
      <c r="AQ634" s="6">
        <v>13</v>
      </c>
      <c r="AR634" s="7">
        <v>13</v>
      </c>
      <c r="AS634" s="7">
        <f>Table2[[#This Row],[final_obs_date]]-Table2[[#This Row],[init_date]]</f>
        <v>13</v>
      </c>
      <c r="AT634" s="7">
        <f>(Table2[[#This Row],[final_obs_date2]]-Table2[[#This Row],[estHD]])+16</f>
        <v>10</v>
      </c>
      <c r="AU634" s="38">
        <v>4</v>
      </c>
      <c r="AV634" s="33">
        <v>4</v>
      </c>
      <c r="AW634" s="33">
        <f>Table2[[#This Row],[final_obs_date2]]-Table2[[#This Row],[pen_obs_date]]</f>
        <v>35</v>
      </c>
      <c r="AX634" s="67">
        <v>35</v>
      </c>
      <c r="AY634" s="6">
        <f>Table2[[#This Row],[final_obs_date]]</f>
        <v>35</v>
      </c>
      <c r="AZ634" s="6"/>
      <c r="BA634" s="91" t="s">
        <v>47</v>
      </c>
      <c r="BB634" s="6" t="b">
        <f>Table2[[#This Row],[final_obs_date]]&lt;(Table2[[#This Row],[estHD]]-2)</f>
        <v>1</v>
      </c>
      <c r="BC634" s="24">
        <f>IF(Table2[[#This Row],[field_fate]]="H",1,0)</f>
        <v>0</v>
      </c>
      <c r="BD634" s="16">
        <f>IF(Table2[[#This Row],[cam_fate2]]="H",1,0)</f>
        <v>0</v>
      </c>
      <c r="BE634" s="6" t="b">
        <f>NOT(Table2[[#This Row],[HF_C]]=Table2[[#This Row],[HF]])</f>
        <v>0</v>
      </c>
      <c r="BF634" s="6" t="b">
        <f>NOT(Table2[[#This Row],[cam_fate2]]=Table2[[#This Row],[field_fate3]])</f>
        <v>1</v>
      </c>
      <c r="BG634" s="6" t="b">
        <f>OR(Table2[[#This Row],[field_fate3]]="U",Table2[[#This Row],[field_fate3]]="U-H")</f>
        <v>0</v>
      </c>
      <c r="BH634" s="8">
        <v>26</v>
      </c>
      <c r="BI634" s="8">
        <v>31</v>
      </c>
      <c r="BJ634" s="14">
        <f>IF(ISTEXT(Table2[[#This Row],[j.cam]]),Table2[[#This Row],[j]],Table2[[#This Row],[j.cam]])</f>
        <v>31</v>
      </c>
      <c r="BK634" s="9">
        <v>35</v>
      </c>
      <c r="BL634" s="15">
        <f>IF(ISTEXT(Table2[[#This Row],[k.cam]]), Table2[[#This Row],[k]], Table2[[#This Row],[k.cam]])</f>
        <v>35</v>
      </c>
      <c r="BM634" s="4" t="s">
        <v>24</v>
      </c>
      <c r="BN634" s="8" t="s">
        <v>24</v>
      </c>
      <c r="BO634" s="4">
        <v>3</v>
      </c>
      <c r="BP634" s="4">
        <f>Table2[[#This Row],[final_obs_date]]-Table2[[#This Row],[i]]</f>
        <v>9</v>
      </c>
      <c r="BQ634" s="4" t="b">
        <f>Table2[[#This Row],[final_obs_date2]]&gt;Table2[[#This Row],[estHD]]+3</f>
        <v>0</v>
      </c>
      <c r="BR634" s="4" t="s">
        <v>58</v>
      </c>
      <c r="BS634" s="4" t="s">
        <v>365</v>
      </c>
      <c r="BT634" s="79" t="s">
        <v>1390</v>
      </c>
      <c r="BU634" s="26" t="s">
        <v>408</v>
      </c>
      <c r="BV634" s="79" t="s">
        <v>1470</v>
      </c>
      <c r="BW634" s="49"/>
      <c r="BX634" s="47"/>
      <c r="BY634" s="36" t="s">
        <v>24</v>
      </c>
    </row>
    <row r="635" spans="1:77" hidden="1" x14ac:dyDescent="0.35">
      <c r="A635" s="64">
        <v>30405</v>
      </c>
      <c r="B635" s="2" t="s">
        <v>122</v>
      </c>
      <c r="C635" s="46">
        <v>2021</v>
      </c>
      <c r="D635" s="3">
        <v>29.75703</v>
      </c>
      <c r="E635" s="3">
        <v>-93.114059999999995</v>
      </c>
      <c r="F635" s="3" t="s">
        <v>24</v>
      </c>
      <c r="G635" s="3" t="s">
        <v>24</v>
      </c>
      <c r="H635" s="3" t="s">
        <v>354</v>
      </c>
      <c r="I635" s="43"/>
      <c r="J635" s="55">
        <v>41</v>
      </c>
      <c r="K635" s="4">
        <v>46</v>
      </c>
      <c r="L635" s="22">
        <f>IF(ISNUMBER(Table2[[#This Row],[estHD]]),ABS(Table2[[#This Row],[HD]]-Table2[[#This Row],[estHD]]),"NA")</f>
        <v>5</v>
      </c>
      <c r="M635" s="4" t="b">
        <f>Table2[[#This Row],[HD]]=Table2[[#This Row],[estHD]]</f>
        <v>0</v>
      </c>
      <c r="N635" s="4" t="str">
        <f>IF(ISNUMBER([1]!Table2[[#This Row],[hatch_date]]),[1]!Table2[[#This Row],[hatch_date]]-19,"NA")</f>
        <v>NA</v>
      </c>
      <c r="O635" s="31">
        <v>27</v>
      </c>
      <c r="P635" s="23">
        <f>IF(ISNUMBER(Table2[[#This Row],[nest_age1]]),ABS(Table2[[#This Row],[nest_age1]]-Table2[[#This Row],[nest_age_feb]]),"NA")</f>
        <v>5</v>
      </c>
      <c r="Q635" s="25">
        <f>IF(ISNUMBER(Table2[[#This Row],[final_obs_int2]]),ABS(Table2[[#This Row],[final_obs_int2]]-Table2[[#This Row],[final_obs_int_feb]]), "NA")</f>
        <v>12</v>
      </c>
      <c r="R635" s="25"/>
      <c r="S635" s="57" t="s">
        <v>88</v>
      </c>
      <c r="T635" s="57" t="str">
        <f>Table2[[#This Row],[camera_old]]</f>
        <v>N</v>
      </c>
      <c r="U635" s="24"/>
      <c r="V635" s="16" t="s">
        <v>24</v>
      </c>
      <c r="W635" s="16">
        <v>24</v>
      </c>
      <c r="X635" s="145">
        <v>3</v>
      </c>
      <c r="Y635" s="147" t="s">
        <v>37</v>
      </c>
      <c r="Z635" s="146" t="s">
        <v>37</v>
      </c>
      <c r="AA635" s="4" t="str">
        <f>Table2[[#This Row],[field_fate]]</f>
        <v>H</v>
      </c>
      <c r="AB635" s="4" t="str">
        <f>Table2[[#This Row],[field_fate2]]</f>
        <v>H</v>
      </c>
      <c r="AC635" s="4" t="str">
        <f>Table2[[#This Row],[field_fate3]]</f>
        <v>H</v>
      </c>
      <c r="AD635" s="4" t="str">
        <f>Table2[[#This Row],[field_fate4]]</f>
        <v>H</v>
      </c>
      <c r="AE635" s="4" t="str">
        <f>Table2[[#This Row],[field_fate5]]</f>
        <v>H</v>
      </c>
      <c r="AF635" s="4" t="str">
        <f>Table2[[#This Row],[field_fate5]]</f>
        <v>H</v>
      </c>
      <c r="AG635" s="4" t="str">
        <f>Table2[[#This Row],[field_fate5]]</f>
        <v>H</v>
      </c>
      <c r="AH635" s="4" t="str">
        <f>Table2[[#This Row],[field_fate2]]</f>
        <v>H</v>
      </c>
      <c r="AI635" s="4" t="str">
        <f>Table2[[#This Row],[field_fate8]]</f>
        <v>H</v>
      </c>
      <c r="AJ635" s="4" t="str">
        <f>Table2[[#This Row],[field_fate10]]</f>
        <v>H</v>
      </c>
      <c r="AK635" s="4" t="b">
        <f>Table2[[#This Row],[field_fate_feb]]=Table2[[#This Row],[field_fate10]]</f>
        <v>1</v>
      </c>
      <c r="AL635" s="43" t="s">
        <v>24</v>
      </c>
      <c r="AM635" s="43" t="b">
        <f>Table2[[#This Row],[cam_fate2]]="NA"</f>
        <v>1</v>
      </c>
      <c r="AN635" s="19" t="str">
        <f>Table2[[#This Row],[cam_fate1]]</f>
        <v>NA</v>
      </c>
      <c r="AO635" s="2" t="s">
        <v>37</v>
      </c>
      <c r="AP635" s="5" t="str">
        <f>Table2[[#This Row],[final_fate1]]</f>
        <v>H</v>
      </c>
      <c r="AQ635" s="6">
        <v>19</v>
      </c>
      <c r="AR635" s="7">
        <v>24</v>
      </c>
      <c r="AS635" s="7">
        <f>Table2[[#This Row],[final_obs_date]]-Table2[[#This Row],[init_date]]</f>
        <v>19</v>
      </c>
      <c r="AT635" s="7">
        <f>(Table2[[#This Row],[final_obs_date2]]-Table2[[#This Row],[estHD]])+16</f>
        <v>21</v>
      </c>
      <c r="AU635" s="40">
        <v>15</v>
      </c>
      <c r="AV635" s="33">
        <v>15</v>
      </c>
      <c r="AW635" s="33">
        <f>Table2[[#This Row],[final_obs_date2]]-Table2[[#This Row],[pen_obs_date]]</f>
        <v>46</v>
      </c>
      <c r="AX635" s="67">
        <v>46</v>
      </c>
      <c r="AY635" s="6">
        <f>Table2[[#This Row],[final_obs_date]]</f>
        <v>46</v>
      </c>
      <c r="AZ635" s="6"/>
      <c r="BA635" s="91" t="s">
        <v>47</v>
      </c>
      <c r="BB635" s="6" t="b">
        <f>Table2[[#This Row],[final_obs_date]]&lt;(Table2[[#This Row],[estHD]]-2)</f>
        <v>0</v>
      </c>
      <c r="BC635" s="24">
        <f>IF(Table2[[#This Row],[field_fate]]="H",1,0)</f>
        <v>1</v>
      </c>
      <c r="BD635" s="16">
        <f>IF(Table2[[#This Row],[cam_fate2]]="H",1,0)</f>
        <v>0</v>
      </c>
      <c r="BE635" s="6" t="b">
        <f>NOT(Table2[[#This Row],[HF_C]]=Table2[[#This Row],[HF]])</f>
        <v>1</v>
      </c>
      <c r="BF635" s="6" t="b">
        <f>NOT(Table2[[#This Row],[cam_fate2]]=Table2[[#This Row],[field_fate3]])</f>
        <v>1</v>
      </c>
      <c r="BG635" s="6" t="b">
        <f>OR(Table2[[#This Row],[field_fate3]]="U",Table2[[#This Row],[field_fate3]]="U-H")</f>
        <v>0</v>
      </c>
      <c r="BH635" s="8">
        <v>26</v>
      </c>
      <c r="BI635" s="8">
        <v>46</v>
      </c>
      <c r="BJ635" s="14">
        <f>IF(ISTEXT(Table2[[#This Row],[j.cam]]),Table2[[#This Row],[j]],Table2[[#This Row],[j.cam]])</f>
        <v>46</v>
      </c>
      <c r="BK635" s="9">
        <v>46</v>
      </c>
      <c r="BL635" s="15">
        <f>IF(ISTEXT(Table2[[#This Row],[k.cam]]), Table2[[#This Row],[k]], Table2[[#This Row],[k.cam]])</f>
        <v>46</v>
      </c>
      <c r="BM635" s="4" t="s">
        <v>24</v>
      </c>
      <c r="BN635" s="8" t="s">
        <v>24</v>
      </c>
      <c r="BO635" s="4">
        <v>4</v>
      </c>
      <c r="BP635" s="4">
        <f>Table2[[#This Row],[final_obs_date]]-Table2[[#This Row],[i]]</f>
        <v>20</v>
      </c>
      <c r="BQ635" s="4" t="b">
        <f>Table2[[#This Row],[final_obs_date2]]&gt;Table2[[#This Row],[estHD]]+3</f>
        <v>1</v>
      </c>
      <c r="BR635" s="11" t="s">
        <v>378</v>
      </c>
      <c r="BS635" s="4" t="s">
        <v>127</v>
      </c>
      <c r="BT635" s="79" t="s">
        <v>1391</v>
      </c>
      <c r="BU635" s="26" t="s">
        <v>409</v>
      </c>
      <c r="BV635" s="79" t="s">
        <v>1680</v>
      </c>
      <c r="BW635" s="49"/>
      <c r="BX635" s="47"/>
      <c r="BY635" s="36" t="s">
        <v>24</v>
      </c>
    </row>
    <row r="636" spans="1:77" hidden="1" x14ac:dyDescent="0.35">
      <c r="A636" s="64">
        <v>30406</v>
      </c>
      <c r="B636" s="2" t="s">
        <v>122</v>
      </c>
      <c r="C636" s="46">
        <v>2021</v>
      </c>
      <c r="D636" s="3">
        <v>29.75714</v>
      </c>
      <c r="E636" s="3">
        <v>-93.111710000000002</v>
      </c>
      <c r="F636" s="3" t="s">
        <v>24</v>
      </c>
      <c r="G636" s="3" t="s">
        <v>24</v>
      </c>
      <c r="H636" s="3" t="s">
        <v>354</v>
      </c>
      <c r="I636" s="43"/>
      <c r="J636" s="55">
        <v>50</v>
      </c>
      <c r="K636" s="4">
        <v>50</v>
      </c>
      <c r="L636" s="22">
        <f>IF(ISNUMBER(Table2[[#This Row],[estHD]]),ABS(Table2[[#This Row],[HD]]-Table2[[#This Row],[estHD]]),"NA")</f>
        <v>0</v>
      </c>
      <c r="M636" s="4" t="b">
        <f>Table2[[#This Row],[HD]]=Table2[[#This Row],[estHD]]</f>
        <v>1</v>
      </c>
      <c r="N636" s="4" t="str">
        <f>IF(ISNUMBER([1]!Table2[[#This Row],[hatch_date]]),[1]!Table2[[#This Row],[hatch_date]]-19,"NA")</f>
        <v>NA</v>
      </c>
      <c r="O636" s="31">
        <v>31</v>
      </c>
      <c r="P636" s="23">
        <f>IF(ISNUMBER(Table2[[#This Row],[nest_age1]]),ABS(Table2[[#This Row],[nest_age1]]-Table2[[#This Row],[nest_age_feb]]),"NA")</f>
        <v>0</v>
      </c>
      <c r="Q636" s="24">
        <f>IF(ISNUMBER(Table2[[#This Row],[final_obs_int2]]),ABS(Table2[[#This Row],[final_obs_int2]]-Table2[[#This Row],[final_obs_int_feb]]), "NA")</f>
        <v>0</v>
      </c>
      <c r="R636" s="24"/>
      <c r="S636" s="57" t="s">
        <v>88</v>
      </c>
      <c r="T636" s="57" t="str">
        <f>Table2[[#This Row],[camera_old]]</f>
        <v>N</v>
      </c>
      <c r="U636" s="24"/>
      <c r="V636" s="16" t="s">
        <v>24</v>
      </c>
      <c r="W636" s="16">
        <v>8</v>
      </c>
      <c r="X636" s="145">
        <v>4</v>
      </c>
      <c r="Y636" s="147" t="s">
        <v>31</v>
      </c>
      <c r="Z636" s="146" t="s">
        <v>31</v>
      </c>
      <c r="AA636" s="4" t="str">
        <f>Table2[[#This Row],[field_fate]]</f>
        <v>D</v>
      </c>
      <c r="AB636" s="4" t="str">
        <f>Table2[[#This Row],[field_fate2]]</f>
        <v>D</v>
      </c>
      <c r="AC636" s="4" t="str">
        <f>Table2[[#This Row],[field_fate3]]</f>
        <v>D</v>
      </c>
      <c r="AD636" s="4" t="str">
        <f>Table2[[#This Row],[field_fate4]]</f>
        <v>D</v>
      </c>
      <c r="AE636" s="4" t="str">
        <f>Table2[[#This Row],[field_fate5]]</f>
        <v>D</v>
      </c>
      <c r="AF636" s="4" t="str">
        <f>Table2[[#This Row],[field_fate5]]</f>
        <v>D</v>
      </c>
      <c r="AG636" s="4" t="str">
        <f>Table2[[#This Row],[field_fate5]]</f>
        <v>D</v>
      </c>
      <c r="AH636" s="4" t="str">
        <f>Table2[[#This Row],[field_fate2]]</f>
        <v>D</v>
      </c>
      <c r="AI636" s="4" t="str">
        <f>Table2[[#This Row],[field_fate8]]</f>
        <v>D</v>
      </c>
      <c r="AJ636" s="4" t="str">
        <f>Table2[[#This Row],[field_fate10]]</f>
        <v>D</v>
      </c>
      <c r="AK636" s="4" t="b">
        <f>Table2[[#This Row],[field_fate_feb]]=Table2[[#This Row],[field_fate10]]</f>
        <v>1</v>
      </c>
      <c r="AL636" s="43" t="s">
        <v>24</v>
      </c>
      <c r="AM636" s="43" t="b">
        <f>Table2[[#This Row],[cam_fate2]]="NA"</f>
        <v>1</v>
      </c>
      <c r="AN636" s="19" t="str">
        <f>Table2[[#This Row],[cam_fate1]]</f>
        <v>NA</v>
      </c>
      <c r="AO636" s="2" t="s">
        <v>31</v>
      </c>
      <c r="AP636" s="5" t="str">
        <f>Table2[[#This Row],[final_fate1]]</f>
        <v>D</v>
      </c>
      <c r="AQ636" s="6">
        <v>8</v>
      </c>
      <c r="AR636" s="7">
        <v>8</v>
      </c>
      <c r="AS636" s="7">
        <f>Table2[[#This Row],[final_obs_date]]-Table2[[#This Row],[init_date]]</f>
        <v>8</v>
      </c>
      <c r="AT636" s="7">
        <f>(Table2[[#This Row],[final_obs_date2]]-Table2[[#This Row],[estHD]])+16</f>
        <v>5</v>
      </c>
      <c r="AU636" s="38">
        <v>4</v>
      </c>
      <c r="AV636" s="33">
        <v>4</v>
      </c>
      <c r="AW636" s="33">
        <f>Table2[[#This Row],[final_obs_date2]]-Table2[[#This Row],[pen_obs_date]]</f>
        <v>39</v>
      </c>
      <c r="AX636" s="67">
        <v>39</v>
      </c>
      <c r="AY636" s="6">
        <f>Table2[[#This Row],[final_obs_date]]</f>
        <v>39</v>
      </c>
      <c r="AZ636" s="6"/>
      <c r="BA636" s="91" t="s">
        <v>47</v>
      </c>
      <c r="BB636" s="6" t="b">
        <f>Table2[[#This Row],[final_obs_date]]&lt;(Table2[[#This Row],[estHD]]-2)</f>
        <v>1</v>
      </c>
      <c r="BC636" s="24">
        <f>IF(Table2[[#This Row],[field_fate]]="H",1,0)</f>
        <v>0</v>
      </c>
      <c r="BD636" s="16">
        <f>IF(Table2[[#This Row],[cam_fate2]]="H",1,0)</f>
        <v>0</v>
      </c>
      <c r="BE636" s="6" t="b">
        <f>NOT(Table2[[#This Row],[HF_C]]=Table2[[#This Row],[HF]])</f>
        <v>0</v>
      </c>
      <c r="BF636" s="6" t="b">
        <f>NOT(Table2[[#This Row],[cam_fate2]]=Table2[[#This Row],[field_fate3]])</f>
        <v>1</v>
      </c>
      <c r="BG636" s="6" t="b">
        <f>OR(Table2[[#This Row],[field_fate3]]="U",Table2[[#This Row],[field_fate3]]="U-H")</f>
        <v>0</v>
      </c>
      <c r="BH636" s="8">
        <v>35</v>
      </c>
      <c r="BI636" s="8">
        <v>35</v>
      </c>
      <c r="BJ636" s="14">
        <f>IF(ISTEXT(Table2[[#This Row],[j.cam]]),Table2[[#This Row],[j]],Table2[[#This Row],[j.cam]])</f>
        <v>35</v>
      </c>
      <c r="BK636" s="9">
        <v>39</v>
      </c>
      <c r="BL636" s="15">
        <f>IF(ISTEXT(Table2[[#This Row],[k.cam]]), Table2[[#This Row],[k]], Table2[[#This Row],[k.cam]])</f>
        <v>39</v>
      </c>
      <c r="BM636" s="4" t="s">
        <v>24</v>
      </c>
      <c r="BN636" s="8" t="s">
        <v>24</v>
      </c>
      <c r="BO636" s="4">
        <v>2</v>
      </c>
      <c r="BP636" s="4">
        <f>Table2[[#This Row],[final_obs_date]]-Table2[[#This Row],[i]]</f>
        <v>4</v>
      </c>
      <c r="BQ636" s="4" t="b">
        <f>Table2[[#This Row],[final_obs_date2]]&gt;Table2[[#This Row],[estHD]]+3</f>
        <v>0</v>
      </c>
      <c r="BR636" s="4" t="s">
        <v>27</v>
      </c>
      <c r="BS636" s="4" t="s">
        <v>45</v>
      </c>
      <c r="BT636" s="79" t="s">
        <v>1325</v>
      </c>
      <c r="BU636" s="26" t="s">
        <v>183</v>
      </c>
      <c r="BV636" s="79" t="s">
        <v>1429</v>
      </c>
      <c r="BW636" s="49"/>
      <c r="BX636" s="47"/>
      <c r="BY636" s="36" t="s">
        <v>24</v>
      </c>
    </row>
    <row r="637" spans="1:77" hidden="1" x14ac:dyDescent="0.35">
      <c r="A637" s="64">
        <v>30420</v>
      </c>
      <c r="B637" s="2" t="s">
        <v>35</v>
      </c>
      <c r="C637" s="46">
        <v>2021</v>
      </c>
      <c r="D637" s="3">
        <v>29.76408</v>
      </c>
      <c r="E637" s="3">
        <v>-93.145740000000004</v>
      </c>
      <c r="F637" s="3">
        <v>30</v>
      </c>
      <c r="G637" s="3">
        <v>40</v>
      </c>
      <c r="H637" s="3" t="s">
        <v>26</v>
      </c>
      <c r="I637" s="43"/>
      <c r="J637" s="116">
        <v>75</v>
      </c>
      <c r="K637" s="4">
        <v>75</v>
      </c>
      <c r="L637" s="22">
        <f>IF(ISNUMBER(Table2[[#This Row],[estHD]]),ABS(Table2[[#This Row],[HD]]-Table2[[#This Row],[estHD]]),"NA")</f>
        <v>0</v>
      </c>
      <c r="M637" s="4" t="b">
        <f>Table2[[#This Row],[HD]]=Table2[[#This Row],[estHD]]</f>
        <v>1</v>
      </c>
      <c r="N637" s="4" t="str">
        <f>IF(ISNUMBER([1]!Table2[[#This Row],[hatch_date]]),[1]!Table2[[#This Row],[hatch_date]]-19,"NA")</f>
        <v>NA</v>
      </c>
      <c r="O637" s="31">
        <v>56</v>
      </c>
      <c r="P637" s="23">
        <f>IF(ISNUMBER(Table2[[#This Row],[nest_age1]]),ABS(Table2[[#This Row],[nest_age1]]-Table2[[#This Row],[nest_age_feb]]),"NA")</f>
        <v>0</v>
      </c>
      <c r="Q637" s="24">
        <f>IF(ISNUMBER(Table2[[#This Row],[final_obs_int2]]),ABS(Table2[[#This Row],[final_obs_int2]]-Table2[[#This Row],[final_obs_int_feb]]), "NA")</f>
        <v>0</v>
      </c>
      <c r="R637" s="24"/>
      <c r="S637" s="20" t="s">
        <v>75</v>
      </c>
      <c r="T637" s="20" t="str">
        <f>Table2[[#This Row],[camera_old]]</f>
        <v>Y</v>
      </c>
      <c r="U637" s="22" t="s">
        <v>88</v>
      </c>
      <c r="V637" s="16" t="s">
        <v>48</v>
      </c>
      <c r="W637" s="16">
        <v>18</v>
      </c>
      <c r="X637" s="145">
        <v>5</v>
      </c>
      <c r="Y637" s="148" t="s">
        <v>90</v>
      </c>
      <c r="Z637" s="146" t="s">
        <v>90</v>
      </c>
      <c r="AA637" s="4" t="str">
        <f>Table2[[#This Row],[field_fate]]</f>
        <v>U</v>
      </c>
      <c r="AB637" s="65" t="str">
        <f>Table2[[#This Row],[field_fate2]]</f>
        <v>U</v>
      </c>
      <c r="AC637" s="106" t="str">
        <f>Table2[[#This Row],[field_fate3]]</f>
        <v>U</v>
      </c>
      <c r="AD637" s="140" t="str">
        <f>Table2[[#This Row],[field_fate4]]</f>
        <v>U</v>
      </c>
      <c r="AE637" s="134" t="str">
        <f>Table2[[#This Row],[field_fate5]]</f>
        <v>U</v>
      </c>
      <c r="AF637" s="93" t="str">
        <f>Table2[[#This Row],[field_fate5]]</f>
        <v>U</v>
      </c>
      <c r="AG637" s="93" t="str">
        <f>Table2[[#This Row],[field_fate5]]</f>
        <v>U</v>
      </c>
      <c r="AH637" s="93" t="str">
        <f>Table2[[#This Row],[field_fate2]]</f>
        <v>U</v>
      </c>
      <c r="AI637" s="93" t="str">
        <f>Table2[[#This Row],[field_fate8]]</f>
        <v>U</v>
      </c>
      <c r="AJ637" s="93" t="str">
        <f>Table2[[#This Row],[field_fate10]]</f>
        <v>U</v>
      </c>
      <c r="AK637" s="93" t="b">
        <f>Table2[[#This Row],[field_fate_feb]]=Table2[[#This Row],[field_fate10]]</f>
        <v>1</v>
      </c>
      <c r="AL637" s="43" t="s">
        <v>48</v>
      </c>
      <c r="AM637" s="160" t="b">
        <f>Table2[[#This Row],[cam_fate2]]="NA"</f>
        <v>0</v>
      </c>
      <c r="AN637" s="19" t="str">
        <f>Table2[[#This Row],[cam_fate1]]</f>
        <v>F</v>
      </c>
      <c r="AO637" s="2" t="s">
        <v>48</v>
      </c>
      <c r="AP637" s="5" t="str">
        <f>Table2[[#This Row],[final_fate1]]</f>
        <v>F</v>
      </c>
      <c r="AQ637" s="6">
        <v>18</v>
      </c>
      <c r="AR637" s="72">
        <v>18</v>
      </c>
      <c r="AS637" s="72">
        <f>Table2[[#This Row],[final_obs_date]]-Table2[[#This Row],[init_date]]</f>
        <v>18</v>
      </c>
      <c r="AT637" s="155">
        <f>(Table2[[#This Row],[final_obs_date2]]-Table2[[#This Row],[estHD]])+19</f>
        <v>18</v>
      </c>
      <c r="AU637" s="38">
        <v>5</v>
      </c>
      <c r="AV637" s="33">
        <v>5</v>
      </c>
      <c r="AW637" s="33">
        <f>Table2[[#This Row],[final_obs_date2]]-Table2[[#This Row],[pen_obs_date]]</f>
        <v>5</v>
      </c>
      <c r="AX637" s="67">
        <v>74</v>
      </c>
      <c r="AY637" s="157">
        <f>Table2[[#This Row],[final_obs_date]]</f>
        <v>74</v>
      </c>
      <c r="AZ637" s="6">
        <v>69</v>
      </c>
      <c r="BA637" s="92" t="s">
        <v>47</v>
      </c>
      <c r="BB637" s="6" t="b">
        <f>Table2[[#This Row],[final_obs_date]]&lt;(Table2[[#This Row],[estHD]]-2)</f>
        <v>0</v>
      </c>
      <c r="BC637" s="32">
        <v>7</v>
      </c>
      <c r="BD637" s="16">
        <f>IF(Table2[[#This Row],[cam_fate2]]="H",1,0)</f>
        <v>0</v>
      </c>
      <c r="BE637" s="6" t="b">
        <f>NOT(Table2[[#This Row],[HF_C]]=Table2[[#This Row],[HF]])</f>
        <v>1</v>
      </c>
      <c r="BF637" s="38" t="b">
        <f>NOT(Table2[[#This Row],[cam_fate2]]=Table2[[#This Row],[field_fate3]])</f>
        <v>1</v>
      </c>
      <c r="BG637" s="38" t="b">
        <f>OR(Table2[[#This Row],[field_fate3]]="U",Table2[[#This Row],[field_fate3]]="U-H")</f>
        <v>1</v>
      </c>
      <c r="BH637" s="8">
        <v>58</v>
      </c>
      <c r="BI637" s="8">
        <v>69</v>
      </c>
      <c r="BJ637" s="14">
        <f>IF(ISTEXT(Table2[[#This Row],[j.cam]]),Table2[[#This Row],[j]],Table2[[#This Row],[j.cam]])</f>
        <v>69</v>
      </c>
      <c r="BK637" s="8">
        <v>74</v>
      </c>
      <c r="BL637" s="14">
        <f>IF(ISTEXT(Table2[[#This Row],[k.cam]]), Table2[[#This Row],[k]], Table2[[#This Row],[k.cam]])</f>
        <v>74</v>
      </c>
      <c r="BM637" s="4" t="s">
        <v>24</v>
      </c>
      <c r="BN637" s="8" t="s">
        <v>24</v>
      </c>
      <c r="BO637" s="4">
        <v>5</v>
      </c>
      <c r="BP637" s="4">
        <f>Table2[[#This Row],[final_obs_date]]-Table2[[#This Row],[i]]</f>
        <v>16</v>
      </c>
      <c r="BQ637" s="4" t="b">
        <f>Table2[[#This Row],[final_obs_date2]]&gt;Table2[[#This Row],[estHD]]+3</f>
        <v>0</v>
      </c>
      <c r="BR637" s="3" t="s">
        <v>33</v>
      </c>
      <c r="BS637" s="3" t="s">
        <v>45</v>
      </c>
      <c r="BT637" s="125" t="s">
        <v>1392</v>
      </c>
      <c r="BU637" s="4" t="s">
        <v>105</v>
      </c>
      <c r="BV637" s="79" t="s">
        <v>1681</v>
      </c>
      <c r="BW637" s="69"/>
      <c r="BX637" s="36" t="s">
        <v>945</v>
      </c>
      <c r="BY637" s="47" t="s">
        <v>24</v>
      </c>
    </row>
    <row r="638" spans="1:77" x14ac:dyDescent="0.35">
      <c r="A638" s="64">
        <v>30421</v>
      </c>
      <c r="B638" s="2" t="s">
        <v>122</v>
      </c>
      <c r="C638" s="46">
        <v>2021</v>
      </c>
      <c r="D638" s="3">
        <v>29.75666</v>
      </c>
      <c r="E638" s="3">
        <v>-93.109620000000007</v>
      </c>
      <c r="F638" s="3">
        <v>20</v>
      </c>
      <c r="G638" s="3">
        <v>30</v>
      </c>
      <c r="H638" s="3" t="s">
        <v>462</v>
      </c>
      <c r="I638" s="43" t="s">
        <v>997</v>
      </c>
      <c r="J638" s="116">
        <v>74</v>
      </c>
      <c r="K638" s="4">
        <v>74</v>
      </c>
      <c r="L638" s="22">
        <f>IF(ISNUMBER(Table2[[#This Row],[estHD]]),ABS(Table2[[#This Row],[HD]]-Table2[[#This Row],[estHD]]),"NA")</f>
        <v>0</v>
      </c>
      <c r="M638" s="4" t="b">
        <f>Table2[[#This Row],[HD]]=Table2[[#This Row],[estHD]]</f>
        <v>1</v>
      </c>
      <c r="N638" s="4" t="str">
        <f>IF(ISNUMBER([1]!Table2[[#This Row],[hatch_date]]), [1]!Table2[[#This Row],[hatch_date]]-16, "NA")</f>
        <v>NA</v>
      </c>
      <c r="O638" s="31">
        <v>58</v>
      </c>
      <c r="P638" s="23">
        <f>IF(ISNUMBER(Table2[[#This Row],[nest_age1]]),ABS(Table2[[#This Row],[nest_age1]]-Table2[[#This Row],[nest_age_feb]]),"NA")</f>
        <v>0</v>
      </c>
      <c r="Q638" s="24">
        <f>IF(ISNUMBER(Table2[[#This Row],[final_obs_int2]]),ABS(Table2[[#This Row],[final_obs_int2]]-Table2[[#This Row],[final_obs_int_feb]]), "NA")</f>
        <v>0</v>
      </c>
      <c r="R638" s="24"/>
      <c r="S638" s="20" t="s">
        <v>75</v>
      </c>
      <c r="T638" s="20" t="str">
        <f>Table2[[#This Row],[camera_old]]</f>
        <v>Y</v>
      </c>
      <c r="U638" s="22" t="s">
        <v>88</v>
      </c>
      <c r="V638" s="16" t="s">
        <v>31</v>
      </c>
      <c r="W638" s="16">
        <v>19</v>
      </c>
      <c r="X638" s="145">
        <v>5</v>
      </c>
      <c r="Y638" s="153" t="s">
        <v>104</v>
      </c>
      <c r="Z638" s="146" t="s">
        <v>104</v>
      </c>
      <c r="AA638" s="5" t="s">
        <v>37</v>
      </c>
      <c r="AB638" s="2" t="str">
        <f>Table2[[#This Row],[field_fate]]</f>
        <v>U-H</v>
      </c>
      <c r="AC638" s="127" t="str">
        <f>Table2[[#This Row],[field_fate3]]</f>
        <v>U-H</v>
      </c>
      <c r="AD638" s="141" t="s">
        <v>90</v>
      </c>
      <c r="AE638" s="114" t="s">
        <v>104</v>
      </c>
      <c r="AF638" s="94" t="str">
        <f>Table2[[#This Row],[field_fate5]]</f>
        <v>U</v>
      </c>
      <c r="AG638" s="94" t="s">
        <v>37</v>
      </c>
      <c r="AH638" s="94" t="str">
        <f>Table2[[#This Row],[field_fate2]]</f>
        <v>H</v>
      </c>
      <c r="AI638" s="163" t="str">
        <f>Table2[[#This Row],[field_fate8]]</f>
        <v>H</v>
      </c>
      <c r="AJ638" s="94" t="s">
        <v>37</v>
      </c>
      <c r="AK638" s="94" t="b">
        <f>Table2[[#This Row],[field_fate_feb]]=Table2[[#This Row],[field_fate10]]</f>
        <v>0</v>
      </c>
      <c r="AL638" s="43" t="s">
        <v>31</v>
      </c>
      <c r="AM638" s="160" t="b">
        <f>Table2[[#This Row],[cam_fate2]]="NA"</f>
        <v>0</v>
      </c>
      <c r="AN638" s="19" t="str">
        <f>Table2[[#This Row],[cam_fate1]]</f>
        <v>D</v>
      </c>
      <c r="AO638" s="2" t="s">
        <v>31</v>
      </c>
      <c r="AP638" s="5" t="str">
        <f>Table2[[#This Row],[final_fate1]]</f>
        <v>D</v>
      </c>
      <c r="AQ638" s="6">
        <v>19</v>
      </c>
      <c r="AR638" s="72">
        <v>19</v>
      </c>
      <c r="AS638" s="155">
        <f>Table2[[#This Row],[final_obs_date]]-Table2[[#This Row],[init_date]]</f>
        <v>19</v>
      </c>
      <c r="AT638" s="155">
        <f>(Table2[[#This Row],[final_obs_date2]]-Table2[[#This Row],[estHD]])+16</f>
        <v>19</v>
      </c>
      <c r="AU638" s="38">
        <v>5</v>
      </c>
      <c r="AV638" s="33">
        <v>5</v>
      </c>
      <c r="AW638" s="33">
        <f>Table2[[#This Row],[final_obs_date2]]-Table2[[#This Row],[pen_obs_date]]</f>
        <v>5</v>
      </c>
      <c r="AX638" s="67">
        <v>77</v>
      </c>
      <c r="AY638" s="157">
        <f>Table2[[#This Row],[final_obs_date]]</f>
        <v>77</v>
      </c>
      <c r="AZ638" s="6">
        <v>72</v>
      </c>
      <c r="BA638" s="92" t="s">
        <v>60</v>
      </c>
      <c r="BB638" s="6" t="b">
        <f>Table2[[#This Row],[final_obs_date]]&lt;(Table2[[#This Row],[estHD]]-2)</f>
        <v>0</v>
      </c>
      <c r="BC638" s="32">
        <v>7</v>
      </c>
      <c r="BD638" s="16">
        <f>IF(Table2[[#This Row],[cam_fate2]]="H",1,0)</f>
        <v>0</v>
      </c>
      <c r="BE638" s="6" t="b">
        <f>NOT(Table2[[#This Row],[HF_C]]=Table2[[#This Row],[HF]])</f>
        <v>1</v>
      </c>
      <c r="BF638" s="38" t="b">
        <f>NOT(Table2[[#This Row],[cam_fate2]]=Table2[[#This Row],[field_fate3]])</f>
        <v>1</v>
      </c>
      <c r="BG638" s="38" t="b">
        <f>OR(Table2[[#This Row],[field_fate3]]="U",Table2[[#This Row],[field_fate3]]="U-H")</f>
        <v>1</v>
      </c>
      <c r="BH638" s="8">
        <v>59</v>
      </c>
      <c r="BI638" s="80">
        <v>77</v>
      </c>
      <c r="BJ638" s="81">
        <v>72</v>
      </c>
      <c r="BK638" s="8">
        <v>77</v>
      </c>
      <c r="BL638" s="14">
        <f>IF(ISTEXT(Table2[[#This Row],[k.cam]]), Table2[[#This Row],[k]], Table2[[#This Row],[k.cam]])</f>
        <v>77</v>
      </c>
      <c r="BM638" s="4" t="s">
        <v>24</v>
      </c>
      <c r="BN638" s="8" t="s">
        <v>24</v>
      </c>
      <c r="BO638" s="4">
        <v>5</v>
      </c>
      <c r="BP638" s="4">
        <f>Table2[[#This Row],[final_obs_date]]-Table2[[#This Row],[i]]</f>
        <v>18</v>
      </c>
      <c r="BQ638" s="4" t="b">
        <f>Table2[[#This Row],[final_obs_date2]]&gt;Table2[[#This Row],[estHD]]+3</f>
        <v>0</v>
      </c>
      <c r="BR638" s="3" t="s">
        <v>33</v>
      </c>
      <c r="BS638" s="3" t="s">
        <v>45</v>
      </c>
      <c r="BT638" s="125" t="s">
        <v>1393</v>
      </c>
      <c r="BU638" s="4" t="s">
        <v>410</v>
      </c>
      <c r="BV638" s="79" t="s">
        <v>1682</v>
      </c>
      <c r="BW638" s="69"/>
      <c r="BX638" s="36" t="s">
        <v>946</v>
      </c>
      <c r="BY638" s="36" t="s">
        <v>861</v>
      </c>
    </row>
    <row r="639" spans="1:77" hidden="1" x14ac:dyDescent="0.35">
      <c r="A639" s="64">
        <v>30435</v>
      </c>
      <c r="B639" s="2" t="s">
        <v>157</v>
      </c>
      <c r="C639" s="46">
        <v>2021</v>
      </c>
      <c r="D639" s="3">
        <v>29.76493</v>
      </c>
      <c r="E639" s="3">
        <v>-93.374229999999997</v>
      </c>
      <c r="F639" s="3" t="s">
        <v>24</v>
      </c>
      <c r="G639" s="3" t="s">
        <v>24</v>
      </c>
      <c r="H639" s="3" t="s">
        <v>26</v>
      </c>
      <c r="I639" s="43"/>
      <c r="J639" s="55" t="s">
        <v>24</v>
      </c>
      <c r="K639" s="4">
        <v>90</v>
      </c>
      <c r="L639" s="22" t="str">
        <f>IF(ISNUMBER(Table2[[#This Row],[estHD]]),ABS(Table2[[#This Row],[HD]]-Table2[[#This Row],[estHD]]),"NA")</f>
        <v>NA</v>
      </c>
      <c r="M639" s="4" t="b">
        <f>Table2[[#This Row],[HD]]=Table2[[#This Row],[estHD]]</f>
        <v>0</v>
      </c>
      <c r="N639" s="4" t="str">
        <f>IF(ISNUMBER([1]!Table2[[#This Row],[hatch_date]]),[1]!Table2[[#This Row],[hatch_date]]-19,"NA")</f>
        <v>NA</v>
      </c>
      <c r="O639" s="31">
        <v>71</v>
      </c>
      <c r="P639" s="23">
        <f>IF(ISNUMBER(Table2[[#This Row],[nest_age1]]),ABS(Table2[[#This Row],[nest_age1]]-Table2[[#This Row],[nest_age_feb]]),"NA")</f>
        <v>0</v>
      </c>
      <c r="Q639" s="24">
        <f>IF(ISNUMBER(Table2[[#This Row],[final_obs_int2]]),ABS(Table2[[#This Row],[final_obs_int2]]-Table2[[#This Row],[final_obs_int_feb]]), "NA")</f>
        <v>0</v>
      </c>
      <c r="R639" s="24"/>
      <c r="S639" s="57" t="s">
        <v>88</v>
      </c>
      <c r="T639" s="57" t="str">
        <f>Table2[[#This Row],[camera_old]]</f>
        <v>N</v>
      </c>
      <c r="U639" s="24"/>
      <c r="V639" s="16" t="s">
        <v>24</v>
      </c>
      <c r="W639" s="16">
        <v>19</v>
      </c>
      <c r="X639" s="145">
        <v>3</v>
      </c>
      <c r="Y639" s="149" t="s">
        <v>37</v>
      </c>
      <c r="Z639" s="146" t="s">
        <v>37</v>
      </c>
      <c r="AA639" s="4" t="str">
        <f>Table2[[#This Row],[field_fate]]</f>
        <v>H</v>
      </c>
      <c r="AB639" s="4" t="str">
        <f>Table2[[#This Row],[field_fate2]]</f>
        <v>H</v>
      </c>
      <c r="AC639" s="4" t="str">
        <f>Table2[[#This Row],[field_fate3]]</f>
        <v>H</v>
      </c>
      <c r="AD639" s="4" t="str">
        <f>Table2[[#This Row],[field_fate4]]</f>
        <v>H</v>
      </c>
      <c r="AE639" s="4" t="str">
        <f>Table2[[#This Row],[field_fate5]]</f>
        <v>H</v>
      </c>
      <c r="AF639" s="4" t="str">
        <f>Table2[[#This Row],[field_fate5]]</f>
        <v>H</v>
      </c>
      <c r="AG639" s="4" t="str">
        <f>Table2[[#This Row],[field_fate5]]</f>
        <v>H</v>
      </c>
      <c r="AH639" s="4" t="str">
        <f>Table2[[#This Row],[field_fate2]]</f>
        <v>H</v>
      </c>
      <c r="AI639" s="4" t="str">
        <f>Table2[[#This Row],[field_fate8]]</f>
        <v>H</v>
      </c>
      <c r="AJ639" s="4" t="str">
        <f>Table2[[#This Row],[field_fate10]]</f>
        <v>H</v>
      </c>
      <c r="AK639" s="4" t="b">
        <f>Table2[[#This Row],[field_fate_feb]]=Table2[[#This Row],[field_fate10]]</f>
        <v>1</v>
      </c>
      <c r="AL639" s="43" t="s">
        <v>24</v>
      </c>
      <c r="AM639" s="43" t="b">
        <f>Table2[[#This Row],[cam_fate2]]="NA"</f>
        <v>1</v>
      </c>
      <c r="AN639" s="19" t="str">
        <f>Table2[[#This Row],[cam_fate1]]</f>
        <v>NA</v>
      </c>
      <c r="AO639" s="2" t="s">
        <v>37</v>
      </c>
      <c r="AP639" s="5" t="str">
        <f>Table2[[#This Row],[final_fate1]]</f>
        <v>H</v>
      </c>
      <c r="AQ639" s="6">
        <v>19</v>
      </c>
      <c r="AR639" s="7">
        <v>19</v>
      </c>
      <c r="AS639" s="7">
        <f>Table2[[#This Row],[final_obs_date]]-Table2[[#This Row],[init_date]]</f>
        <v>19</v>
      </c>
      <c r="AT639" s="7" t="e">
        <f>(Table2[[#This Row],[final_obs_date2]]-Table2[[#This Row],[estHD]])+16</f>
        <v>#VALUE!</v>
      </c>
      <c r="AU639" s="38">
        <v>3</v>
      </c>
      <c r="AV639" s="33">
        <v>3</v>
      </c>
      <c r="AW639" s="33">
        <f>Table2[[#This Row],[final_obs_date2]]-Table2[[#This Row],[pen_obs_date]]</f>
        <v>90</v>
      </c>
      <c r="AX639" s="67">
        <v>90</v>
      </c>
      <c r="AY639" s="6">
        <f>Table2[[#This Row],[final_obs_date]]</f>
        <v>90</v>
      </c>
      <c r="AZ639" s="6"/>
      <c r="BA639" s="91" t="s">
        <v>47</v>
      </c>
      <c r="BB639" s="6" t="e">
        <f>Table2[[#This Row],[final_obs_date]]&lt;(Table2[[#This Row],[estHD]]-2)</f>
        <v>#VALUE!</v>
      </c>
      <c r="BC639" s="24">
        <f>IF(Table2[[#This Row],[field_fate]]="H",1,0)</f>
        <v>1</v>
      </c>
      <c r="BD639" s="16">
        <f>IF(Table2[[#This Row],[cam_fate2]]="H",1,0)</f>
        <v>0</v>
      </c>
      <c r="BE639" s="6" t="b">
        <f>NOT(Table2[[#This Row],[HF_C]]=Table2[[#This Row],[HF]])</f>
        <v>1</v>
      </c>
      <c r="BF639" s="6" t="b">
        <f>NOT(Table2[[#This Row],[cam_fate2]]=Table2[[#This Row],[field_fate3]])</f>
        <v>1</v>
      </c>
      <c r="BG639" s="6" t="b">
        <f>OR(Table2[[#This Row],[field_fate3]]="U",Table2[[#This Row],[field_fate3]]="U-H")</f>
        <v>0</v>
      </c>
      <c r="BH639" s="8">
        <v>87</v>
      </c>
      <c r="BI639" s="8">
        <v>90</v>
      </c>
      <c r="BJ639" s="14">
        <f>IF(ISTEXT(Table2[[#This Row],[j.cam]]),Table2[[#This Row],[j]],Table2[[#This Row],[j.cam]])</f>
        <v>90</v>
      </c>
      <c r="BK639" s="9">
        <v>90</v>
      </c>
      <c r="BL639" s="15">
        <f>IF(ISTEXT(Table2[[#This Row],[k.cam]]), Table2[[#This Row],[k]], Table2[[#This Row],[k.cam]])</f>
        <v>90</v>
      </c>
      <c r="BM639" s="4" t="s">
        <v>24</v>
      </c>
      <c r="BN639" s="8" t="s">
        <v>24</v>
      </c>
      <c r="BO639" s="4">
        <v>2</v>
      </c>
      <c r="BP639" s="4">
        <f>Table2[[#This Row],[final_obs_date]]-Table2[[#This Row],[i]]</f>
        <v>3</v>
      </c>
      <c r="BQ639" s="4" t="e">
        <f>Table2[[#This Row],[final_obs_date2]]&gt;Table2[[#This Row],[estHD]]+3</f>
        <v>#VALUE!</v>
      </c>
      <c r="BR639" s="4" t="s">
        <v>58</v>
      </c>
      <c r="BS639" s="4" t="s">
        <v>411</v>
      </c>
      <c r="BT639" s="79" t="s">
        <v>1394</v>
      </c>
      <c r="BU639" s="26" t="s">
        <v>412</v>
      </c>
      <c r="BV639" s="79" t="s">
        <v>1430</v>
      </c>
      <c r="BW639" s="49"/>
      <c r="BX639" s="47"/>
      <c r="BY639" s="36" t="s">
        <v>862</v>
      </c>
    </row>
    <row r="640" spans="1:77" hidden="1" x14ac:dyDescent="0.35">
      <c r="A640" s="64">
        <v>30436</v>
      </c>
      <c r="B640" s="2" t="s">
        <v>157</v>
      </c>
      <c r="C640" s="46">
        <v>2021</v>
      </c>
      <c r="D640" s="3">
        <v>29.764970000000002</v>
      </c>
      <c r="E640" s="3">
        <v>-93.374420000000001</v>
      </c>
      <c r="F640" s="3" t="s">
        <v>24</v>
      </c>
      <c r="G640" s="3" t="s">
        <v>24</v>
      </c>
      <c r="H640" s="3" t="s">
        <v>462</v>
      </c>
      <c r="I640" s="43"/>
      <c r="J640" s="55">
        <v>99</v>
      </c>
      <c r="K640" s="4">
        <v>104</v>
      </c>
      <c r="L640" s="22">
        <f>IF(ISNUMBER(Table2[[#This Row],[estHD]]),ABS(Table2[[#This Row],[HD]]-Table2[[#This Row],[estHD]]),"NA")</f>
        <v>5</v>
      </c>
      <c r="M640" s="4" t="b">
        <f>Table2[[#This Row],[HD]]=Table2[[#This Row],[estHD]]</f>
        <v>0</v>
      </c>
      <c r="N640" s="4" t="str">
        <f>IF(ISNUMBER([1]!Table2[[#This Row],[hatch_date]]),[1]!Table2[[#This Row],[hatch_date]]-19,"NA")</f>
        <v>NA</v>
      </c>
      <c r="O640" s="31">
        <v>85</v>
      </c>
      <c r="P640" s="23">
        <f>IF(ISNUMBER(Table2[[#This Row],[nest_age1]]),ABS(Table2[[#This Row],[nest_age1]]-Table2[[#This Row],[nest_age_feb]]),"NA")</f>
        <v>5</v>
      </c>
      <c r="Q640" s="24">
        <f>IF(ISNUMBER(Table2[[#This Row],[final_obs_int2]]),ABS(Table2[[#This Row],[final_obs_int2]]-Table2[[#This Row],[final_obs_int_feb]]), "NA")</f>
        <v>0</v>
      </c>
      <c r="R640" s="24"/>
      <c r="S640" s="57" t="s">
        <v>88</v>
      </c>
      <c r="T640" s="57" t="str">
        <f>Table2[[#This Row],[camera_old]]</f>
        <v>N</v>
      </c>
      <c r="U640" s="24"/>
      <c r="V640" s="16" t="s">
        <v>24</v>
      </c>
      <c r="W640" s="16">
        <v>24</v>
      </c>
      <c r="X640" s="145">
        <v>3</v>
      </c>
      <c r="Y640" s="147" t="s">
        <v>37</v>
      </c>
      <c r="Z640" s="146" t="s">
        <v>37</v>
      </c>
      <c r="AA640" s="4" t="str">
        <f>Table2[[#This Row],[field_fate]]</f>
        <v>H</v>
      </c>
      <c r="AB640" s="4" t="str">
        <f>Table2[[#This Row],[field_fate2]]</f>
        <v>H</v>
      </c>
      <c r="AC640" s="4" t="str">
        <f>Table2[[#This Row],[field_fate3]]</f>
        <v>H</v>
      </c>
      <c r="AD640" s="4" t="str">
        <f>Table2[[#This Row],[field_fate4]]</f>
        <v>H</v>
      </c>
      <c r="AE640" s="4" t="str">
        <f>Table2[[#This Row],[field_fate5]]</f>
        <v>H</v>
      </c>
      <c r="AF640" s="4" t="str">
        <f>Table2[[#This Row],[field_fate5]]</f>
        <v>H</v>
      </c>
      <c r="AG640" s="4" t="str">
        <f>Table2[[#This Row],[field_fate5]]</f>
        <v>H</v>
      </c>
      <c r="AH640" s="4" t="str">
        <f>Table2[[#This Row],[field_fate2]]</f>
        <v>H</v>
      </c>
      <c r="AI640" s="4" t="str">
        <f>Table2[[#This Row],[field_fate8]]</f>
        <v>H</v>
      </c>
      <c r="AJ640" s="4" t="str">
        <f>Table2[[#This Row],[field_fate10]]</f>
        <v>H</v>
      </c>
      <c r="AK640" s="4" t="b">
        <f>Table2[[#This Row],[field_fate_feb]]=Table2[[#This Row],[field_fate10]]</f>
        <v>1</v>
      </c>
      <c r="AL640" s="43" t="s">
        <v>24</v>
      </c>
      <c r="AM640" s="43" t="b">
        <f>Table2[[#This Row],[cam_fate2]]="NA"</f>
        <v>1</v>
      </c>
      <c r="AN640" s="19" t="str">
        <f>Table2[[#This Row],[cam_fate1]]</f>
        <v>NA</v>
      </c>
      <c r="AO640" s="2" t="s">
        <v>37</v>
      </c>
      <c r="AP640" s="5" t="str">
        <f>Table2[[#This Row],[final_fate1]]</f>
        <v>H</v>
      </c>
      <c r="AQ640" s="6">
        <v>19</v>
      </c>
      <c r="AR640" s="7">
        <v>24</v>
      </c>
      <c r="AS640" s="7">
        <f>Table2[[#This Row],[final_obs_date]]-Table2[[#This Row],[init_date]]</f>
        <v>19</v>
      </c>
      <c r="AT640" s="7">
        <f>(Table2[[#This Row],[final_obs_date2]]-Table2[[#This Row],[estHD]])+16</f>
        <v>21</v>
      </c>
      <c r="AU640" s="38">
        <v>3</v>
      </c>
      <c r="AV640" s="33">
        <v>3</v>
      </c>
      <c r="AW640" s="33">
        <f>Table2[[#This Row],[final_obs_date2]]-Table2[[#This Row],[pen_obs_date]]</f>
        <v>104</v>
      </c>
      <c r="AX640" s="67">
        <v>104</v>
      </c>
      <c r="AY640" s="6">
        <f>Table2[[#This Row],[final_obs_date]]</f>
        <v>104</v>
      </c>
      <c r="AZ640" s="6"/>
      <c r="BA640" s="91" t="s">
        <v>47</v>
      </c>
      <c r="BB640" s="6" t="b">
        <f>Table2[[#This Row],[final_obs_date]]&lt;(Table2[[#This Row],[estHD]]-2)</f>
        <v>0</v>
      </c>
      <c r="BC640" s="24">
        <f>IF(Table2[[#This Row],[field_fate]]="H",1,0)</f>
        <v>1</v>
      </c>
      <c r="BD640" s="16">
        <f>IF(Table2[[#This Row],[cam_fate2]]="H",1,0)</f>
        <v>0</v>
      </c>
      <c r="BE640" s="6" t="b">
        <f>NOT(Table2[[#This Row],[HF_C]]=Table2[[#This Row],[HF]])</f>
        <v>1</v>
      </c>
      <c r="BF640" s="6" t="b">
        <f>NOT(Table2[[#This Row],[cam_fate2]]=Table2[[#This Row],[field_fate3]])</f>
        <v>1</v>
      </c>
      <c r="BG640" s="6" t="b">
        <f>OR(Table2[[#This Row],[field_fate3]]="U",Table2[[#This Row],[field_fate3]]="U-H")</f>
        <v>0</v>
      </c>
      <c r="BH640" s="8">
        <v>90</v>
      </c>
      <c r="BI640" s="8">
        <v>104</v>
      </c>
      <c r="BJ640" s="14">
        <f>IF(ISTEXT(Table2[[#This Row],[j.cam]]),Table2[[#This Row],[j]],Table2[[#This Row],[j.cam]])</f>
        <v>104</v>
      </c>
      <c r="BK640" s="9">
        <v>104</v>
      </c>
      <c r="BL640" s="15">
        <f>IF(ISTEXT(Table2[[#This Row],[k.cam]]), Table2[[#This Row],[k]], Table2[[#This Row],[k.cam]])</f>
        <v>104</v>
      </c>
      <c r="BM640" s="4" t="s">
        <v>24</v>
      </c>
      <c r="BN640" s="8" t="s">
        <v>24</v>
      </c>
      <c r="BO640" s="4">
        <v>5</v>
      </c>
      <c r="BP640" s="4">
        <f>Table2[[#This Row],[final_obs_date]]-Table2[[#This Row],[i]]</f>
        <v>14</v>
      </c>
      <c r="BQ640" s="4" t="b">
        <f>Table2[[#This Row],[final_obs_date2]]&gt;Table2[[#This Row],[estHD]]+3</f>
        <v>1</v>
      </c>
      <c r="BR640" s="4" t="s">
        <v>33</v>
      </c>
      <c r="BS640" s="4" t="s">
        <v>165</v>
      </c>
      <c r="BT640" s="79" t="s">
        <v>1395</v>
      </c>
      <c r="BU640" s="26" t="s">
        <v>381</v>
      </c>
      <c r="BV640" s="79" t="s">
        <v>1683</v>
      </c>
      <c r="BW640" s="49"/>
      <c r="BX640" s="47"/>
      <c r="BY640" s="36" t="s">
        <v>24</v>
      </c>
    </row>
    <row r="641" spans="1:77" hidden="1" x14ac:dyDescent="0.35">
      <c r="A641" s="64">
        <v>30437</v>
      </c>
      <c r="B641" s="2" t="s">
        <v>157</v>
      </c>
      <c r="C641" s="46">
        <v>2021</v>
      </c>
      <c r="D641" s="3">
        <v>29.764959999999999</v>
      </c>
      <c r="E641" s="3">
        <v>-93.374470000000002</v>
      </c>
      <c r="F641" s="3" t="s">
        <v>24</v>
      </c>
      <c r="G641" s="3" t="s">
        <v>24</v>
      </c>
      <c r="H641" s="3" t="s">
        <v>462</v>
      </c>
      <c r="I641" s="43"/>
      <c r="J641" s="55">
        <v>94</v>
      </c>
      <c r="K641" s="4">
        <v>101</v>
      </c>
      <c r="L641" s="22">
        <f>IF(ISNUMBER(Table2[[#This Row],[estHD]]),ABS(Table2[[#This Row],[HD]]-Table2[[#This Row],[estHD]]),"NA")</f>
        <v>7</v>
      </c>
      <c r="M641" s="4" t="b">
        <f>Table2[[#This Row],[HD]]=Table2[[#This Row],[estHD]]</f>
        <v>0</v>
      </c>
      <c r="N641" s="4" t="str">
        <f>IF(ISNUMBER([1]!Table2[[#This Row],[hatch_date]]),[1]!Table2[[#This Row],[hatch_date]]-19,"NA")</f>
        <v>NA</v>
      </c>
      <c r="O641" s="31">
        <v>82</v>
      </c>
      <c r="P641" s="23">
        <f>IF(ISNUMBER(Table2[[#This Row],[nest_age1]]),ABS(Table2[[#This Row],[nest_age1]]-Table2[[#This Row],[nest_age_feb]]),"NA")</f>
        <v>7</v>
      </c>
      <c r="Q641" s="24">
        <f>IF(ISNUMBER(Table2[[#This Row],[final_obs_int2]]),ABS(Table2[[#This Row],[final_obs_int2]]-Table2[[#This Row],[final_obs_int_feb]]), "NA")</f>
        <v>0</v>
      </c>
      <c r="R641" s="24"/>
      <c r="S641" s="57" t="s">
        <v>88</v>
      </c>
      <c r="T641" s="57" t="str">
        <f>Table2[[#This Row],[camera_old]]</f>
        <v>N</v>
      </c>
      <c r="U641" s="24"/>
      <c r="V641" s="16" t="s">
        <v>24</v>
      </c>
      <c r="W641" s="16">
        <v>26</v>
      </c>
      <c r="X641" s="145">
        <v>5</v>
      </c>
      <c r="Y641" s="147" t="s">
        <v>37</v>
      </c>
      <c r="Z641" s="146" t="s">
        <v>37</v>
      </c>
      <c r="AA641" s="4" t="str">
        <f>Table2[[#This Row],[field_fate]]</f>
        <v>H</v>
      </c>
      <c r="AB641" s="4" t="str">
        <f>Table2[[#This Row],[field_fate2]]</f>
        <v>H</v>
      </c>
      <c r="AC641" s="4" t="str">
        <f>Table2[[#This Row],[field_fate3]]</f>
        <v>H</v>
      </c>
      <c r="AD641" s="4" t="str">
        <f>Table2[[#This Row],[field_fate4]]</f>
        <v>H</v>
      </c>
      <c r="AE641" s="4" t="str">
        <f>Table2[[#This Row],[field_fate5]]</f>
        <v>H</v>
      </c>
      <c r="AF641" s="4" t="str">
        <f>Table2[[#This Row],[field_fate5]]</f>
        <v>H</v>
      </c>
      <c r="AG641" s="4" t="str">
        <f>Table2[[#This Row],[field_fate5]]</f>
        <v>H</v>
      </c>
      <c r="AH641" s="4" t="str">
        <f>Table2[[#This Row],[field_fate2]]</f>
        <v>H</v>
      </c>
      <c r="AI641" s="4" t="str">
        <f>Table2[[#This Row],[field_fate8]]</f>
        <v>H</v>
      </c>
      <c r="AJ641" s="4" t="str">
        <f>Table2[[#This Row],[field_fate10]]</f>
        <v>H</v>
      </c>
      <c r="AK641" s="4" t="b">
        <f>Table2[[#This Row],[field_fate_feb]]=Table2[[#This Row],[field_fate10]]</f>
        <v>1</v>
      </c>
      <c r="AL641" s="43" t="s">
        <v>24</v>
      </c>
      <c r="AM641" s="43" t="b">
        <f>Table2[[#This Row],[cam_fate2]]="NA"</f>
        <v>1</v>
      </c>
      <c r="AN641" s="19" t="str">
        <f>Table2[[#This Row],[cam_fate1]]</f>
        <v>NA</v>
      </c>
      <c r="AO641" s="2" t="s">
        <v>37</v>
      </c>
      <c r="AP641" s="5" t="str">
        <f>Table2[[#This Row],[final_fate1]]</f>
        <v>H</v>
      </c>
      <c r="AQ641" s="6">
        <v>19</v>
      </c>
      <c r="AR641" s="7">
        <v>26</v>
      </c>
      <c r="AS641" s="7">
        <f>Table2[[#This Row],[final_obs_date]]-Table2[[#This Row],[init_date]]</f>
        <v>19</v>
      </c>
      <c r="AT641" s="7">
        <f>(Table2[[#This Row],[final_obs_date2]]-Table2[[#This Row],[estHD]])+16</f>
        <v>23</v>
      </c>
      <c r="AU641" s="38">
        <v>5</v>
      </c>
      <c r="AV641" s="33">
        <v>5</v>
      </c>
      <c r="AW641" s="33">
        <f>Table2[[#This Row],[final_obs_date2]]-Table2[[#This Row],[pen_obs_date]]</f>
        <v>101</v>
      </c>
      <c r="AX641" s="67">
        <v>101</v>
      </c>
      <c r="AY641" s="6">
        <f>Table2[[#This Row],[final_obs_date]]</f>
        <v>101</v>
      </c>
      <c r="AZ641" s="6"/>
      <c r="BA641" s="91" t="s">
        <v>47</v>
      </c>
      <c r="BB641" s="6" t="b">
        <f>Table2[[#This Row],[final_obs_date]]&lt;(Table2[[#This Row],[estHD]]-2)</f>
        <v>0</v>
      </c>
      <c r="BC641" s="24">
        <f>IF(Table2[[#This Row],[field_fate]]="H",1,0)</f>
        <v>1</v>
      </c>
      <c r="BD641" s="16">
        <f>IF(Table2[[#This Row],[cam_fate2]]="H",1,0)</f>
        <v>0</v>
      </c>
      <c r="BE641" s="6" t="b">
        <f>NOT(Table2[[#This Row],[HF_C]]=Table2[[#This Row],[HF]])</f>
        <v>1</v>
      </c>
      <c r="BF641" s="6" t="b">
        <f>NOT(Table2[[#This Row],[cam_fate2]]=Table2[[#This Row],[field_fate3]])</f>
        <v>1</v>
      </c>
      <c r="BG641" s="6" t="b">
        <f>OR(Table2[[#This Row],[field_fate3]]="U",Table2[[#This Row],[field_fate3]]="U-H")</f>
        <v>0</v>
      </c>
      <c r="BH641" s="8">
        <v>90</v>
      </c>
      <c r="BI641" s="8">
        <v>101</v>
      </c>
      <c r="BJ641" s="14">
        <f>IF(ISTEXT(Table2[[#This Row],[j.cam]]),Table2[[#This Row],[j]],Table2[[#This Row],[j.cam]])</f>
        <v>101</v>
      </c>
      <c r="BK641" s="9">
        <v>101</v>
      </c>
      <c r="BL641" s="15">
        <f>IF(ISTEXT(Table2[[#This Row],[k.cam]]), Table2[[#This Row],[k]], Table2[[#This Row],[k.cam]])</f>
        <v>101</v>
      </c>
      <c r="BM641" s="4" t="s">
        <v>24</v>
      </c>
      <c r="BN641" s="8" t="s">
        <v>24</v>
      </c>
      <c r="BO641" s="4">
        <v>4</v>
      </c>
      <c r="BP641" s="4">
        <f>Table2[[#This Row],[final_obs_date]]-Table2[[#This Row],[i]]</f>
        <v>11</v>
      </c>
      <c r="BQ641" s="4" t="b">
        <f>Table2[[#This Row],[final_obs_date2]]&gt;Table2[[#This Row],[estHD]]+3</f>
        <v>1</v>
      </c>
      <c r="BR641" s="4" t="s">
        <v>33</v>
      </c>
      <c r="BS641" s="4" t="s">
        <v>53</v>
      </c>
      <c r="BT641" s="79" t="s">
        <v>1396</v>
      </c>
      <c r="BU641" s="26" t="s">
        <v>318</v>
      </c>
      <c r="BV641" s="79" t="s">
        <v>1684</v>
      </c>
      <c r="BW641" s="49"/>
      <c r="BX641" s="47"/>
      <c r="BY641" s="36" t="s">
        <v>863</v>
      </c>
    </row>
    <row r="642" spans="1:77" hidden="1" x14ac:dyDescent="0.35">
      <c r="A642" s="64">
        <v>30438</v>
      </c>
      <c r="B642" s="2" t="s">
        <v>157</v>
      </c>
      <c r="C642" s="46">
        <v>2021</v>
      </c>
      <c r="D642" s="3">
        <v>29.764980000000001</v>
      </c>
      <c r="E642" s="3">
        <v>-93.374539999999996</v>
      </c>
      <c r="F642" s="3" t="s">
        <v>24</v>
      </c>
      <c r="G642" s="3" t="s">
        <v>24</v>
      </c>
      <c r="H642" s="3" t="s">
        <v>462</v>
      </c>
      <c r="I642" s="43"/>
      <c r="J642" s="55">
        <v>91</v>
      </c>
      <c r="K642" s="4">
        <v>90</v>
      </c>
      <c r="L642" s="22">
        <f>IF(ISNUMBER(Table2[[#This Row],[estHD]]),ABS(Table2[[#This Row],[HD]]-Table2[[#This Row],[estHD]]),"NA")</f>
        <v>1</v>
      </c>
      <c r="M642" s="4" t="b">
        <f>Table2[[#This Row],[HD]]=Table2[[#This Row],[estHD]]</f>
        <v>0</v>
      </c>
      <c r="N642" s="4" t="str">
        <f>IF(ISNUMBER([1]!Table2[[#This Row],[hatch_date]]),[1]!Table2[[#This Row],[hatch_date]]-19,"NA")</f>
        <v>NA</v>
      </c>
      <c r="O642" s="31">
        <v>71</v>
      </c>
      <c r="P642" s="23">
        <f>IF(ISNUMBER(Table2[[#This Row],[nest_age1]]),ABS(Table2[[#This Row],[nest_age1]]-Table2[[#This Row],[nest_age_feb]]),"NA")</f>
        <v>1</v>
      </c>
      <c r="Q642" s="24">
        <f>IF(ISNUMBER(Table2[[#This Row],[final_obs_int2]]),ABS(Table2[[#This Row],[final_obs_int2]]-Table2[[#This Row],[final_obs_int_feb]]), "NA")</f>
        <v>0</v>
      </c>
      <c r="R642" s="24"/>
      <c r="S642" s="57" t="s">
        <v>88</v>
      </c>
      <c r="T642" s="57" t="str">
        <f>Table2[[#This Row],[camera_old]]</f>
        <v>N</v>
      </c>
      <c r="U642" s="24"/>
      <c r="V642" s="16" t="s">
        <v>24</v>
      </c>
      <c r="W642" s="16">
        <v>18</v>
      </c>
      <c r="X642" s="145">
        <v>3</v>
      </c>
      <c r="Y642" s="148" t="s">
        <v>37</v>
      </c>
      <c r="Z642" s="146" t="s">
        <v>37</v>
      </c>
      <c r="AA642" s="4" t="str">
        <f>Table2[[#This Row],[field_fate]]</f>
        <v>H</v>
      </c>
      <c r="AB642" s="4" t="str">
        <f>Table2[[#This Row],[field_fate2]]</f>
        <v>H</v>
      </c>
      <c r="AC642" s="4" t="str">
        <f>Table2[[#This Row],[field_fate3]]</f>
        <v>H</v>
      </c>
      <c r="AD642" s="4" t="str">
        <f>Table2[[#This Row],[field_fate4]]</f>
        <v>H</v>
      </c>
      <c r="AE642" s="4" t="str">
        <f>Table2[[#This Row],[field_fate5]]</f>
        <v>H</v>
      </c>
      <c r="AF642" s="4" t="str">
        <f>Table2[[#This Row],[field_fate5]]</f>
        <v>H</v>
      </c>
      <c r="AG642" s="4" t="str">
        <f>Table2[[#This Row],[field_fate5]]</f>
        <v>H</v>
      </c>
      <c r="AH642" s="4" t="str">
        <f>Table2[[#This Row],[field_fate2]]</f>
        <v>H</v>
      </c>
      <c r="AI642" s="4" t="str">
        <f>Table2[[#This Row],[field_fate8]]</f>
        <v>H</v>
      </c>
      <c r="AJ642" s="4" t="str">
        <f>Table2[[#This Row],[field_fate10]]</f>
        <v>H</v>
      </c>
      <c r="AK642" s="4" t="b">
        <f>Table2[[#This Row],[field_fate_feb]]=Table2[[#This Row],[field_fate10]]</f>
        <v>1</v>
      </c>
      <c r="AL642" s="43" t="s">
        <v>24</v>
      </c>
      <c r="AM642" s="43" t="b">
        <f>Table2[[#This Row],[cam_fate2]]="NA"</f>
        <v>1</v>
      </c>
      <c r="AN642" s="19" t="str">
        <f>Table2[[#This Row],[cam_fate1]]</f>
        <v>NA</v>
      </c>
      <c r="AO642" s="2" t="s">
        <v>37</v>
      </c>
      <c r="AP642" s="5" t="str">
        <f>Table2[[#This Row],[final_fate1]]</f>
        <v>H</v>
      </c>
      <c r="AQ642" s="6">
        <v>19</v>
      </c>
      <c r="AR642" s="7">
        <v>18</v>
      </c>
      <c r="AS642" s="7">
        <f>Table2[[#This Row],[final_obs_date]]-Table2[[#This Row],[init_date]]</f>
        <v>19</v>
      </c>
      <c r="AT642" s="7">
        <f>(Table2[[#This Row],[final_obs_date2]]-Table2[[#This Row],[estHD]])+16</f>
        <v>15</v>
      </c>
      <c r="AU642" s="38">
        <v>3</v>
      </c>
      <c r="AV642" s="33">
        <v>3</v>
      </c>
      <c r="AW642" s="33">
        <f>Table2[[#This Row],[final_obs_date2]]-Table2[[#This Row],[pen_obs_date]]</f>
        <v>90</v>
      </c>
      <c r="AX642" s="67">
        <v>90</v>
      </c>
      <c r="AY642" s="6">
        <f>Table2[[#This Row],[final_obs_date]]</f>
        <v>90</v>
      </c>
      <c r="AZ642" s="6"/>
      <c r="BA642" s="91" t="s">
        <v>47</v>
      </c>
      <c r="BB642" s="6" t="b">
        <f>Table2[[#This Row],[final_obs_date]]&lt;(Table2[[#This Row],[estHD]]-2)</f>
        <v>0</v>
      </c>
      <c r="BC642" s="24">
        <f>IF(Table2[[#This Row],[field_fate]]="H",1,0)</f>
        <v>1</v>
      </c>
      <c r="BD642" s="16">
        <f>IF(Table2[[#This Row],[cam_fate2]]="H",1,0)</f>
        <v>0</v>
      </c>
      <c r="BE642" s="6" t="b">
        <f>NOT(Table2[[#This Row],[HF_C]]=Table2[[#This Row],[HF]])</f>
        <v>1</v>
      </c>
      <c r="BF642" s="6" t="b">
        <f>NOT(Table2[[#This Row],[cam_fate2]]=Table2[[#This Row],[field_fate3]])</f>
        <v>1</v>
      </c>
      <c r="BG642" s="6" t="b">
        <f>OR(Table2[[#This Row],[field_fate3]]="U",Table2[[#This Row],[field_fate3]]="U-H")</f>
        <v>0</v>
      </c>
      <c r="BH642" s="8">
        <v>87</v>
      </c>
      <c r="BI642" s="8">
        <v>90</v>
      </c>
      <c r="BJ642" s="14">
        <f>IF(ISTEXT(Table2[[#This Row],[j.cam]]),Table2[[#This Row],[j]],Table2[[#This Row],[j.cam]])</f>
        <v>90</v>
      </c>
      <c r="BK642" s="9">
        <v>90</v>
      </c>
      <c r="BL642" s="15">
        <f>IF(ISTEXT(Table2[[#This Row],[k.cam]]), Table2[[#This Row],[k]], Table2[[#This Row],[k.cam]])</f>
        <v>90</v>
      </c>
      <c r="BM642" s="4" t="s">
        <v>24</v>
      </c>
      <c r="BN642" s="8" t="s">
        <v>24</v>
      </c>
      <c r="BO642" s="4">
        <v>2</v>
      </c>
      <c r="BP642" s="4">
        <f>Table2[[#This Row],[final_obs_date]]-Table2[[#This Row],[i]]</f>
        <v>3</v>
      </c>
      <c r="BQ642" s="4" t="b">
        <f>Table2[[#This Row],[final_obs_date2]]&gt;Table2[[#This Row],[estHD]]+3</f>
        <v>0</v>
      </c>
      <c r="BR642" s="4" t="s">
        <v>33</v>
      </c>
      <c r="BS642" s="4" t="s">
        <v>123</v>
      </c>
      <c r="BT642" s="79" t="s">
        <v>1394</v>
      </c>
      <c r="BU642" s="26" t="s">
        <v>413</v>
      </c>
      <c r="BV642" s="79" t="s">
        <v>1430</v>
      </c>
      <c r="BW642" s="49"/>
      <c r="BX642" s="47"/>
      <c r="BY642" s="36" t="s">
        <v>24</v>
      </c>
    </row>
    <row r="643" spans="1:77" x14ac:dyDescent="0.35">
      <c r="A643" s="64">
        <v>30901</v>
      </c>
      <c r="B643" s="2" t="s">
        <v>122</v>
      </c>
      <c r="C643" s="46">
        <v>2021</v>
      </c>
      <c r="D643" s="3">
        <v>29.756740000000001</v>
      </c>
      <c r="E643" s="3">
        <v>-93.109729999999999</v>
      </c>
      <c r="F643" s="3" t="s">
        <v>24</v>
      </c>
      <c r="G643" s="3" t="s">
        <v>24</v>
      </c>
      <c r="H643" s="3" t="s">
        <v>26</v>
      </c>
      <c r="I643" s="43"/>
      <c r="J643" s="116">
        <v>48</v>
      </c>
      <c r="K643" s="4">
        <v>48</v>
      </c>
      <c r="L643" s="22">
        <f>IF(ISNUMBER(Table2[[#This Row],[estHD]]),ABS(Table2[[#This Row],[HD]]-Table2[[#This Row],[estHD]]),"NA")</f>
        <v>0</v>
      </c>
      <c r="M643" s="4" t="b">
        <f>Table2[[#This Row],[HD]]=Table2[[#This Row],[estHD]]</f>
        <v>1</v>
      </c>
      <c r="N643" s="4" t="str">
        <f>IF(ISNUMBER([1]!Table2[[#This Row],[hatch_date]]), [1]!Table2[[#This Row],[hatch_date]]-16, "NA")</f>
        <v>NA</v>
      </c>
      <c r="O643" s="31">
        <v>32</v>
      </c>
      <c r="P643" s="23">
        <f>IF(ISNUMBER(Table2[[#This Row],[nest_age1]]),ABS(Table2[[#This Row],[nest_age1]]-Table2[[#This Row],[nest_age_feb]]),"NA")</f>
        <v>0</v>
      </c>
      <c r="Q643" s="24">
        <f>IF(ISNUMBER(Table2[[#This Row],[final_obs_int2]]),ABS(Table2[[#This Row],[final_obs_int2]]-Table2[[#This Row],[final_obs_int_feb]]), "NA")</f>
        <v>0</v>
      </c>
      <c r="R643" s="24"/>
      <c r="S643" s="21" t="s">
        <v>448</v>
      </c>
      <c r="T643" s="21" t="s">
        <v>75</v>
      </c>
      <c r="U643" s="52" t="s">
        <v>75</v>
      </c>
      <c r="V643" s="16" t="s">
        <v>25</v>
      </c>
      <c r="W643" s="16">
        <v>11</v>
      </c>
      <c r="X643" s="145">
        <v>4</v>
      </c>
      <c r="Y643" s="147" t="s">
        <v>149</v>
      </c>
      <c r="Z643" s="146" t="s">
        <v>25</v>
      </c>
      <c r="AA643" s="4" t="str">
        <f>Table2[[#This Row],[field_fate]]</f>
        <v>S</v>
      </c>
      <c r="AB643" s="4" t="str">
        <f>Table2[[#This Row],[field_fate2]]</f>
        <v>S</v>
      </c>
      <c r="AC643" s="94" t="str">
        <f>Table2[[#This Row],[field_fate3]]</f>
        <v>S</v>
      </c>
      <c r="AD643" s="94" t="str">
        <f>Table2[[#This Row],[field_fate4]]</f>
        <v>S</v>
      </c>
      <c r="AE643" s="94" t="str">
        <f>Table2[[#This Row],[field_fate5]]</f>
        <v>S</v>
      </c>
      <c r="AF643" s="94" t="str">
        <f>Table2[[#This Row],[field_fate5]]</f>
        <v>S</v>
      </c>
      <c r="AG643" s="94" t="str">
        <f>Table2[[#This Row],[field_fate5]]</f>
        <v>S</v>
      </c>
      <c r="AH643" s="94" t="str">
        <f>Table2[[#This Row],[field_fate2]]</f>
        <v>S</v>
      </c>
      <c r="AI643" s="94" t="str">
        <f>Table2[[#This Row],[field_fate8]]</f>
        <v>S</v>
      </c>
      <c r="AJ643" s="94" t="str">
        <f>Table2[[#This Row],[field_fate10]]</f>
        <v>S</v>
      </c>
      <c r="AK643" s="94" t="b">
        <f>Table2[[#This Row],[field_fate_feb]]=Table2[[#This Row],[field_fate10]]</f>
        <v>0</v>
      </c>
      <c r="AL643" s="43" t="s">
        <v>25</v>
      </c>
      <c r="AM643" s="160" t="b">
        <f>Table2[[#This Row],[cam_fate2]]="NA"</f>
        <v>0</v>
      </c>
      <c r="AN643" s="19" t="str">
        <f>Table2[[#This Row],[cam_fate1]]</f>
        <v>S</v>
      </c>
      <c r="AO643" s="2" t="s">
        <v>25</v>
      </c>
      <c r="AP643" s="5" t="str">
        <f>Table2[[#This Row],[final_fate1]]</f>
        <v>S</v>
      </c>
      <c r="AQ643" s="6">
        <v>11</v>
      </c>
      <c r="AR643" s="72">
        <v>11</v>
      </c>
      <c r="AS643" s="155">
        <f>Table2[[#This Row],[final_obs_date]]-Table2[[#This Row],[init_date]]</f>
        <v>11</v>
      </c>
      <c r="AT643" s="155">
        <f>(Table2[[#This Row],[final_obs_date2]]-Table2[[#This Row],[estHD]])+16</f>
        <v>11</v>
      </c>
      <c r="AU643" s="38">
        <v>4</v>
      </c>
      <c r="AV643" s="33">
        <v>4</v>
      </c>
      <c r="AW643" s="33">
        <f>Table2[[#This Row],[final_obs_date2]]-Table2[[#This Row],[pen_obs_date]]</f>
        <v>4</v>
      </c>
      <c r="AX643" s="67">
        <v>43</v>
      </c>
      <c r="AY643" s="157">
        <f>Table2[[#This Row],[final_obs_date]]</f>
        <v>43</v>
      </c>
      <c r="AZ643" s="6">
        <v>39</v>
      </c>
      <c r="BA643" s="92" t="s">
        <v>60</v>
      </c>
      <c r="BB643" s="6" t="b">
        <f>Table2[[#This Row],[final_obs_date]]&lt;(Table2[[#This Row],[estHD]]-2)</f>
        <v>1</v>
      </c>
      <c r="BC643" s="25">
        <f>IF(Table2[[#This Row],[field_fate]]="H",1,0)</f>
        <v>0</v>
      </c>
      <c r="BD643" s="16">
        <f>IF(Table2[[#This Row],[cam_fate2]]="H",1,0)</f>
        <v>0</v>
      </c>
      <c r="BE643" s="6" t="b">
        <f>NOT(Table2[[#This Row],[HF_C]]=Table2[[#This Row],[HF]])</f>
        <v>0</v>
      </c>
      <c r="BF643" s="38" t="b">
        <f>NOT(Table2[[#This Row],[cam_fate2]]=Table2[[#This Row],[field_fate3]])</f>
        <v>0</v>
      </c>
      <c r="BG643" s="38" t="b">
        <f>OR(Table2[[#This Row],[field_fate3]]="U",Table2[[#This Row],[field_fate3]]="U-H")</f>
        <v>0</v>
      </c>
      <c r="BH643" s="8">
        <v>31</v>
      </c>
      <c r="BI643" s="8">
        <v>39</v>
      </c>
      <c r="BJ643" s="14">
        <f>IF(ISTEXT(Table2[[#This Row],[j.cam]]),Table2[[#This Row],[j]],Table2[[#This Row],[j.cam]])</f>
        <v>39</v>
      </c>
      <c r="BK643" s="8">
        <v>43</v>
      </c>
      <c r="BL643" s="14">
        <f>IF(ISTEXT(Table2[[#This Row],[k.cam]]), Table2[[#This Row],[k]], Table2[[#This Row],[k.cam]])</f>
        <v>43</v>
      </c>
      <c r="BM643" s="4" t="s">
        <v>24</v>
      </c>
      <c r="BN643" s="8" t="s">
        <v>24</v>
      </c>
      <c r="BO643" s="4">
        <v>4</v>
      </c>
      <c r="BP643" s="4">
        <f>Table2[[#This Row],[final_obs_date]]-Table2[[#This Row],[i]]</f>
        <v>12</v>
      </c>
      <c r="BQ643" s="4" t="b">
        <f>Table2[[#This Row],[final_obs_date2]]&gt;Table2[[#This Row],[estHD]]+3</f>
        <v>0</v>
      </c>
      <c r="BR643" s="3" t="s">
        <v>33</v>
      </c>
      <c r="BS643" s="3" t="s">
        <v>45</v>
      </c>
      <c r="BT643" s="125" t="s">
        <v>1359</v>
      </c>
      <c r="BU643" s="4" t="s">
        <v>414</v>
      </c>
      <c r="BV643" s="79" t="s">
        <v>1666</v>
      </c>
      <c r="BW643" s="69"/>
      <c r="BX643" s="36"/>
      <c r="BY643" s="36" t="s">
        <v>864</v>
      </c>
    </row>
    <row r="644" spans="1:77" hidden="1" x14ac:dyDescent="0.35">
      <c r="A644" s="64">
        <v>30902</v>
      </c>
      <c r="B644" s="2" t="s">
        <v>122</v>
      </c>
      <c r="C644" s="46">
        <v>2021</v>
      </c>
      <c r="D644" s="3">
        <v>29.755459999999999</v>
      </c>
      <c r="E644" s="3">
        <v>-93.105279999999993</v>
      </c>
      <c r="F644" s="3">
        <v>50</v>
      </c>
      <c r="G644" s="3">
        <v>50</v>
      </c>
      <c r="H644" s="3" t="s">
        <v>26</v>
      </c>
      <c r="I644" s="43"/>
      <c r="J644" s="55" t="s">
        <v>24</v>
      </c>
      <c r="K644" s="4" t="s">
        <v>24</v>
      </c>
      <c r="L644" s="22" t="str">
        <f>IF(ISNUMBER(Table2[[#This Row],[estHD]]),ABS(Table2[[#This Row],[HD]]-Table2[[#This Row],[estHD]]),"NA")</f>
        <v>NA</v>
      </c>
      <c r="M644" s="4" t="b">
        <f>Table2[[#This Row],[HD]]=Table2[[#This Row],[estHD]]</f>
        <v>1</v>
      </c>
      <c r="N644" s="4" t="str">
        <f>IF(ISNUMBER([1]!Table2[[#This Row],[hatch_date]]), [1]!Table2[[#This Row],[hatch_date]]-16, "NA")</f>
        <v>NA</v>
      </c>
      <c r="O644" s="31" t="s">
        <v>24</v>
      </c>
      <c r="P644" s="23" t="str">
        <f>IF(ISNUMBER(Table2[[#This Row],[nest_age1]]),ABS(Table2[[#This Row],[nest_age1]]-Table2[[#This Row],[nest_age_feb]]),"NA")</f>
        <v>NA</v>
      </c>
      <c r="Q644" s="24">
        <f>IF(ISNUMBER(Table2[[#This Row],[final_obs_int2]]),ABS(Table2[[#This Row],[final_obs_int2]]-Table2[[#This Row],[final_obs_int_feb]]), "NA")</f>
        <v>3</v>
      </c>
      <c r="R644" s="24"/>
      <c r="S644" s="57" t="s">
        <v>88</v>
      </c>
      <c r="T644" s="57" t="str">
        <f>Table2[[#This Row],[camera_old]]</f>
        <v>N</v>
      </c>
      <c r="U644" s="24"/>
      <c r="V644" s="16" t="s">
        <v>24</v>
      </c>
      <c r="W644" s="16" t="s">
        <v>24</v>
      </c>
      <c r="X644" s="145">
        <v>6</v>
      </c>
      <c r="Y644" s="147" t="s">
        <v>90</v>
      </c>
      <c r="Z644" s="146" t="s">
        <v>104</v>
      </c>
      <c r="AA644" s="4" t="str">
        <f>Table2[[#This Row],[field_fate]]</f>
        <v>U-H</v>
      </c>
      <c r="AB644" s="4" t="str">
        <f>Table2[[#This Row],[field_fate2]]</f>
        <v>U-H</v>
      </c>
      <c r="AC644" s="4" t="str">
        <f>Table2[[#This Row],[field_fate3]]</f>
        <v>U-H</v>
      </c>
      <c r="AD644" s="4" t="str">
        <f>Table2[[#This Row],[field_fate4]]</f>
        <v>U-H</v>
      </c>
      <c r="AE644" s="4" t="str">
        <f>Table2[[#This Row],[field_fate5]]</f>
        <v>U-H</v>
      </c>
      <c r="AF644" s="4" t="str">
        <f>Table2[[#This Row],[field_fate5]]</f>
        <v>U-H</v>
      </c>
      <c r="AG644" s="4" t="str">
        <f>Table2[[#This Row],[field_fate5]]</f>
        <v>U-H</v>
      </c>
      <c r="AH644" s="4" t="str">
        <f>Table2[[#This Row],[field_fate2]]</f>
        <v>U-H</v>
      </c>
      <c r="AI644" s="4" t="str">
        <f>Table2[[#This Row],[field_fate8]]</f>
        <v>U-H</v>
      </c>
      <c r="AJ644" s="4" t="str">
        <f>Table2[[#This Row],[field_fate10]]</f>
        <v>U-H</v>
      </c>
      <c r="AK644" s="4" t="b">
        <f>Table2[[#This Row],[field_fate_feb]]=Table2[[#This Row],[field_fate10]]</f>
        <v>0</v>
      </c>
      <c r="AL644" s="43" t="s">
        <v>24</v>
      </c>
      <c r="AM644" s="43" t="b">
        <f>Table2[[#This Row],[cam_fate2]]="NA"</f>
        <v>1</v>
      </c>
      <c r="AN644" s="19" t="str">
        <f>Table2[[#This Row],[cam_fate1]]</f>
        <v>NA</v>
      </c>
      <c r="AO644" s="2" t="s">
        <v>104</v>
      </c>
      <c r="AP644" s="5" t="str">
        <f>Table2[[#This Row],[final_fate1]]</f>
        <v>U-H</v>
      </c>
      <c r="AQ644" s="6" t="s">
        <v>24</v>
      </c>
      <c r="AR644" s="7" t="s">
        <v>24</v>
      </c>
      <c r="AS644" s="7" t="e">
        <f>Table2[[#This Row],[final_obs_date]]-Table2[[#This Row],[init_date]]</f>
        <v>#VALUE!</v>
      </c>
      <c r="AT644" s="7" t="e">
        <f>(Table2[[#This Row],[final_obs_date2]]-Table2[[#This Row],[estHD]])+16</f>
        <v>#VALUE!</v>
      </c>
      <c r="AU644" s="38">
        <v>3</v>
      </c>
      <c r="AV644" s="33">
        <v>3</v>
      </c>
      <c r="AW644" s="33">
        <f>Table2[[#This Row],[final_obs_date2]]-Table2[[#This Row],[pen_obs_date]]</f>
        <v>46</v>
      </c>
      <c r="AX644" s="67">
        <v>46</v>
      </c>
      <c r="AY644" s="6">
        <f>Table2[[#This Row],[final_obs_date]]</f>
        <v>46</v>
      </c>
      <c r="AZ644" s="6"/>
      <c r="BA644" s="91" t="s">
        <v>60</v>
      </c>
      <c r="BB644" s="6" t="e">
        <f>Table2[[#This Row],[final_obs_date]]&lt;(Table2[[#This Row],[estHD]]-2)</f>
        <v>#VALUE!</v>
      </c>
      <c r="BC644" s="24">
        <f>IF(Table2[[#This Row],[field_fate]]="H",1,0)</f>
        <v>0</v>
      </c>
      <c r="BD644" s="16">
        <f>IF(Table2[[#This Row],[cam_fate2]]="H",1,0)</f>
        <v>0</v>
      </c>
      <c r="BE644" s="6" t="b">
        <f>NOT(Table2[[#This Row],[HF_C]]=Table2[[#This Row],[HF]])</f>
        <v>0</v>
      </c>
      <c r="BF644" s="6" t="b">
        <f>NOT(Table2[[#This Row],[cam_fate2]]=Table2[[#This Row],[field_fate3]])</f>
        <v>1</v>
      </c>
      <c r="BG644" s="6" t="b">
        <f>OR(Table2[[#This Row],[field_fate3]]="U",Table2[[#This Row],[field_fate3]]="U-H")</f>
        <v>1</v>
      </c>
      <c r="BH644" s="8">
        <v>35</v>
      </c>
      <c r="BI644" s="8">
        <v>43</v>
      </c>
      <c r="BJ644" s="14">
        <f>IF(ISTEXT(Table2[[#This Row],[j.cam]]),Table2[[#This Row],[j]],Table2[[#This Row],[j.cam]])</f>
        <v>43</v>
      </c>
      <c r="BK644" s="9">
        <v>46</v>
      </c>
      <c r="BL644" s="15">
        <f>IF(ISTEXT(Table2[[#This Row],[k.cam]]), Table2[[#This Row],[k]], Table2[[#This Row],[k.cam]])</f>
        <v>46</v>
      </c>
      <c r="BM644" s="4" t="s">
        <v>24</v>
      </c>
      <c r="BN644" s="8" t="s">
        <v>24</v>
      </c>
      <c r="BO644" s="4">
        <v>5</v>
      </c>
      <c r="BP644" s="4">
        <f>Table2[[#This Row],[final_obs_date]]-Table2[[#This Row],[i]]</f>
        <v>11</v>
      </c>
      <c r="BQ644" s="4" t="e">
        <f>Table2[[#This Row],[final_obs_date2]]&gt;Table2[[#This Row],[estHD]]+3</f>
        <v>#VALUE!</v>
      </c>
      <c r="BR644" s="4" t="s">
        <v>33</v>
      </c>
      <c r="BS644" s="4" t="s">
        <v>45</v>
      </c>
      <c r="BT644" s="79" t="s">
        <v>1397</v>
      </c>
      <c r="BU644" s="26" t="s">
        <v>105</v>
      </c>
      <c r="BV644" s="79" t="s">
        <v>1685</v>
      </c>
      <c r="BW644" s="49"/>
      <c r="BX644" s="47"/>
      <c r="BY644" s="36" t="s">
        <v>865</v>
      </c>
    </row>
    <row r="645" spans="1:77" hidden="1" x14ac:dyDescent="0.35">
      <c r="A645" s="64">
        <v>30903</v>
      </c>
      <c r="B645" s="2" t="s">
        <v>122</v>
      </c>
      <c r="C645" s="46">
        <v>2021</v>
      </c>
      <c r="D645" s="3">
        <v>29.75657</v>
      </c>
      <c r="E645" s="3">
        <v>-93.109039999999993</v>
      </c>
      <c r="F645" s="3">
        <v>0</v>
      </c>
      <c r="G645" s="3">
        <v>5</v>
      </c>
      <c r="H645" s="3" t="s">
        <v>26</v>
      </c>
      <c r="I645" s="43" t="s">
        <v>997</v>
      </c>
      <c r="J645" s="116">
        <v>45</v>
      </c>
      <c r="K645" s="4">
        <v>45</v>
      </c>
      <c r="L645" s="22">
        <f>IF(ISNUMBER(Table2[[#This Row],[estHD]]),ABS(Table2[[#This Row],[HD]]-Table2[[#This Row],[estHD]]),"NA")</f>
        <v>0</v>
      </c>
      <c r="M645" s="4" t="b">
        <f>Table2[[#This Row],[HD]]=Table2[[#This Row],[estHD]]</f>
        <v>1</v>
      </c>
      <c r="N645" s="4">
        <f>IF(ISNUMBER(Table2[[#This Row],[HD]]),Table2[[#This Row],[HD]]-19,"NA")</f>
        <v>26</v>
      </c>
      <c r="O645" s="31">
        <v>26</v>
      </c>
      <c r="P645" s="23" t="e">
        <f>IF(ISNUMBER(Table2[[#This Row],[nest_age1]]),ABS(Table2[[#This Row],[nest_age1]]-Table2[[#This Row],[nest_age_feb]]),"NA")</f>
        <v>#VALUE!</v>
      </c>
      <c r="Q645" s="24">
        <f>IF(ISNUMBER(Table2[[#This Row],[final_obs_int2]]),ABS(Table2[[#This Row],[final_obs_int2]]-Table2[[#This Row],[final_obs_int_feb]]), "NA")</f>
        <v>0</v>
      </c>
      <c r="R645" s="24"/>
      <c r="S645" s="20" t="s">
        <v>75</v>
      </c>
      <c r="T645" s="20" t="str">
        <f>Table2[[#This Row],[camera_old]]</f>
        <v>Y</v>
      </c>
      <c r="U645" s="22" t="s">
        <v>88</v>
      </c>
      <c r="V645" s="16" t="s">
        <v>48</v>
      </c>
      <c r="W645" s="16" t="s">
        <v>24</v>
      </c>
      <c r="X645" s="145">
        <v>4</v>
      </c>
      <c r="Y645" s="150" t="s">
        <v>48</v>
      </c>
      <c r="Z645" s="146" t="s">
        <v>48</v>
      </c>
      <c r="AA645" s="4" t="str">
        <f>Table2[[#This Row],[field_fate]]</f>
        <v>F</v>
      </c>
      <c r="AB645" s="4" t="str">
        <f>Table2[[#This Row],[field_fate2]]</f>
        <v>F</v>
      </c>
      <c r="AC645" s="94" t="str">
        <f>Table2[[#This Row],[field_fate3]]</f>
        <v>F</v>
      </c>
      <c r="AD645" s="94" t="str">
        <f>Table2[[#This Row],[field_fate4]]</f>
        <v>F</v>
      </c>
      <c r="AE645" s="94" t="str">
        <f>Table2[[#This Row],[field_fate5]]</f>
        <v>F</v>
      </c>
      <c r="AF645" s="94" t="str">
        <f>Table2[[#This Row],[field_fate5]]</f>
        <v>F</v>
      </c>
      <c r="AG645" s="94" t="str">
        <f>Table2[[#This Row],[field_fate5]]</f>
        <v>F</v>
      </c>
      <c r="AH645" s="94" t="str">
        <f>Table2[[#This Row],[field_fate2]]</f>
        <v>F</v>
      </c>
      <c r="AI645" s="94" t="str">
        <f>Table2[[#This Row],[field_fate8]]</f>
        <v>F</v>
      </c>
      <c r="AJ645" s="94" t="str">
        <f>Table2[[#This Row],[field_fate10]]</f>
        <v>F</v>
      </c>
      <c r="AK645" s="94" t="b">
        <f>Table2[[#This Row],[field_fate_feb]]=Table2[[#This Row],[field_fate10]]</f>
        <v>1</v>
      </c>
      <c r="AL645" s="43" t="s">
        <v>31</v>
      </c>
      <c r="AM645" s="160" t="b">
        <f>Table2[[#This Row],[cam_fate2]]="NA"</f>
        <v>0</v>
      </c>
      <c r="AN645" s="19" t="str">
        <f>Table2[[#This Row],[cam_fate1]]</f>
        <v>D</v>
      </c>
      <c r="AO645" s="2" t="s">
        <v>31</v>
      </c>
      <c r="AP645" s="5" t="str">
        <f>Table2[[#This Row],[final_fate1]]</f>
        <v>D</v>
      </c>
      <c r="AQ645" s="6">
        <v>9</v>
      </c>
      <c r="AR645" s="72">
        <v>9</v>
      </c>
      <c r="AS645" s="155">
        <f>Table2[[#This Row],[final_obs_date]]-Table2[[#This Row],[init_date]]</f>
        <v>9</v>
      </c>
      <c r="AT645" s="155">
        <f>(Table2[[#This Row],[final_obs_date2]]-Table2[[#This Row],[estHD]])+19</f>
        <v>9</v>
      </c>
      <c r="AU645" s="38">
        <v>4</v>
      </c>
      <c r="AV645" s="33">
        <v>4</v>
      </c>
      <c r="AW645" s="33">
        <f>Table2[[#This Row],[final_obs_date2]]-Table2[[#This Row],[pen_obs_date]]</f>
        <v>4</v>
      </c>
      <c r="AX645" s="67">
        <v>35</v>
      </c>
      <c r="AY645" s="157">
        <f>Table2[[#This Row],[final_obs_date]]</f>
        <v>35</v>
      </c>
      <c r="AZ645" s="6">
        <v>31</v>
      </c>
      <c r="BA645" s="92" t="s">
        <v>47</v>
      </c>
      <c r="BB645" s="6" t="b">
        <f>Table2[[#This Row],[final_obs_date]]&lt;(Table2[[#This Row],[estHD]]-2)</f>
        <v>1</v>
      </c>
      <c r="BC645" s="32">
        <f>IF(Table2[[#This Row],[field_fate]]="H",1,0)</f>
        <v>0</v>
      </c>
      <c r="BD645" s="16">
        <f>IF(Table2[[#This Row],[cam_fate2]]="H",1,0)</f>
        <v>0</v>
      </c>
      <c r="BE645" s="6" t="b">
        <f>NOT(Table2[[#This Row],[HF_C]]=Table2[[#This Row],[HF]])</f>
        <v>0</v>
      </c>
      <c r="BF645" s="38" t="b">
        <f>NOT(Table2[[#This Row],[cam_fate2]]=Table2[[#This Row],[field_fate3]])</f>
        <v>1</v>
      </c>
      <c r="BG645" s="38" t="b">
        <f>OR(Table2[[#This Row],[field_fate3]]="U",Table2[[#This Row],[field_fate3]]="U-H")</f>
        <v>0</v>
      </c>
      <c r="BH645" s="8">
        <v>31</v>
      </c>
      <c r="BI645" s="8">
        <v>31</v>
      </c>
      <c r="BJ645" s="14">
        <f>IF(ISTEXT(Table2[[#This Row],[j.cam]]),Table2[[#This Row],[j]],Table2[[#This Row],[j.cam]])</f>
        <v>31</v>
      </c>
      <c r="BK645" s="8">
        <v>35</v>
      </c>
      <c r="BL645" s="14">
        <f>IF(ISTEXT(Table2[[#This Row],[k.cam]]), Table2[[#This Row],[k]], Table2[[#This Row],[k.cam]])</f>
        <v>35</v>
      </c>
      <c r="BM645" s="4" t="s">
        <v>24</v>
      </c>
      <c r="BN645" s="8" t="s">
        <v>24</v>
      </c>
      <c r="BO645" s="4">
        <v>2</v>
      </c>
      <c r="BP645" s="4">
        <f>Table2[[#This Row],[final_obs_date]]-Table2[[#This Row],[i]]</f>
        <v>4</v>
      </c>
      <c r="BQ645" s="4" t="b">
        <f>Table2[[#This Row],[final_obs_date2]]&gt;Table2[[#This Row],[estHD]]+3</f>
        <v>0</v>
      </c>
      <c r="BR645" s="3" t="s">
        <v>27</v>
      </c>
      <c r="BS645" s="3" t="s">
        <v>48</v>
      </c>
      <c r="BT645" s="125" t="s">
        <v>1197</v>
      </c>
      <c r="BU645" s="4" t="s">
        <v>415</v>
      </c>
      <c r="BV645" s="79" t="s">
        <v>1429</v>
      </c>
      <c r="BW645" s="69"/>
      <c r="BX645" s="36" t="s">
        <v>917</v>
      </c>
      <c r="BY645" s="36" t="s">
        <v>24</v>
      </c>
    </row>
    <row r="646" spans="1:77" x14ac:dyDescent="0.35">
      <c r="A646" s="64">
        <v>30904</v>
      </c>
      <c r="B646" s="2" t="s">
        <v>35</v>
      </c>
      <c r="C646" s="46">
        <v>2021</v>
      </c>
      <c r="D646" s="3">
        <v>29.765270000000001</v>
      </c>
      <c r="E646" s="3">
        <v>-93.150980000000004</v>
      </c>
      <c r="F646" s="3" t="s">
        <v>24</v>
      </c>
      <c r="G646" s="3" t="s">
        <v>24</v>
      </c>
      <c r="H646" s="3" t="s">
        <v>26</v>
      </c>
      <c r="I646" s="43"/>
      <c r="J646" s="116">
        <v>47</v>
      </c>
      <c r="K646" s="4">
        <v>47</v>
      </c>
      <c r="L646" s="22">
        <f>IF(ISNUMBER(Table2[[#This Row],[estHD]]),ABS(Table2[[#This Row],[HD]]-Table2[[#This Row],[estHD]]),"NA")</f>
        <v>0</v>
      </c>
      <c r="M646" s="4" t="b">
        <f>Table2[[#This Row],[HD]]=Table2[[#This Row],[estHD]]</f>
        <v>1</v>
      </c>
      <c r="N646" s="4" t="str">
        <f>IF(ISNUMBER([1]!Table2[[#This Row],[hatch_date]]),[1]!Table2[[#This Row],[hatch_date]]-19,"NA")</f>
        <v>NA</v>
      </c>
      <c r="O646" s="31">
        <v>28</v>
      </c>
      <c r="P646" s="23">
        <f>IF(ISNUMBER(Table2[[#This Row],[nest_age1]]),ABS(Table2[[#This Row],[nest_age1]]-Table2[[#This Row],[nest_age_feb]]),"NA")</f>
        <v>0</v>
      </c>
      <c r="Q646" s="24">
        <f>IF(ISNUMBER(Table2[[#This Row],[final_obs_int2]]),ABS(Table2[[#This Row],[final_obs_int2]]-Table2[[#This Row],[final_obs_int_feb]]), "NA")</f>
        <v>0</v>
      </c>
      <c r="R646" s="24"/>
      <c r="S646" s="21" t="s">
        <v>965</v>
      </c>
      <c r="T646" s="21" t="s">
        <v>75</v>
      </c>
      <c r="U646" s="52" t="s">
        <v>75</v>
      </c>
      <c r="V646" s="16" t="s">
        <v>25</v>
      </c>
      <c r="W646" s="16">
        <v>11</v>
      </c>
      <c r="X646" s="145">
        <v>5</v>
      </c>
      <c r="Y646" s="147" t="s">
        <v>149</v>
      </c>
      <c r="Z646" s="146" t="s">
        <v>25</v>
      </c>
      <c r="AA646" s="4" t="str">
        <f>Table2[[#This Row],[field_fate]]</f>
        <v>S</v>
      </c>
      <c r="AB646" s="4" t="str">
        <f>Table2[[#This Row],[field_fate2]]</f>
        <v>S</v>
      </c>
      <c r="AC646" s="94" t="str">
        <f>Table2[[#This Row],[field_fate3]]</f>
        <v>S</v>
      </c>
      <c r="AD646" s="94" t="str">
        <f>Table2[[#This Row],[field_fate4]]</f>
        <v>S</v>
      </c>
      <c r="AE646" s="94" t="str">
        <f>Table2[[#This Row],[field_fate5]]</f>
        <v>S</v>
      </c>
      <c r="AF646" s="94" t="str">
        <f>Table2[[#This Row],[field_fate5]]</f>
        <v>S</v>
      </c>
      <c r="AG646" s="94" t="str">
        <f>Table2[[#This Row],[field_fate5]]</f>
        <v>S</v>
      </c>
      <c r="AH646" s="94" t="str">
        <f>Table2[[#This Row],[field_fate2]]</f>
        <v>S</v>
      </c>
      <c r="AI646" s="94" t="str">
        <f>Table2[[#This Row],[field_fate8]]</f>
        <v>S</v>
      </c>
      <c r="AJ646" s="94" t="str">
        <f>Table2[[#This Row],[field_fate10]]</f>
        <v>S</v>
      </c>
      <c r="AK646" s="94" t="b">
        <f>Table2[[#This Row],[field_fate_feb]]=Table2[[#This Row],[field_fate10]]</f>
        <v>0</v>
      </c>
      <c r="AL646" s="43" t="s">
        <v>25</v>
      </c>
      <c r="AM646" s="160" t="b">
        <f>Table2[[#This Row],[cam_fate2]]="NA"</f>
        <v>0</v>
      </c>
      <c r="AN646" s="19" t="str">
        <f>Table2[[#This Row],[cam_fate1]]</f>
        <v>S</v>
      </c>
      <c r="AO646" s="2" t="s">
        <v>25</v>
      </c>
      <c r="AP646" s="5" t="str">
        <f>Table2[[#This Row],[final_fate1]]</f>
        <v>S</v>
      </c>
      <c r="AQ646" s="6">
        <v>11</v>
      </c>
      <c r="AR646" s="72">
        <v>11</v>
      </c>
      <c r="AS646" s="155">
        <f>Table2[[#This Row],[final_obs_date]]-Table2[[#This Row],[init_date]]</f>
        <v>11</v>
      </c>
      <c r="AT646" s="155">
        <f>(Table2[[#This Row],[final_obs_date2]]-Table2[[#This Row],[estHD]])+19</f>
        <v>11</v>
      </c>
      <c r="AU646" s="38">
        <v>5</v>
      </c>
      <c r="AV646" s="33">
        <v>5</v>
      </c>
      <c r="AW646" s="33">
        <f>Table2[[#This Row],[final_obs_date2]]-Table2[[#This Row],[pen_obs_date]]</f>
        <v>5</v>
      </c>
      <c r="AX646" s="67">
        <v>39</v>
      </c>
      <c r="AY646" s="157">
        <f>Table2[[#This Row],[final_obs_date]]</f>
        <v>39</v>
      </c>
      <c r="AZ646" s="6">
        <v>34</v>
      </c>
      <c r="BA646" s="92" t="s">
        <v>47</v>
      </c>
      <c r="BB646" s="6" t="b">
        <f>Table2[[#This Row],[final_obs_date]]&lt;(Table2[[#This Row],[estHD]]-2)</f>
        <v>1</v>
      </c>
      <c r="BC646" s="25">
        <f>IF(Table2[[#This Row],[field_fate]]="H",1,0)</f>
        <v>0</v>
      </c>
      <c r="BD646" s="16">
        <f>IF(Table2[[#This Row],[cam_fate2]]="H",1,0)</f>
        <v>0</v>
      </c>
      <c r="BE646" s="6" t="b">
        <f>NOT(Table2[[#This Row],[HF_C]]=Table2[[#This Row],[HF]])</f>
        <v>0</v>
      </c>
      <c r="BF646" s="38" t="b">
        <f>NOT(Table2[[#This Row],[cam_fate2]]=Table2[[#This Row],[field_fate3]])</f>
        <v>0</v>
      </c>
      <c r="BG646" s="38" t="b">
        <f>OR(Table2[[#This Row],[field_fate3]]="U",Table2[[#This Row],[field_fate3]]="U-H")</f>
        <v>0</v>
      </c>
      <c r="BH646" s="8">
        <v>34</v>
      </c>
      <c r="BI646" s="8">
        <v>34</v>
      </c>
      <c r="BJ646" s="14">
        <f>IF(ISTEXT(Table2[[#This Row],[j.cam]]),Table2[[#This Row],[j]],Table2[[#This Row],[j.cam]])</f>
        <v>34</v>
      </c>
      <c r="BK646" s="8">
        <v>39</v>
      </c>
      <c r="BL646" s="14">
        <f>IF(ISTEXT(Table2[[#This Row],[k.cam]]), Table2[[#This Row],[k]], Table2[[#This Row],[k.cam]])</f>
        <v>39</v>
      </c>
      <c r="BM646" s="4" t="s">
        <v>24</v>
      </c>
      <c r="BN646" s="8" t="s">
        <v>24</v>
      </c>
      <c r="BO646" s="4">
        <v>2</v>
      </c>
      <c r="BP646" s="4">
        <f>Table2[[#This Row],[final_obs_date]]-Table2[[#This Row],[i]]</f>
        <v>5</v>
      </c>
      <c r="BQ646" s="4" t="b">
        <f>Table2[[#This Row],[final_obs_date2]]&gt;Table2[[#This Row],[estHD]]+3</f>
        <v>0</v>
      </c>
      <c r="BR646" s="3" t="s">
        <v>33</v>
      </c>
      <c r="BS646" s="3" t="s">
        <v>149</v>
      </c>
      <c r="BT646" s="125" t="s">
        <v>1323</v>
      </c>
      <c r="BU646" s="4" t="s">
        <v>416</v>
      </c>
      <c r="BV646" s="79" t="s">
        <v>1464</v>
      </c>
      <c r="BW646" s="69"/>
      <c r="BX646" s="36"/>
      <c r="BY646" s="36" t="s">
        <v>866</v>
      </c>
    </row>
    <row r="647" spans="1:77" hidden="1" x14ac:dyDescent="0.35">
      <c r="A647" s="64">
        <v>30905</v>
      </c>
      <c r="B647" s="2" t="s">
        <v>35</v>
      </c>
      <c r="C647" s="46">
        <v>2021</v>
      </c>
      <c r="D647" s="3">
        <v>29.764659999999999</v>
      </c>
      <c r="E647" s="3">
        <v>-93.148290000000003</v>
      </c>
      <c r="F647" s="3" t="s">
        <v>24</v>
      </c>
      <c r="G647" s="3" t="s">
        <v>24</v>
      </c>
      <c r="H647" s="3" t="s">
        <v>26</v>
      </c>
      <c r="I647" s="43"/>
      <c r="J647" s="55" t="s">
        <v>24</v>
      </c>
      <c r="K647" s="4" t="s">
        <v>24</v>
      </c>
      <c r="L647" s="22" t="str">
        <f>IF(ISNUMBER(Table2[[#This Row],[estHD]]),ABS(Table2[[#This Row],[HD]]-Table2[[#This Row],[estHD]]),"NA")</f>
        <v>NA</v>
      </c>
      <c r="M647" s="4" t="b">
        <f>Table2[[#This Row],[HD]]=Table2[[#This Row],[estHD]]</f>
        <v>1</v>
      </c>
      <c r="N647" s="4" t="str">
        <f>IF(ISNUMBER([1]!Table2[[#This Row],[hatch_date]]),[1]!Table2[[#This Row],[hatch_date]]-19,"NA")</f>
        <v>NA</v>
      </c>
      <c r="O647" s="31" t="s">
        <v>24</v>
      </c>
      <c r="P647" s="23" t="str">
        <f>IF(ISNUMBER(Table2[[#This Row],[nest_age1]]),ABS(Table2[[#This Row],[nest_age1]]-Table2[[#This Row],[nest_age_feb]]),"NA")</f>
        <v>NA</v>
      </c>
      <c r="Q647" s="24">
        <f>IF(ISNUMBER(Table2[[#This Row],[final_obs_int2]]),ABS(Table2[[#This Row],[final_obs_int2]]-Table2[[#This Row],[final_obs_int_feb]]), "NA")</f>
        <v>0</v>
      </c>
      <c r="R647" s="24"/>
      <c r="S647" s="21" t="s">
        <v>172</v>
      </c>
      <c r="T647" s="21" t="str">
        <f>Table2[[#This Row],[camera_old]]</f>
        <v>Y?</v>
      </c>
      <c r="U647" s="52" t="s">
        <v>75</v>
      </c>
      <c r="V647" s="16" t="s">
        <v>25</v>
      </c>
      <c r="W647" s="16" t="s">
        <v>24</v>
      </c>
      <c r="X647" s="145">
        <v>5</v>
      </c>
      <c r="Y647" s="147" t="s">
        <v>149</v>
      </c>
      <c r="Z647" s="146" t="s">
        <v>25</v>
      </c>
      <c r="AA647" s="4" t="str">
        <f>Table2[[#This Row],[field_fate]]</f>
        <v>S</v>
      </c>
      <c r="AB647" s="4" t="str">
        <f>Table2[[#This Row],[field_fate2]]</f>
        <v>S</v>
      </c>
      <c r="AC647" s="4" t="str">
        <f>Table2[[#This Row],[field_fate3]]</f>
        <v>S</v>
      </c>
      <c r="AD647" s="4" t="str">
        <f>Table2[[#This Row],[field_fate4]]</f>
        <v>S</v>
      </c>
      <c r="AE647" s="4" t="str">
        <f>Table2[[#This Row],[field_fate5]]</f>
        <v>S</v>
      </c>
      <c r="AF647" s="4" t="str">
        <f>Table2[[#This Row],[field_fate5]]</f>
        <v>S</v>
      </c>
      <c r="AG647" s="4" t="str">
        <f>Table2[[#This Row],[field_fate5]]</f>
        <v>S</v>
      </c>
      <c r="AH647" s="4" t="str">
        <f>Table2[[#This Row],[field_fate2]]</f>
        <v>S</v>
      </c>
      <c r="AI647" s="4" t="str">
        <f>Table2[[#This Row],[field_fate8]]</f>
        <v>S</v>
      </c>
      <c r="AJ647" s="4" t="str">
        <f>Table2[[#This Row],[field_fate10]]</f>
        <v>S</v>
      </c>
      <c r="AK647" s="4" t="b">
        <f>Table2[[#This Row],[field_fate_feb]]=Table2[[#This Row],[field_fate10]]</f>
        <v>0</v>
      </c>
      <c r="AL647" s="43" t="s">
        <v>25</v>
      </c>
      <c r="AM647" s="43" t="b">
        <f>Table2[[#This Row],[cam_fate2]]="NA"</f>
        <v>1</v>
      </c>
      <c r="AN647" s="19" t="s">
        <v>24</v>
      </c>
      <c r="AO647" s="2" t="s">
        <v>25</v>
      </c>
      <c r="AP647" s="5" t="s">
        <v>24</v>
      </c>
      <c r="AQ647" s="6" t="s">
        <v>24</v>
      </c>
      <c r="AR647" s="7" t="s">
        <v>24</v>
      </c>
      <c r="AS647" s="7" t="e">
        <f>Table2[[#This Row],[final_obs_date]]-Table2[[#This Row],[init_date]]</f>
        <v>#VALUE!</v>
      </c>
      <c r="AT647" s="7" t="e">
        <f>(Table2[[#This Row],[final_obs_date2]]-Table2[[#This Row],[estHD]])+16</f>
        <v>#VALUE!</v>
      </c>
      <c r="AU647" s="38">
        <v>5</v>
      </c>
      <c r="AV647" s="33">
        <v>5</v>
      </c>
      <c r="AW647" s="33">
        <f>Table2[[#This Row],[final_obs_date2]]-Table2[[#This Row],[pen_obs_date]]</f>
        <v>39</v>
      </c>
      <c r="AX647" s="67">
        <v>39</v>
      </c>
      <c r="AY647" s="6">
        <f>Table2[[#This Row],[final_obs_date]]</f>
        <v>39</v>
      </c>
      <c r="AZ647" s="6"/>
      <c r="BA647" s="91" t="s">
        <v>47</v>
      </c>
      <c r="BB647" s="6" t="e">
        <f>Table2[[#This Row],[final_obs_date]]&lt;(Table2[[#This Row],[estHD]]-2)</f>
        <v>#VALUE!</v>
      </c>
      <c r="BC647" s="25">
        <f>IF(Table2[[#This Row],[field_fate]]="H",1,0)</f>
        <v>0</v>
      </c>
      <c r="BD647" s="16">
        <f>IF(Table2[[#This Row],[cam_fate2]]="H",1,0)</f>
        <v>0</v>
      </c>
      <c r="BE647" s="6" t="b">
        <f>NOT(Table2[[#This Row],[HF_C]]=Table2[[#This Row],[HF]])</f>
        <v>0</v>
      </c>
      <c r="BF647" s="6" t="b">
        <f>NOT(Table2[[#This Row],[cam_fate2]]=Table2[[#This Row],[field_fate3]])</f>
        <v>1</v>
      </c>
      <c r="BG647" s="6" t="b">
        <f>OR(Table2[[#This Row],[field_fate3]]="U",Table2[[#This Row],[field_fate3]]="U-H")</f>
        <v>0</v>
      </c>
      <c r="BH647" s="8">
        <v>34</v>
      </c>
      <c r="BI647" s="8">
        <v>34</v>
      </c>
      <c r="BJ647" s="14">
        <f>IF(ISTEXT(Table2[[#This Row],[j.cam]]),Table2[[#This Row],[j]],Table2[[#This Row],[j.cam]])</f>
        <v>34</v>
      </c>
      <c r="BK647" s="8">
        <v>39</v>
      </c>
      <c r="BL647" s="14">
        <f>IF(ISTEXT(Table2[[#This Row],[k.cam]]), Table2[[#This Row],[k]], Table2[[#This Row],[k.cam]])</f>
        <v>39</v>
      </c>
      <c r="BM647" s="4" t="s">
        <v>24</v>
      </c>
      <c r="BN647" s="8" t="s">
        <v>24</v>
      </c>
      <c r="BO647" s="4">
        <v>2</v>
      </c>
      <c r="BP647" s="4">
        <f>Table2[[#This Row],[final_obs_date]]-Table2[[#This Row],[i]]</f>
        <v>5</v>
      </c>
      <c r="BQ647" s="4" t="e">
        <f>Table2[[#This Row],[final_obs_date2]]&gt;Table2[[#This Row],[estHD]]+3</f>
        <v>#VALUE!</v>
      </c>
      <c r="BR647" s="3" t="s">
        <v>33</v>
      </c>
      <c r="BS647" s="3" t="s">
        <v>149</v>
      </c>
      <c r="BT647" s="79" t="s">
        <v>1323</v>
      </c>
      <c r="BU647" s="26" t="s">
        <v>416</v>
      </c>
      <c r="BV647" s="79" t="s">
        <v>1464</v>
      </c>
      <c r="BW647" s="49"/>
      <c r="BX647" s="47" t="s">
        <v>959</v>
      </c>
      <c r="BY647" s="36" t="s">
        <v>866</v>
      </c>
    </row>
    <row r="648" spans="1:77" hidden="1" x14ac:dyDescent="0.35">
      <c r="A648" s="64">
        <v>30906</v>
      </c>
      <c r="B648" s="2" t="s">
        <v>35</v>
      </c>
      <c r="C648" s="46">
        <v>2021</v>
      </c>
      <c r="D648" s="3">
        <v>29.76465</v>
      </c>
      <c r="E648" s="3">
        <v>-93.147639999999996</v>
      </c>
      <c r="F648" s="3" t="s">
        <v>24</v>
      </c>
      <c r="G648" s="3" t="s">
        <v>24</v>
      </c>
      <c r="H648" s="3" t="s">
        <v>26</v>
      </c>
      <c r="I648" s="43"/>
      <c r="J648" s="116">
        <v>55</v>
      </c>
      <c r="K648" s="4">
        <v>55</v>
      </c>
      <c r="L648" s="22">
        <f>IF(ISNUMBER(Table2[[#This Row],[estHD]]),ABS(Table2[[#This Row],[HD]]-Table2[[#This Row],[estHD]]),"NA")</f>
        <v>0</v>
      </c>
      <c r="M648" s="4" t="b">
        <f>Table2[[#This Row],[HD]]=Table2[[#This Row],[estHD]]</f>
        <v>1</v>
      </c>
      <c r="N648" s="4" t="str">
        <f>IF(ISNUMBER([1]!Table2[[#This Row],[hatch_date]]),[1]!Table2[[#This Row],[hatch_date]]-19,"NA")</f>
        <v>NA</v>
      </c>
      <c r="O648" s="89">
        <v>36</v>
      </c>
      <c r="P648" s="23">
        <f>IF(ISNUMBER(Table2[[#This Row],[nest_age1]]),ABS(Table2[[#This Row],[nest_age1]]-Table2[[#This Row],[nest_age_feb]]),"NA")</f>
        <v>0</v>
      </c>
      <c r="Q648" s="24">
        <f>IF(ISNUMBER(Table2[[#This Row],[final_obs_int2]]),ABS(Table2[[#This Row],[final_obs_int2]]-Table2[[#This Row],[final_obs_int_feb]]), "NA")</f>
        <v>0</v>
      </c>
      <c r="R648" s="24"/>
      <c r="S648" s="20" t="s">
        <v>75</v>
      </c>
      <c r="T648" s="20" t="str">
        <f>Table2[[#This Row],[camera_old]]</f>
        <v>Y</v>
      </c>
      <c r="U648" s="22" t="s">
        <v>88</v>
      </c>
      <c r="V648" s="16" t="s">
        <v>48</v>
      </c>
      <c r="W648" s="16">
        <v>3</v>
      </c>
      <c r="X648" s="145">
        <v>5</v>
      </c>
      <c r="Y648" s="149" t="s">
        <v>48</v>
      </c>
      <c r="Z648" s="146" t="s">
        <v>48</v>
      </c>
      <c r="AA648" s="4" t="str">
        <f>Table2[[#This Row],[field_fate]]</f>
        <v>F</v>
      </c>
      <c r="AB648" s="4" t="str">
        <f>Table2[[#This Row],[field_fate2]]</f>
        <v>F</v>
      </c>
      <c r="AC648" s="94" t="str">
        <f>Table2[[#This Row],[field_fate3]]</f>
        <v>F</v>
      </c>
      <c r="AD648" s="94" t="str">
        <f>Table2[[#This Row],[field_fate4]]</f>
        <v>F</v>
      </c>
      <c r="AE648" s="94" t="str">
        <f>Table2[[#This Row],[field_fate5]]</f>
        <v>F</v>
      </c>
      <c r="AF648" s="94" t="str">
        <f>Table2[[#This Row],[field_fate5]]</f>
        <v>F</v>
      </c>
      <c r="AG648" s="94" t="str">
        <f>Table2[[#This Row],[field_fate5]]</f>
        <v>F</v>
      </c>
      <c r="AH648" s="94" t="str">
        <f>Table2[[#This Row],[field_fate2]]</f>
        <v>F</v>
      </c>
      <c r="AI648" s="94" t="str">
        <f>Table2[[#This Row],[field_fate8]]</f>
        <v>F</v>
      </c>
      <c r="AJ648" s="94" t="str">
        <f>Table2[[#This Row],[field_fate10]]</f>
        <v>F</v>
      </c>
      <c r="AK648" s="94" t="b">
        <f>Table2[[#This Row],[field_fate_feb]]=Table2[[#This Row],[field_fate10]]</f>
        <v>1</v>
      </c>
      <c r="AL648" s="43" t="s">
        <v>36</v>
      </c>
      <c r="AM648" s="160" t="b">
        <f>Table2[[#This Row],[cam_fate2]]="NA"</f>
        <v>0</v>
      </c>
      <c r="AN648" s="159" t="str">
        <f>Table2[[#This Row],[cam_fate1]]</f>
        <v>A</v>
      </c>
      <c r="AO648" s="2" t="s">
        <v>36</v>
      </c>
      <c r="AP648" s="5" t="str">
        <f>Table2[[#This Row],[final_fate1]]</f>
        <v>A</v>
      </c>
      <c r="AQ648" s="6">
        <v>3</v>
      </c>
      <c r="AR648" s="72">
        <v>3</v>
      </c>
      <c r="AS648" s="155">
        <f>Table2[[#This Row],[final_obs_date]]-Table2[[#This Row],[init_date]]</f>
        <v>3</v>
      </c>
      <c r="AT648" s="155">
        <f>(Table2[[#This Row],[final_obs_date2]]-Table2[[#This Row],[estHD]])+19</f>
        <v>3</v>
      </c>
      <c r="AU648" s="38">
        <v>5</v>
      </c>
      <c r="AV648" s="33">
        <v>5</v>
      </c>
      <c r="AW648" s="33">
        <f>Table2[[#This Row],[final_obs_date2]]-Table2[[#This Row],[pen_obs_date]]</f>
        <v>5</v>
      </c>
      <c r="AX648" s="67">
        <v>39</v>
      </c>
      <c r="AY648" s="158">
        <f>Table2[[#This Row],[final_obs_date]]</f>
        <v>39</v>
      </c>
      <c r="AZ648" s="6">
        <v>34</v>
      </c>
      <c r="BA648" s="92" t="s">
        <v>47</v>
      </c>
      <c r="BB648" s="86" t="b">
        <f>Table2[[#This Row],[final_obs_date]]&lt;(Table2[[#This Row],[estHD]]-2)</f>
        <v>1</v>
      </c>
      <c r="BC648" s="83">
        <f>IF(Table2[[#This Row],[field_fate]]="H",1,0)</f>
        <v>0</v>
      </c>
      <c r="BD648" s="82">
        <f>IF(Table2[[#This Row],[cam_fate2]]="H",1,0)</f>
        <v>0</v>
      </c>
      <c r="BE648" s="84" t="b">
        <f>NOT(Table2[[#This Row],[HF_C]]=Table2[[#This Row],[HF]])</f>
        <v>0</v>
      </c>
      <c r="BF648" s="85" t="b">
        <f>NOT(Table2[[#This Row],[cam_fate2]]=Table2[[#This Row],[field_fate3]])</f>
        <v>1</v>
      </c>
      <c r="BG648" s="85" t="b">
        <f>OR(Table2[[#This Row],[field_fate3]]="U",Table2[[#This Row],[field_fate3]]="U-H")</f>
        <v>0</v>
      </c>
      <c r="BH648" s="8">
        <v>34</v>
      </c>
      <c r="BI648" s="8">
        <v>34</v>
      </c>
      <c r="BJ648" s="14">
        <f>IF(ISTEXT(Table2[[#This Row],[j.cam]]),Table2[[#This Row],[j]],Table2[[#This Row],[j.cam]])</f>
        <v>34</v>
      </c>
      <c r="BK648" s="8">
        <v>39</v>
      </c>
      <c r="BL648" s="14">
        <f>IF(ISTEXT(Table2[[#This Row],[k.cam]]), Table2[[#This Row],[k]], Table2[[#This Row],[k.cam]])</f>
        <v>39</v>
      </c>
      <c r="BM648" s="87" t="s">
        <v>24</v>
      </c>
      <c r="BN648" s="87" t="s">
        <v>24</v>
      </c>
      <c r="BO648" s="4">
        <v>2</v>
      </c>
      <c r="BP648" s="4">
        <f>Table2[[#This Row],[final_obs_date]]-Table2[[#This Row],[i]]</f>
        <v>5</v>
      </c>
      <c r="BQ648" s="4" t="b">
        <f>Table2[[#This Row],[final_obs_date2]]&gt;Table2[[#This Row],[estHD]]+3</f>
        <v>0</v>
      </c>
      <c r="BR648" s="3" t="s">
        <v>58</v>
      </c>
      <c r="BS648" s="3" t="s">
        <v>48</v>
      </c>
      <c r="BT648" s="125" t="s">
        <v>1323</v>
      </c>
      <c r="BU648" s="122" t="s">
        <v>417</v>
      </c>
      <c r="BV648" s="88" t="s">
        <v>1464</v>
      </c>
      <c r="BW648" s="69"/>
      <c r="BX648" s="36" t="s">
        <v>918</v>
      </c>
      <c r="BY648" s="36" t="s">
        <v>24</v>
      </c>
    </row>
    <row r="649" spans="1:77" hidden="1" x14ac:dyDescent="0.35">
      <c r="A649" s="64">
        <v>30907</v>
      </c>
      <c r="B649" s="2" t="s">
        <v>35</v>
      </c>
      <c r="C649" s="46">
        <v>2021</v>
      </c>
      <c r="D649" s="3">
        <v>29.760850000000001</v>
      </c>
      <c r="E649" s="3">
        <v>-93.131649999999993</v>
      </c>
      <c r="F649" s="3" t="s">
        <v>24</v>
      </c>
      <c r="G649" s="3" t="s">
        <v>24</v>
      </c>
      <c r="H649" s="3" t="s">
        <v>26</v>
      </c>
      <c r="I649" s="43"/>
      <c r="J649" s="55" t="s">
        <v>24</v>
      </c>
      <c r="K649" s="4">
        <v>46</v>
      </c>
      <c r="L649" s="22" t="str">
        <f>IF(ISNUMBER(Table2[[#This Row],[estHD]]),ABS(Table2[[#This Row],[HD]]-Table2[[#This Row],[estHD]]),"NA")</f>
        <v>NA</v>
      </c>
      <c r="M649" s="4" t="b">
        <f>Table2[[#This Row],[HD]]=Table2[[#This Row],[estHD]]</f>
        <v>0</v>
      </c>
      <c r="N649" s="4" t="str">
        <f>IF(ISNUMBER([1]!Table2[[#This Row],[hatch_date]]), [1]!Table2[[#This Row],[hatch_date]]-16, "NA")</f>
        <v>NA</v>
      </c>
      <c r="O649" s="31">
        <v>30</v>
      </c>
      <c r="P649" s="23" t="e">
        <f>IF(ISNUMBER(Table2[[#This Row],[nest_age1]]),ABS(Table2[[#This Row],[nest_age1]]-Table2[[#This Row],[nest_age_feb]]),"NA")</f>
        <v>#VALUE!</v>
      </c>
      <c r="Q649" s="24">
        <f>IF(ISNUMBER(Table2[[#This Row],[final_obs_int2]]),ABS(Table2[[#This Row],[final_obs_int2]]-Table2[[#This Row],[final_obs_int_feb]]), "NA")</f>
        <v>0</v>
      </c>
      <c r="R649" s="24"/>
      <c r="S649" s="57" t="s">
        <v>88</v>
      </c>
      <c r="T649" s="57" t="str">
        <f>Table2[[#This Row],[camera_old]]</f>
        <v>N</v>
      </c>
      <c r="U649" s="24"/>
      <c r="V649" s="16" t="s">
        <v>24</v>
      </c>
      <c r="W649" s="16" t="s">
        <v>24</v>
      </c>
      <c r="X649" s="145">
        <v>4</v>
      </c>
      <c r="Y649" s="147" t="s">
        <v>37</v>
      </c>
      <c r="Z649" s="146" t="s">
        <v>37</v>
      </c>
      <c r="AA649" s="4" t="str">
        <f>Table2[[#This Row],[field_fate]]</f>
        <v>H</v>
      </c>
      <c r="AB649" s="4" t="str">
        <f>Table2[[#This Row],[field_fate2]]</f>
        <v>H</v>
      </c>
      <c r="AC649" s="4" t="str">
        <f>Table2[[#This Row],[field_fate3]]</f>
        <v>H</v>
      </c>
      <c r="AD649" s="4" t="str">
        <f>Table2[[#This Row],[field_fate4]]</f>
        <v>H</v>
      </c>
      <c r="AE649" s="4" t="str">
        <f>Table2[[#This Row],[field_fate5]]</f>
        <v>H</v>
      </c>
      <c r="AF649" s="4" t="str">
        <f>Table2[[#This Row],[field_fate5]]</f>
        <v>H</v>
      </c>
      <c r="AG649" s="4" t="str">
        <f>Table2[[#This Row],[field_fate5]]</f>
        <v>H</v>
      </c>
      <c r="AH649" s="4" t="str">
        <f>Table2[[#This Row],[field_fate2]]</f>
        <v>H</v>
      </c>
      <c r="AI649" s="4" t="str">
        <f>Table2[[#This Row],[field_fate8]]</f>
        <v>H</v>
      </c>
      <c r="AJ649" s="4" t="str">
        <f>Table2[[#This Row],[field_fate10]]</f>
        <v>H</v>
      </c>
      <c r="AK649" s="4" t="b">
        <f>Table2[[#This Row],[field_fate_feb]]=Table2[[#This Row],[field_fate10]]</f>
        <v>1</v>
      </c>
      <c r="AL649" s="43" t="s">
        <v>24</v>
      </c>
      <c r="AM649" s="43" t="b">
        <f>Table2[[#This Row],[cam_fate2]]="NA"</f>
        <v>1</v>
      </c>
      <c r="AN649" s="19" t="str">
        <f>Table2[[#This Row],[cam_fate1]]</f>
        <v>NA</v>
      </c>
      <c r="AO649" s="2" t="s">
        <v>37</v>
      </c>
      <c r="AP649" s="5" t="str">
        <f>Table2[[#This Row],[final_fate1]]</f>
        <v>H</v>
      </c>
      <c r="AQ649" s="6">
        <v>16</v>
      </c>
      <c r="AR649" s="7">
        <v>16</v>
      </c>
      <c r="AS649" s="7">
        <f>Table2[[#This Row],[final_obs_date]]-Table2[[#This Row],[init_date]]</f>
        <v>16</v>
      </c>
      <c r="AT649" s="7" t="e">
        <f>(Table2[[#This Row],[final_obs_date2]]-Table2[[#This Row],[estHD]])+16</f>
        <v>#VALUE!</v>
      </c>
      <c r="AU649" s="38">
        <v>4</v>
      </c>
      <c r="AV649" s="33">
        <v>4</v>
      </c>
      <c r="AW649" s="33">
        <f>Table2[[#This Row],[final_obs_date2]]-Table2[[#This Row],[pen_obs_date]]</f>
        <v>46</v>
      </c>
      <c r="AX649" s="67">
        <v>46</v>
      </c>
      <c r="AY649" s="6">
        <f>Table2[[#This Row],[final_obs_date]]</f>
        <v>46</v>
      </c>
      <c r="AZ649" s="6"/>
      <c r="BA649" s="91" t="s">
        <v>60</v>
      </c>
      <c r="BB649" s="6" t="e">
        <f>Table2[[#This Row],[final_obs_date]]&lt;(Table2[[#This Row],[estHD]]-2)</f>
        <v>#VALUE!</v>
      </c>
      <c r="BC649" s="24">
        <f>IF(Table2[[#This Row],[field_fate]]="H",1,0)</f>
        <v>1</v>
      </c>
      <c r="BD649" s="16">
        <f>IF(Table2[[#This Row],[cam_fate2]]="H",1,0)</f>
        <v>0</v>
      </c>
      <c r="BE649" s="6" t="b">
        <f>NOT(Table2[[#This Row],[HF_C]]=Table2[[#This Row],[HF]])</f>
        <v>1</v>
      </c>
      <c r="BF649" s="6" t="b">
        <f>NOT(Table2[[#This Row],[cam_fate2]]=Table2[[#This Row],[field_fate3]])</f>
        <v>1</v>
      </c>
      <c r="BG649" s="6" t="b">
        <f>OR(Table2[[#This Row],[field_fate3]]="U",Table2[[#This Row],[field_fate3]]="U-H")</f>
        <v>0</v>
      </c>
      <c r="BH649" s="8">
        <v>42</v>
      </c>
      <c r="BI649" s="8">
        <v>46</v>
      </c>
      <c r="BJ649" s="14">
        <f>IF(ISTEXT(Table2[[#This Row],[j.cam]]),Table2[[#This Row],[j]],Table2[[#This Row],[j.cam]])</f>
        <v>46</v>
      </c>
      <c r="BK649" s="9">
        <v>46</v>
      </c>
      <c r="BL649" s="15">
        <f>IF(ISTEXT(Table2[[#This Row],[k.cam]]), Table2[[#This Row],[k]], Table2[[#This Row],[k.cam]])</f>
        <v>46</v>
      </c>
      <c r="BM649" s="4" t="s">
        <v>24</v>
      </c>
      <c r="BN649" s="8" t="s">
        <v>24</v>
      </c>
      <c r="BO649" s="4">
        <v>2</v>
      </c>
      <c r="BP649" s="4">
        <f>Table2[[#This Row],[final_obs_date]]-Table2[[#This Row],[i]]</f>
        <v>4</v>
      </c>
      <c r="BQ649" s="4" t="e">
        <f>Table2[[#This Row],[final_obs_date2]]&gt;Table2[[#This Row],[estHD]]+3</f>
        <v>#VALUE!</v>
      </c>
      <c r="BR649" s="4" t="s">
        <v>33</v>
      </c>
      <c r="BS649" s="4" t="s">
        <v>53</v>
      </c>
      <c r="BT649" s="79" t="s">
        <v>1398</v>
      </c>
      <c r="BU649" s="26" t="s">
        <v>418</v>
      </c>
      <c r="BV649" s="79" t="s">
        <v>1429</v>
      </c>
      <c r="BW649" s="49"/>
      <c r="BX649" s="47"/>
      <c r="BY649" s="36" t="s">
        <v>867</v>
      </c>
    </row>
    <row r="650" spans="1:77" hidden="1" x14ac:dyDescent="0.35">
      <c r="A650" s="64">
        <v>30908</v>
      </c>
      <c r="B650" s="2" t="s">
        <v>35</v>
      </c>
      <c r="C650" s="46">
        <v>2021</v>
      </c>
      <c r="D650" s="3">
        <v>29.759689999999999</v>
      </c>
      <c r="E650" s="3">
        <v>-93.127139999999997</v>
      </c>
      <c r="F650" s="3" t="s">
        <v>24</v>
      </c>
      <c r="G650" s="3" t="s">
        <v>24</v>
      </c>
      <c r="H650" s="3" t="s">
        <v>24</v>
      </c>
      <c r="I650" s="43"/>
      <c r="J650" s="55">
        <v>63</v>
      </c>
      <c r="K650" s="4">
        <v>63</v>
      </c>
      <c r="L650" s="22">
        <f>IF(ISNUMBER(Table2[[#This Row],[estHD]]),ABS(Table2[[#This Row],[HD]]-Table2[[#This Row],[estHD]]),"NA")</f>
        <v>0</v>
      </c>
      <c r="M650" s="4" t="b">
        <f>Table2[[#This Row],[HD]]=Table2[[#This Row],[estHD]]</f>
        <v>1</v>
      </c>
      <c r="N650" s="4" t="str">
        <f>IF(ISNUMBER([1]!Table2[[#This Row],[hatch_date]]), [1]!Table2[[#This Row],[hatch_date]]-16, "NA")</f>
        <v>NA</v>
      </c>
      <c r="O650" s="31">
        <v>47</v>
      </c>
      <c r="P650" s="23" t="e">
        <f>IF(ISNUMBER(Table2[[#This Row],[nest_age1]]),ABS(Table2[[#This Row],[nest_age1]]-Table2[[#This Row],[nest_age_feb]]),"NA")</f>
        <v>#VALUE!</v>
      </c>
      <c r="Q650" s="25">
        <f>IF(ISNUMBER(Table2[[#This Row],[final_obs_int2]]),ABS(Table2[[#This Row],[final_obs_int2]]-Table2[[#This Row],[final_obs_int_feb]]), "NA")</f>
        <v>1</v>
      </c>
      <c r="R650" s="25"/>
      <c r="S650" s="57" t="s">
        <v>88</v>
      </c>
      <c r="T650" s="57" t="str">
        <f>Table2[[#This Row],[camera_old]]</f>
        <v>N</v>
      </c>
      <c r="U650" s="24"/>
      <c r="V650" s="16" t="s">
        <v>24</v>
      </c>
      <c r="W650" s="16" t="s">
        <v>24</v>
      </c>
      <c r="X650" s="145">
        <v>3</v>
      </c>
      <c r="Y650" s="147" t="s">
        <v>48</v>
      </c>
      <c r="Z650" s="146" t="s">
        <v>48</v>
      </c>
      <c r="AA650" s="4" t="str">
        <f>Table2[[#This Row],[field_fate]]</f>
        <v>F</v>
      </c>
      <c r="AB650" s="4" t="str">
        <f>Table2[[#This Row],[field_fate2]]</f>
        <v>F</v>
      </c>
      <c r="AC650" s="4" t="str">
        <f>Table2[[#This Row],[field_fate3]]</f>
        <v>F</v>
      </c>
      <c r="AD650" s="4" t="str">
        <f>Table2[[#This Row],[field_fate4]]</f>
        <v>F</v>
      </c>
      <c r="AE650" s="4" t="str">
        <f>Table2[[#This Row],[field_fate5]]</f>
        <v>F</v>
      </c>
      <c r="AF650" s="4" t="str">
        <f>Table2[[#This Row],[field_fate5]]</f>
        <v>F</v>
      </c>
      <c r="AG650" s="4" t="str">
        <f>Table2[[#This Row],[field_fate5]]</f>
        <v>F</v>
      </c>
      <c r="AH650" s="4" t="str">
        <f>Table2[[#This Row],[field_fate2]]</f>
        <v>F</v>
      </c>
      <c r="AI650" s="4" t="str">
        <f>Table2[[#This Row],[field_fate8]]</f>
        <v>F</v>
      </c>
      <c r="AJ650" s="4" t="str">
        <f>Table2[[#This Row],[field_fate10]]</f>
        <v>F</v>
      </c>
      <c r="AK650" s="4" t="b">
        <f>Table2[[#This Row],[field_fate_feb]]=Table2[[#This Row],[field_fate10]]</f>
        <v>1</v>
      </c>
      <c r="AL650" s="43" t="s">
        <v>24</v>
      </c>
      <c r="AM650" s="43" t="b">
        <f>Table2[[#This Row],[cam_fate2]]="NA"</f>
        <v>1</v>
      </c>
      <c r="AN650" s="19" t="str">
        <f>Table2[[#This Row],[cam_fate1]]</f>
        <v>NA</v>
      </c>
      <c r="AO650" s="2" t="s">
        <v>48</v>
      </c>
      <c r="AP650" s="5" t="str">
        <f>Table2[[#This Row],[final_fate1]]</f>
        <v>F</v>
      </c>
      <c r="AQ650" s="6">
        <v>18</v>
      </c>
      <c r="AR650" s="7">
        <v>18</v>
      </c>
      <c r="AS650" s="7">
        <f>Table2[[#This Row],[final_obs_date]]-Table2[[#This Row],[init_date]]</f>
        <v>15</v>
      </c>
      <c r="AT650" s="7">
        <f>(Table2[[#This Row],[final_obs_date2]]-Table2[[#This Row],[estHD]])+16</f>
        <v>15</v>
      </c>
      <c r="AU650" s="42">
        <v>4</v>
      </c>
      <c r="AV650" s="33">
        <v>4</v>
      </c>
      <c r="AW650" s="33">
        <f>Table2[[#This Row],[final_obs_date2]]-Table2[[#This Row],[pen_obs_date]]</f>
        <v>62</v>
      </c>
      <c r="AX650" s="68">
        <v>62</v>
      </c>
      <c r="AY650" s="10">
        <f>Table2[[#This Row],[final_obs_date]]</f>
        <v>62</v>
      </c>
      <c r="AZ650" s="10"/>
      <c r="BA650" s="91" t="s">
        <v>60</v>
      </c>
      <c r="BB650" s="10" t="b">
        <f>Table2[[#This Row],[final_obs_date]]&lt;(Table2[[#This Row],[estHD]]-2)</f>
        <v>0</v>
      </c>
      <c r="BC650" s="24">
        <f>IF(Table2[[#This Row],[field_fate]]="H",1,0)</f>
        <v>0</v>
      </c>
      <c r="BD650" s="16">
        <f>IF(Table2[[#This Row],[cam_fate2]]="H",1,0)</f>
        <v>0</v>
      </c>
      <c r="BE650" s="6" t="b">
        <f>NOT(Table2[[#This Row],[HF_C]]=Table2[[#This Row],[HF]])</f>
        <v>0</v>
      </c>
      <c r="BF650" s="6" t="b">
        <f>NOT(Table2[[#This Row],[cam_fate2]]=Table2[[#This Row],[field_fate3]])</f>
        <v>1</v>
      </c>
      <c r="BG650" s="6" t="b">
        <f>OR(Table2[[#This Row],[field_fate3]]="U",Table2[[#This Row],[field_fate3]]="U-H")</f>
        <v>0</v>
      </c>
      <c r="BH650" s="8">
        <v>46</v>
      </c>
      <c r="BI650" s="8">
        <v>62</v>
      </c>
      <c r="BJ650" s="14">
        <f>IF(ISTEXT(Table2[[#This Row],[j.cam]]),Table2[[#This Row],[j]],Table2[[#This Row],[j.cam]])</f>
        <v>62</v>
      </c>
      <c r="BK650" s="9">
        <v>65</v>
      </c>
      <c r="BL650" s="15">
        <f>IF(ISTEXT(Table2[[#This Row],[k.cam]]), Table2[[#This Row],[k]], Table2[[#This Row],[k.cam]])</f>
        <v>65</v>
      </c>
      <c r="BM650" s="4" t="s">
        <v>24</v>
      </c>
      <c r="BN650" s="8" t="s">
        <v>24</v>
      </c>
      <c r="BO650" s="4">
        <v>6</v>
      </c>
      <c r="BP650" s="4">
        <f>Table2[[#This Row],[final_obs_date]]-Table2[[#This Row],[i]]</f>
        <v>16</v>
      </c>
      <c r="BQ650" s="4" t="b">
        <f>Table2[[#This Row],[final_obs_date2]]&gt;Table2[[#This Row],[estHD]]+3</f>
        <v>0</v>
      </c>
      <c r="BR650" s="11" t="s">
        <v>134</v>
      </c>
      <c r="BS650" s="4" t="s">
        <v>45</v>
      </c>
      <c r="BT650" s="79" t="s">
        <v>1399</v>
      </c>
      <c r="BU650" s="26" t="s">
        <v>419</v>
      </c>
      <c r="BV650" s="79" t="s">
        <v>1686</v>
      </c>
      <c r="BW650" s="49" t="s">
        <v>468</v>
      </c>
      <c r="BX650" s="47"/>
      <c r="BY650" s="36" t="s">
        <v>868</v>
      </c>
    </row>
    <row r="651" spans="1:77" hidden="1" x14ac:dyDescent="0.35">
      <c r="A651" s="64">
        <v>30909</v>
      </c>
      <c r="B651" s="2" t="s">
        <v>35</v>
      </c>
      <c r="C651" s="46">
        <v>2021</v>
      </c>
      <c r="D651" s="3">
        <v>29.761579999999999</v>
      </c>
      <c r="E651" s="3">
        <v>-93.133170000000007</v>
      </c>
      <c r="F651" s="3" t="s">
        <v>24</v>
      </c>
      <c r="G651" s="3" t="s">
        <v>24</v>
      </c>
      <c r="H651" s="3" t="s">
        <v>24</v>
      </c>
      <c r="I651" s="43"/>
      <c r="J651" s="116">
        <v>52</v>
      </c>
      <c r="K651" s="4">
        <v>54</v>
      </c>
      <c r="L651" s="22">
        <f>IF(ISNUMBER(Table2[[#This Row],[estHD]]),ABS(Table2[[#This Row],[HD]]-Table2[[#This Row],[estHD]]),"NA")</f>
        <v>2</v>
      </c>
      <c r="M651" s="4" t="b">
        <f>Table2[[#This Row],[HD]]=Table2[[#This Row],[estHD]]</f>
        <v>0</v>
      </c>
      <c r="N651" s="4">
        <f>IF(ISNUMBER(Table2[[#This Row],[HD]]),Table2[[#This Row],[HD]]-16,"NA")</f>
        <v>38</v>
      </c>
      <c r="O651" s="31">
        <v>38</v>
      </c>
      <c r="P651" s="23">
        <f>IF(ISNUMBER(Table2[[#This Row],[nest_age1]]),ABS(Table2[[#This Row],[nest_age1]]-Table2[[#This Row],[nest_age_feb]]),"NA")</f>
        <v>2</v>
      </c>
      <c r="Q651" s="24">
        <f>IF(ISNUMBER(Table2[[#This Row],[final_obs_int2]]),ABS(Table2[[#This Row],[final_obs_int2]]-Table2[[#This Row],[final_obs_int_feb]]), "NA")</f>
        <v>0</v>
      </c>
      <c r="R651" s="24">
        <f>(Table2[[#This Row],[k_adj]]-Table2[[#This Row],[estHD]])/Table2[[#This Row],[estHD]]</f>
        <v>3.8461538461538464E-2</v>
      </c>
      <c r="S651" s="20" t="s">
        <v>75</v>
      </c>
      <c r="T651" s="20" t="str">
        <f>Table2[[#This Row],[camera_old]]</f>
        <v>Y</v>
      </c>
      <c r="U651" s="22" t="s">
        <v>88</v>
      </c>
      <c r="V651" s="16" t="s">
        <v>31</v>
      </c>
      <c r="W651" s="16">
        <v>18</v>
      </c>
      <c r="X651" s="145">
        <v>2</v>
      </c>
      <c r="Y651" s="147" t="s">
        <v>37</v>
      </c>
      <c r="Z651" s="146" t="s">
        <v>37</v>
      </c>
      <c r="AA651" s="4" t="str">
        <f>Table2[[#This Row],[field_fate]]</f>
        <v>H</v>
      </c>
      <c r="AB651" s="4" t="str">
        <f>Table2[[#This Row],[field_fate2]]</f>
        <v>H</v>
      </c>
      <c r="AC651" s="98" t="str">
        <f>Table2[[#This Row],[field_fate3]]</f>
        <v>H</v>
      </c>
      <c r="AD651" s="141" t="s">
        <v>90</v>
      </c>
      <c r="AE651" s="114" t="s">
        <v>37</v>
      </c>
      <c r="AF651" s="94" t="s">
        <v>37</v>
      </c>
      <c r="AG651" s="94" t="s">
        <v>37</v>
      </c>
      <c r="AH651" s="94" t="str">
        <f>Table2[[#This Row],[field_fate2]]</f>
        <v>H</v>
      </c>
      <c r="AI651" s="94" t="str">
        <f>Table2[[#This Row],[field_fate8]]</f>
        <v>H</v>
      </c>
      <c r="AJ651" s="94" t="str">
        <f>Table2[[#This Row],[field_fate10]]</f>
        <v>H</v>
      </c>
      <c r="AK651" s="94" t="b">
        <f>Table2[[#This Row],[field_fate_feb]]=Table2[[#This Row],[field_fate10]]</f>
        <v>1</v>
      </c>
      <c r="AL651" s="43" t="s">
        <v>37</v>
      </c>
      <c r="AM651" s="160" t="b">
        <f>Table2[[#This Row],[cam_fate2]]="NA"</f>
        <v>0</v>
      </c>
      <c r="AN651" s="19" t="str">
        <f>Table2[[#This Row],[cam_fate1]]</f>
        <v>H</v>
      </c>
      <c r="AO651" s="2" t="s">
        <v>37</v>
      </c>
      <c r="AP651" s="5" t="str">
        <f>Table2[[#This Row],[final_fate1]]</f>
        <v>H</v>
      </c>
      <c r="AQ651" s="6">
        <v>16</v>
      </c>
      <c r="AR651" s="72">
        <v>18</v>
      </c>
      <c r="AS651" s="155">
        <f>Table2[[#This Row],[final_obs_date]]-Table2[[#This Row],[init_date]]</f>
        <v>16</v>
      </c>
      <c r="AT651" s="155">
        <f>(Table2[[#This Row],[final_obs_date2]]-Table2[[#This Row],[estHD]])+16</f>
        <v>18</v>
      </c>
      <c r="AU651" s="38">
        <v>2</v>
      </c>
      <c r="AV651" s="33">
        <v>2</v>
      </c>
      <c r="AW651" s="33">
        <f>Table2[[#This Row],[final_obs_date2]]-Table2[[#This Row],[pen_obs_date]]</f>
        <v>2</v>
      </c>
      <c r="AX651" s="67">
        <v>54</v>
      </c>
      <c r="AY651" s="157">
        <f>Table2[[#This Row],[final_obs_date]]</f>
        <v>54</v>
      </c>
      <c r="AZ651" s="6">
        <v>52</v>
      </c>
      <c r="BA651" s="92" t="s">
        <v>60</v>
      </c>
      <c r="BB651" s="6" t="b">
        <f>Table2[[#This Row],[final_obs_date]]&lt;(Table2[[#This Row],[estHD]]-2)</f>
        <v>0</v>
      </c>
      <c r="BC651" s="32">
        <f>IF(Table2[[#This Row],[field_fate]]="H",1,0)</f>
        <v>1</v>
      </c>
      <c r="BD651" s="16">
        <f>IF(Table2[[#This Row],[cam_fate2]]="H",1,0)</f>
        <v>1</v>
      </c>
      <c r="BE651" s="6" t="b">
        <f>NOT(Table2[[#This Row],[HF_C]]=Table2[[#This Row],[HF]])</f>
        <v>0</v>
      </c>
      <c r="BF651" s="38" t="b">
        <f>NOT(Table2[[#This Row],[cam_fate2]]=Table2[[#This Row],[field_fate3]])</f>
        <v>0</v>
      </c>
      <c r="BG651" s="38" t="b">
        <f>OR(Table2[[#This Row],[field_fate3]]="U",Table2[[#This Row],[field_fate3]]="U-H")</f>
        <v>0</v>
      </c>
      <c r="BH651" s="8">
        <v>46</v>
      </c>
      <c r="BI651" s="8">
        <v>54</v>
      </c>
      <c r="BJ651" s="14">
        <f>IF(ISTEXT(Table2[[#This Row],[j.cam]]),Table2[[#This Row],[j]],Table2[[#This Row],[j.cam]])</f>
        <v>54</v>
      </c>
      <c r="BK651" s="8">
        <v>54</v>
      </c>
      <c r="BL651" s="14">
        <f>IF(ISTEXT(Table2[[#This Row],[k.cam]]), Table2[[#This Row],[k]], Table2[[#This Row],[k.cam]])</f>
        <v>54</v>
      </c>
      <c r="BM651" s="4" t="s">
        <v>24</v>
      </c>
      <c r="BN651" s="8" t="s">
        <v>24</v>
      </c>
      <c r="BO651" s="4">
        <v>3</v>
      </c>
      <c r="BP651" s="4">
        <f>Table2[[#This Row],[final_obs_date]]-Table2[[#This Row],[i]]</f>
        <v>8</v>
      </c>
      <c r="BQ651" s="4" t="b">
        <f>Table2[[#This Row],[final_obs_date2]]&gt;Table2[[#This Row],[estHD]]+3</f>
        <v>0</v>
      </c>
      <c r="BR651" s="3" t="s">
        <v>33</v>
      </c>
      <c r="BS651" s="3" t="s">
        <v>165</v>
      </c>
      <c r="BT651" s="125" t="s">
        <v>1400</v>
      </c>
      <c r="BU651" s="4" t="s">
        <v>420</v>
      </c>
      <c r="BV651" s="79" t="s">
        <v>1477</v>
      </c>
      <c r="BW651" s="69" t="s">
        <v>1715</v>
      </c>
      <c r="BX651" s="36" t="s">
        <v>919</v>
      </c>
      <c r="BY651" s="36" t="s">
        <v>869</v>
      </c>
    </row>
    <row r="652" spans="1:77" hidden="1" x14ac:dyDescent="0.35">
      <c r="A652" s="64">
        <v>30910</v>
      </c>
      <c r="B652" s="2" t="s">
        <v>35</v>
      </c>
      <c r="C652" s="46">
        <v>2021</v>
      </c>
      <c r="D652" s="3">
        <v>29.762699999999999</v>
      </c>
      <c r="E652" s="3">
        <v>-93.136330000000001</v>
      </c>
      <c r="F652" s="3">
        <v>5</v>
      </c>
      <c r="G652" s="3">
        <v>5</v>
      </c>
      <c r="H652" s="3" t="s">
        <v>24</v>
      </c>
      <c r="I652" s="43"/>
      <c r="J652" s="116">
        <v>66</v>
      </c>
      <c r="K652" s="4">
        <v>66</v>
      </c>
      <c r="L652" s="22">
        <f>IF(ISNUMBER(Table2[[#This Row],[estHD]]),ABS(Table2[[#This Row],[HD]]-Table2[[#This Row],[estHD]]),"NA")</f>
        <v>0</v>
      </c>
      <c r="M652" s="4" t="b">
        <f>Table2[[#This Row],[HD]]=Table2[[#This Row],[estHD]]</f>
        <v>1</v>
      </c>
      <c r="N652" s="4">
        <f>IF(ISNUMBER(Table2[[#This Row],[HD]]),Table2[[#This Row],[HD]]-19,"NA")</f>
        <v>47</v>
      </c>
      <c r="O652" s="31">
        <v>47</v>
      </c>
      <c r="P652" s="23">
        <f>IF(ISNUMBER(Table2[[#This Row],[nest_age1]]),ABS(Table2[[#This Row],[nest_age1]]-Table2[[#This Row],[nest_age_feb]]),"NA")</f>
        <v>0</v>
      </c>
      <c r="Q652" s="25">
        <f>IF(ISNUMBER(Table2[[#This Row],[final_obs_int2]]),ABS(Table2[[#This Row],[final_obs_int2]]-Table2[[#This Row],[final_obs_int_feb]]), "NA")</f>
        <v>2</v>
      </c>
      <c r="R652" s="25"/>
      <c r="S652" s="21" t="s">
        <v>448</v>
      </c>
      <c r="T652" s="21" t="s">
        <v>75</v>
      </c>
      <c r="U652" s="52" t="s">
        <v>75</v>
      </c>
      <c r="V652" s="16" t="s">
        <v>48</v>
      </c>
      <c r="W652" s="16">
        <v>11</v>
      </c>
      <c r="X652" s="145">
        <v>4</v>
      </c>
      <c r="Y652" s="147" t="s">
        <v>48</v>
      </c>
      <c r="Z652" s="146" t="s">
        <v>48</v>
      </c>
      <c r="AA652" s="4" t="str">
        <f>Table2[[#This Row],[field_fate]]</f>
        <v>F</v>
      </c>
      <c r="AB652" s="4" t="str">
        <f>Table2[[#This Row],[field_fate2]]</f>
        <v>F</v>
      </c>
      <c r="AC652" s="94" t="str">
        <f>Table2[[#This Row],[field_fate3]]</f>
        <v>F</v>
      </c>
      <c r="AD652" s="94" t="str">
        <f>Table2[[#This Row],[field_fate4]]</f>
        <v>F</v>
      </c>
      <c r="AE652" s="94" t="str">
        <f>Table2[[#This Row],[field_fate5]]</f>
        <v>F</v>
      </c>
      <c r="AF652" s="94" t="str">
        <f>Table2[[#This Row],[field_fate5]]</f>
        <v>F</v>
      </c>
      <c r="AG652" s="94" t="str">
        <f>Table2[[#This Row],[field_fate5]]</f>
        <v>F</v>
      </c>
      <c r="AH652" s="94" t="str">
        <f>Table2[[#This Row],[field_fate2]]</f>
        <v>F</v>
      </c>
      <c r="AI652" s="94" t="str">
        <f>Table2[[#This Row],[field_fate8]]</f>
        <v>F</v>
      </c>
      <c r="AJ652" s="94" t="str">
        <f>Table2[[#This Row],[field_fate10]]</f>
        <v>F</v>
      </c>
      <c r="AK652" s="94" t="b">
        <f>Table2[[#This Row],[field_fate_feb]]=Table2[[#This Row],[field_fate10]]</f>
        <v>1</v>
      </c>
      <c r="AL652" s="43" t="s">
        <v>48</v>
      </c>
      <c r="AM652" s="160" t="b">
        <f>Table2[[#This Row],[cam_fate2]]="NA"</f>
        <v>0</v>
      </c>
      <c r="AN652" s="19" t="str">
        <f>Table2[[#This Row],[cam_fate1]]</f>
        <v>F</v>
      </c>
      <c r="AO652" s="2" t="s">
        <v>48</v>
      </c>
      <c r="AP652" s="5" t="str">
        <f>Table2[[#This Row],[final_fate1]]</f>
        <v>F</v>
      </c>
      <c r="AQ652" s="6">
        <v>11</v>
      </c>
      <c r="AR652" s="72">
        <v>11</v>
      </c>
      <c r="AS652" s="72">
        <f>Table2[[#This Row],[final_obs_date]]-Table2[[#This Row],[init_date]]</f>
        <v>7</v>
      </c>
      <c r="AT652" s="155">
        <f>(Table2[[#This Row],[final_obs_date2]]-Table2[[#This Row],[estHD]])+19</f>
        <v>7</v>
      </c>
      <c r="AU652" s="40">
        <v>2</v>
      </c>
      <c r="AV652" s="33">
        <v>2</v>
      </c>
      <c r="AW652" s="33">
        <f>Table2[[#This Row],[final_obs_date2]]-Table2[[#This Row],[pen_obs_date]]</f>
        <v>2</v>
      </c>
      <c r="AX652" s="68">
        <v>54</v>
      </c>
      <c r="AY652" s="157">
        <f>Table2[[#This Row],[final_obs_date]]</f>
        <v>54</v>
      </c>
      <c r="AZ652" s="10">
        <v>52</v>
      </c>
      <c r="BA652" s="92" t="s">
        <v>47</v>
      </c>
      <c r="BB652" s="10" t="b">
        <f>Table2[[#This Row],[final_obs_date]]&lt;(Table2[[#This Row],[estHD]]-2)</f>
        <v>1</v>
      </c>
      <c r="BC652" s="32">
        <f>IF(Table2[[#This Row],[field_fate]]="H",1,0)</f>
        <v>0</v>
      </c>
      <c r="BD652" s="16">
        <f>IF(Table2[[#This Row],[cam_fate2]]="H",1,0)</f>
        <v>0</v>
      </c>
      <c r="BE652" s="6" t="b">
        <f>NOT(Table2[[#This Row],[HF_C]]=Table2[[#This Row],[HF]])</f>
        <v>0</v>
      </c>
      <c r="BF652" s="38" t="b">
        <f>NOT(Table2[[#This Row],[cam_fate2]]=Table2[[#This Row],[field_fate3]])</f>
        <v>0</v>
      </c>
      <c r="BG652" s="38" t="b">
        <f>OR(Table2[[#This Row],[field_fate3]]="U",Table2[[#This Row],[field_fate3]]="U-H")</f>
        <v>0</v>
      </c>
      <c r="BH652" s="8">
        <v>46</v>
      </c>
      <c r="BI652" s="8">
        <v>52</v>
      </c>
      <c r="BJ652" s="14">
        <f>IF(ISTEXT(Table2[[#This Row],[j.cam]]),Table2[[#This Row],[j]],Table2[[#This Row],[j.cam]])</f>
        <v>52</v>
      </c>
      <c r="BK652" s="8">
        <v>54</v>
      </c>
      <c r="BL652" s="14">
        <f>IF(ISTEXT(Table2[[#This Row],[k.cam]]), Table2[[#This Row],[k]], Table2[[#This Row],[k.cam]])</f>
        <v>54</v>
      </c>
      <c r="BM652" s="4" t="s">
        <v>24</v>
      </c>
      <c r="BN652" s="8" t="s">
        <v>24</v>
      </c>
      <c r="BO652" s="4">
        <v>4</v>
      </c>
      <c r="BP652" s="4">
        <f>Table2[[#This Row],[final_obs_date]]-Table2[[#This Row],[i]]</f>
        <v>8</v>
      </c>
      <c r="BQ652" s="4" t="b">
        <f>Table2[[#This Row],[final_obs_date2]]&gt;Table2[[#This Row],[estHD]]+3</f>
        <v>0</v>
      </c>
      <c r="BR652" s="27" t="s">
        <v>45</v>
      </c>
      <c r="BS652" s="3" t="s">
        <v>45</v>
      </c>
      <c r="BT652" s="125" t="s">
        <v>1401</v>
      </c>
      <c r="BU652" s="4" t="s">
        <v>421</v>
      </c>
      <c r="BV652" s="79" t="s">
        <v>1687</v>
      </c>
      <c r="BW652" s="69" t="s">
        <v>467</v>
      </c>
      <c r="BX652" s="36"/>
      <c r="BY652" s="36" t="s">
        <v>24</v>
      </c>
    </row>
    <row r="653" spans="1:77" hidden="1" x14ac:dyDescent="0.35">
      <c r="A653" s="64">
        <v>30911</v>
      </c>
      <c r="B653" s="2" t="s">
        <v>35</v>
      </c>
      <c r="C653" s="46">
        <v>2021</v>
      </c>
      <c r="D653" s="3">
        <v>29.762799999999999</v>
      </c>
      <c r="E653" s="3">
        <v>-93.137050000000002</v>
      </c>
      <c r="F653" s="3">
        <v>10</v>
      </c>
      <c r="G653" s="3">
        <v>10</v>
      </c>
      <c r="H653" s="3" t="s">
        <v>24</v>
      </c>
      <c r="I653" s="43" t="s">
        <v>997</v>
      </c>
      <c r="J653" s="116" t="s">
        <v>24</v>
      </c>
      <c r="K653" s="4" t="s">
        <v>24</v>
      </c>
      <c r="L653" s="22" t="str">
        <f>IF(ISNUMBER(Table2[[#This Row],[estHD]]),ABS(Table2[[#This Row],[HD]]-Table2[[#This Row],[estHD]]),"NA")</f>
        <v>NA</v>
      </c>
      <c r="M653" s="4" t="b">
        <f>Table2[[#This Row],[HD]]=Table2[[#This Row],[estHD]]</f>
        <v>1</v>
      </c>
      <c r="N653" s="4" t="str">
        <f>IF(ISNUMBER([1]!Table2[[#This Row],[hatch_date]]),[1]!Table2[[#This Row],[hatch_date]]-19,"NA")</f>
        <v>NA</v>
      </c>
      <c r="O653" s="31" t="s">
        <v>24</v>
      </c>
      <c r="P653" s="23" t="str">
        <f>IF(ISNUMBER(Table2[[#This Row],[nest_age1]]),ABS(Table2[[#This Row],[nest_age1]]-Table2[[#This Row],[nest_age_feb]]),"NA")</f>
        <v>NA</v>
      </c>
      <c r="Q653" s="24">
        <f>IF(ISNUMBER(Table2[[#This Row],[final_obs_int2]]),ABS(Table2[[#This Row],[final_obs_int2]]-Table2[[#This Row],[final_obs_int_feb]]), "NA")</f>
        <v>0</v>
      </c>
      <c r="R653" s="24"/>
      <c r="S653" s="20" t="s">
        <v>75</v>
      </c>
      <c r="T653" s="20" t="str">
        <f>Table2[[#This Row],[camera_old]]</f>
        <v>Y</v>
      </c>
      <c r="U653" s="22" t="s">
        <v>88</v>
      </c>
      <c r="V653" s="16" t="s">
        <v>31</v>
      </c>
      <c r="W653" s="16" t="s">
        <v>24</v>
      </c>
      <c r="X653" s="145">
        <v>6</v>
      </c>
      <c r="Y653" s="147" t="s">
        <v>31</v>
      </c>
      <c r="Z653" s="146" t="s">
        <v>31</v>
      </c>
      <c r="AA653" s="4" t="str">
        <f>Table2[[#This Row],[field_fate]]</f>
        <v>D</v>
      </c>
      <c r="AB653" s="4" t="str">
        <f>Table2[[#This Row],[field_fate2]]</f>
        <v>D</v>
      </c>
      <c r="AC653" s="94" t="str">
        <f>Table2[[#This Row],[field_fate3]]</f>
        <v>D</v>
      </c>
      <c r="AD653" s="94" t="str">
        <f>Table2[[#This Row],[field_fate4]]</f>
        <v>D</v>
      </c>
      <c r="AE653" s="94" t="str">
        <f>Table2[[#This Row],[field_fate5]]</f>
        <v>D</v>
      </c>
      <c r="AF653" s="94" t="str">
        <f>Table2[[#This Row],[field_fate5]]</f>
        <v>D</v>
      </c>
      <c r="AG653" s="94" t="str">
        <f>Table2[[#This Row],[field_fate5]]</f>
        <v>D</v>
      </c>
      <c r="AH653" s="94" t="str">
        <f>Table2[[#This Row],[field_fate2]]</f>
        <v>D</v>
      </c>
      <c r="AI653" s="94" t="str">
        <f>Table2[[#This Row],[field_fate8]]</f>
        <v>D</v>
      </c>
      <c r="AJ653" s="94" t="str">
        <f>Table2[[#This Row],[field_fate10]]</f>
        <v>D</v>
      </c>
      <c r="AK653" s="94" t="b">
        <f>Table2[[#This Row],[field_fate_feb]]=Table2[[#This Row],[field_fate10]]</f>
        <v>1</v>
      </c>
      <c r="AL653" s="43" t="s">
        <v>31</v>
      </c>
      <c r="AM653" s="160" t="b">
        <f>Table2[[#This Row],[cam_fate2]]="NA"</f>
        <v>0</v>
      </c>
      <c r="AN653" s="19" t="str">
        <f>Table2[[#This Row],[cam_fate1]]</f>
        <v>D</v>
      </c>
      <c r="AO653" s="2" t="s">
        <v>31</v>
      </c>
      <c r="AP653" s="5" t="str">
        <f>Table2[[#This Row],[final_fate1]]</f>
        <v>D</v>
      </c>
      <c r="AQ653" s="6" t="s">
        <v>24</v>
      </c>
      <c r="AR653" s="72" t="s">
        <v>24</v>
      </c>
      <c r="AS653" s="155" t="e">
        <f>Table2[[#This Row],[final_obs_date]]-Table2[[#This Row],[init_date]]</f>
        <v>#VALUE!</v>
      </c>
      <c r="AT653" s="155" t="e">
        <f>(Table2[[#This Row],[final_obs_date2]]-Table2[[#This Row],[estHD]])+19</f>
        <v>#VALUE!</v>
      </c>
      <c r="AU653" s="38">
        <v>6</v>
      </c>
      <c r="AV653" s="33">
        <v>6</v>
      </c>
      <c r="AW653" s="33">
        <f>Table2[[#This Row],[final_obs_date2]]-Table2[[#This Row],[pen_obs_date]]</f>
        <v>6</v>
      </c>
      <c r="AX653" s="67">
        <v>52</v>
      </c>
      <c r="AY653" s="157">
        <f>Table2[[#This Row],[final_obs_date]]</f>
        <v>52</v>
      </c>
      <c r="AZ653" s="6">
        <v>46</v>
      </c>
      <c r="BA653" s="92" t="s">
        <v>47</v>
      </c>
      <c r="BB653" s="6" t="e">
        <f>Table2[[#This Row],[final_obs_date]]&lt;(Table2[[#This Row],[estHD]]-2)</f>
        <v>#VALUE!</v>
      </c>
      <c r="BC653" s="32">
        <f>IF(Table2[[#This Row],[field_fate]]="H",1,0)</f>
        <v>0</v>
      </c>
      <c r="BD653" s="16">
        <f>IF(Table2[[#This Row],[cam_fate2]]="H",1,0)</f>
        <v>0</v>
      </c>
      <c r="BE653" s="6" t="b">
        <f>NOT(Table2[[#This Row],[HF_C]]=Table2[[#This Row],[HF]])</f>
        <v>0</v>
      </c>
      <c r="BF653" s="38" t="b">
        <f>NOT(Table2[[#This Row],[cam_fate2]]=Table2[[#This Row],[field_fate3]])</f>
        <v>0</v>
      </c>
      <c r="BG653" s="38" t="b">
        <f>OR(Table2[[#This Row],[field_fate3]]="U",Table2[[#This Row],[field_fate3]]="U-H")</f>
        <v>0</v>
      </c>
      <c r="BH653" s="8">
        <v>46</v>
      </c>
      <c r="BI653" s="8">
        <v>46</v>
      </c>
      <c r="BJ653" s="14">
        <f>IF(ISTEXT(Table2[[#This Row],[j.cam]]),Table2[[#This Row],[j]],Table2[[#This Row],[j.cam]])</f>
        <v>46</v>
      </c>
      <c r="BK653" s="8">
        <v>52</v>
      </c>
      <c r="BL653" s="14">
        <f>IF(ISTEXT(Table2[[#This Row],[k.cam]]), Table2[[#This Row],[k]], Table2[[#This Row],[k.cam]])</f>
        <v>52</v>
      </c>
      <c r="BM653" s="4" t="s">
        <v>24</v>
      </c>
      <c r="BN653" s="8" t="s">
        <v>24</v>
      </c>
      <c r="BO653" s="4">
        <v>2</v>
      </c>
      <c r="BP653" s="4">
        <f>Table2[[#This Row],[final_obs_date]]-Table2[[#This Row],[i]]</f>
        <v>6</v>
      </c>
      <c r="BQ653" s="4" t="e">
        <f>Table2[[#This Row],[final_obs_date2]]&gt;Table2[[#This Row],[estHD]]+3</f>
        <v>#VALUE!</v>
      </c>
      <c r="BR653" s="3" t="s">
        <v>27</v>
      </c>
      <c r="BS653" s="3" t="s">
        <v>45</v>
      </c>
      <c r="BT653" s="125" t="s">
        <v>1362</v>
      </c>
      <c r="BU653" s="4" t="s">
        <v>183</v>
      </c>
      <c r="BV653" s="79" t="s">
        <v>1437</v>
      </c>
      <c r="BW653" s="69"/>
      <c r="BX653" s="36" t="s">
        <v>1700</v>
      </c>
      <c r="BY653" s="36" t="s">
        <v>24</v>
      </c>
    </row>
    <row r="654" spans="1:77" hidden="1" x14ac:dyDescent="0.35">
      <c r="A654" s="64">
        <v>30912</v>
      </c>
      <c r="B654" s="2" t="s">
        <v>35</v>
      </c>
      <c r="C654" s="46">
        <v>2021</v>
      </c>
      <c r="D654" s="3">
        <v>29.763909999999999</v>
      </c>
      <c r="E654" s="3">
        <v>-93.143860000000004</v>
      </c>
      <c r="F654" s="3">
        <v>0</v>
      </c>
      <c r="G654" s="3">
        <v>5</v>
      </c>
      <c r="H654" s="3" t="s">
        <v>24</v>
      </c>
      <c r="I654" s="43"/>
      <c r="J654" s="116">
        <v>66</v>
      </c>
      <c r="K654" s="4">
        <v>66</v>
      </c>
      <c r="L654" s="22">
        <f>IF(ISNUMBER(Table2[[#This Row],[estHD]]),ABS(Table2[[#This Row],[HD]]-Table2[[#This Row],[estHD]]),"NA")</f>
        <v>0</v>
      </c>
      <c r="M654" s="4" t="b">
        <f>Table2[[#This Row],[HD]]=Table2[[#This Row],[estHD]]</f>
        <v>1</v>
      </c>
      <c r="N654" s="4" t="str">
        <f>IF(ISNUMBER([1]!Table2[[#This Row],[hatch_date]]),[1]!Table2[[#This Row],[hatch_date]]-19,"NA")</f>
        <v>NA</v>
      </c>
      <c r="O654" s="31">
        <v>47</v>
      </c>
      <c r="P654" s="23">
        <f>IF(ISNUMBER(Table2[[#This Row],[nest_age1]]),ABS(Table2[[#This Row],[nest_age1]]-Table2[[#This Row],[nest_age_feb]]),"NA")</f>
        <v>0</v>
      </c>
      <c r="Q654" s="24">
        <f>IF(ISNUMBER(Table2[[#This Row],[final_obs_int2]]),ABS(Table2[[#This Row],[final_obs_int2]]-Table2[[#This Row],[final_obs_int_feb]]), "NA")</f>
        <v>6</v>
      </c>
      <c r="R654" s="24"/>
      <c r="S654" s="20" t="s">
        <v>75</v>
      </c>
      <c r="T654" s="20" t="str">
        <f>Table2[[#This Row],[camera_old]]</f>
        <v>Y</v>
      </c>
      <c r="U654" s="22" t="s">
        <v>88</v>
      </c>
      <c r="V654" s="16" t="s">
        <v>31</v>
      </c>
      <c r="W654" s="16">
        <v>7</v>
      </c>
      <c r="X654" s="145">
        <v>2</v>
      </c>
      <c r="Y654" s="147" t="s">
        <v>91</v>
      </c>
      <c r="Z654" s="146" t="s">
        <v>91</v>
      </c>
      <c r="AA654" s="4" t="str">
        <f>Table2[[#This Row],[field_fate]]</f>
        <v>Hu</v>
      </c>
      <c r="AB654" s="4" t="str">
        <f>Table2[[#This Row],[field_fate2]]</f>
        <v>Hu</v>
      </c>
      <c r="AC654" s="94" t="str">
        <f>Table2[[#This Row],[field_fate3]]</f>
        <v>Hu</v>
      </c>
      <c r="AD654" s="94" t="str">
        <f>Table2[[#This Row],[field_fate4]]</f>
        <v>Hu</v>
      </c>
      <c r="AE654" s="94" t="str">
        <f>Table2[[#This Row],[field_fate5]]</f>
        <v>Hu</v>
      </c>
      <c r="AF654" s="94" t="str">
        <f>Table2[[#This Row],[field_fate5]]</f>
        <v>Hu</v>
      </c>
      <c r="AG654" s="94" t="str">
        <f>Table2[[#This Row],[field_fate5]]</f>
        <v>Hu</v>
      </c>
      <c r="AH654" s="94" t="str">
        <f>Table2[[#This Row],[field_fate2]]</f>
        <v>Hu</v>
      </c>
      <c r="AI654" s="94" t="str">
        <f>Table2[[#This Row],[field_fate8]]</f>
        <v>Hu</v>
      </c>
      <c r="AJ654" s="94" t="str">
        <f>Table2[[#This Row],[field_fate10]]</f>
        <v>Hu</v>
      </c>
      <c r="AK654" s="94" t="b">
        <f>Table2[[#This Row],[field_fate_feb]]=Table2[[#This Row],[field_fate10]]</f>
        <v>1</v>
      </c>
      <c r="AL654" s="43" t="s">
        <v>31</v>
      </c>
      <c r="AM654" s="160" t="b">
        <f>Table2[[#This Row],[cam_fate2]]="NA"</f>
        <v>0</v>
      </c>
      <c r="AN654" s="12" t="s">
        <v>48</v>
      </c>
      <c r="AO654" s="2" t="s">
        <v>31</v>
      </c>
      <c r="AP654" s="5" t="s">
        <v>48</v>
      </c>
      <c r="AQ654" s="6">
        <v>7</v>
      </c>
      <c r="AR654" s="72">
        <v>7</v>
      </c>
      <c r="AS654" s="72">
        <f>Table2[[#This Row],[final_obs_date]]-Table2[[#This Row],[init_date]]</f>
        <v>7</v>
      </c>
      <c r="AT654" s="155">
        <f>(Table2[[#This Row],[final_obs_date2]]-Table2[[#This Row],[estHD]])+19</f>
        <v>7</v>
      </c>
      <c r="AU654" s="41">
        <v>2</v>
      </c>
      <c r="AV654" s="33">
        <v>8</v>
      </c>
      <c r="AW654" s="33">
        <f>Table2[[#This Row],[final_obs_date2]]-Table2[[#This Row],[pen_obs_date]]</f>
        <v>2</v>
      </c>
      <c r="AX654" s="67">
        <v>54</v>
      </c>
      <c r="AY654" s="157">
        <f>Table2[[#This Row],[final_obs_date]]</f>
        <v>54</v>
      </c>
      <c r="AZ654" s="6">
        <v>52</v>
      </c>
      <c r="BA654" s="92" t="s">
        <v>47</v>
      </c>
      <c r="BB654" s="6" t="b">
        <f>Table2[[#This Row],[final_obs_date]]&lt;(Table2[[#This Row],[estHD]]-2)</f>
        <v>1</v>
      </c>
      <c r="BC654" s="32">
        <f>IF(Table2[[#This Row],[field_fate]]="H",1,0)</f>
        <v>0</v>
      </c>
      <c r="BD654" s="16">
        <f>IF(Table2[[#This Row],[cam_fate2]]="H",1,0)</f>
        <v>0</v>
      </c>
      <c r="BE654" s="6" t="b">
        <f>NOT(Table2[[#This Row],[HF_C]]=Table2[[#This Row],[HF]])</f>
        <v>0</v>
      </c>
      <c r="BF654" s="38" t="b">
        <f>NOT(Table2[[#This Row],[cam_fate2]]=Table2[[#This Row],[field_fate3]])</f>
        <v>1</v>
      </c>
      <c r="BG654" s="38" t="b">
        <f>OR(Table2[[#This Row],[field_fate3]]="U",Table2[[#This Row],[field_fate3]]="U-H")</f>
        <v>0</v>
      </c>
      <c r="BH654" s="8">
        <v>46</v>
      </c>
      <c r="BI654" s="8">
        <v>46</v>
      </c>
      <c r="BJ654" s="14">
        <f>IF(ISTEXT(Table2[[#This Row],[j.cam]]),Table2[[#This Row],[j]],Table2[[#This Row],[j.cam]])</f>
        <v>46</v>
      </c>
      <c r="BK654" s="8">
        <v>54</v>
      </c>
      <c r="BL654" s="14">
        <f>IF(ISTEXT(Table2[[#This Row],[k.cam]]), Table2[[#This Row],[k]], Table2[[#This Row],[k.cam]])</f>
        <v>54</v>
      </c>
      <c r="BM654" s="4" t="s">
        <v>24</v>
      </c>
      <c r="BN654" s="8" t="s">
        <v>24</v>
      </c>
      <c r="BO654" s="4">
        <v>3</v>
      </c>
      <c r="BP654" s="4">
        <f>Table2[[#This Row],[final_obs_date]]-Table2[[#This Row],[i]]</f>
        <v>8</v>
      </c>
      <c r="BQ654" s="4" t="b">
        <f>Table2[[#This Row],[final_obs_date2]]&gt;Table2[[#This Row],[estHD]]+3</f>
        <v>0</v>
      </c>
      <c r="BR654" s="28" t="s">
        <v>55</v>
      </c>
      <c r="BS654" s="3" t="s">
        <v>91</v>
      </c>
      <c r="BT654" s="125" t="s">
        <v>1400</v>
      </c>
      <c r="BU654" s="4" t="s">
        <v>422</v>
      </c>
      <c r="BV654" s="79" t="s">
        <v>1477</v>
      </c>
      <c r="BW654" s="69" t="s">
        <v>471</v>
      </c>
      <c r="BX654" s="36" t="s">
        <v>916</v>
      </c>
      <c r="BY654" s="36" t="s">
        <v>870</v>
      </c>
    </row>
    <row r="655" spans="1:77" hidden="1" x14ac:dyDescent="0.35">
      <c r="A655" s="64">
        <v>30913</v>
      </c>
      <c r="B655" s="2" t="s">
        <v>35</v>
      </c>
      <c r="C655" s="46">
        <v>2021</v>
      </c>
      <c r="D655" s="3">
        <v>29.76247</v>
      </c>
      <c r="E655" s="3">
        <v>-93.1357</v>
      </c>
      <c r="F655" s="3">
        <v>40</v>
      </c>
      <c r="G655" s="3">
        <v>40</v>
      </c>
      <c r="H655" s="3" t="s">
        <v>24</v>
      </c>
      <c r="I655" s="43"/>
      <c r="J655" s="55">
        <v>59</v>
      </c>
      <c r="K655" s="4">
        <v>59</v>
      </c>
      <c r="L655" s="22">
        <f>IF(ISNUMBER(Table2[[#This Row],[estHD]]),ABS(Table2[[#This Row],[HD]]-Table2[[#This Row],[estHD]]),"NA")</f>
        <v>0</v>
      </c>
      <c r="M655" s="4" t="b">
        <f>Table2[[#This Row],[HD]]=Table2[[#This Row],[estHD]]</f>
        <v>1</v>
      </c>
      <c r="N655" s="4" t="str">
        <f>IF(ISNUMBER([1]!Table2[[#This Row],[hatch_date]]), [1]!Table2[[#This Row],[hatch_date]]-16, "NA")</f>
        <v>NA</v>
      </c>
      <c r="O655" s="31">
        <v>43</v>
      </c>
      <c r="P655" s="23" t="e">
        <f>IF(ISNUMBER(Table2[[#This Row],[nest_age1]]),ABS(Table2[[#This Row],[nest_age1]]-Table2[[#This Row],[nest_age_feb]]),"NA")</f>
        <v>#VALUE!</v>
      </c>
      <c r="Q655" s="24">
        <f>IF(ISNUMBER(Table2[[#This Row],[final_obs_int2]]),ABS(Table2[[#This Row],[final_obs_int2]]-Table2[[#This Row],[final_obs_int_feb]]), "NA")</f>
        <v>4</v>
      </c>
      <c r="R655" s="24"/>
      <c r="S655" s="57" t="s">
        <v>88</v>
      </c>
      <c r="T655" s="57" t="str">
        <f>Table2[[#This Row],[camera_old]]</f>
        <v>N</v>
      </c>
      <c r="U655" s="24"/>
      <c r="V655" s="16" t="s">
        <v>24</v>
      </c>
      <c r="W655" s="16" t="s">
        <v>24</v>
      </c>
      <c r="X655" s="145">
        <v>4</v>
      </c>
      <c r="Y655" s="147" t="s">
        <v>31</v>
      </c>
      <c r="Z655" s="146" t="s">
        <v>31</v>
      </c>
      <c r="AA655" s="4" t="str">
        <f>Table2[[#This Row],[field_fate]]</f>
        <v>D</v>
      </c>
      <c r="AB655" s="4" t="str">
        <f>Table2[[#This Row],[field_fate2]]</f>
        <v>D</v>
      </c>
      <c r="AC655" s="4" t="str">
        <f>Table2[[#This Row],[field_fate3]]</f>
        <v>D</v>
      </c>
      <c r="AD655" s="4" t="str">
        <f>Table2[[#This Row],[field_fate4]]</f>
        <v>D</v>
      </c>
      <c r="AE655" s="4" t="str">
        <f>Table2[[#This Row],[field_fate5]]</f>
        <v>D</v>
      </c>
      <c r="AF655" s="4" t="str">
        <f>Table2[[#This Row],[field_fate5]]</f>
        <v>D</v>
      </c>
      <c r="AG655" s="4" t="str">
        <f>Table2[[#This Row],[field_fate5]]</f>
        <v>D</v>
      </c>
      <c r="AH655" s="4" t="str">
        <f>Table2[[#This Row],[field_fate2]]</f>
        <v>D</v>
      </c>
      <c r="AI655" s="4" t="str">
        <f>Table2[[#This Row],[field_fate8]]</f>
        <v>D</v>
      </c>
      <c r="AJ655" s="4" t="str">
        <f>Table2[[#This Row],[field_fate10]]</f>
        <v>D</v>
      </c>
      <c r="AK655" s="4" t="b">
        <f>Table2[[#This Row],[field_fate_feb]]=Table2[[#This Row],[field_fate10]]</f>
        <v>1</v>
      </c>
      <c r="AL655" s="43" t="s">
        <v>24</v>
      </c>
      <c r="AM655" s="43" t="b">
        <f>Table2[[#This Row],[cam_fate2]]="NA"</f>
        <v>1</v>
      </c>
      <c r="AN655" s="19" t="str">
        <f>Table2[[#This Row],[cam_fate1]]</f>
        <v>NA</v>
      </c>
      <c r="AO655" s="2" t="s">
        <v>31</v>
      </c>
      <c r="AP655" s="5" t="str">
        <f>Table2[[#This Row],[final_fate1]]</f>
        <v>D</v>
      </c>
      <c r="AQ655" s="6">
        <v>11</v>
      </c>
      <c r="AR655" s="7">
        <v>11</v>
      </c>
      <c r="AS655" s="7">
        <f>Table2[[#This Row],[final_obs_date]]-Table2[[#This Row],[init_date]]</f>
        <v>11</v>
      </c>
      <c r="AT655" s="7">
        <f>(Table2[[#This Row],[final_obs_date2]]-Table2[[#This Row],[estHD]])+16</f>
        <v>11</v>
      </c>
      <c r="AU655" s="38">
        <v>8</v>
      </c>
      <c r="AV655" s="33">
        <v>8</v>
      </c>
      <c r="AW655" s="33">
        <f>Table2[[#This Row],[final_obs_date2]]-Table2[[#This Row],[pen_obs_date]]</f>
        <v>54</v>
      </c>
      <c r="AX655" s="67">
        <v>54</v>
      </c>
      <c r="AY655" s="6">
        <f>Table2[[#This Row],[final_obs_date]]</f>
        <v>54</v>
      </c>
      <c r="AZ655" s="6"/>
      <c r="BA655" s="91" t="s">
        <v>60</v>
      </c>
      <c r="BB655" s="6" t="b">
        <f>Table2[[#This Row],[final_obs_date]]&lt;(Table2[[#This Row],[estHD]]-2)</f>
        <v>1</v>
      </c>
      <c r="BC655" s="24">
        <f>IF(Table2[[#This Row],[field_fate]]="H",1,0)</f>
        <v>0</v>
      </c>
      <c r="BD655" s="16">
        <f>IF(Table2[[#This Row],[cam_fate2]]="H",1,0)</f>
        <v>0</v>
      </c>
      <c r="BE655" s="6" t="b">
        <f>NOT(Table2[[#This Row],[HF_C]]=Table2[[#This Row],[HF]])</f>
        <v>0</v>
      </c>
      <c r="BF655" s="6" t="b">
        <f>NOT(Table2[[#This Row],[cam_fate2]]=Table2[[#This Row],[field_fate3]])</f>
        <v>1</v>
      </c>
      <c r="BG655" s="6" t="b">
        <f>OR(Table2[[#This Row],[field_fate3]]="U",Table2[[#This Row],[field_fate3]]="U-H")</f>
        <v>0</v>
      </c>
      <c r="BH655" s="8">
        <v>46</v>
      </c>
      <c r="BI655" s="8">
        <v>46</v>
      </c>
      <c r="BJ655" s="14">
        <f>IF(ISTEXT(Table2[[#This Row],[j.cam]]),Table2[[#This Row],[j]],Table2[[#This Row],[j.cam]])</f>
        <v>46</v>
      </c>
      <c r="BK655" s="9">
        <v>54</v>
      </c>
      <c r="BL655" s="15">
        <f>IF(ISTEXT(Table2[[#This Row],[k.cam]]), Table2[[#This Row],[k]], Table2[[#This Row],[k.cam]])</f>
        <v>54</v>
      </c>
      <c r="BM655" s="4" t="s">
        <v>24</v>
      </c>
      <c r="BN655" s="8" t="s">
        <v>24</v>
      </c>
      <c r="BO655" s="4">
        <v>2</v>
      </c>
      <c r="BP655" s="4">
        <f>Table2[[#This Row],[final_obs_date]]-Table2[[#This Row],[i]]</f>
        <v>8</v>
      </c>
      <c r="BQ655" s="4" t="b">
        <f>Table2[[#This Row],[final_obs_date2]]&gt;Table2[[#This Row],[estHD]]+3</f>
        <v>0</v>
      </c>
      <c r="BR655" s="4" t="s">
        <v>33</v>
      </c>
      <c r="BS655" s="4" t="s">
        <v>45</v>
      </c>
      <c r="BT655" s="79" t="s">
        <v>1361</v>
      </c>
      <c r="BU655" s="26" t="s">
        <v>87</v>
      </c>
      <c r="BV655" s="79" t="s">
        <v>1427</v>
      </c>
      <c r="BW655" s="49"/>
      <c r="BX655" s="47"/>
      <c r="BY655" s="36" t="s">
        <v>871</v>
      </c>
    </row>
    <row r="656" spans="1:77" hidden="1" x14ac:dyDescent="0.35">
      <c r="A656" s="64">
        <v>30914</v>
      </c>
      <c r="B656" s="2" t="s">
        <v>122</v>
      </c>
      <c r="C656" s="46">
        <v>2021</v>
      </c>
      <c r="D656" s="3">
        <v>29.757069999999999</v>
      </c>
      <c r="E656" s="3">
        <v>-93.114230000000006</v>
      </c>
      <c r="F656" s="3">
        <v>40</v>
      </c>
      <c r="G656" s="3">
        <v>40</v>
      </c>
      <c r="H656" s="3" t="s">
        <v>24</v>
      </c>
      <c r="I656" s="43" t="s">
        <v>997</v>
      </c>
      <c r="J656" s="116">
        <v>66</v>
      </c>
      <c r="K656" s="4">
        <v>66</v>
      </c>
      <c r="L656" s="22">
        <f>IF(ISNUMBER(Table2[[#This Row],[estHD]]),ABS(Table2[[#This Row],[HD]]-Table2[[#This Row],[estHD]]),"NA")</f>
        <v>0</v>
      </c>
      <c r="M656" s="4" t="b">
        <f>Table2[[#This Row],[HD]]=Table2[[#This Row],[estHD]]</f>
        <v>1</v>
      </c>
      <c r="N656" s="4" t="str">
        <f>IF(ISNUMBER([1]!Table2[[#This Row],[hatch_date]]),[1]!Table2[[#This Row],[hatch_date]]-19,"NA")</f>
        <v>NA</v>
      </c>
      <c r="O656" s="31">
        <v>47</v>
      </c>
      <c r="P656" s="23">
        <f>IF(ISNUMBER(Table2[[#This Row],[nest_age1]]),ABS(Table2[[#This Row],[nest_age1]]-Table2[[#This Row],[nest_age_feb]]),"NA")</f>
        <v>0</v>
      </c>
      <c r="Q656" s="24">
        <f>IF(ISNUMBER(Table2[[#This Row],[final_obs_int2]]),ABS(Table2[[#This Row],[final_obs_int2]]-Table2[[#This Row],[final_obs_int_feb]]), "NA")</f>
        <v>6</v>
      </c>
      <c r="R656" s="24"/>
      <c r="S656" s="20" t="s">
        <v>75</v>
      </c>
      <c r="T656" s="20" t="str">
        <f>Table2[[#This Row],[camera_old]]</f>
        <v>Y</v>
      </c>
      <c r="U656" s="22" t="s">
        <v>88</v>
      </c>
      <c r="V656" s="16" t="s">
        <v>48</v>
      </c>
      <c r="W656" s="16">
        <v>10</v>
      </c>
      <c r="X656" s="145">
        <v>5</v>
      </c>
      <c r="Y656" s="147" t="s">
        <v>48</v>
      </c>
      <c r="Z656" s="146" t="s">
        <v>48</v>
      </c>
      <c r="AA656" s="4" t="str">
        <f>Table2[[#This Row],[field_fate]]</f>
        <v>F</v>
      </c>
      <c r="AB656" s="4" t="str">
        <f>Table2[[#This Row],[field_fate2]]</f>
        <v>F</v>
      </c>
      <c r="AC656" s="94" t="str">
        <f>Table2[[#This Row],[field_fate3]]</f>
        <v>F</v>
      </c>
      <c r="AD656" s="94" t="str">
        <f>Table2[[#This Row],[field_fate4]]</f>
        <v>F</v>
      </c>
      <c r="AE656" s="94" t="str">
        <f>Table2[[#This Row],[field_fate5]]</f>
        <v>F</v>
      </c>
      <c r="AF656" s="94" t="str">
        <f>Table2[[#This Row],[field_fate5]]</f>
        <v>F</v>
      </c>
      <c r="AG656" s="94" t="str">
        <f>Table2[[#This Row],[field_fate5]]</f>
        <v>F</v>
      </c>
      <c r="AH656" s="94" t="str">
        <f>Table2[[#This Row],[field_fate2]]</f>
        <v>F</v>
      </c>
      <c r="AI656" s="94" t="str">
        <f>Table2[[#This Row],[field_fate8]]</f>
        <v>F</v>
      </c>
      <c r="AJ656" s="94" t="str">
        <f>Table2[[#This Row],[field_fate10]]</f>
        <v>F</v>
      </c>
      <c r="AK656" s="94" t="b">
        <f>Table2[[#This Row],[field_fate_feb]]=Table2[[#This Row],[field_fate10]]</f>
        <v>1</v>
      </c>
      <c r="AL656" s="43" t="s">
        <v>31</v>
      </c>
      <c r="AM656" s="160" t="b">
        <f>Table2[[#This Row],[cam_fate2]]="NA"</f>
        <v>0</v>
      </c>
      <c r="AN656" s="19" t="str">
        <f>Table2[[#This Row],[cam_fate1]]</f>
        <v>D</v>
      </c>
      <c r="AO656" s="2" t="s">
        <v>31</v>
      </c>
      <c r="AP656" s="5" t="str">
        <f>Table2[[#This Row],[final_fate1]]</f>
        <v>D</v>
      </c>
      <c r="AQ656" s="6">
        <v>10</v>
      </c>
      <c r="AR656" s="72">
        <v>10</v>
      </c>
      <c r="AS656" s="155">
        <f>Table2[[#This Row],[final_obs_date]]-Table2[[#This Row],[init_date]]</f>
        <v>10</v>
      </c>
      <c r="AT656" s="155">
        <f>(Table2[[#This Row],[final_obs_date2]]-Table2[[#This Row],[estHD]])+19</f>
        <v>10</v>
      </c>
      <c r="AU656" s="41">
        <v>5</v>
      </c>
      <c r="AV656" s="33">
        <v>11</v>
      </c>
      <c r="AW656" s="33">
        <f>Table2[[#This Row],[final_obs_date2]]-Table2[[#This Row],[pen_obs_date]]</f>
        <v>5</v>
      </c>
      <c r="AX656" s="67">
        <v>57</v>
      </c>
      <c r="AY656" s="157">
        <f>Table2[[#This Row],[final_obs_date]]</f>
        <v>57</v>
      </c>
      <c r="AZ656" s="10">
        <v>52</v>
      </c>
      <c r="BA656" s="92" t="s">
        <v>47</v>
      </c>
      <c r="BB656" s="6" t="b">
        <f>Table2[[#This Row],[final_obs_date]]&lt;(Table2[[#This Row],[estHD]]-2)</f>
        <v>1</v>
      </c>
      <c r="BC656" s="32">
        <f>IF(Table2[[#This Row],[field_fate]]="H",1,0)</f>
        <v>0</v>
      </c>
      <c r="BD656" s="16">
        <f>IF(Table2[[#This Row],[cam_fate2]]="H",1,0)</f>
        <v>0</v>
      </c>
      <c r="BE656" s="6" t="b">
        <f>NOT(Table2[[#This Row],[HF_C]]=Table2[[#This Row],[HF]])</f>
        <v>0</v>
      </c>
      <c r="BF656" s="38" t="b">
        <f>NOT(Table2[[#This Row],[cam_fate2]]=Table2[[#This Row],[field_fate3]])</f>
        <v>1</v>
      </c>
      <c r="BG656" s="38" t="b">
        <f>OR(Table2[[#This Row],[field_fate3]]="U",Table2[[#This Row],[field_fate3]]="U-H")</f>
        <v>0</v>
      </c>
      <c r="BH656" s="8">
        <v>46</v>
      </c>
      <c r="BI656" s="8">
        <v>46</v>
      </c>
      <c r="BJ656" s="14">
        <v>52</v>
      </c>
      <c r="BK656" s="8">
        <v>57</v>
      </c>
      <c r="BL656" s="14">
        <f>IF(ISTEXT(Table2[[#This Row],[k.cam]]), Table2[[#This Row],[k]], Table2[[#This Row],[k.cam]])</f>
        <v>57</v>
      </c>
      <c r="BM656" s="4" t="s">
        <v>24</v>
      </c>
      <c r="BN656" s="8" t="s">
        <v>24</v>
      </c>
      <c r="BO656" s="4">
        <v>3</v>
      </c>
      <c r="BP656" s="4">
        <f>Table2[[#This Row],[final_obs_date]]-Table2[[#This Row],[i]]</f>
        <v>11</v>
      </c>
      <c r="BQ656" s="4" t="b">
        <f>Table2[[#This Row],[final_obs_date2]]&gt;Table2[[#This Row],[estHD]]+3</f>
        <v>0</v>
      </c>
      <c r="BR656" s="28" t="s">
        <v>55</v>
      </c>
      <c r="BS656" s="3" t="s">
        <v>45</v>
      </c>
      <c r="BT656" s="125" t="s">
        <v>1330</v>
      </c>
      <c r="BU656" s="4" t="s">
        <v>186</v>
      </c>
      <c r="BV656" s="79" t="s">
        <v>1510</v>
      </c>
      <c r="BW656" s="69" t="s">
        <v>471</v>
      </c>
      <c r="BX656" s="154" t="s">
        <v>1729</v>
      </c>
      <c r="BY656" s="36" t="s">
        <v>24</v>
      </c>
    </row>
    <row r="657" spans="1:77" hidden="1" x14ac:dyDescent="0.35">
      <c r="A657" s="64">
        <v>30915</v>
      </c>
      <c r="B657" s="2" t="s">
        <v>122</v>
      </c>
      <c r="C657" s="46">
        <v>2021</v>
      </c>
      <c r="D657" s="3">
        <v>29.757079999999998</v>
      </c>
      <c r="E657" s="3">
        <v>-93.111530000000002</v>
      </c>
      <c r="F657" s="3">
        <v>5</v>
      </c>
      <c r="G657" s="3">
        <v>15</v>
      </c>
      <c r="H657" s="3" t="s">
        <v>24</v>
      </c>
      <c r="I657" s="43" t="s">
        <v>997</v>
      </c>
      <c r="J657" s="116">
        <v>50</v>
      </c>
      <c r="K657" s="4">
        <v>50</v>
      </c>
      <c r="L657" s="22">
        <f>IF(ISNUMBER(Table2[[#This Row],[estHD]]),ABS(Table2[[#This Row],[HD]]-Table2[[#This Row],[estHD]]),"NA")</f>
        <v>0</v>
      </c>
      <c r="M657" s="4" t="b">
        <f>Table2[[#This Row],[HD]]=Table2[[#This Row],[estHD]]</f>
        <v>1</v>
      </c>
      <c r="N657" s="4" t="str">
        <f>IF(ISNUMBER([1]!Table2[[#This Row],[hatch_date]]),[1]!Table2[[#This Row],[hatch_date]]-19,"NA")</f>
        <v>NA</v>
      </c>
      <c r="O657" s="31">
        <v>31</v>
      </c>
      <c r="P657" s="23">
        <f>IF(ISNUMBER(Table2[[#This Row],[nest_age1]]),ABS(Table2[[#This Row],[nest_age1]]-Table2[[#This Row],[nest_age_feb]]),"NA")</f>
        <v>0</v>
      </c>
      <c r="Q657" s="24">
        <f>IF(ISNUMBER(Table2[[#This Row],[final_obs_int2]]),ABS(Table2[[#This Row],[final_obs_int2]]-Table2[[#This Row],[final_obs_int_feb]]), "NA")</f>
        <v>0</v>
      </c>
      <c r="R657" s="24"/>
      <c r="S657" s="20" t="s">
        <v>75</v>
      </c>
      <c r="T657" s="20" t="str">
        <f>Table2[[#This Row],[camera_old]]</f>
        <v>Y</v>
      </c>
      <c r="U657" s="22" t="s">
        <v>88</v>
      </c>
      <c r="V657" s="16" t="s">
        <v>31</v>
      </c>
      <c r="W657" s="16">
        <v>21</v>
      </c>
      <c r="X657" s="145">
        <v>6</v>
      </c>
      <c r="Y657" s="147" t="s">
        <v>90</v>
      </c>
      <c r="Z657" s="146" t="s">
        <v>90</v>
      </c>
      <c r="AA657" s="4" t="str">
        <f>Table2[[#This Row],[field_fate]]</f>
        <v>U</v>
      </c>
      <c r="AB657" s="65" t="str">
        <f>Table2[[#This Row],[field_fate2]]</f>
        <v>U</v>
      </c>
      <c r="AC657" s="106" t="str">
        <f>Table2[[#This Row],[field_fate3]]</f>
        <v>U</v>
      </c>
      <c r="AD657" s="140" t="str">
        <f>Table2[[#This Row],[field_fate4]]</f>
        <v>U</v>
      </c>
      <c r="AE657" s="134" t="str">
        <f>Table2[[#This Row],[field_fate5]]</f>
        <v>U</v>
      </c>
      <c r="AF657" s="93" t="str">
        <f>Table2[[#This Row],[field_fate5]]</f>
        <v>U</v>
      </c>
      <c r="AG657" s="93" t="str">
        <f>Table2[[#This Row],[field_fate5]]</f>
        <v>U</v>
      </c>
      <c r="AH657" s="93" t="str">
        <f>Table2[[#This Row],[field_fate2]]</f>
        <v>U</v>
      </c>
      <c r="AI657" s="93" t="str">
        <f>Table2[[#This Row],[field_fate8]]</f>
        <v>U</v>
      </c>
      <c r="AJ657" s="93" t="str">
        <f>Table2[[#This Row],[field_fate10]]</f>
        <v>U</v>
      </c>
      <c r="AK657" s="93" t="b">
        <f>Table2[[#This Row],[field_fate_feb]]=Table2[[#This Row],[field_fate10]]</f>
        <v>1</v>
      </c>
      <c r="AL657" s="43" t="s">
        <v>31</v>
      </c>
      <c r="AM657" s="160" t="b">
        <f>Table2[[#This Row],[cam_fate2]]="NA"</f>
        <v>0</v>
      </c>
      <c r="AN657" s="19" t="str">
        <f>Table2[[#This Row],[cam_fate1]]</f>
        <v>D</v>
      </c>
      <c r="AO657" s="2" t="s">
        <v>31</v>
      </c>
      <c r="AP657" s="5" t="str">
        <f>Table2[[#This Row],[final_fate1]]</f>
        <v>D</v>
      </c>
      <c r="AQ657" s="6">
        <v>21</v>
      </c>
      <c r="AR657" s="72">
        <v>21</v>
      </c>
      <c r="AS657" s="155">
        <f>Table2[[#This Row],[final_obs_date]]-Table2[[#This Row],[init_date]]</f>
        <v>21</v>
      </c>
      <c r="AT657" s="155">
        <f>(Table2[[#This Row],[final_obs_date2]]-Table2[[#This Row],[estHD]])+19</f>
        <v>21</v>
      </c>
      <c r="AU657" s="38">
        <v>6</v>
      </c>
      <c r="AV657" s="33">
        <v>6</v>
      </c>
      <c r="AW657" s="33">
        <f>Table2[[#This Row],[final_obs_date2]]-Table2[[#This Row],[pen_obs_date]]</f>
        <v>6</v>
      </c>
      <c r="AX657" s="67">
        <v>52</v>
      </c>
      <c r="AY657" s="157">
        <f>Table2[[#This Row],[final_obs_date]]</f>
        <v>52</v>
      </c>
      <c r="AZ657" s="6">
        <v>46</v>
      </c>
      <c r="BA657" s="92" t="s">
        <v>47</v>
      </c>
      <c r="BB657" s="6" t="b">
        <f>Table2[[#This Row],[final_obs_date]]&lt;(Table2[[#This Row],[estHD]]-2)</f>
        <v>0</v>
      </c>
      <c r="BC657" s="32">
        <v>7</v>
      </c>
      <c r="BD657" s="16">
        <f>IF(Table2[[#This Row],[cam_fate2]]="H",1,0)</f>
        <v>0</v>
      </c>
      <c r="BE657" s="6" t="b">
        <f>NOT(Table2[[#This Row],[HF_C]]=Table2[[#This Row],[HF]])</f>
        <v>1</v>
      </c>
      <c r="BF657" s="38" t="b">
        <f>NOT(Table2[[#This Row],[cam_fate2]]=Table2[[#This Row],[field_fate3]])</f>
        <v>1</v>
      </c>
      <c r="BG657" s="38" t="b">
        <f>OR(Table2[[#This Row],[field_fate3]]="U",Table2[[#This Row],[field_fate3]]="U-H")</f>
        <v>1</v>
      </c>
      <c r="BH657" s="8">
        <v>46</v>
      </c>
      <c r="BI657" s="8">
        <v>46</v>
      </c>
      <c r="BJ657" s="14">
        <f>IF(ISTEXT(Table2[[#This Row],[j.cam]]),Table2[[#This Row],[j]],Table2[[#This Row],[j.cam]])</f>
        <v>46</v>
      </c>
      <c r="BK657" s="8">
        <v>52</v>
      </c>
      <c r="BL657" s="14">
        <f>IF(ISTEXT(Table2[[#This Row],[k.cam]]), Table2[[#This Row],[k]], Table2[[#This Row],[k.cam]])</f>
        <v>52</v>
      </c>
      <c r="BM657" s="4" t="s">
        <v>24</v>
      </c>
      <c r="BN657" s="8" t="s">
        <v>24</v>
      </c>
      <c r="BO657" s="4">
        <v>2</v>
      </c>
      <c r="BP657" s="4">
        <f>Table2[[#This Row],[final_obs_date]]-Table2[[#This Row],[i]]</f>
        <v>6</v>
      </c>
      <c r="BQ657" s="4" t="b">
        <f>Table2[[#This Row],[final_obs_date2]]&gt;Table2[[#This Row],[estHD]]+3</f>
        <v>0</v>
      </c>
      <c r="BR657" s="3" t="s">
        <v>33</v>
      </c>
      <c r="BS657" s="3" t="s">
        <v>45</v>
      </c>
      <c r="BT657" s="125" t="s">
        <v>1362</v>
      </c>
      <c r="BU657" s="4" t="s">
        <v>87</v>
      </c>
      <c r="BV657" s="79" t="s">
        <v>1437</v>
      </c>
      <c r="BW657" s="69"/>
      <c r="BX657" s="36" t="s">
        <v>365</v>
      </c>
      <c r="BY657" s="47" t="s">
        <v>24</v>
      </c>
    </row>
    <row r="658" spans="1:77" hidden="1" x14ac:dyDescent="0.35">
      <c r="A658" s="64">
        <v>30916</v>
      </c>
      <c r="B658" s="2" t="s">
        <v>122</v>
      </c>
      <c r="C658" s="46">
        <v>2021</v>
      </c>
      <c r="D658" s="3">
        <v>29.756150000000002</v>
      </c>
      <c r="E658" s="3">
        <v>-93.107569999999996</v>
      </c>
      <c r="F658" s="3">
        <v>30</v>
      </c>
      <c r="G658" s="3">
        <v>30</v>
      </c>
      <c r="H658" s="3" t="s">
        <v>24</v>
      </c>
      <c r="I658" s="43"/>
      <c r="J658" s="116">
        <v>66</v>
      </c>
      <c r="K658" s="4">
        <v>66</v>
      </c>
      <c r="L658" s="22">
        <f>IF(ISNUMBER(Table2[[#This Row],[estHD]]),ABS(Table2[[#This Row],[HD]]-Table2[[#This Row],[estHD]]),"NA")</f>
        <v>0</v>
      </c>
      <c r="M658" s="4" t="b">
        <f>Table2[[#This Row],[HD]]=Table2[[#This Row],[estHD]]</f>
        <v>1</v>
      </c>
      <c r="N658" s="4" t="str">
        <f>IF(ISNUMBER([1]!Table2[[#This Row],[hatch_date]]),[1]!Table2[[#This Row],[hatch_date]]-19,"NA")</f>
        <v>NA</v>
      </c>
      <c r="O658" s="31">
        <v>47</v>
      </c>
      <c r="P658" s="23">
        <f>IF(ISNUMBER(Table2[[#This Row],[nest_age1]]),ABS(Table2[[#This Row],[nest_age1]]-Table2[[#This Row],[nest_age_feb]]),"NA")</f>
        <v>0</v>
      </c>
      <c r="Q658" s="24">
        <f>IF(ISNUMBER(Table2[[#This Row],[final_obs_int2]]),ABS(Table2[[#This Row],[final_obs_int2]]-Table2[[#This Row],[final_obs_int_feb]]), "NA")</f>
        <v>0</v>
      </c>
      <c r="R658" s="24"/>
      <c r="S658" s="20" t="s">
        <v>75</v>
      </c>
      <c r="T658" s="20" t="str">
        <f>Table2[[#This Row],[camera_old]]</f>
        <v>Y</v>
      </c>
      <c r="U658" s="22" t="s">
        <v>88</v>
      </c>
      <c r="V658" s="16" t="s">
        <v>48</v>
      </c>
      <c r="W658" s="16">
        <v>10</v>
      </c>
      <c r="X658" s="145">
        <v>5</v>
      </c>
      <c r="Y658" s="147" t="s">
        <v>48</v>
      </c>
      <c r="Z658" s="146" t="s">
        <v>48</v>
      </c>
      <c r="AA658" s="4" t="str">
        <f>Table2[[#This Row],[field_fate]]</f>
        <v>F</v>
      </c>
      <c r="AB658" s="4" t="str">
        <f>Table2[[#This Row],[field_fate2]]</f>
        <v>F</v>
      </c>
      <c r="AC658" s="94" t="str">
        <f>Table2[[#This Row],[field_fate3]]</f>
        <v>F</v>
      </c>
      <c r="AD658" s="94" t="str">
        <f>Table2[[#This Row],[field_fate4]]</f>
        <v>F</v>
      </c>
      <c r="AE658" s="94" t="str">
        <f>Table2[[#This Row],[field_fate5]]</f>
        <v>F</v>
      </c>
      <c r="AF658" s="94" t="str">
        <f>Table2[[#This Row],[field_fate5]]</f>
        <v>F</v>
      </c>
      <c r="AG658" s="94" t="str">
        <f>Table2[[#This Row],[field_fate5]]</f>
        <v>F</v>
      </c>
      <c r="AH658" s="94" t="str">
        <f>Table2[[#This Row],[field_fate2]]</f>
        <v>F</v>
      </c>
      <c r="AI658" s="94" t="str">
        <f>Table2[[#This Row],[field_fate8]]</f>
        <v>F</v>
      </c>
      <c r="AJ658" s="94" t="str">
        <f>Table2[[#This Row],[field_fate10]]</f>
        <v>F</v>
      </c>
      <c r="AK658" s="94" t="b">
        <f>Table2[[#This Row],[field_fate_feb]]=Table2[[#This Row],[field_fate10]]</f>
        <v>1</v>
      </c>
      <c r="AL658" s="43" t="s">
        <v>48</v>
      </c>
      <c r="AM658" s="160" t="b">
        <f>Table2[[#This Row],[cam_fate2]]="NA"</f>
        <v>0</v>
      </c>
      <c r="AN658" s="19" t="str">
        <f>Table2[[#This Row],[cam_fate1]]</f>
        <v>F</v>
      </c>
      <c r="AO658" s="2" t="s">
        <v>48</v>
      </c>
      <c r="AP658" s="5" t="str">
        <f>Table2[[#This Row],[final_fate1]]</f>
        <v>F</v>
      </c>
      <c r="AQ658" s="6">
        <v>10</v>
      </c>
      <c r="AR658" s="72">
        <v>10</v>
      </c>
      <c r="AS658" s="72">
        <f>Table2[[#This Row],[final_obs_date]]-Table2[[#This Row],[init_date]]</f>
        <v>10</v>
      </c>
      <c r="AT658" s="155">
        <f>(Table2[[#This Row],[final_obs_date2]]-Table2[[#This Row],[estHD]])+19</f>
        <v>10</v>
      </c>
      <c r="AU658" s="38">
        <v>5</v>
      </c>
      <c r="AV658" s="33">
        <v>5</v>
      </c>
      <c r="AW658" s="33">
        <f>Table2[[#This Row],[final_obs_date2]]-Table2[[#This Row],[pen_obs_date]]</f>
        <v>5</v>
      </c>
      <c r="AX658" s="67">
        <v>57</v>
      </c>
      <c r="AY658" s="157">
        <f>Table2[[#This Row],[final_obs_date]]</f>
        <v>57</v>
      </c>
      <c r="AZ658" s="6">
        <v>52</v>
      </c>
      <c r="BA658" s="92" t="s">
        <v>47</v>
      </c>
      <c r="BB658" s="6" t="b">
        <f>Table2[[#This Row],[final_obs_date]]&lt;(Table2[[#This Row],[estHD]]-2)</f>
        <v>1</v>
      </c>
      <c r="BC658" s="32">
        <f>IF(Table2[[#This Row],[field_fate]]="H",1,0)</f>
        <v>0</v>
      </c>
      <c r="BD658" s="16">
        <f>IF(Table2[[#This Row],[cam_fate2]]="H",1,0)</f>
        <v>0</v>
      </c>
      <c r="BE658" s="6" t="b">
        <f>NOT(Table2[[#This Row],[HF_C]]=Table2[[#This Row],[HF]])</f>
        <v>0</v>
      </c>
      <c r="BF658" s="38" t="b">
        <f>NOT(Table2[[#This Row],[cam_fate2]]=Table2[[#This Row],[field_fate3]])</f>
        <v>0</v>
      </c>
      <c r="BG658" s="38" t="b">
        <f>OR(Table2[[#This Row],[field_fate3]]="U",Table2[[#This Row],[field_fate3]]="U-H")</f>
        <v>0</v>
      </c>
      <c r="BH658" s="8">
        <v>46</v>
      </c>
      <c r="BI658" s="8">
        <v>46</v>
      </c>
      <c r="BJ658" s="14">
        <f>IF(ISTEXT(Table2[[#This Row],[j.cam]]),Table2[[#This Row],[j]],Table2[[#This Row],[j.cam]])</f>
        <v>46</v>
      </c>
      <c r="BK658" s="8">
        <v>57</v>
      </c>
      <c r="BL658" s="14">
        <f>IF(ISTEXT(Table2[[#This Row],[k.cam]]), Table2[[#This Row],[k]], Table2[[#This Row],[k.cam]])</f>
        <v>57</v>
      </c>
      <c r="BM658" s="4" t="s">
        <v>24</v>
      </c>
      <c r="BN658" s="8" t="s">
        <v>24</v>
      </c>
      <c r="BO658" s="4">
        <v>3</v>
      </c>
      <c r="BP658" s="4">
        <f>Table2[[#This Row],[final_obs_date]]-Table2[[#This Row],[i]]</f>
        <v>11</v>
      </c>
      <c r="BQ658" s="4" t="b">
        <f>Table2[[#This Row],[final_obs_date2]]&gt;Table2[[#This Row],[estHD]]+3</f>
        <v>0</v>
      </c>
      <c r="BR658" s="3" t="s">
        <v>66</v>
      </c>
      <c r="BS658" s="3" t="s">
        <v>45</v>
      </c>
      <c r="BT658" s="125" t="s">
        <v>1330</v>
      </c>
      <c r="BU658" s="4" t="s">
        <v>271</v>
      </c>
      <c r="BV658" s="79" t="s">
        <v>1510</v>
      </c>
      <c r="BW658" s="69"/>
      <c r="BX658" s="36"/>
      <c r="BY658" s="36" t="s">
        <v>24</v>
      </c>
    </row>
    <row r="659" spans="1:77" ht="18.5" hidden="1" x14ac:dyDescent="0.35">
      <c r="A659" s="61">
        <v>30917</v>
      </c>
      <c r="B659" s="2" t="s">
        <v>122</v>
      </c>
      <c r="C659" s="46">
        <v>2021</v>
      </c>
      <c r="D659" s="3">
        <v>29.75658</v>
      </c>
      <c r="E659" s="3">
        <v>-93.112160000000003</v>
      </c>
      <c r="F659" s="3">
        <v>30</v>
      </c>
      <c r="G659" s="3">
        <v>30</v>
      </c>
      <c r="H659" s="3" t="s">
        <v>354</v>
      </c>
      <c r="I659" s="43"/>
      <c r="J659" s="116">
        <v>65</v>
      </c>
      <c r="K659" s="4">
        <v>62</v>
      </c>
      <c r="L659" s="22">
        <f>IF(ISNUMBER(Table2[[#This Row],[estHD]]),ABS(Table2[[#This Row],[HD]]-Table2[[#This Row],[estHD]]),"NA")</f>
        <v>3</v>
      </c>
      <c r="M659" s="4" t="b">
        <f>Table2[[#This Row],[HD]]=Table2[[#This Row],[estHD]]</f>
        <v>0</v>
      </c>
      <c r="N659" s="4">
        <f>IF(ISNUMBER(Table2[[#This Row],[HD]]),Table2[[#This Row],[HD]]-19,"NA")</f>
        <v>43</v>
      </c>
      <c r="O659" s="31">
        <v>43</v>
      </c>
      <c r="P659" s="23">
        <f>IF(ISNUMBER(Table2[[#This Row],[nest_age1]]),ABS(Table2[[#This Row],[nest_age1]]-Table2[[#This Row],[nest_age_feb]]),"NA")</f>
        <v>3</v>
      </c>
      <c r="Q659" s="24">
        <f>IF(ISNUMBER(Table2[[#This Row],[final_obs_int2]]),ABS(Table2[[#This Row],[final_obs_int2]]-Table2[[#This Row],[final_obs_int_feb]]), "NA")</f>
        <v>1</v>
      </c>
      <c r="R659" s="24">
        <f>(Table2[[#This Row],[k_adj]]-Table2[[#This Row],[estHD]])/Table2[[#This Row],[estHD]]</f>
        <v>-4.6153846153846156E-2</v>
      </c>
      <c r="S659" s="20" t="s">
        <v>75</v>
      </c>
      <c r="T659" s="20" t="str">
        <f>Table2[[#This Row],[camera_old]]</f>
        <v>Y</v>
      </c>
      <c r="U659" s="22" t="s">
        <v>88</v>
      </c>
      <c r="V659" s="16" t="s">
        <v>37</v>
      </c>
      <c r="W659" s="16">
        <v>19</v>
      </c>
      <c r="X659" s="145">
        <v>4</v>
      </c>
      <c r="Y659" s="147" t="s">
        <v>90</v>
      </c>
      <c r="Z659" s="146" t="s">
        <v>90</v>
      </c>
      <c r="AA659" s="4" t="s">
        <v>37</v>
      </c>
      <c r="AB659" s="30" t="s">
        <v>104</v>
      </c>
      <c r="AC659" s="132" t="str">
        <f>Table2[[#This Row],[field_fate3]]</f>
        <v>U-H</v>
      </c>
      <c r="AD659" s="144" t="s">
        <v>90</v>
      </c>
      <c r="AE659" s="136" t="s">
        <v>104</v>
      </c>
      <c r="AF659" s="95" t="str">
        <f>Table2[[#This Row],[field_fate5]]</f>
        <v>U</v>
      </c>
      <c r="AG659" s="95" t="str">
        <f>Table2[[#This Row],[field_fate5]]</f>
        <v>U</v>
      </c>
      <c r="AH659" s="95" t="str">
        <f>Table2[[#This Row],[field_fate2]]</f>
        <v>H</v>
      </c>
      <c r="AI659" s="95" t="s">
        <v>90</v>
      </c>
      <c r="AJ659" s="95" t="str">
        <f>Table2[[#This Row],[field_fate10]]</f>
        <v>U</v>
      </c>
      <c r="AK659" s="95" t="b">
        <f>Table2[[#This Row],[field_fate_feb]]=Table2[[#This Row],[field_fate10]]</f>
        <v>1</v>
      </c>
      <c r="AL659" s="43" t="s">
        <v>37</v>
      </c>
      <c r="AM659" s="160" t="b">
        <f>Table2[[#This Row],[cam_fate2]]="NA"</f>
        <v>0</v>
      </c>
      <c r="AN659" s="19" t="str">
        <f>Table2[[#This Row],[cam_fate1]]</f>
        <v>H</v>
      </c>
      <c r="AO659" s="2" t="s">
        <v>37</v>
      </c>
      <c r="AP659" s="5" t="str">
        <f>Table2[[#This Row],[final_fate1]]</f>
        <v>H</v>
      </c>
      <c r="AQ659" s="6">
        <v>22</v>
      </c>
      <c r="AR659" s="72">
        <v>19</v>
      </c>
      <c r="AS659" s="155">
        <f>Table2[[#This Row],[final_obs_date]]-Table2[[#This Row],[init_date]]</f>
        <v>22</v>
      </c>
      <c r="AT659" s="155">
        <f>(Table2[[#This Row],[final_obs_date2]]-Table2[[#This Row],[estHD]])+19</f>
        <v>19</v>
      </c>
      <c r="AU659" s="38">
        <v>3</v>
      </c>
      <c r="AV659" s="33">
        <v>3</v>
      </c>
      <c r="AW659" s="33">
        <f>Table2[[#This Row],[final_obs_date2]]-Table2[[#This Row],[pen_obs_date]]</f>
        <v>3</v>
      </c>
      <c r="AX659" s="67">
        <v>65</v>
      </c>
      <c r="AY659" s="157">
        <f>Table2[[#This Row],[final_obs_date]]</f>
        <v>65</v>
      </c>
      <c r="AZ659" s="6">
        <v>62</v>
      </c>
      <c r="BA659" s="92" t="s">
        <v>47</v>
      </c>
      <c r="BB659" s="6" t="b">
        <f>Table2[[#This Row],[final_obs_date]]&lt;(Table2[[#This Row],[estHD]]-2)</f>
        <v>0</v>
      </c>
      <c r="BC659" s="32">
        <v>7</v>
      </c>
      <c r="BD659" s="16">
        <f>IF(Table2[[#This Row],[cam_fate2]]="H",1,0)</f>
        <v>1</v>
      </c>
      <c r="BE659" s="6" t="b">
        <f>NOT(Table2[[#This Row],[HF_C]]=Table2[[#This Row],[HF]])</f>
        <v>1</v>
      </c>
      <c r="BF659" s="38" t="b">
        <f>NOT(Table2[[#This Row],[cam_fate2]]=Table2[[#This Row],[field_fate3]])</f>
        <v>1</v>
      </c>
      <c r="BG659" s="38" t="b">
        <f>OR(Table2[[#This Row],[field_fate3]]="U",Table2[[#This Row],[field_fate3]]="U-H")</f>
        <v>1</v>
      </c>
      <c r="BH659" s="8">
        <v>46</v>
      </c>
      <c r="BI659" s="80">
        <v>65</v>
      </c>
      <c r="BJ659" s="14">
        <f>IF(ISTEXT(Table2[[#This Row],[j.cam]]),Table2[[#This Row],[j]],Table2[[#This Row],[j.cam]])</f>
        <v>62</v>
      </c>
      <c r="BK659" s="8">
        <v>65</v>
      </c>
      <c r="BL659" s="14">
        <f>IF(ISTEXT(Table2[[#This Row],[k.cam]]), Table2[[#This Row],[k]], Table2[[#This Row],[k.cam]])</f>
        <v>62</v>
      </c>
      <c r="BM659" s="4">
        <v>62</v>
      </c>
      <c r="BN659" s="8">
        <v>62</v>
      </c>
      <c r="BO659" s="4">
        <v>5</v>
      </c>
      <c r="BP659" s="4">
        <f>Table2[[#This Row],[final_obs_date]]-Table2[[#This Row],[i]]</f>
        <v>19</v>
      </c>
      <c r="BQ659" s="4" t="b">
        <f>Table2[[#This Row],[final_obs_date2]]&gt;Table2[[#This Row],[estHD]]+3</f>
        <v>0</v>
      </c>
      <c r="BR659" s="3" t="s">
        <v>27</v>
      </c>
      <c r="BS659" s="3" t="s">
        <v>45</v>
      </c>
      <c r="BT659" s="125" t="s">
        <v>1402</v>
      </c>
      <c r="BU659" s="4" t="s">
        <v>368</v>
      </c>
      <c r="BV659" s="79" t="s">
        <v>1688</v>
      </c>
      <c r="BW659" s="70" t="s">
        <v>1721</v>
      </c>
      <c r="BX659" s="51" t="s">
        <v>947</v>
      </c>
      <c r="BY659" s="54" t="s">
        <v>837</v>
      </c>
    </row>
    <row r="660" spans="1:77" hidden="1" x14ac:dyDescent="0.35">
      <c r="A660" s="64">
        <v>30918</v>
      </c>
      <c r="B660" s="2" t="s">
        <v>122</v>
      </c>
      <c r="C660" s="46">
        <v>2021</v>
      </c>
      <c r="D660" s="3">
        <v>29.758510000000001</v>
      </c>
      <c r="E660" s="3">
        <v>-93.117230000000006</v>
      </c>
      <c r="F660" s="3">
        <v>10</v>
      </c>
      <c r="G660" s="3">
        <v>5</v>
      </c>
      <c r="H660" s="3" t="s">
        <v>354</v>
      </c>
      <c r="I660" s="43"/>
      <c r="J660" s="55">
        <v>56</v>
      </c>
      <c r="K660" s="4">
        <v>65</v>
      </c>
      <c r="L660" s="22">
        <f>IF(ISNUMBER(Table2[[#This Row],[estHD]]),ABS(Table2[[#This Row],[HD]]-Table2[[#This Row],[estHD]]),"NA")</f>
        <v>9</v>
      </c>
      <c r="M660" s="4" t="b">
        <f>Table2[[#This Row],[HD]]=Table2[[#This Row],[estHD]]</f>
        <v>0</v>
      </c>
      <c r="N660" s="4" t="str">
        <f>IF(ISNUMBER([1]!Table2[[#This Row],[hatch_date]]), [1]!Table2[[#This Row],[hatch_date]]-28, "NA")</f>
        <v>NA</v>
      </c>
      <c r="O660" s="31">
        <v>37</v>
      </c>
      <c r="P660" s="23">
        <f>IF(ISNUMBER(Table2[[#This Row],[nest_age1]]),ABS(Table2[[#This Row],[nest_age1]]-Table2[[#This Row],[nest_age_feb]]),"NA")</f>
        <v>9</v>
      </c>
      <c r="Q660" s="24">
        <f>IF(ISNUMBER(Table2[[#This Row],[final_obs_int2]]),ABS(Table2[[#This Row],[final_obs_int2]]-Table2[[#This Row],[final_obs_int_feb]]), "NA")</f>
        <v>0</v>
      </c>
      <c r="R660" s="24"/>
      <c r="S660" s="20" t="s">
        <v>75</v>
      </c>
      <c r="T660" s="20" t="str">
        <f>Table2[[#This Row],[camera_old]]</f>
        <v>Y</v>
      </c>
      <c r="U660" s="22" t="s">
        <v>88</v>
      </c>
      <c r="V660" s="16" t="s">
        <v>37</v>
      </c>
      <c r="W660" s="16">
        <v>37</v>
      </c>
      <c r="X660" s="145">
        <v>4</v>
      </c>
      <c r="Y660" s="147" t="s">
        <v>37</v>
      </c>
      <c r="Z660" s="146" t="s">
        <v>37</v>
      </c>
      <c r="AA660" s="4" t="str">
        <f>Table2[[#This Row],[field_fate]]</f>
        <v>H</v>
      </c>
      <c r="AB660" s="4" t="str">
        <f>Table2[[#This Row],[field_fate2]]</f>
        <v>H</v>
      </c>
      <c r="AC660" s="4" t="str">
        <f>Table2[[#This Row],[field_fate3]]</f>
        <v>H</v>
      </c>
      <c r="AD660" s="4" t="str">
        <f>Table2[[#This Row],[field_fate4]]</f>
        <v>H</v>
      </c>
      <c r="AE660" s="4" t="str">
        <f>Table2[[#This Row],[field_fate5]]</f>
        <v>H</v>
      </c>
      <c r="AF660" s="4" t="str">
        <f>Table2[[#This Row],[field_fate5]]</f>
        <v>H</v>
      </c>
      <c r="AG660" s="4" t="str">
        <f>Table2[[#This Row],[field_fate5]]</f>
        <v>H</v>
      </c>
      <c r="AH660" s="4" t="str">
        <f>Table2[[#This Row],[field_fate2]]</f>
        <v>H</v>
      </c>
      <c r="AI660" s="4" t="str">
        <f>Table2[[#This Row],[field_fate8]]</f>
        <v>H</v>
      </c>
      <c r="AJ660" s="4" t="str">
        <f>Table2[[#This Row],[field_fate10]]</f>
        <v>H</v>
      </c>
      <c r="AK660" s="4" t="b">
        <f>Table2[[#This Row],[field_fate_feb]]=Table2[[#This Row],[field_fate10]]</f>
        <v>1</v>
      </c>
      <c r="AL660" s="43" t="s">
        <v>37</v>
      </c>
      <c r="AM660" s="43" t="b">
        <f>Table2[[#This Row],[cam_fate2]]="NA"</f>
        <v>0</v>
      </c>
      <c r="AN660" s="19" t="str">
        <f>Table2[[#This Row],[cam_fate1]]</f>
        <v>H</v>
      </c>
      <c r="AO660" s="2" t="s">
        <v>37</v>
      </c>
      <c r="AP660" s="5" t="str">
        <f>Table2[[#This Row],[final_fate1]]</f>
        <v>H</v>
      </c>
      <c r="AQ660" s="6">
        <v>28</v>
      </c>
      <c r="AR660" s="7">
        <v>37</v>
      </c>
      <c r="AS660" s="155">
        <f>Table2[[#This Row],[final_obs_date]]-Table2[[#This Row],[init_date]]</f>
        <v>28</v>
      </c>
      <c r="AT660" s="155">
        <f>(Table2[[#This Row],[final_obs_date2]]-Table2[[#This Row],[estHD]])+16</f>
        <v>25</v>
      </c>
      <c r="AU660" s="38">
        <v>4</v>
      </c>
      <c r="AV660" s="33">
        <v>4</v>
      </c>
      <c r="AW660" s="33">
        <f>Table2[[#This Row],[final_obs_date2]]-Table2[[#This Row],[pen_obs_date]]</f>
        <v>65</v>
      </c>
      <c r="AX660" s="67">
        <v>65</v>
      </c>
      <c r="AY660" s="6">
        <f>Table2[[#This Row],[final_obs_date]]</f>
        <v>65</v>
      </c>
      <c r="AZ660" s="6"/>
      <c r="BA660" s="91" t="s">
        <v>23</v>
      </c>
      <c r="BB660" s="6" t="b">
        <f>Table2[[#This Row],[final_obs_date]]&lt;(Table2[[#This Row],[estHD]]-2)</f>
        <v>0</v>
      </c>
      <c r="BC660" s="32">
        <f>IF(Table2[[#This Row],[field_fate]]="H",1,0)</f>
        <v>1</v>
      </c>
      <c r="BD660" s="16">
        <f>IF(Table2[[#This Row],[cam_fate2]]="H",1,0)</f>
        <v>1</v>
      </c>
      <c r="BE660" s="6" t="b">
        <f>NOT(Table2[[#This Row],[HF_C]]=Table2[[#This Row],[HF]])</f>
        <v>0</v>
      </c>
      <c r="BF660" s="6" t="b">
        <f>NOT(Table2[[#This Row],[cam_fate2]]=Table2[[#This Row],[field_fate3]])</f>
        <v>0</v>
      </c>
      <c r="BG660" s="6" t="b">
        <f>OR(Table2[[#This Row],[field_fate3]]="U",Table2[[#This Row],[field_fate3]]="U-H")</f>
        <v>0</v>
      </c>
      <c r="BH660" s="8">
        <v>52</v>
      </c>
      <c r="BI660" s="8">
        <v>65</v>
      </c>
      <c r="BJ660" s="14">
        <f>IF(ISTEXT(Table2[[#This Row],[j.cam]]),Table2[[#This Row],[j]],Table2[[#This Row],[j.cam]])</f>
        <v>65</v>
      </c>
      <c r="BK660" s="8">
        <v>65</v>
      </c>
      <c r="BL660" s="14">
        <f>IF(ISTEXT(Table2[[#This Row],[k.cam]]), Table2[[#This Row],[k]], Table2[[#This Row],[k.cam]])</f>
        <v>65</v>
      </c>
      <c r="BM660" s="4" t="s">
        <v>24</v>
      </c>
      <c r="BN660" s="8" t="s">
        <v>24</v>
      </c>
      <c r="BO660" s="4">
        <v>4</v>
      </c>
      <c r="BP660" s="4">
        <f>Table2[[#This Row],[final_obs_date]]-Table2[[#This Row],[i]]</f>
        <v>13</v>
      </c>
      <c r="BQ660" s="4" t="b">
        <f>Table2[[#This Row],[final_obs_date2]]&gt;Table2[[#This Row],[estHD]]+3</f>
        <v>1</v>
      </c>
      <c r="BR660" s="3" t="s">
        <v>27</v>
      </c>
      <c r="BS660" s="3" t="s">
        <v>423</v>
      </c>
      <c r="BT660" s="88" t="s">
        <v>1403</v>
      </c>
      <c r="BU660" s="26" t="s">
        <v>424</v>
      </c>
      <c r="BV660" s="79" t="s">
        <v>1618</v>
      </c>
      <c r="BW660" s="49"/>
      <c r="BX660" s="47"/>
      <c r="BY660" s="36" t="s">
        <v>872</v>
      </c>
    </row>
    <row r="661" spans="1:77" hidden="1" x14ac:dyDescent="0.35">
      <c r="A661" s="64">
        <v>30919</v>
      </c>
      <c r="B661" s="2" t="s">
        <v>122</v>
      </c>
      <c r="C661" s="46">
        <v>2021</v>
      </c>
      <c r="D661" s="3">
        <v>29.759180000000001</v>
      </c>
      <c r="E661" s="3">
        <v>-93.119829999999993</v>
      </c>
      <c r="F661" s="3" t="s">
        <v>24</v>
      </c>
      <c r="G661" s="3" t="s">
        <v>24</v>
      </c>
      <c r="H661" s="3" t="s">
        <v>354</v>
      </c>
      <c r="I661" s="43"/>
      <c r="J661" s="116">
        <v>55</v>
      </c>
      <c r="K661" s="4">
        <v>55</v>
      </c>
      <c r="L661" s="22">
        <f>IF(ISNUMBER(Table2[[#This Row],[estHD]]),ABS(Table2[[#This Row],[HD]]-Table2[[#This Row],[estHD]]),"NA")</f>
        <v>0</v>
      </c>
      <c r="M661" s="4" t="b">
        <f>Table2[[#This Row],[HD]]=Table2[[#This Row],[estHD]]</f>
        <v>1</v>
      </c>
      <c r="N661" s="4" t="str">
        <f>IF(ISNUMBER([1]!Table2[[#This Row],[hatch_date]]), [1]!Table2[[#This Row],[hatch_date]]-16, "NA")</f>
        <v>NA</v>
      </c>
      <c r="O661" s="89">
        <v>39</v>
      </c>
      <c r="P661" s="23">
        <f>IF(ISNUMBER(Table2[[#This Row],[nest_age1]]),ABS(Table2[[#This Row],[nest_age1]]-Table2[[#This Row],[nest_age_feb]]),"NA")</f>
        <v>0</v>
      </c>
      <c r="Q661" s="24">
        <f>IF(ISNUMBER(Table2[[#This Row],[final_obs_int2]]),ABS(Table2[[#This Row],[final_obs_int2]]-Table2[[#This Row],[final_obs_int_feb]]), "NA")</f>
        <v>0</v>
      </c>
      <c r="R661" s="24"/>
      <c r="S661" s="20" t="s">
        <v>75</v>
      </c>
      <c r="T661" s="20" t="str">
        <f>Table2[[#This Row],[camera_old]]</f>
        <v>Y</v>
      </c>
      <c r="U661" s="22" t="s">
        <v>88</v>
      </c>
      <c r="V661" s="16" t="s">
        <v>36</v>
      </c>
      <c r="W661" s="16">
        <v>26</v>
      </c>
      <c r="X661" s="145">
        <v>8</v>
      </c>
      <c r="Y661" s="147" t="s">
        <v>36</v>
      </c>
      <c r="Z661" s="146" t="s">
        <v>36</v>
      </c>
      <c r="AA661" s="4" t="str">
        <f>Table2[[#This Row],[field_fate]]</f>
        <v>A</v>
      </c>
      <c r="AB661" s="4" t="str">
        <f>Table2[[#This Row],[field_fate2]]</f>
        <v>A</v>
      </c>
      <c r="AC661" s="94" t="str">
        <f>Table2[[#This Row],[field_fate3]]</f>
        <v>A</v>
      </c>
      <c r="AD661" s="94" t="str">
        <f>Table2[[#This Row],[field_fate4]]</f>
        <v>A</v>
      </c>
      <c r="AE661" s="94" t="str">
        <f>Table2[[#This Row],[field_fate5]]</f>
        <v>A</v>
      </c>
      <c r="AF661" s="94" t="str">
        <f>Table2[[#This Row],[field_fate5]]</f>
        <v>A</v>
      </c>
      <c r="AG661" s="94" t="str">
        <f>Table2[[#This Row],[field_fate5]]</f>
        <v>A</v>
      </c>
      <c r="AH661" s="94" t="str">
        <f>Table2[[#This Row],[field_fate2]]</f>
        <v>A</v>
      </c>
      <c r="AI661" s="94" t="str">
        <f>Table2[[#This Row],[field_fate8]]</f>
        <v>A</v>
      </c>
      <c r="AJ661" s="94" t="str">
        <f>Table2[[#This Row],[field_fate10]]</f>
        <v>A</v>
      </c>
      <c r="AK661" s="94" t="b">
        <f>Table2[[#This Row],[field_fate_feb]]=Table2[[#This Row],[field_fate10]]</f>
        <v>1</v>
      </c>
      <c r="AL661" s="43" t="s">
        <v>36</v>
      </c>
      <c r="AM661" s="160" t="b">
        <f>Table2[[#This Row],[cam_fate2]]="NA"</f>
        <v>0</v>
      </c>
      <c r="AN661" s="159" t="str">
        <f>Table2[[#This Row],[cam_fate1]]</f>
        <v>A</v>
      </c>
      <c r="AO661" s="2" t="s">
        <v>36</v>
      </c>
      <c r="AP661" s="5" t="str">
        <f>Table2[[#This Row],[final_fate1]]</f>
        <v>A</v>
      </c>
      <c r="AQ661" s="6">
        <v>26</v>
      </c>
      <c r="AR661" s="72">
        <v>26</v>
      </c>
      <c r="AS661" s="155">
        <f>Table2[[#This Row],[final_obs_date]]-Table2[[#This Row],[init_date]]</f>
        <v>26</v>
      </c>
      <c r="AT661" s="155">
        <f>(Table2[[#This Row],[final_obs_date2]]-Table2[[#This Row],[estHD]])+16</f>
        <v>26</v>
      </c>
      <c r="AU661" s="38">
        <v>8</v>
      </c>
      <c r="AV661" s="33">
        <v>8</v>
      </c>
      <c r="AW661" s="33">
        <f>Table2[[#This Row],[final_obs_date2]]-Table2[[#This Row],[pen_obs_date]]</f>
        <v>3</v>
      </c>
      <c r="AX661" s="67">
        <v>65</v>
      </c>
      <c r="AY661" s="158">
        <f>Table2[[#This Row],[final_obs_date]]</f>
        <v>65</v>
      </c>
      <c r="AZ661" s="6">
        <v>62</v>
      </c>
      <c r="BA661" s="92" t="s">
        <v>60</v>
      </c>
      <c r="BB661" s="86" t="b">
        <f>Table2[[#This Row],[final_obs_date]]&lt;(Table2[[#This Row],[estHD]]-2)</f>
        <v>0</v>
      </c>
      <c r="BC661" s="83">
        <f>IF(Table2[[#This Row],[field_fate]]="H",1,0)</f>
        <v>0</v>
      </c>
      <c r="BD661" s="82">
        <f>IF(Table2[[#This Row],[cam_fate2]]="H",1,0)</f>
        <v>0</v>
      </c>
      <c r="BE661" s="84" t="b">
        <f>NOT(Table2[[#This Row],[HF_C]]=Table2[[#This Row],[HF]])</f>
        <v>0</v>
      </c>
      <c r="BF661" s="85" t="b">
        <f>NOT(Table2[[#This Row],[cam_fate2]]=Table2[[#This Row],[field_fate3]])</f>
        <v>0</v>
      </c>
      <c r="BG661" s="85" t="b">
        <f>OR(Table2[[#This Row],[field_fate3]]="U",Table2[[#This Row],[field_fate3]]="U-H")</f>
        <v>0</v>
      </c>
      <c r="BH661" s="8">
        <v>52</v>
      </c>
      <c r="BI661" s="8">
        <v>57</v>
      </c>
      <c r="BJ661" s="14">
        <f>IF(ISTEXT(Table2[[#This Row],[j.cam]]),Table2[[#This Row],[j]],Table2[[#This Row],[j.cam]])</f>
        <v>62</v>
      </c>
      <c r="BK661" s="8">
        <v>65</v>
      </c>
      <c r="BL661" s="14">
        <f>IF(ISTEXT(Table2[[#This Row],[k.cam]]), Table2[[#This Row],[k]], Table2[[#This Row],[k.cam]])</f>
        <v>62</v>
      </c>
      <c r="BM661" s="87">
        <v>62</v>
      </c>
      <c r="BN661" s="87">
        <v>62</v>
      </c>
      <c r="BO661" s="4">
        <v>3</v>
      </c>
      <c r="BP661" s="4">
        <f>Table2[[#This Row],[final_obs_date]]-Table2[[#This Row],[i]]</f>
        <v>13</v>
      </c>
      <c r="BQ661" s="4" t="b">
        <f>Table2[[#This Row],[final_obs_date2]]&gt;Table2[[#This Row],[estHD]]+3</f>
        <v>1</v>
      </c>
      <c r="BR661" s="3" t="s">
        <v>58</v>
      </c>
      <c r="BS661" s="3" t="s">
        <v>134</v>
      </c>
      <c r="BT661" s="125" t="s">
        <v>1404</v>
      </c>
      <c r="BU661" s="122" t="s">
        <v>292</v>
      </c>
      <c r="BV661" s="88" t="s">
        <v>1689</v>
      </c>
      <c r="BW661" s="69"/>
      <c r="BX661" s="36"/>
      <c r="BY661" s="36" t="s">
        <v>24</v>
      </c>
    </row>
    <row r="662" spans="1:77" hidden="1" x14ac:dyDescent="0.35">
      <c r="A662" s="64">
        <v>30920</v>
      </c>
      <c r="B662" s="2" t="s">
        <v>122</v>
      </c>
      <c r="C662" s="46">
        <v>2021</v>
      </c>
      <c r="D662" s="3">
        <v>29.757770000000001</v>
      </c>
      <c r="E662" s="3">
        <v>-93.113720000000001</v>
      </c>
      <c r="F662" s="3">
        <v>20</v>
      </c>
      <c r="G662" s="3">
        <v>10</v>
      </c>
      <c r="H662" s="3" t="s">
        <v>354</v>
      </c>
      <c r="I662" s="43"/>
      <c r="J662" s="55">
        <v>60</v>
      </c>
      <c r="K662" s="4">
        <v>60</v>
      </c>
      <c r="L662" s="22">
        <f>IF(ISNUMBER(Table2[[#This Row],[estHD]]),ABS(Table2[[#This Row],[HD]]-Table2[[#This Row],[estHD]]),"NA")</f>
        <v>0</v>
      </c>
      <c r="M662" s="4" t="b">
        <f>Table2[[#This Row],[HD]]=Table2[[#This Row],[estHD]]</f>
        <v>1</v>
      </c>
      <c r="N662" s="4" t="str">
        <f>IF(ISNUMBER([1]!Table2[[#This Row],[hatch_date]]), [1]!Table2[[#This Row],[hatch_date]]-28, "NA")</f>
        <v>NA</v>
      </c>
      <c r="O662" s="31">
        <v>32</v>
      </c>
      <c r="P662" s="23">
        <f>IF(ISNUMBER(Table2[[#This Row],[nest_age1]]),ABS(Table2[[#This Row],[nest_age1]]-Table2[[#This Row],[nest_age_feb]]),"NA")</f>
        <v>0</v>
      </c>
      <c r="Q662" s="24">
        <f>IF(ISNUMBER(Table2[[#This Row],[final_obs_int2]]),ABS(Table2[[#This Row],[final_obs_int2]]-Table2[[#This Row],[final_obs_int_feb]]), "NA")</f>
        <v>0</v>
      </c>
      <c r="R662" s="24"/>
      <c r="S662" s="20" t="s">
        <v>75</v>
      </c>
      <c r="T662" s="20" t="str">
        <f>Table2[[#This Row],[camera_old]]</f>
        <v>Y</v>
      </c>
      <c r="U662" s="22" t="s">
        <v>88</v>
      </c>
      <c r="V662" s="16" t="s">
        <v>31</v>
      </c>
      <c r="W662" s="16">
        <v>25</v>
      </c>
      <c r="X662" s="145">
        <v>5</v>
      </c>
      <c r="Y662" s="147" t="s">
        <v>48</v>
      </c>
      <c r="Z662" s="146" t="s">
        <v>48</v>
      </c>
      <c r="AA662" s="4" t="str">
        <f>Table2[[#This Row],[field_fate]]</f>
        <v>F</v>
      </c>
      <c r="AB662" s="4" t="str">
        <f>Table2[[#This Row],[field_fate2]]</f>
        <v>F</v>
      </c>
      <c r="AC662" s="4" t="str">
        <f>Table2[[#This Row],[field_fate3]]</f>
        <v>F</v>
      </c>
      <c r="AD662" s="4" t="str">
        <f>Table2[[#This Row],[field_fate4]]</f>
        <v>F</v>
      </c>
      <c r="AE662" s="4" t="str">
        <f>Table2[[#This Row],[field_fate5]]</f>
        <v>F</v>
      </c>
      <c r="AF662" s="4" t="str">
        <f>Table2[[#This Row],[field_fate5]]</f>
        <v>F</v>
      </c>
      <c r="AG662" s="4" t="str">
        <f>Table2[[#This Row],[field_fate5]]</f>
        <v>F</v>
      </c>
      <c r="AH662" s="4" t="str">
        <f>Table2[[#This Row],[field_fate2]]</f>
        <v>F</v>
      </c>
      <c r="AI662" s="4" t="str">
        <f>Table2[[#This Row],[field_fate8]]</f>
        <v>F</v>
      </c>
      <c r="AJ662" s="4" t="str">
        <f>Table2[[#This Row],[field_fate10]]</f>
        <v>F</v>
      </c>
      <c r="AK662" s="4" t="b">
        <f>Table2[[#This Row],[field_fate_feb]]=Table2[[#This Row],[field_fate10]]</f>
        <v>1</v>
      </c>
      <c r="AL662" s="43" t="s">
        <v>31</v>
      </c>
      <c r="AM662" s="43" t="b">
        <f>Table2[[#This Row],[cam_fate2]]="NA"</f>
        <v>0</v>
      </c>
      <c r="AN662" s="19" t="str">
        <f>Table2[[#This Row],[cam_fate1]]</f>
        <v>D</v>
      </c>
      <c r="AO662" s="2" t="s">
        <v>31</v>
      </c>
      <c r="AP662" s="5" t="str">
        <f>Table2[[#This Row],[final_fate1]]</f>
        <v>D</v>
      </c>
      <c r="AQ662" s="6">
        <v>25</v>
      </c>
      <c r="AR662" s="7">
        <v>25</v>
      </c>
      <c r="AS662" s="155">
        <f>Table2[[#This Row],[final_obs_date]]-Table2[[#This Row],[init_date]]</f>
        <v>25</v>
      </c>
      <c r="AT662" s="155">
        <f>(Table2[[#This Row],[final_obs_date2]]-Table2[[#This Row],[estHD]])+16</f>
        <v>13</v>
      </c>
      <c r="AU662" s="38">
        <v>5</v>
      </c>
      <c r="AV662" s="33">
        <v>5</v>
      </c>
      <c r="AW662" s="33">
        <f>Table2[[#This Row],[final_obs_date2]]-Table2[[#This Row],[pen_obs_date]]</f>
        <v>57</v>
      </c>
      <c r="AX662" s="67">
        <v>57</v>
      </c>
      <c r="AY662" s="6">
        <f>Table2[[#This Row],[final_obs_date]]</f>
        <v>57</v>
      </c>
      <c r="AZ662" s="6"/>
      <c r="BA662" s="91" t="s">
        <v>23</v>
      </c>
      <c r="BB662" s="6" t="b">
        <f>Table2[[#This Row],[final_obs_date]]&lt;(Table2[[#This Row],[estHD]]-2)</f>
        <v>1</v>
      </c>
      <c r="BC662" s="32">
        <f>IF(Table2[[#This Row],[field_fate]]="H",1,0)</f>
        <v>0</v>
      </c>
      <c r="BD662" s="16">
        <f>IF(Table2[[#This Row],[cam_fate2]]="H",1,0)</f>
        <v>0</v>
      </c>
      <c r="BE662" s="6" t="b">
        <f>NOT(Table2[[#This Row],[HF_C]]=Table2[[#This Row],[HF]])</f>
        <v>0</v>
      </c>
      <c r="BF662" s="6" t="b">
        <f>NOT(Table2[[#This Row],[cam_fate2]]=Table2[[#This Row],[field_fate3]])</f>
        <v>1</v>
      </c>
      <c r="BG662" s="6" t="b">
        <f>OR(Table2[[#This Row],[field_fate3]]="U",Table2[[#This Row],[field_fate3]]="U-H")</f>
        <v>0</v>
      </c>
      <c r="BH662" s="8">
        <v>52</v>
      </c>
      <c r="BI662" s="8">
        <v>52</v>
      </c>
      <c r="BJ662" s="14">
        <f>IF(ISTEXT(Table2[[#This Row],[j.cam]]),Table2[[#This Row],[j]],Table2[[#This Row],[j.cam]])</f>
        <v>52</v>
      </c>
      <c r="BK662" s="8">
        <v>57</v>
      </c>
      <c r="BL662" s="14">
        <f>IF(ISTEXT(Table2[[#This Row],[k.cam]]), Table2[[#This Row],[k]], Table2[[#This Row],[k.cam]])</f>
        <v>57</v>
      </c>
      <c r="BM662" s="4" t="s">
        <v>24</v>
      </c>
      <c r="BN662" s="8" t="s">
        <v>24</v>
      </c>
      <c r="BO662" s="4">
        <v>2</v>
      </c>
      <c r="BP662" s="4">
        <f>Table2[[#This Row],[final_obs_date]]-Table2[[#This Row],[i]]</f>
        <v>5</v>
      </c>
      <c r="BQ662" s="4" t="b">
        <f>Table2[[#This Row],[final_obs_date2]]&gt;Table2[[#This Row],[estHD]]+3</f>
        <v>0</v>
      </c>
      <c r="BR662" s="3" t="s">
        <v>27</v>
      </c>
      <c r="BS662" s="3" t="s">
        <v>45</v>
      </c>
      <c r="BT662" s="88" t="s">
        <v>1331</v>
      </c>
      <c r="BU662" s="26" t="s">
        <v>183</v>
      </c>
      <c r="BV662" s="79" t="s">
        <v>1464</v>
      </c>
      <c r="BW662" s="49"/>
      <c r="BX662" s="47"/>
      <c r="BY662" s="36" t="s">
        <v>24</v>
      </c>
    </row>
    <row r="663" spans="1:77" hidden="1" x14ac:dyDescent="0.35">
      <c r="A663" s="64">
        <v>30921</v>
      </c>
      <c r="B663" s="2" t="s">
        <v>122</v>
      </c>
      <c r="C663" s="46">
        <v>2021</v>
      </c>
      <c r="D663" s="3">
        <v>29.757729999999999</v>
      </c>
      <c r="E663" s="3">
        <v>-93.113619999999997</v>
      </c>
      <c r="F663" s="3">
        <v>20</v>
      </c>
      <c r="G663" s="3">
        <v>10</v>
      </c>
      <c r="H663" s="3" t="s">
        <v>354</v>
      </c>
      <c r="I663" s="43"/>
      <c r="J663" s="116" t="s">
        <v>24</v>
      </c>
      <c r="K663" s="4" t="s">
        <v>24</v>
      </c>
      <c r="L663" s="22" t="str">
        <f>IF(ISNUMBER(Table2[[#This Row],[estHD]]),ABS(Table2[[#This Row],[HD]]-Table2[[#This Row],[estHD]]),"NA")</f>
        <v>NA</v>
      </c>
      <c r="M663" s="4" t="b">
        <f>Table2[[#This Row],[HD]]=Table2[[#This Row],[estHD]]</f>
        <v>1</v>
      </c>
      <c r="N663" s="4" t="str">
        <f>IF(ISNUMBER([1]!Table2[[#This Row],[hatch_date]]),[1]!Table2[[#This Row],[hatch_date]]-19,"NA")</f>
        <v>NA</v>
      </c>
      <c r="O663" s="31" t="s">
        <v>24</v>
      </c>
      <c r="P663" s="23" t="str">
        <f>IF(ISNUMBER(Table2[[#This Row],[nest_age1]]),ABS(Table2[[#This Row],[nest_age1]]-Table2[[#This Row],[nest_age_feb]]),"NA")</f>
        <v>NA</v>
      </c>
      <c r="Q663" s="24">
        <f>IF(ISNUMBER(Table2[[#This Row],[final_obs_int2]]),ABS(Table2[[#This Row],[final_obs_int2]]-Table2[[#This Row],[final_obs_int_feb]]), "NA")</f>
        <v>0</v>
      </c>
      <c r="R663" s="24"/>
      <c r="S663" s="20" t="s">
        <v>75</v>
      </c>
      <c r="T663" s="20" t="str">
        <f>Table2[[#This Row],[camera_old]]</f>
        <v>Y</v>
      </c>
      <c r="U663" s="22" t="s">
        <v>88</v>
      </c>
      <c r="V663" s="16" t="s">
        <v>31</v>
      </c>
      <c r="W663" s="16" t="s">
        <v>24</v>
      </c>
      <c r="X663" s="145">
        <v>5</v>
      </c>
      <c r="Y663" s="147" t="s">
        <v>48</v>
      </c>
      <c r="Z663" s="146" t="s">
        <v>48</v>
      </c>
      <c r="AA663" s="4" t="str">
        <f>Table2[[#This Row],[field_fate]]</f>
        <v>F</v>
      </c>
      <c r="AB663" s="4" t="str">
        <f>Table2[[#This Row],[field_fate2]]</f>
        <v>F</v>
      </c>
      <c r="AC663" s="94" t="str">
        <f>Table2[[#This Row],[field_fate3]]</f>
        <v>F</v>
      </c>
      <c r="AD663" s="94" t="str">
        <f>Table2[[#This Row],[field_fate4]]</f>
        <v>F</v>
      </c>
      <c r="AE663" s="94" t="str">
        <f>Table2[[#This Row],[field_fate5]]</f>
        <v>F</v>
      </c>
      <c r="AF663" s="94" t="str">
        <f>Table2[[#This Row],[field_fate5]]</f>
        <v>F</v>
      </c>
      <c r="AG663" s="94" t="str">
        <f>Table2[[#This Row],[field_fate5]]</f>
        <v>F</v>
      </c>
      <c r="AH663" s="94" t="str">
        <f>Table2[[#This Row],[field_fate2]]</f>
        <v>F</v>
      </c>
      <c r="AI663" s="94" t="str">
        <f>Table2[[#This Row],[field_fate8]]</f>
        <v>F</v>
      </c>
      <c r="AJ663" s="94" t="str">
        <f>Table2[[#This Row],[field_fate10]]</f>
        <v>F</v>
      </c>
      <c r="AK663" s="94" t="b">
        <f>Table2[[#This Row],[field_fate_feb]]=Table2[[#This Row],[field_fate10]]</f>
        <v>1</v>
      </c>
      <c r="AL663" s="43" t="s">
        <v>31</v>
      </c>
      <c r="AM663" s="160" t="b">
        <f>Table2[[#This Row],[cam_fate2]]="NA"</f>
        <v>0</v>
      </c>
      <c r="AN663" s="19" t="str">
        <f>Table2[[#This Row],[cam_fate1]]</f>
        <v>D</v>
      </c>
      <c r="AO663" s="2" t="s">
        <v>31</v>
      </c>
      <c r="AP663" s="5" t="str">
        <f>Table2[[#This Row],[final_fate1]]</f>
        <v>D</v>
      </c>
      <c r="AQ663" s="6" t="s">
        <v>24</v>
      </c>
      <c r="AR663" s="72" t="s">
        <v>24</v>
      </c>
      <c r="AS663" s="155" t="e">
        <f>Table2[[#This Row],[final_obs_date]]-Table2[[#This Row],[init_date]]</f>
        <v>#VALUE!</v>
      </c>
      <c r="AT663" s="155" t="e">
        <f>(Table2[[#This Row],[final_obs_date2]]-Table2[[#This Row],[estHD]])+19</f>
        <v>#VALUE!</v>
      </c>
      <c r="AU663" s="38">
        <v>5</v>
      </c>
      <c r="AV663" s="33">
        <v>5</v>
      </c>
      <c r="AW663" s="33">
        <f>Table2[[#This Row],[final_obs_date2]]-Table2[[#This Row],[pen_obs_date]]</f>
        <v>5</v>
      </c>
      <c r="AX663" s="67">
        <v>57</v>
      </c>
      <c r="AY663" s="157">
        <f>Table2[[#This Row],[final_obs_date]]</f>
        <v>57</v>
      </c>
      <c r="AZ663" s="6">
        <v>52</v>
      </c>
      <c r="BA663" s="92" t="s">
        <v>47</v>
      </c>
      <c r="BB663" s="6" t="e">
        <f>Table2[[#This Row],[final_obs_date]]&lt;(Table2[[#This Row],[estHD]]-2)</f>
        <v>#VALUE!</v>
      </c>
      <c r="BC663" s="32">
        <f>IF(Table2[[#This Row],[field_fate]]="H",1,0)</f>
        <v>0</v>
      </c>
      <c r="BD663" s="16">
        <f>IF(Table2[[#This Row],[cam_fate2]]="H",1,0)</f>
        <v>0</v>
      </c>
      <c r="BE663" s="6" t="b">
        <f>NOT(Table2[[#This Row],[HF_C]]=Table2[[#This Row],[HF]])</f>
        <v>0</v>
      </c>
      <c r="BF663" s="38" t="b">
        <f>NOT(Table2[[#This Row],[cam_fate2]]=Table2[[#This Row],[field_fate3]])</f>
        <v>1</v>
      </c>
      <c r="BG663" s="38" t="b">
        <f>OR(Table2[[#This Row],[field_fate3]]="U",Table2[[#This Row],[field_fate3]]="U-H")</f>
        <v>0</v>
      </c>
      <c r="BH663" s="8">
        <v>52</v>
      </c>
      <c r="BI663" s="8">
        <v>52</v>
      </c>
      <c r="BJ663" s="14">
        <f>IF(ISTEXT(Table2[[#This Row],[j.cam]]),Table2[[#This Row],[j]],Table2[[#This Row],[j.cam]])</f>
        <v>52</v>
      </c>
      <c r="BK663" s="8">
        <v>57</v>
      </c>
      <c r="BL663" s="14">
        <f>IF(ISTEXT(Table2[[#This Row],[k.cam]]), Table2[[#This Row],[k]], Table2[[#This Row],[k.cam]])</f>
        <v>57</v>
      </c>
      <c r="BM663" s="4" t="s">
        <v>24</v>
      </c>
      <c r="BN663" s="8" t="s">
        <v>24</v>
      </c>
      <c r="BO663" s="4">
        <v>2</v>
      </c>
      <c r="BP663" s="4">
        <f>Table2[[#This Row],[final_obs_date]]-Table2[[#This Row],[i]]</f>
        <v>5</v>
      </c>
      <c r="BQ663" s="4" t="e">
        <f>Table2[[#This Row],[final_obs_date2]]&gt;Table2[[#This Row],[estHD]]+3</f>
        <v>#VALUE!</v>
      </c>
      <c r="BR663" s="3" t="s">
        <v>33</v>
      </c>
      <c r="BS663" s="3" t="s">
        <v>45</v>
      </c>
      <c r="BT663" s="125" t="s">
        <v>1331</v>
      </c>
      <c r="BU663" s="4" t="s">
        <v>87</v>
      </c>
      <c r="BV663" s="79" t="s">
        <v>1464</v>
      </c>
      <c r="BW663" s="69"/>
      <c r="BX663" s="36"/>
      <c r="BY663" s="36" t="s">
        <v>24</v>
      </c>
    </row>
    <row r="664" spans="1:77" hidden="1" x14ac:dyDescent="0.35">
      <c r="A664" s="64">
        <v>30922</v>
      </c>
      <c r="B664" s="2" t="s">
        <v>122</v>
      </c>
      <c r="C664" s="46">
        <v>2021</v>
      </c>
      <c r="D664" s="3">
        <v>29.757770000000001</v>
      </c>
      <c r="E664" s="3">
        <v>-93.113460000000003</v>
      </c>
      <c r="F664" s="3">
        <v>40</v>
      </c>
      <c r="G664" s="3">
        <v>30</v>
      </c>
      <c r="H664" s="3" t="s">
        <v>354</v>
      </c>
      <c r="I664" s="43"/>
      <c r="J664" s="116">
        <v>54</v>
      </c>
      <c r="K664" s="4">
        <v>55</v>
      </c>
      <c r="L664" s="22">
        <f>IF(ISNUMBER(Table2[[#This Row],[estHD]]),ABS(Table2[[#This Row],[HD]]-Table2[[#This Row],[estHD]]),"NA")</f>
        <v>1</v>
      </c>
      <c r="M664" s="4" t="b">
        <f>Table2[[#This Row],[HD]]=Table2[[#This Row],[estHD]]</f>
        <v>0</v>
      </c>
      <c r="N664" s="4">
        <f>IF(ISNUMBER(Table2[[#This Row],[HD]]),Table2[[#This Row],[HD]]-16,"NA")</f>
        <v>39</v>
      </c>
      <c r="O664" s="31">
        <v>39</v>
      </c>
      <c r="P664" s="23">
        <f>IF(ISNUMBER(Table2[[#This Row],[nest_age1]]),ABS(Table2[[#This Row],[nest_age1]]-Table2[[#This Row],[nest_age_feb]]),"NA")</f>
        <v>1</v>
      </c>
      <c r="Q664" s="25">
        <f>IF(ISNUMBER(Table2[[#This Row],[final_obs_int2]]),ABS(Table2[[#This Row],[final_obs_int2]]-Table2[[#This Row],[final_obs_int_feb]]), "NA")</f>
        <v>0</v>
      </c>
      <c r="R664" s="24">
        <f>(Table2[[#This Row],[k_adj]]-Table2[[#This Row],[estHD]])/Table2[[#This Row],[estHD]]</f>
        <v>1.8518518518518517E-2</v>
      </c>
      <c r="S664" s="20" t="s">
        <v>75</v>
      </c>
      <c r="T664" s="20" t="str">
        <f>Table2[[#This Row],[camera_old]]</f>
        <v>Y</v>
      </c>
      <c r="U664" s="22" t="s">
        <v>88</v>
      </c>
      <c r="V664" s="16" t="s">
        <v>37</v>
      </c>
      <c r="W664" s="16">
        <v>19</v>
      </c>
      <c r="X664" s="145">
        <v>5</v>
      </c>
      <c r="Y664" s="147" t="s">
        <v>37</v>
      </c>
      <c r="Z664" s="146" t="s">
        <v>37</v>
      </c>
      <c r="AA664" s="4" t="str">
        <f>Table2[[#This Row],[field_fate]]</f>
        <v>H</v>
      </c>
      <c r="AB664" s="4" t="str">
        <f>Table2[[#This Row],[field_fate2]]</f>
        <v>H</v>
      </c>
      <c r="AC664" s="94" t="str">
        <f>Table2[[#This Row],[field_fate3]]</f>
        <v>H</v>
      </c>
      <c r="AD664" s="94" t="str">
        <f>Table2[[#This Row],[field_fate4]]</f>
        <v>H</v>
      </c>
      <c r="AE664" s="94" t="str">
        <f>Table2[[#This Row],[field_fate5]]</f>
        <v>H</v>
      </c>
      <c r="AF664" s="94" t="str">
        <f>Table2[[#This Row],[field_fate5]]</f>
        <v>H</v>
      </c>
      <c r="AG664" s="94" t="str">
        <f>Table2[[#This Row],[field_fate5]]</f>
        <v>H</v>
      </c>
      <c r="AH664" s="94" t="str">
        <f>Table2[[#This Row],[field_fate2]]</f>
        <v>H</v>
      </c>
      <c r="AI664" s="94" t="str">
        <f>Table2[[#This Row],[field_fate8]]</f>
        <v>H</v>
      </c>
      <c r="AJ664" s="94" t="str">
        <f>Table2[[#This Row],[field_fate10]]</f>
        <v>H</v>
      </c>
      <c r="AK664" s="94" t="b">
        <f>Table2[[#This Row],[field_fate_feb]]=Table2[[#This Row],[field_fate10]]</f>
        <v>1</v>
      </c>
      <c r="AL664" s="43" t="s">
        <v>37</v>
      </c>
      <c r="AM664" s="160" t="b">
        <f>Table2[[#This Row],[cam_fate2]]="NA"</f>
        <v>0</v>
      </c>
      <c r="AN664" s="19" t="str">
        <f>Table2[[#This Row],[cam_fate1]]</f>
        <v>H</v>
      </c>
      <c r="AO664" s="2" t="s">
        <v>37</v>
      </c>
      <c r="AP664" s="5" t="str">
        <f>Table2[[#This Row],[final_fate1]]</f>
        <v>H</v>
      </c>
      <c r="AQ664" s="6">
        <v>18</v>
      </c>
      <c r="AR664" s="72">
        <v>19</v>
      </c>
      <c r="AS664" s="155">
        <f>Table2[[#This Row],[final_obs_date]]-Table2[[#This Row],[init_date]]</f>
        <v>18</v>
      </c>
      <c r="AT664" s="155">
        <f>(Table2[[#This Row],[final_obs_date2]]-Table2[[#This Row],[estHD]])+16</f>
        <v>19</v>
      </c>
      <c r="AU664" s="40">
        <v>5</v>
      </c>
      <c r="AV664" s="33">
        <v>5</v>
      </c>
      <c r="AW664" s="33">
        <f>Table2[[#This Row],[final_obs_date2]]-Table2[[#This Row],[pen_obs_date]]</f>
        <v>5</v>
      </c>
      <c r="AX664" s="67">
        <v>57</v>
      </c>
      <c r="AY664" s="157">
        <f>Table2[[#This Row],[final_obs_date]]</f>
        <v>57</v>
      </c>
      <c r="AZ664" s="6">
        <v>52</v>
      </c>
      <c r="BA664" s="92" t="s">
        <v>60</v>
      </c>
      <c r="BB664" s="6" t="b">
        <f>Table2[[#This Row],[final_obs_date]]&lt;(Table2[[#This Row],[estHD]]-2)</f>
        <v>0</v>
      </c>
      <c r="BC664" s="32">
        <f>IF(Table2[[#This Row],[field_fate]]="H",1,0)</f>
        <v>1</v>
      </c>
      <c r="BD664" s="16">
        <f>IF(Table2[[#This Row],[cam_fate2]]="H",1,0)</f>
        <v>1</v>
      </c>
      <c r="BE664" s="6" t="b">
        <f>NOT(Table2[[#This Row],[HF_C]]=Table2[[#This Row],[HF]])</f>
        <v>0</v>
      </c>
      <c r="BF664" s="38" t="b">
        <f>NOT(Table2[[#This Row],[cam_fate2]]=Table2[[#This Row],[field_fate3]])</f>
        <v>0</v>
      </c>
      <c r="BG664" s="38" t="b">
        <f>OR(Table2[[#This Row],[field_fate3]]="U",Table2[[#This Row],[field_fate3]]="U-H")</f>
        <v>0</v>
      </c>
      <c r="BH664" s="8">
        <v>52</v>
      </c>
      <c r="BI664" s="8">
        <v>55</v>
      </c>
      <c r="BJ664" s="14">
        <f>IF(ISTEXT(Table2[[#This Row],[j.cam]]),Table2[[#This Row],[j]],Table2[[#This Row],[j.cam]])</f>
        <v>55</v>
      </c>
      <c r="BK664" s="8">
        <v>55</v>
      </c>
      <c r="BL664" s="14">
        <f>IF(ISTEXT(Table2[[#This Row],[k.cam]]), Table2[[#This Row],[k]], Table2[[#This Row],[k.cam]])</f>
        <v>55</v>
      </c>
      <c r="BM664" s="4">
        <v>55</v>
      </c>
      <c r="BN664" s="8">
        <v>55</v>
      </c>
      <c r="BO664" s="4">
        <v>3</v>
      </c>
      <c r="BP664" s="4">
        <f>Table2[[#This Row],[final_obs_date]]-Table2[[#This Row],[i]]</f>
        <v>5</v>
      </c>
      <c r="BQ664" s="4" t="b">
        <f>Table2[[#This Row],[final_obs_date2]]&gt;Table2[[#This Row],[estHD]]+3</f>
        <v>0</v>
      </c>
      <c r="BR664" s="27" t="s">
        <v>176</v>
      </c>
      <c r="BS664" s="3" t="s">
        <v>53</v>
      </c>
      <c r="BT664" s="125" t="s">
        <v>1405</v>
      </c>
      <c r="BU664" s="4" t="s">
        <v>425</v>
      </c>
      <c r="BV664" s="79" t="s">
        <v>1521</v>
      </c>
      <c r="BW664" s="69" t="s">
        <v>453</v>
      </c>
      <c r="BX664" s="36"/>
      <c r="BY664" s="36" t="s">
        <v>24</v>
      </c>
    </row>
    <row r="665" spans="1:77" hidden="1" x14ac:dyDescent="0.35">
      <c r="A665" s="64">
        <v>30924</v>
      </c>
      <c r="B665" s="2" t="s">
        <v>122</v>
      </c>
      <c r="C665" s="46">
        <v>2021</v>
      </c>
      <c r="D665" s="3">
        <v>29.757950000000001</v>
      </c>
      <c r="E665" s="3">
        <v>-93.117990000000006</v>
      </c>
      <c r="F665" s="3" t="s">
        <v>24</v>
      </c>
      <c r="G665" s="3" t="s">
        <v>24</v>
      </c>
      <c r="H665" s="3" t="s">
        <v>354</v>
      </c>
      <c r="I665" s="43"/>
      <c r="J665" s="116">
        <v>62</v>
      </c>
      <c r="K665" s="4">
        <v>66</v>
      </c>
      <c r="L665" s="22">
        <f>IF(ISNUMBER(Table2[[#This Row],[estHD]]),ABS(Table2[[#This Row],[HD]]-Table2[[#This Row],[estHD]]),"NA")</f>
        <v>4</v>
      </c>
      <c r="M665" s="4" t="b">
        <f>Table2[[#This Row],[HD]]=Table2[[#This Row],[estHD]]</f>
        <v>0</v>
      </c>
      <c r="N665" s="4">
        <f>IF(ISNUMBER(Table2[[#This Row],[HD]]),Table2[[#This Row],[HD]]-16,"NA")</f>
        <v>50</v>
      </c>
      <c r="O665" s="31">
        <v>50</v>
      </c>
      <c r="P665" s="23">
        <f>IF(ISNUMBER(Table2[[#This Row],[nest_age1]]),ABS(Table2[[#This Row],[nest_age1]]-Table2[[#This Row],[nest_age_feb]]),"NA")</f>
        <v>4</v>
      </c>
      <c r="Q665" s="24">
        <f>IF(ISNUMBER(Table2[[#This Row],[final_obs_int2]]),ABS(Table2[[#This Row],[final_obs_int2]]-Table2[[#This Row],[final_obs_int_feb]]), "NA")</f>
        <v>1</v>
      </c>
      <c r="R665" s="24">
        <f>(Table2[[#This Row],[k_adj]]-Table2[[#This Row],[estHD]])/Table2[[#This Row],[estHD]]</f>
        <v>6.4516129032258063E-2</v>
      </c>
      <c r="S665" s="20" t="s">
        <v>75</v>
      </c>
      <c r="T665" s="20" t="str">
        <f>Table2[[#This Row],[camera_old]]</f>
        <v>Y</v>
      </c>
      <c r="U665" s="22" t="s">
        <v>88</v>
      </c>
      <c r="V665" s="16" t="s">
        <v>37</v>
      </c>
      <c r="W665" s="16">
        <v>23</v>
      </c>
      <c r="X665" s="145">
        <v>4</v>
      </c>
      <c r="Y665" s="147" t="s">
        <v>37</v>
      </c>
      <c r="Z665" s="146" t="s">
        <v>37</v>
      </c>
      <c r="AA665" s="4" t="str">
        <f>Table2[[#This Row],[field_fate]]</f>
        <v>H</v>
      </c>
      <c r="AB665" s="3" t="str">
        <f>Table2[[#This Row],[field_fate2]]</f>
        <v>H</v>
      </c>
      <c r="AC665" s="127" t="str">
        <f>Table2[[#This Row],[field_fate3]]</f>
        <v>H</v>
      </c>
      <c r="AD665" s="141" t="s">
        <v>90</v>
      </c>
      <c r="AE665" s="114" t="s">
        <v>104</v>
      </c>
      <c r="AF665" s="94" t="str">
        <f>Table2[[#This Row],[field_fate5]]</f>
        <v>U</v>
      </c>
      <c r="AG665" s="94" t="s">
        <v>37</v>
      </c>
      <c r="AH665" s="94" t="str">
        <f>Table2[[#This Row],[field_fate2]]</f>
        <v>H</v>
      </c>
      <c r="AI665" s="94" t="str">
        <f>Table2[[#This Row],[field_fate8]]</f>
        <v>H</v>
      </c>
      <c r="AJ665" s="94" t="str">
        <f>Table2[[#This Row],[field_fate10]]</f>
        <v>H</v>
      </c>
      <c r="AK665" s="94" t="b">
        <f>Table2[[#This Row],[field_fate_feb]]=Table2[[#This Row],[field_fate10]]</f>
        <v>1</v>
      </c>
      <c r="AL665" s="43" t="s">
        <v>37</v>
      </c>
      <c r="AM665" s="160" t="b">
        <f>Table2[[#This Row],[cam_fate2]]="NA"</f>
        <v>0</v>
      </c>
      <c r="AN665" s="19" t="str">
        <f>Table2[[#This Row],[cam_fate1]]</f>
        <v>H</v>
      </c>
      <c r="AO665" s="2" t="s">
        <v>37</v>
      </c>
      <c r="AP665" s="5" t="str">
        <f>Table2[[#This Row],[final_fate1]]</f>
        <v>H</v>
      </c>
      <c r="AQ665" s="6">
        <v>19</v>
      </c>
      <c r="AR665" s="72">
        <v>23</v>
      </c>
      <c r="AS665" s="155">
        <f>Table2[[#This Row],[final_obs_date]]-Table2[[#This Row],[init_date]]</f>
        <v>19</v>
      </c>
      <c r="AT665" s="155">
        <f>(Table2[[#This Row],[final_obs_date2]]-Table2[[#This Row],[estHD]])+16</f>
        <v>23</v>
      </c>
      <c r="AU665" s="38">
        <v>3</v>
      </c>
      <c r="AV665" s="33">
        <v>3</v>
      </c>
      <c r="AW665" s="33">
        <f>Table2[[#This Row],[final_obs_date2]]-Table2[[#This Row],[pen_obs_date]]</f>
        <v>4</v>
      </c>
      <c r="AX665" s="67">
        <v>69</v>
      </c>
      <c r="AY665" s="157">
        <f>Table2[[#This Row],[final_obs_date]]</f>
        <v>69</v>
      </c>
      <c r="AZ665" s="6">
        <v>65</v>
      </c>
      <c r="BA665" s="92" t="s">
        <v>60</v>
      </c>
      <c r="BB665" s="6" t="b">
        <f>Table2[[#This Row],[final_obs_date]]&lt;(Table2[[#This Row],[estHD]]-2)</f>
        <v>0</v>
      </c>
      <c r="BC665" s="32">
        <f>IF(Table2[[#This Row],[field_fate]]="H",1,0)</f>
        <v>1</v>
      </c>
      <c r="BD665" s="16">
        <f>IF(Table2[[#This Row],[cam_fate2]]="H",1,0)</f>
        <v>1</v>
      </c>
      <c r="BE665" s="6" t="b">
        <f>NOT(Table2[[#This Row],[HF_C]]=Table2[[#This Row],[HF]])</f>
        <v>0</v>
      </c>
      <c r="BF665" s="38" t="b">
        <f>NOT(Table2[[#This Row],[cam_fate2]]=Table2[[#This Row],[field_fate3]])</f>
        <v>0</v>
      </c>
      <c r="BG665" s="38" t="b">
        <f>OR(Table2[[#This Row],[field_fate3]]="U",Table2[[#This Row],[field_fate3]]="U-H")</f>
        <v>0</v>
      </c>
      <c r="BH665" s="8">
        <v>52</v>
      </c>
      <c r="BI665" s="8">
        <v>67</v>
      </c>
      <c r="BJ665" s="14">
        <f>IF(ISTEXT(Table2[[#This Row],[j.cam]]),Table2[[#This Row],[j]],Table2[[#This Row],[j.cam]])</f>
        <v>66</v>
      </c>
      <c r="BK665" s="8">
        <v>67</v>
      </c>
      <c r="BL665" s="14">
        <f>IF(ISTEXT(Table2[[#This Row],[k.cam]]), Table2[[#This Row],[k]], Table2[[#This Row],[k.cam]])</f>
        <v>66</v>
      </c>
      <c r="BM665" s="4">
        <v>66</v>
      </c>
      <c r="BN665" s="8">
        <v>66</v>
      </c>
      <c r="BO665" s="4">
        <v>5</v>
      </c>
      <c r="BP665" s="4">
        <f>Table2[[#This Row],[final_obs_date]]-Table2[[#This Row],[i]]</f>
        <v>17</v>
      </c>
      <c r="BQ665" s="4" t="b">
        <f>Table2[[#This Row],[final_obs_date2]]&gt;Table2[[#This Row],[estHD]]+3</f>
        <v>1</v>
      </c>
      <c r="BR665" s="3" t="s">
        <v>33</v>
      </c>
      <c r="BS665" s="3" t="s">
        <v>45</v>
      </c>
      <c r="BT665" s="125" t="s">
        <v>1333</v>
      </c>
      <c r="BU665" s="4" t="s">
        <v>105</v>
      </c>
      <c r="BV665" s="79" t="s">
        <v>1690</v>
      </c>
      <c r="BW665" s="69"/>
      <c r="BX665" s="36"/>
      <c r="BY665" s="36" t="s">
        <v>873</v>
      </c>
    </row>
    <row r="666" spans="1:77" hidden="1" x14ac:dyDescent="0.35">
      <c r="A666" s="64">
        <v>30925</v>
      </c>
      <c r="B666" s="2" t="s">
        <v>122</v>
      </c>
      <c r="C666" s="46">
        <v>2021</v>
      </c>
      <c r="D666" s="3">
        <v>29.758430000000001</v>
      </c>
      <c r="E666" s="3">
        <v>-93.120220000000003</v>
      </c>
      <c r="F666" s="3">
        <v>60</v>
      </c>
      <c r="G666" s="3">
        <v>60</v>
      </c>
      <c r="H666" s="3" t="s">
        <v>354</v>
      </c>
      <c r="I666" s="43"/>
      <c r="J666" s="55">
        <v>63</v>
      </c>
      <c r="K666" s="4">
        <v>67</v>
      </c>
      <c r="L666" s="22">
        <f>IF(ISNUMBER(Table2[[#This Row],[estHD]]),ABS(Table2[[#This Row],[HD]]-Table2[[#This Row],[estHD]]),"NA")</f>
        <v>4</v>
      </c>
      <c r="M666" s="4" t="b">
        <f>Table2[[#This Row],[HD]]=Table2[[#This Row],[estHD]]</f>
        <v>0</v>
      </c>
      <c r="N666" s="4" t="str">
        <f>IF(ISNUMBER([1]!Table2[[#This Row],[hatch_date]]), [1]!Table2[[#This Row],[hatch_date]]-16, "NA")</f>
        <v>NA</v>
      </c>
      <c r="O666" s="31">
        <v>51</v>
      </c>
      <c r="P666" s="23">
        <f>IF(ISNUMBER(Table2[[#This Row],[nest_age1]]),ABS(Table2[[#This Row],[nest_age1]]-Table2[[#This Row],[nest_age_feb]]),"NA")</f>
        <v>4</v>
      </c>
      <c r="Q666" s="25">
        <f>IF(ISNUMBER(Table2[[#This Row],[final_obs_int2]]),ABS(Table2[[#This Row],[final_obs_int2]]-Table2[[#This Row],[final_obs_int_feb]]), "NA")</f>
        <v>0</v>
      </c>
      <c r="R666" s="25"/>
      <c r="S666" s="57" t="s">
        <v>88</v>
      </c>
      <c r="T666" s="57" t="str">
        <f>Table2[[#This Row],[camera_old]]</f>
        <v>N</v>
      </c>
      <c r="U666" s="24"/>
      <c r="V666" s="16" t="s">
        <v>24</v>
      </c>
      <c r="W666" s="16">
        <v>22</v>
      </c>
      <c r="X666" s="145">
        <v>4</v>
      </c>
      <c r="Y666" s="147" t="s">
        <v>37</v>
      </c>
      <c r="Z666" s="146" t="s">
        <v>37</v>
      </c>
      <c r="AA666" s="4" t="str">
        <f>Table2[[#This Row],[field_fate]]</f>
        <v>H</v>
      </c>
      <c r="AB666" s="4" t="str">
        <f>Table2[[#This Row],[field_fate2]]</f>
        <v>H</v>
      </c>
      <c r="AC666" s="4" t="str">
        <f>Table2[[#This Row],[field_fate3]]</f>
        <v>H</v>
      </c>
      <c r="AD666" s="4" t="str">
        <f>Table2[[#This Row],[field_fate4]]</f>
        <v>H</v>
      </c>
      <c r="AE666" s="4" t="str">
        <f>Table2[[#This Row],[field_fate5]]</f>
        <v>H</v>
      </c>
      <c r="AF666" s="4" t="str">
        <f>Table2[[#This Row],[field_fate5]]</f>
        <v>H</v>
      </c>
      <c r="AG666" s="4" t="str">
        <f>Table2[[#This Row],[field_fate5]]</f>
        <v>H</v>
      </c>
      <c r="AH666" s="4" t="str">
        <f>Table2[[#This Row],[field_fate2]]</f>
        <v>H</v>
      </c>
      <c r="AI666" s="4" t="str">
        <f>Table2[[#This Row],[field_fate8]]</f>
        <v>H</v>
      </c>
      <c r="AJ666" s="4" t="str">
        <f>Table2[[#This Row],[field_fate10]]</f>
        <v>H</v>
      </c>
      <c r="AK666" s="4" t="b">
        <f>Table2[[#This Row],[field_fate_feb]]=Table2[[#This Row],[field_fate10]]</f>
        <v>1</v>
      </c>
      <c r="AL666" s="43" t="s">
        <v>24</v>
      </c>
      <c r="AM666" s="43" t="b">
        <f>Table2[[#This Row],[cam_fate2]]="NA"</f>
        <v>1</v>
      </c>
      <c r="AN666" s="19" t="str">
        <f>Table2[[#This Row],[cam_fate1]]</f>
        <v>NA</v>
      </c>
      <c r="AO666" s="2" t="s">
        <v>37</v>
      </c>
      <c r="AP666" s="5" t="str">
        <f>Table2[[#This Row],[final_fate1]]</f>
        <v>H</v>
      </c>
      <c r="AQ666" s="6">
        <v>18</v>
      </c>
      <c r="AR666" s="7">
        <v>22</v>
      </c>
      <c r="AS666" s="7">
        <f>Table2[[#This Row],[final_obs_date]]-Table2[[#This Row],[init_date]]</f>
        <v>18</v>
      </c>
      <c r="AT666" s="7">
        <f>(Table2[[#This Row],[final_obs_date2]]-Table2[[#This Row],[estHD]])+16</f>
        <v>22</v>
      </c>
      <c r="AU666" s="40">
        <v>4</v>
      </c>
      <c r="AV666" s="33">
        <v>4</v>
      </c>
      <c r="AW666" s="33">
        <f>Table2[[#This Row],[final_obs_date2]]-Table2[[#This Row],[pen_obs_date]]</f>
        <v>69</v>
      </c>
      <c r="AX666" s="67">
        <v>69</v>
      </c>
      <c r="AY666" s="6">
        <f>Table2[[#This Row],[final_obs_date]]</f>
        <v>69</v>
      </c>
      <c r="AZ666" s="6"/>
      <c r="BA666" s="91" t="s">
        <v>60</v>
      </c>
      <c r="BB666" s="6" t="b">
        <f>Table2[[#This Row],[final_obs_date]]&lt;(Table2[[#This Row],[estHD]]-2)</f>
        <v>0</v>
      </c>
      <c r="BC666" s="24">
        <f>IF(Table2[[#This Row],[field_fate]]="H",1,0)</f>
        <v>1</v>
      </c>
      <c r="BD666" s="16">
        <f>IF(Table2[[#This Row],[cam_fate2]]="H",1,0)</f>
        <v>0</v>
      </c>
      <c r="BE666" s="6" t="b">
        <f>NOT(Table2[[#This Row],[HF_C]]=Table2[[#This Row],[HF]])</f>
        <v>1</v>
      </c>
      <c r="BF666" s="6" t="b">
        <f>NOT(Table2[[#This Row],[cam_fate2]]=Table2[[#This Row],[field_fate3]])</f>
        <v>1</v>
      </c>
      <c r="BG666" s="6" t="b">
        <f>OR(Table2[[#This Row],[field_fate3]]="U",Table2[[#This Row],[field_fate3]]="U-H")</f>
        <v>0</v>
      </c>
      <c r="BH666" s="8">
        <v>52</v>
      </c>
      <c r="BI666" s="8">
        <v>67</v>
      </c>
      <c r="BJ666" s="14">
        <f>IF(ISTEXT(Table2[[#This Row],[j.cam]]),Table2[[#This Row],[j]],Table2[[#This Row],[j.cam]])</f>
        <v>67</v>
      </c>
      <c r="BK666" s="9">
        <v>67</v>
      </c>
      <c r="BL666" s="15">
        <f>IF(ISTEXT(Table2[[#This Row],[k.cam]]), Table2[[#This Row],[k]], Table2[[#This Row],[k.cam]])</f>
        <v>67</v>
      </c>
      <c r="BM666" s="4" t="s">
        <v>24</v>
      </c>
      <c r="BN666" s="8" t="s">
        <v>24</v>
      </c>
      <c r="BO666" s="4">
        <v>6</v>
      </c>
      <c r="BP666" s="4">
        <f>Table2[[#This Row],[final_obs_date]]-Table2[[#This Row],[i]]</f>
        <v>17</v>
      </c>
      <c r="BQ666" s="4" t="b">
        <f>Table2[[#This Row],[final_obs_date2]]&gt;Table2[[#This Row],[estHD]]+3</f>
        <v>1</v>
      </c>
      <c r="BR666" s="11" t="s">
        <v>176</v>
      </c>
      <c r="BS666" s="4" t="s">
        <v>145</v>
      </c>
      <c r="BT666" s="79" t="s">
        <v>1406</v>
      </c>
      <c r="BU666" s="26" t="s">
        <v>426</v>
      </c>
      <c r="BV666" s="79" t="s">
        <v>1691</v>
      </c>
      <c r="BW666" s="49" t="s">
        <v>453</v>
      </c>
      <c r="BX666" s="47"/>
      <c r="BY666" s="36" t="s">
        <v>874</v>
      </c>
    </row>
    <row r="667" spans="1:77" hidden="1" x14ac:dyDescent="0.35">
      <c r="A667" s="64">
        <v>30926</v>
      </c>
      <c r="B667" s="2" t="s">
        <v>35</v>
      </c>
      <c r="C667" s="46">
        <v>2021</v>
      </c>
      <c r="D667" s="3">
        <v>29.763770000000001</v>
      </c>
      <c r="E667" s="3">
        <v>-93.142110000000002</v>
      </c>
      <c r="F667" s="3">
        <v>0</v>
      </c>
      <c r="G667" s="3">
        <v>0</v>
      </c>
      <c r="H667" s="3" t="s">
        <v>26</v>
      </c>
      <c r="I667" s="43"/>
      <c r="J667" s="116">
        <v>73</v>
      </c>
      <c r="K667" s="4">
        <v>73</v>
      </c>
      <c r="L667" s="22">
        <f>IF(ISNUMBER(Table2[[#This Row],[estHD]]),ABS(Table2[[#This Row],[HD]]-Table2[[#This Row],[estHD]]),"NA")</f>
        <v>0</v>
      </c>
      <c r="M667" s="4" t="b">
        <f>Table2[[#This Row],[HD]]=Table2[[#This Row],[estHD]]</f>
        <v>1</v>
      </c>
      <c r="N667" s="4" t="str">
        <f>IF(ISNUMBER([1]!Table2[[#This Row],[hatch_date]]),[1]!Table2[[#This Row],[hatch_date]]-19,"NA")</f>
        <v>NA</v>
      </c>
      <c r="O667" s="31">
        <v>54</v>
      </c>
      <c r="P667" s="23">
        <f>IF(ISNUMBER(Table2[[#This Row],[nest_age1]]),ABS(Table2[[#This Row],[nest_age1]]-Table2[[#This Row],[nest_age_feb]]),"NA")</f>
        <v>0</v>
      </c>
      <c r="Q667" s="24">
        <f>IF(ISNUMBER(Table2[[#This Row],[final_obs_int2]]),ABS(Table2[[#This Row],[final_obs_int2]]-Table2[[#This Row],[final_obs_int_feb]]), "NA")</f>
        <v>0</v>
      </c>
      <c r="R667" s="24"/>
      <c r="S667" s="20" t="s">
        <v>75</v>
      </c>
      <c r="T667" s="20" t="str">
        <f>Table2[[#This Row],[camera_old]]</f>
        <v>Y</v>
      </c>
      <c r="U667" s="22" t="s">
        <v>88</v>
      </c>
      <c r="V667" s="16" t="s">
        <v>31</v>
      </c>
      <c r="W667" s="16">
        <v>4</v>
      </c>
      <c r="X667" s="145">
        <v>4</v>
      </c>
      <c r="Y667" s="147" t="s">
        <v>48</v>
      </c>
      <c r="Z667" s="146" t="s">
        <v>48</v>
      </c>
      <c r="AA667" s="4" t="str">
        <f>Table2[[#This Row],[field_fate]]</f>
        <v>F</v>
      </c>
      <c r="AB667" s="4" t="str">
        <f>Table2[[#This Row],[field_fate2]]</f>
        <v>F</v>
      </c>
      <c r="AC667" s="94" t="str">
        <f>Table2[[#This Row],[field_fate3]]</f>
        <v>F</v>
      </c>
      <c r="AD667" s="94" t="str">
        <f>Table2[[#This Row],[field_fate4]]</f>
        <v>F</v>
      </c>
      <c r="AE667" s="94" t="str">
        <f>Table2[[#This Row],[field_fate5]]</f>
        <v>F</v>
      </c>
      <c r="AF667" s="94" t="str">
        <f>Table2[[#This Row],[field_fate5]]</f>
        <v>F</v>
      </c>
      <c r="AG667" s="94" t="str">
        <f>Table2[[#This Row],[field_fate5]]</f>
        <v>F</v>
      </c>
      <c r="AH667" s="94" t="str">
        <f>Table2[[#This Row],[field_fate2]]</f>
        <v>F</v>
      </c>
      <c r="AI667" s="94" t="str">
        <f>Table2[[#This Row],[field_fate8]]</f>
        <v>F</v>
      </c>
      <c r="AJ667" s="94" t="str">
        <f>Table2[[#This Row],[field_fate10]]</f>
        <v>F</v>
      </c>
      <c r="AK667" s="94" t="b">
        <f>Table2[[#This Row],[field_fate_feb]]=Table2[[#This Row],[field_fate10]]</f>
        <v>1</v>
      </c>
      <c r="AL667" s="43" t="s">
        <v>31</v>
      </c>
      <c r="AM667" s="160" t="b">
        <f>Table2[[#This Row],[cam_fate2]]="NA"</f>
        <v>0</v>
      </c>
      <c r="AN667" s="19" t="str">
        <f>Table2[[#This Row],[cam_fate1]]</f>
        <v>D</v>
      </c>
      <c r="AO667" s="2" t="s">
        <v>31</v>
      </c>
      <c r="AP667" s="5" t="str">
        <f>Table2[[#This Row],[final_fate1]]</f>
        <v>D</v>
      </c>
      <c r="AQ667" s="6">
        <v>4</v>
      </c>
      <c r="AR667" s="72">
        <v>4</v>
      </c>
      <c r="AS667" s="155">
        <f>Table2[[#This Row],[final_obs_date]]-Table2[[#This Row],[init_date]]</f>
        <v>4</v>
      </c>
      <c r="AT667" s="155">
        <f>(Table2[[#This Row],[final_obs_date2]]-Table2[[#This Row],[estHD]])+19</f>
        <v>4</v>
      </c>
      <c r="AU667" s="38">
        <v>4</v>
      </c>
      <c r="AV667" s="33">
        <v>4</v>
      </c>
      <c r="AW667" s="33">
        <f>Table2[[#This Row],[final_obs_date2]]-Table2[[#This Row],[pen_obs_date]]</f>
        <v>4</v>
      </c>
      <c r="AX667" s="67">
        <v>58</v>
      </c>
      <c r="AY667" s="157">
        <f>Table2[[#This Row],[final_obs_date]]</f>
        <v>58</v>
      </c>
      <c r="AZ667" s="6">
        <v>54</v>
      </c>
      <c r="BA667" s="92" t="s">
        <v>47</v>
      </c>
      <c r="BB667" s="6" t="b">
        <f>Table2[[#This Row],[final_obs_date]]&lt;(Table2[[#This Row],[estHD]]-2)</f>
        <v>1</v>
      </c>
      <c r="BC667" s="32">
        <f>IF(Table2[[#This Row],[field_fate]]="H",1,0)</f>
        <v>0</v>
      </c>
      <c r="BD667" s="16">
        <f>IF(Table2[[#This Row],[cam_fate2]]="H",1,0)</f>
        <v>0</v>
      </c>
      <c r="BE667" s="6" t="b">
        <f>NOT(Table2[[#This Row],[HF_C]]=Table2[[#This Row],[HF]])</f>
        <v>0</v>
      </c>
      <c r="BF667" s="38" t="b">
        <f>NOT(Table2[[#This Row],[cam_fate2]]=Table2[[#This Row],[field_fate3]])</f>
        <v>1</v>
      </c>
      <c r="BG667" s="38" t="b">
        <f>OR(Table2[[#This Row],[field_fate3]]="U",Table2[[#This Row],[field_fate3]]="U-H")</f>
        <v>0</v>
      </c>
      <c r="BH667" s="8">
        <v>54</v>
      </c>
      <c r="BI667" s="8">
        <v>54</v>
      </c>
      <c r="BJ667" s="14">
        <f>IF(ISTEXT(Table2[[#This Row],[j.cam]]),Table2[[#This Row],[j]],Table2[[#This Row],[j.cam]])</f>
        <v>54</v>
      </c>
      <c r="BK667" s="8">
        <v>58</v>
      </c>
      <c r="BL667" s="14">
        <f>IF(ISTEXT(Table2[[#This Row],[k.cam]]), Table2[[#This Row],[k]], Table2[[#This Row],[k.cam]])</f>
        <v>58</v>
      </c>
      <c r="BM667" s="4" t="s">
        <v>24</v>
      </c>
      <c r="BN667" s="8" t="s">
        <v>24</v>
      </c>
      <c r="BO667" s="4">
        <v>2</v>
      </c>
      <c r="BP667" s="4">
        <f>Table2[[#This Row],[final_obs_date]]-Table2[[#This Row],[i]]</f>
        <v>4</v>
      </c>
      <c r="BQ667" s="4" t="b">
        <f>Table2[[#This Row],[final_obs_date2]]&gt;Table2[[#This Row],[estHD]]+3</f>
        <v>0</v>
      </c>
      <c r="BR667" s="3" t="s">
        <v>27</v>
      </c>
      <c r="BS667" s="3" t="s">
        <v>48</v>
      </c>
      <c r="BT667" s="125" t="s">
        <v>1365</v>
      </c>
      <c r="BU667" s="4" t="s">
        <v>415</v>
      </c>
      <c r="BV667" s="79" t="s">
        <v>1429</v>
      </c>
      <c r="BW667" s="69"/>
      <c r="BX667" s="36"/>
      <c r="BY667" s="36" t="s">
        <v>875</v>
      </c>
    </row>
    <row r="668" spans="1:77" hidden="1" x14ac:dyDescent="0.35">
      <c r="A668" s="64">
        <v>30927</v>
      </c>
      <c r="B668" s="2" t="s">
        <v>35</v>
      </c>
      <c r="C668" s="46">
        <v>2021</v>
      </c>
      <c r="D668" s="3">
        <v>29.76397</v>
      </c>
      <c r="E668" s="3">
        <v>-93.142750000000007</v>
      </c>
      <c r="F668" s="3">
        <v>0</v>
      </c>
      <c r="G668" s="3">
        <v>0</v>
      </c>
      <c r="H668" s="3" t="s">
        <v>26</v>
      </c>
      <c r="I668" s="43"/>
      <c r="J668" s="116">
        <v>73</v>
      </c>
      <c r="K668" s="4">
        <v>73</v>
      </c>
      <c r="L668" s="22">
        <f>IF(ISNUMBER(Table2[[#This Row],[estHD]]),ABS(Table2[[#This Row],[HD]]-Table2[[#This Row],[estHD]]),"NA")</f>
        <v>0</v>
      </c>
      <c r="M668" s="4" t="b">
        <f>Table2[[#This Row],[HD]]=Table2[[#This Row],[estHD]]</f>
        <v>1</v>
      </c>
      <c r="N668" s="4" t="str">
        <f>IF(ISNUMBER([1]!Table2[[#This Row],[hatch_date]]),[1]!Table2[[#This Row],[hatch_date]]-19,"NA")</f>
        <v>NA</v>
      </c>
      <c r="O668" s="31">
        <v>54</v>
      </c>
      <c r="P668" s="23">
        <f>IF(ISNUMBER(Table2[[#This Row],[nest_age1]]),ABS(Table2[[#This Row],[nest_age1]]-Table2[[#This Row],[nest_age_feb]]),"NA")</f>
        <v>0</v>
      </c>
      <c r="Q668" s="24">
        <f>IF(ISNUMBER(Table2[[#This Row],[final_obs_int2]]),ABS(Table2[[#This Row],[final_obs_int2]]-Table2[[#This Row],[final_obs_int_feb]]), "NA")</f>
        <v>0</v>
      </c>
      <c r="R668" s="24"/>
      <c r="S668" s="20" t="s">
        <v>75</v>
      </c>
      <c r="T668" s="20" t="str">
        <f>Table2[[#This Row],[camera_old]]</f>
        <v>Y</v>
      </c>
      <c r="U668" s="22" t="s">
        <v>88</v>
      </c>
      <c r="V668" s="16" t="s">
        <v>31</v>
      </c>
      <c r="W668" s="16">
        <v>4</v>
      </c>
      <c r="X668" s="145">
        <v>4</v>
      </c>
      <c r="Y668" s="148" t="s">
        <v>48</v>
      </c>
      <c r="Z668" s="146" t="s">
        <v>48</v>
      </c>
      <c r="AA668" s="4" t="str">
        <f>Table2[[#This Row],[field_fate]]</f>
        <v>F</v>
      </c>
      <c r="AB668" s="4" t="str">
        <f>Table2[[#This Row],[field_fate2]]</f>
        <v>F</v>
      </c>
      <c r="AC668" s="94" t="str">
        <f>Table2[[#This Row],[field_fate3]]</f>
        <v>F</v>
      </c>
      <c r="AD668" s="94" t="str">
        <f>Table2[[#This Row],[field_fate4]]</f>
        <v>F</v>
      </c>
      <c r="AE668" s="94" t="str">
        <f>Table2[[#This Row],[field_fate5]]</f>
        <v>F</v>
      </c>
      <c r="AF668" s="94" t="str">
        <f>Table2[[#This Row],[field_fate5]]</f>
        <v>F</v>
      </c>
      <c r="AG668" s="94" t="str">
        <f>Table2[[#This Row],[field_fate5]]</f>
        <v>F</v>
      </c>
      <c r="AH668" s="94" t="str">
        <f>Table2[[#This Row],[field_fate2]]</f>
        <v>F</v>
      </c>
      <c r="AI668" s="94" t="str">
        <f>Table2[[#This Row],[field_fate8]]</f>
        <v>F</v>
      </c>
      <c r="AJ668" s="94" t="str">
        <f>Table2[[#This Row],[field_fate10]]</f>
        <v>F</v>
      </c>
      <c r="AK668" s="94" t="b">
        <f>Table2[[#This Row],[field_fate_feb]]=Table2[[#This Row],[field_fate10]]</f>
        <v>1</v>
      </c>
      <c r="AL668" s="43" t="s">
        <v>31</v>
      </c>
      <c r="AM668" s="160" t="b">
        <f>Table2[[#This Row],[cam_fate2]]="NA"</f>
        <v>0</v>
      </c>
      <c r="AN668" s="19" t="str">
        <f>Table2[[#This Row],[cam_fate1]]</f>
        <v>D</v>
      </c>
      <c r="AO668" s="2" t="s">
        <v>31</v>
      </c>
      <c r="AP668" s="5" t="str">
        <f>Table2[[#This Row],[final_fate1]]</f>
        <v>D</v>
      </c>
      <c r="AQ668" s="6">
        <v>4</v>
      </c>
      <c r="AR668" s="72">
        <v>4</v>
      </c>
      <c r="AS668" s="155">
        <f>Table2[[#This Row],[final_obs_date]]-Table2[[#This Row],[init_date]]</f>
        <v>4</v>
      </c>
      <c r="AT668" s="155">
        <f>(Table2[[#This Row],[final_obs_date2]]-Table2[[#This Row],[estHD]])+19</f>
        <v>4</v>
      </c>
      <c r="AU668" s="38">
        <v>4</v>
      </c>
      <c r="AV668" s="33">
        <v>4</v>
      </c>
      <c r="AW668" s="33">
        <f>Table2[[#This Row],[final_obs_date2]]-Table2[[#This Row],[pen_obs_date]]</f>
        <v>4</v>
      </c>
      <c r="AX668" s="67">
        <v>58</v>
      </c>
      <c r="AY668" s="157">
        <f>Table2[[#This Row],[final_obs_date]]</f>
        <v>58</v>
      </c>
      <c r="AZ668" s="6">
        <v>54</v>
      </c>
      <c r="BA668" s="92" t="s">
        <v>47</v>
      </c>
      <c r="BB668" s="6" t="b">
        <f>Table2[[#This Row],[final_obs_date]]&lt;(Table2[[#This Row],[estHD]]-2)</f>
        <v>1</v>
      </c>
      <c r="BC668" s="32">
        <f>IF(Table2[[#This Row],[field_fate]]="H",1,0)</f>
        <v>0</v>
      </c>
      <c r="BD668" s="16">
        <f>IF(Table2[[#This Row],[cam_fate2]]="H",1,0)</f>
        <v>0</v>
      </c>
      <c r="BE668" s="6" t="b">
        <f>NOT(Table2[[#This Row],[HF_C]]=Table2[[#This Row],[HF]])</f>
        <v>0</v>
      </c>
      <c r="BF668" s="38" t="b">
        <f>NOT(Table2[[#This Row],[cam_fate2]]=Table2[[#This Row],[field_fate3]])</f>
        <v>1</v>
      </c>
      <c r="BG668" s="38" t="b">
        <f>OR(Table2[[#This Row],[field_fate3]]="U",Table2[[#This Row],[field_fate3]]="U-H")</f>
        <v>0</v>
      </c>
      <c r="BH668" s="8">
        <v>54</v>
      </c>
      <c r="BI668" s="8">
        <v>54</v>
      </c>
      <c r="BJ668" s="14">
        <f>IF(ISTEXT(Table2[[#This Row],[j.cam]]),Table2[[#This Row],[j]],Table2[[#This Row],[j.cam]])</f>
        <v>54</v>
      </c>
      <c r="BK668" s="8">
        <v>58</v>
      </c>
      <c r="BL668" s="14">
        <f>IF(ISTEXT(Table2[[#This Row],[k.cam]]), Table2[[#This Row],[k]], Table2[[#This Row],[k.cam]])</f>
        <v>58</v>
      </c>
      <c r="BM668" s="4" t="s">
        <v>24</v>
      </c>
      <c r="BN668" s="8" t="s">
        <v>24</v>
      </c>
      <c r="BO668" s="4">
        <v>2</v>
      </c>
      <c r="BP668" s="4">
        <f>Table2[[#This Row],[final_obs_date]]-Table2[[#This Row],[i]]</f>
        <v>4</v>
      </c>
      <c r="BQ668" s="4" t="b">
        <f>Table2[[#This Row],[final_obs_date2]]&gt;Table2[[#This Row],[estHD]]+3</f>
        <v>0</v>
      </c>
      <c r="BR668" s="3" t="s">
        <v>58</v>
      </c>
      <c r="BS668" s="3" t="s">
        <v>45</v>
      </c>
      <c r="BT668" s="125" t="s">
        <v>1365</v>
      </c>
      <c r="BU668" s="4" t="s">
        <v>117</v>
      </c>
      <c r="BV668" s="79" t="s">
        <v>1429</v>
      </c>
      <c r="BW668" s="69"/>
      <c r="BX668" s="36"/>
      <c r="BY668" s="36" t="s">
        <v>24</v>
      </c>
    </row>
    <row r="669" spans="1:77" hidden="1" x14ac:dyDescent="0.35">
      <c r="A669" s="64">
        <v>30928</v>
      </c>
      <c r="B669" s="2" t="s">
        <v>35</v>
      </c>
      <c r="C669" s="46">
        <v>2021</v>
      </c>
      <c r="D669" s="3">
        <v>29.76491</v>
      </c>
      <c r="E669" s="3">
        <v>-93.146240000000006</v>
      </c>
      <c r="F669" s="3">
        <v>30</v>
      </c>
      <c r="G669" s="3">
        <v>10</v>
      </c>
      <c r="H669" s="3" t="s">
        <v>26</v>
      </c>
      <c r="I669" s="43"/>
      <c r="J669" s="55">
        <v>77</v>
      </c>
      <c r="K669" s="4">
        <v>77</v>
      </c>
      <c r="L669" s="22">
        <f>IF(ISNUMBER(Table2[[#This Row],[estHD]]),ABS(Table2[[#This Row],[HD]]-Table2[[#This Row],[estHD]]),"NA")</f>
        <v>0</v>
      </c>
      <c r="M669" s="4" t="b">
        <f>Table2[[#This Row],[HD]]=Table2[[#This Row],[estHD]]</f>
        <v>1</v>
      </c>
      <c r="N669" s="4" t="str">
        <f>IF(ISNUMBER([1]!Table2[[#This Row],[hatch_date]]), [1]!Table2[[#This Row],[hatch_date]]-28, "NA")</f>
        <v>NA</v>
      </c>
      <c r="O669" s="31">
        <v>49</v>
      </c>
      <c r="P669" s="23" t="e">
        <f>IF(ISNUMBER(Table2[[#This Row],[nest_age1]]),ABS(Table2[[#This Row],[nest_age1]]-Table2[[#This Row],[nest_age_feb]]),"NA")</f>
        <v>#VALUE!</v>
      </c>
      <c r="Q669" s="24">
        <f>IF(ISNUMBER(Table2[[#This Row],[final_obs_int2]]),ABS(Table2[[#This Row],[final_obs_int2]]-Table2[[#This Row],[final_obs_int_feb]]), "NA")</f>
        <v>0</v>
      </c>
      <c r="R669" s="24"/>
      <c r="S669" s="21" t="s">
        <v>172</v>
      </c>
      <c r="T669" s="21" t="str">
        <f>Table2[[#This Row],[camera_old]]</f>
        <v>Y?</v>
      </c>
      <c r="U669" s="25"/>
      <c r="V669" s="16" t="s">
        <v>24</v>
      </c>
      <c r="W669" s="16" t="s">
        <v>24</v>
      </c>
      <c r="X669" s="145">
        <v>3</v>
      </c>
      <c r="Y669" s="147" t="s">
        <v>90</v>
      </c>
      <c r="Z669" s="146" t="s">
        <v>104</v>
      </c>
      <c r="AA669" s="4" t="str">
        <f>Table2[[#This Row],[field_fate]]</f>
        <v>U-H</v>
      </c>
      <c r="AB669" s="5" t="str">
        <f>Table2[[#This Row],[field_fate]]</f>
        <v>U-H</v>
      </c>
      <c r="AC669" s="5" t="str">
        <f>Table2[[#This Row],[field_fate3]]</f>
        <v>U-H</v>
      </c>
      <c r="AD669" s="5" t="str">
        <f>Table2[[#This Row],[field_fate4]]</f>
        <v>U-H</v>
      </c>
      <c r="AE669" s="5" t="str">
        <f>Table2[[#This Row],[field_fate5]]</f>
        <v>U-H</v>
      </c>
      <c r="AF669" s="5" t="str">
        <f>Table2[[#This Row],[field_fate5]]</f>
        <v>U-H</v>
      </c>
      <c r="AG669" s="5" t="str">
        <f>Table2[[#This Row],[field_fate5]]</f>
        <v>U-H</v>
      </c>
      <c r="AH669" s="5" t="str">
        <f>Table2[[#This Row],[field_fate2]]</f>
        <v>U-H</v>
      </c>
      <c r="AI669" s="5" t="str">
        <f>Table2[[#This Row],[field_fate8]]</f>
        <v>U-H</v>
      </c>
      <c r="AJ669" s="5" t="str">
        <f>Table2[[#This Row],[field_fate10]]</f>
        <v>U-H</v>
      </c>
      <c r="AK669" s="5" t="b">
        <f>Table2[[#This Row],[field_fate_feb]]=Table2[[#This Row],[field_fate10]]</f>
        <v>0</v>
      </c>
      <c r="AL669" s="43" t="s">
        <v>24</v>
      </c>
      <c r="AM669" s="43" t="b">
        <f>Table2[[#This Row],[cam_fate2]]="NA"</f>
        <v>1</v>
      </c>
      <c r="AN669" s="19" t="str">
        <f>Table2[[#This Row],[cam_fate1]]</f>
        <v>NA</v>
      </c>
      <c r="AO669" s="2" t="s">
        <v>104</v>
      </c>
      <c r="AP669" s="5" t="str">
        <f>Table2[[#This Row],[final_fate1]]</f>
        <v>U-H</v>
      </c>
      <c r="AQ669" s="6">
        <v>28</v>
      </c>
      <c r="AR669" s="7">
        <v>28</v>
      </c>
      <c r="AS669" s="7">
        <f>Table2[[#This Row],[final_obs_date]]-Table2[[#This Row],[init_date]]</f>
        <v>28</v>
      </c>
      <c r="AT669" s="7">
        <f>(Table2[[#This Row],[final_obs_date2]]-Table2[[#This Row],[estHD]])+16</f>
        <v>16</v>
      </c>
      <c r="AU669" s="38">
        <v>3</v>
      </c>
      <c r="AV669" s="33">
        <v>3</v>
      </c>
      <c r="AW669" s="33">
        <f>Table2[[#This Row],[final_obs_date2]]-Table2[[#This Row],[pen_obs_date]]</f>
        <v>77</v>
      </c>
      <c r="AX669" s="67">
        <v>77</v>
      </c>
      <c r="AY669" s="6">
        <f>Table2[[#This Row],[final_obs_date]]</f>
        <v>77</v>
      </c>
      <c r="AZ669" s="6"/>
      <c r="BA669" s="91" t="s">
        <v>23</v>
      </c>
      <c r="BB669" s="6" t="b">
        <f>Table2[[#This Row],[final_obs_date]]&lt;(Table2[[#This Row],[estHD]]-2)</f>
        <v>0</v>
      </c>
      <c r="BC669" s="25">
        <f>IF(Table2[[#This Row],[field_fate]]="H",1,0)</f>
        <v>0</v>
      </c>
      <c r="BD669" s="16">
        <f>IF(Table2[[#This Row],[cam_fate2]]="H",1,0)</f>
        <v>0</v>
      </c>
      <c r="BE669" s="6" t="b">
        <f>NOT(Table2[[#This Row],[HF_C]]=Table2[[#This Row],[HF]])</f>
        <v>0</v>
      </c>
      <c r="BF669" s="6" t="b">
        <f>NOT(Table2[[#This Row],[cam_fate2]]=Table2[[#This Row],[field_fate3]])</f>
        <v>1</v>
      </c>
      <c r="BG669" s="6" t="b">
        <f>OR(Table2[[#This Row],[field_fate3]]="U",Table2[[#This Row],[field_fate3]]="U-H")</f>
        <v>1</v>
      </c>
      <c r="BH669" s="8">
        <v>54</v>
      </c>
      <c r="BI669" s="8">
        <v>74</v>
      </c>
      <c r="BJ669" s="14">
        <f>IF(ISTEXT(Table2[[#This Row],[j.cam]]),Table2[[#This Row],[j]],Table2[[#This Row],[j.cam]])</f>
        <v>74</v>
      </c>
      <c r="BK669" s="8">
        <v>77</v>
      </c>
      <c r="BL669" s="14">
        <f>IF(ISTEXT(Table2[[#This Row],[k.cam]]), Table2[[#This Row],[k]], Table2[[#This Row],[k.cam]])</f>
        <v>77</v>
      </c>
      <c r="BM669" s="4" t="s">
        <v>24</v>
      </c>
      <c r="BN669" s="8" t="s">
        <v>24</v>
      </c>
      <c r="BO669" s="4">
        <v>7</v>
      </c>
      <c r="BP669" s="4">
        <f>Table2[[#This Row],[final_obs_date]]-Table2[[#This Row],[i]]</f>
        <v>23</v>
      </c>
      <c r="BQ669" s="4" t="b">
        <f>Table2[[#This Row],[final_obs_date2]]&gt;Table2[[#This Row],[estHD]]+3</f>
        <v>0</v>
      </c>
      <c r="BR669" s="3" t="s">
        <v>27</v>
      </c>
      <c r="BS669" s="3" t="s">
        <v>45</v>
      </c>
      <c r="BT669" s="79" t="s">
        <v>1407</v>
      </c>
      <c r="BU669" s="26" t="s">
        <v>427</v>
      </c>
      <c r="BV669" s="79" t="s">
        <v>1692</v>
      </c>
      <c r="BW669" s="49"/>
      <c r="BX669" s="47" t="s">
        <v>55</v>
      </c>
      <c r="BY669" s="36" t="s">
        <v>876</v>
      </c>
    </row>
    <row r="670" spans="1:77" hidden="1" x14ac:dyDescent="0.35">
      <c r="A670" s="64">
        <v>30929</v>
      </c>
      <c r="B670" s="2" t="s">
        <v>35</v>
      </c>
      <c r="C670" s="46">
        <v>2021</v>
      </c>
      <c r="D670" s="3">
        <v>29.76559</v>
      </c>
      <c r="E670" s="3">
        <v>-93.149959999999993</v>
      </c>
      <c r="F670" s="3">
        <v>0</v>
      </c>
      <c r="G670" s="3">
        <v>0</v>
      </c>
      <c r="H670" s="3" t="s">
        <v>26</v>
      </c>
      <c r="I670" s="43"/>
      <c r="J670" s="116">
        <v>73</v>
      </c>
      <c r="K670" s="4">
        <v>73</v>
      </c>
      <c r="L670" s="22">
        <f>IF(ISNUMBER(Table2[[#This Row],[estHD]]),ABS(Table2[[#This Row],[HD]]-Table2[[#This Row],[estHD]]),"NA")</f>
        <v>0</v>
      </c>
      <c r="M670" s="4" t="b">
        <f>Table2[[#This Row],[HD]]=Table2[[#This Row],[estHD]]</f>
        <v>1</v>
      </c>
      <c r="N670" s="4" t="str">
        <f>IF(ISNUMBER([1]!Table2[[#This Row],[hatch_date]]),[1]!Table2[[#This Row],[hatch_date]]-19,"NA")</f>
        <v>NA</v>
      </c>
      <c r="O670" s="31">
        <v>54</v>
      </c>
      <c r="P670" s="23">
        <f>IF(ISNUMBER(Table2[[#This Row],[nest_age1]]),ABS(Table2[[#This Row],[nest_age1]]-Table2[[#This Row],[nest_age_feb]]),"NA")</f>
        <v>0</v>
      </c>
      <c r="Q670" s="24">
        <f>IF(ISNUMBER(Table2[[#This Row],[final_obs_int2]]),ABS(Table2[[#This Row],[final_obs_int2]]-Table2[[#This Row],[final_obs_int_feb]]), "NA")</f>
        <v>0</v>
      </c>
      <c r="R670" s="24"/>
      <c r="S670" s="20" t="s">
        <v>75</v>
      </c>
      <c r="T670" s="20" t="str">
        <f>Table2[[#This Row],[camera_old]]</f>
        <v>Y</v>
      </c>
      <c r="U670" s="22" t="s">
        <v>88</v>
      </c>
      <c r="V670" s="16" t="s">
        <v>31</v>
      </c>
      <c r="W670" s="16">
        <v>4</v>
      </c>
      <c r="X670" s="145">
        <v>4</v>
      </c>
      <c r="Y670" s="149" t="s">
        <v>48</v>
      </c>
      <c r="Z670" s="146" t="s">
        <v>48</v>
      </c>
      <c r="AA670" s="4" t="str">
        <f>Table2[[#This Row],[field_fate]]</f>
        <v>F</v>
      </c>
      <c r="AB670" s="4" t="str">
        <f>Table2[[#This Row],[field_fate2]]</f>
        <v>F</v>
      </c>
      <c r="AC670" s="94" t="str">
        <f>Table2[[#This Row],[field_fate3]]</f>
        <v>F</v>
      </c>
      <c r="AD670" s="94" t="str">
        <f>Table2[[#This Row],[field_fate4]]</f>
        <v>F</v>
      </c>
      <c r="AE670" s="94" t="str">
        <f>Table2[[#This Row],[field_fate5]]</f>
        <v>F</v>
      </c>
      <c r="AF670" s="94" t="str">
        <f>Table2[[#This Row],[field_fate5]]</f>
        <v>F</v>
      </c>
      <c r="AG670" s="94" t="str">
        <f>Table2[[#This Row],[field_fate5]]</f>
        <v>F</v>
      </c>
      <c r="AH670" s="94" t="str">
        <f>Table2[[#This Row],[field_fate2]]</f>
        <v>F</v>
      </c>
      <c r="AI670" s="94" t="str">
        <f>Table2[[#This Row],[field_fate8]]</f>
        <v>F</v>
      </c>
      <c r="AJ670" s="94" t="str">
        <f>Table2[[#This Row],[field_fate10]]</f>
        <v>F</v>
      </c>
      <c r="AK670" s="94" t="b">
        <f>Table2[[#This Row],[field_fate_feb]]=Table2[[#This Row],[field_fate10]]</f>
        <v>1</v>
      </c>
      <c r="AL670" s="43" t="s">
        <v>31</v>
      </c>
      <c r="AM670" s="160" t="b">
        <f>Table2[[#This Row],[cam_fate2]]="NA"</f>
        <v>0</v>
      </c>
      <c r="AN670" s="19" t="str">
        <f>Table2[[#This Row],[cam_fate1]]</f>
        <v>D</v>
      </c>
      <c r="AO670" s="2" t="s">
        <v>31</v>
      </c>
      <c r="AP670" s="5" t="str">
        <f>Table2[[#This Row],[final_fate1]]</f>
        <v>D</v>
      </c>
      <c r="AQ670" s="6">
        <v>4</v>
      </c>
      <c r="AR670" s="72">
        <v>4</v>
      </c>
      <c r="AS670" s="155">
        <f>Table2[[#This Row],[final_obs_date]]-Table2[[#This Row],[init_date]]</f>
        <v>4</v>
      </c>
      <c r="AT670" s="155">
        <f>(Table2[[#This Row],[final_obs_date2]]-Table2[[#This Row],[estHD]])+19</f>
        <v>4</v>
      </c>
      <c r="AU670" s="38">
        <v>4</v>
      </c>
      <c r="AV670" s="33">
        <v>4</v>
      </c>
      <c r="AW670" s="33">
        <f>Table2[[#This Row],[final_obs_date2]]-Table2[[#This Row],[pen_obs_date]]</f>
        <v>4</v>
      </c>
      <c r="AX670" s="67">
        <v>58</v>
      </c>
      <c r="AY670" s="157">
        <f>Table2[[#This Row],[final_obs_date]]</f>
        <v>58</v>
      </c>
      <c r="AZ670" s="6">
        <v>54</v>
      </c>
      <c r="BA670" s="92" t="s">
        <v>47</v>
      </c>
      <c r="BB670" s="6" t="b">
        <f>Table2[[#This Row],[final_obs_date]]&lt;(Table2[[#This Row],[estHD]]-2)</f>
        <v>1</v>
      </c>
      <c r="BC670" s="32">
        <f>IF(Table2[[#This Row],[field_fate]]="H",1,0)</f>
        <v>0</v>
      </c>
      <c r="BD670" s="16">
        <f>IF(Table2[[#This Row],[cam_fate2]]="H",1,0)</f>
        <v>0</v>
      </c>
      <c r="BE670" s="6" t="b">
        <f>NOT(Table2[[#This Row],[HF_C]]=Table2[[#This Row],[HF]])</f>
        <v>0</v>
      </c>
      <c r="BF670" s="38" t="b">
        <f>NOT(Table2[[#This Row],[cam_fate2]]=Table2[[#This Row],[field_fate3]])</f>
        <v>1</v>
      </c>
      <c r="BG670" s="38" t="b">
        <f>OR(Table2[[#This Row],[field_fate3]]="U",Table2[[#This Row],[field_fate3]]="U-H")</f>
        <v>0</v>
      </c>
      <c r="BH670" s="8">
        <v>54</v>
      </c>
      <c r="BI670" s="8">
        <v>54</v>
      </c>
      <c r="BJ670" s="14">
        <f>IF(ISTEXT(Table2[[#This Row],[j.cam]]),Table2[[#This Row],[j]],Table2[[#This Row],[j.cam]])</f>
        <v>54</v>
      </c>
      <c r="BK670" s="8">
        <v>58</v>
      </c>
      <c r="BL670" s="14">
        <f>IF(ISTEXT(Table2[[#This Row],[k.cam]]), Table2[[#This Row],[k]], Table2[[#This Row],[k.cam]])</f>
        <v>58</v>
      </c>
      <c r="BM670" s="4" t="s">
        <v>24</v>
      </c>
      <c r="BN670" s="8" t="s">
        <v>24</v>
      </c>
      <c r="BO670" s="4">
        <v>2</v>
      </c>
      <c r="BP670" s="4">
        <f>Table2[[#This Row],[final_obs_date]]-Table2[[#This Row],[i]]</f>
        <v>4</v>
      </c>
      <c r="BQ670" s="4" t="b">
        <f>Table2[[#This Row],[final_obs_date2]]&gt;Table2[[#This Row],[estHD]]+3</f>
        <v>0</v>
      </c>
      <c r="BR670" s="3" t="s">
        <v>33</v>
      </c>
      <c r="BS670" s="3" t="s">
        <v>48</v>
      </c>
      <c r="BT670" s="125" t="s">
        <v>1365</v>
      </c>
      <c r="BU670" s="4" t="s">
        <v>374</v>
      </c>
      <c r="BV670" s="79" t="s">
        <v>1429</v>
      </c>
      <c r="BW670" s="69"/>
      <c r="BX670" s="36"/>
      <c r="BY670" s="36" t="s">
        <v>24</v>
      </c>
    </row>
    <row r="671" spans="1:77" hidden="1" x14ac:dyDescent="0.35">
      <c r="A671" s="64">
        <v>30931</v>
      </c>
      <c r="B671" s="2" t="s">
        <v>35</v>
      </c>
      <c r="C671" s="46">
        <v>2021</v>
      </c>
      <c r="D671" s="3">
        <v>29.768429999999999</v>
      </c>
      <c r="E671" s="3">
        <v>-93.163480000000007</v>
      </c>
      <c r="F671" s="3">
        <v>0</v>
      </c>
      <c r="G671" s="3">
        <v>0</v>
      </c>
      <c r="H671" s="3" t="s">
        <v>26</v>
      </c>
      <c r="I671" s="43"/>
      <c r="J671" s="55">
        <v>73</v>
      </c>
      <c r="K671" s="4">
        <v>73</v>
      </c>
      <c r="L671" s="22">
        <f>IF(ISNUMBER(Table2[[#This Row],[estHD]]),ABS(Table2[[#This Row],[HD]]-Table2[[#This Row],[estHD]]),"NA")</f>
        <v>0</v>
      </c>
      <c r="M671" s="4" t="b">
        <f>Table2[[#This Row],[HD]]=Table2[[#This Row],[estHD]]</f>
        <v>1</v>
      </c>
      <c r="N671" s="4" t="str">
        <f>IF(ISNUMBER([1]!Table2[[#This Row],[hatch_date]]),[1]!Table2[[#This Row],[hatch_date]]-19,"NA")</f>
        <v>NA</v>
      </c>
      <c r="O671" s="31">
        <v>54</v>
      </c>
      <c r="P671" s="23">
        <f>IF(ISNUMBER(Table2[[#This Row],[nest_age1]]),ABS(Table2[[#This Row],[nest_age1]]-Table2[[#This Row],[nest_age_feb]]),"NA")</f>
        <v>0</v>
      </c>
      <c r="Q671" s="24">
        <f>IF(ISNUMBER(Table2[[#This Row],[final_obs_int2]]),ABS(Table2[[#This Row],[final_obs_int2]]-Table2[[#This Row],[final_obs_int_feb]]), "NA")</f>
        <v>0</v>
      </c>
      <c r="R671" s="24"/>
      <c r="S671" s="21" t="s">
        <v>172</v>
      </c>
      <c r="T671" s="21" t="str">
        <f>Table2[[#This Row],[camera_old]]</f>
        <v>Y?</v>
      </c>
      <c r="U671" s="52" t="s">
        <v>75</v>
      </c>
      <c r="V671" s="16" t="s">
        <v>91</v>
      </c>
      <c r="W671" s="16">
        <v>4</v>
      </c>
      <c r="X671" s="145">
        <v>4</v>
      </c>
      <c r="Y671" s="147" t="s">
        <v>91</v>
      </c>
      <c r="Z671" s="146" t="s">
        <v>91</v>
      </c>
      <c r="AA671" s="4" t="str">
        <f>Table2[[#This Row],[field_fate]]</f>
        <v>Hu</v>
      </c>
      <c r="AB671" s="4" t="str">
        <f>Table2[[#This Row],[field_fate2]]</f>
        <v>Hu</v>
      </c>
      <c r="AC671" s="4" t="str">
        <f>Table2[[#This Row],[field_fate3]]</f>
        <v>Hu</v>
      </c>
      <c r="AD671" s="4" t="str">
        <f>Table2[[#This Row],[field_fate4]]</f>
        <v>Hu</v>
      </c>
      <c r="AE671" s="4" t="str">
        <f>Table2[[#This Row],[field_fate5]]</f>
        <v>Hu</v>
      </c>
      <c r="AF671" s="4" t="str">
        <f>Table2[[#This Row],[field_fate5]]</f>
        <v>Hu</v>
      </c>
      <c r="AG671" s="4" t="str">
        <f>Table2[[#This Row],[field_fate5]]</f>
        <v>Hu</v>
      </c>
      <c r="AH671" s="4" t="str">
        <f>Table2[[#This Row],[field_fate2]]</f>
        <v>Hu</v>
      </c>
      <c r="AI671" s="4" t="str">
        <f>Table2[[#This Row],[field_fate8]]</f>
        <v>Hu</v>
      </c>
      <c r="AJ671" s="4" t="str">
        <f>Table2[[#This Row],[field_fate10]]</f>
        <v>Hu</v>
      </c>
      <c r="AK671" s="4" t="b">
        <f>Table2[[#This Row],[field_fate_feb]]=Table2[[#This Row],[field_fate10]]</f>
        <v>1</v>
      </c>
      <c r="AL671" s="43" t="s">
        <v>91</v>
      </c>
      <c r="AM671" s="43" t="b">
        <f>Table2[[#This Row],[cam_fate2]]="NA"</f>
        <v>1</v>
      </c>
      <c r="AN671" s="19" t="s">
        <v>24</v>
      </c>
      <c r="AO671" s="2" t="s">
        <v>91</v>
      </c>
      <c r="AP671" s="5" t="s">
        <v>24</v>
      </c>
      <c r="AQ671" s="6">
        <v>4</v>
      </c>
      <c r="AR671" s="7">
        <v>4</v>
      </c>
      <c r="AS671" s="7">
        <f>Table2[[#This Row],[final_obs_date]]-Table2[[#This Row],[init_date]]</f>
        <v>4</v>
      </c>
      <c r="AT671" s="7">
        <f>(Table2[[#This Row],[final_obs_date2]]-Table2[[#This Row],[estHD]])+16</f>
        <v>1</v>
      </c>
      <c r="AU671" s="38">
        <v>4</v>
      </c>
      <c r="AV671" s="33">
        <v>4</v>
      </c>
      <c r="AW671" s="33">
        <f>Table2[[#This Row],[final_obs_date2]]-Table2[[#This Row],[pen_obs_date]]</f>
        <v>58</v>
      </c>
      <c r="AX671" s="67">
        <v>58</v>
      </c>
      <c r="AY671" s="6">
        <f>Table2[[#This Row],[final_obs_date]]</f>
        <v>58</v>
      </c>
      <c r="AZ671" s="6"/>
      <c r="BA671" s="91" t="s">
        <v>47</v>
      </c>
      <c r="BB671" s="6" t="b">
        <f>Table2[[#This Row],[final_obs_date]]&lt;(Table2[[#This Row],[estHD]]-2)</f>
        <v>1</v>
      </c>
      <c r="BC671" s="32">
        <f>IF(Table2[[#This Row],[field_fate]]="H",1,0)</f>
        <v>0</v>
      </c>
      <c r="BD671" s="16">
        <f>IF(Table2[[#This Row],[cam_fate2]]="H",1,0)</f>
        <v>0</v>
      </c>
      <c r="BE671" s="6" t="b">
        <f>NOT(Table2[[#This Row],[HF_C]]=Table2[[#This Row],[HF]])</f>
        <v>0</v>
      </c>
      <c r="BF671" s="38" t="b">
        <f>NOT(Table2[[#This Row],[cam_fate2]]=Table2[[#This Row],[field_fate3]])</f>
        <v>1</v>
      </c>
      <c r="BG671" s="38" t="b">
        <f>OR(Table2[[#This Row],[field_fate3]]="U",Table2[[#This Row],[field_fate3]]="U-H")</f>
        <v>0</v>
      </c>
      <c r="BH671" s="8">
        <v>54</v>
      </c>
      <c r="BI671" s="8">
        <v>54</v>
      </c>
      <c r="BJ671" s="14">
        <f>IF(ISTEXT(Table2[[#This Row],[j.cam]]),Table2[[#This Row],[j]],Table2[[#This Row],[j.cam]])</f>
        <v>54</v>
      </c>
      <c r="BK671" s="8">
        <v>58</v>
      </c>
      <c r="BL671" s="14">
        <f>IF(ISTEXT(Table2[[#This Row],[k.cam]]), Table2[[#This Row],[k]], Table2[[#This Row],[k.cam]])</f>
        <v>58</v>
      </c>
      <c r="BM671" s="4" t="s">
        <v>24</v>
      </c>
      <c r="BN671" s="8" t="s">
        <v>24</v>
      </c>
      <c r="BO671" s="4">
        <v>2</v>
      </c>
      <c r="BP671" s="4">
        <f>Table2[[#This Row],[final_obs_date]]-Table2[[#This Row],[i]]</f>
        <v>4</v>
      </c>
      <c r="BQ671" s="4" t="b">
        <f>Table2[[#This Row],[final_obs_date2]]&gt;Table2[[#This Row],[estHD]]+3</f>
        <v>0</v>
      </c>
      <c r="BR671" s="3" t="s">
        <v>58</v>
      </c>
      <c r="BS671" s="3" t="s">
        <v>45</v>
      </c>
      <c r="BT671" s="79" t="s">
        <v>1365</v>
      </c>
      <c r="BU671" s="26" t="s">
        <v>117</v>
      </c>
      <c r="BV671" s="79" t="s">
        <v>1429</v>
      </c>
      <c r="BW671" s="49"/>
      <c r="BX671" s="47"/>
      <c r="BY671" s="36" t="s">
        <v>877</v>
      </c>
    </row>
    <row r="672" spans="1:77" hidden="1" x14ac:dyDescent="0.35">
      <c r="A672" s="64">
        <v>30932</v>
      </c>
      <c r="B672" s="2" t="s">
        <v>35</v>
      </c>
      <c r="C672" s="46">
        <v>2021</v>
      </c>
      <c r="D672" s="3">
        <v>29.769749999999998</v>
      </c>
      <c r="E672" s="3">
        <v>-93.171260000000004</v>
      </c>
      <c r="F672" s="3">
        <v>0</v>
      </c>
      <c r="G672" s="3">
        <v>0</v>
      </c>
      <c r="H672" s="3" t="s">
        <v>26</v>
      </c>
      <c r="I672" s="43"/>
      <c r="J672" s="55" t="s">
        <v>24</v>
      </c>
      <c r="K672" s="4">
        <v>58</v>
      </c>
      <c r="L672" s="22" t="str">
        <f>IF(ISNUMBER(Table2[[#This Row],[estHD]]),ABS(Table2[[#This Row],[HD]]-Table2[[#This Row],[estHD]]),"NA")</f>
        <v>NA</v>
      </c>
      <c r="M672" s="4" t="b">
        <f>Table2[[#This Row],[HD]]=Table2[[#This Row],[estHD]]</f>
        <v>0</v>
      </c>
      <c r="N672" s="4" t="str">
        <f>IF(ISNUMBER([1]!Table2[[#This Row],[hatch_date]]),[1]!Table2[[#This Row],[hatch_date]]-19,"NA")</f>
        <v>NA</v>
      </c>
      <c r="O672" s="31">
        <v>39</v>
      </c>
      <c r="P672" s="23" t="e">
        <f>IF(ISNUMBER(Table2[[#This Row],[nest_age1]]),ABS(Table2[[#This Row],[nest_age1]]-Table2[[#This Row],[nest_age_feb]]),"NA")</f>
        <v>#VALUE!</v>
      </c>
      <c r="Q672" s="25">
        <f>IF(ISNUMBER(Table2[[#This Row],[final_obs_int2]]),ABS(Table2[[#This Row],[final_obs_int2]]-Table2[[#This Row],[final_obs_int_feb]]), "NA")</f>
        <v>4</v>
      </c>
      <c r="R672" s="25"/>
      <c r="S672" s="21" t="s">
        <v>172</v>
      </c>
      <c r="T672" s="21" t="str">
        <f>Table2[[#This Row],[camera_old]]</f>
        <v>Y?</v>
      </c>
      <c r="U672" s="52" t="s">
        <v>75</v>
      </c>
      <c r="V672" s="16" t="s">
        <v>37</v>
      </c>
      <c r="W672" s="16" t="s">
        <v>24</v>
      </c>
      <c r="X672" s="145">
        <v>3</v>
      </c>
      <c r="Y672" s="147" t="s">
        <v>104</v>
      </c>
      <c r="Z672" s="146" t="s">
        <v>104</v>
      </c>
      <c r="AA672" s="4" t="str">
        <f>Table2[[#This Row],[field_fate]]</f>
        <v>U-H</v>
      </c>
      <c r="AB672" s="5" t="str">
        <f>Table2[[#This Row],[field_fate]]</f>
        <v>U-H</v>
      </c>
      <c r="AC672" s="5" t="str">
        <f>Table2[[#This Row],[field_fate3]]</f>
        <v>U-H</v>
      </c>
      <c r="AD672" s="5" t="str">
        <f>Table2[[#This Row],[field_fate4]]</f>
        <v>U-H</v>
      </c>
      <c r="AE672" s="5" t="str">
        <f>Table2[[#This Row],[field_fate5]]</f>
        <v>U-H</v>
      </c>
      <c r="AF672" s="5" t="str">
        <f>Table2[[#This Row],[field_fate5]]</f>
        <v>U-H</v>
      </c>
      <c r="AG672" s="5" t="str">
        <f>Table2[[#This Row],[field_fate5]]</f>
        <v>U-H</v>
      </c>
      <c r="AH672" s="5" t="str">
        <f>Table2[[#This Row],[field_fate2]]</f>
        <v>U-H</v>
      </c>
      <c r="AI672" s="5" t="str">
        <f>Table2[[#This Row],[field_fate8]]</f>
        <v>U-H</v>
      </c>
      <c r="AJ672" s="5" t="str">
        <f>Table2[[#This Row],[field_fate10]]</f>
        <v>U-H</v>
      </c>
      <c r="AK672" s="5" t="b">
        <f>Table2[[#This Row],[field_fate_feb]]=Table2[[#This Row],[field_fate10]]</f>
        <v>1</v>
      </c>
      <c r="AL672" s="43" t="s">
        <v>37</v>
      </c>
      <c r="AM672" s="43" t="b">
        <f>Table2[[#This Row],[cam_fate2]]="NA"</f>
        <v>1</v>
      </c>
      <c r="AN672" s="19" t="s">
        <v>24</v>
      </c>
      <c r="AO672" s="2" t="s">
        <v>37</v>
      </c>
      <c r="AP672" s="5" t="s">
        <v>24</v>
      </c>
      <c r="AQ672" s="6">
        <v>22</v>
      </c>
      <c r="AR672" s="7">
        <v>22</v>
      </c>
      <c r="AS672" s="7">
        <f>Table2[[#This Row],[final_obs_date]]-Table2[[#This Row],[init_date]]</f>
        <v>22</v>
      </c>
      <c r="AT672" s="7" t="e">
        <f>(Table2[[#This Row],[final_obs_date2]]-Table2[[#This Row],[estHD]])+16</f>
        <v>#VALUE!</v>
      </c>
      <c r="AU672" s="40">
        <v>7</v>
      </c>
      <c r="AV672" s="33">
        <v>7</v>
      </c>
      <c r="AW672" s="33">
        <f>Table2[[#This Row],[final_obs_date2]]-Table2[[#This Row],[pen_obs_date]]</f>
        <v>61</v>
      </c>
      <c r="AX672" s="67">
        <v>61</v>
      </c>
      <c r="AY672" s="6">
        <f>Table2[[#This Row],[final_obs_date]]</f>
        <v>61</v>
      </c>
      <c r="AZ672" s="6"/>
      <c r="BA672" s="91" t="s">
        <v>47</v>
      </c>
      <c r="BB672" s="6" t="e">
        <f>Table2[[#This Row],[final_obs_date]]&lt;(Table2[[#This Row],[estHD]]-2)</f>
        <v>#VALUE!</v>
      </c>
      <c r="BC672" s="25">
        <f>IF(Table2[[#This Row],[field_fate]]="H",1,0)</f>
        <v>0</v>
      </c>
      <c r="BD672" s="16">
        <f>IF(Table2[[#This Row],[cam_fate2]]="H",1,0)</f>
        <v>0</v>
      </c>
      <c r="BE672" s="6" t="b">
        <f>NOT(Table2[[#This Row],[HF_C]]=Table2[[#This Row],[HF]])</f>
        <v>0</v>
      </c>
      <c r="BF672" s="6" t="b">
        <f>NOT(Table2[[#This Row],[cam_fate2]]=Table2[[#This Row],[field_fate3]])</f>
        <v>1</v>
      </c>
      <c r="BG672" s="6" t="b">
        <f>OR(Table2[[#This Row],[field_fate3]]="U",Table2[[#This Row],[field_fate3]]="U-H")</f>
        <v>1</v>
      </c>
      <c r="BH672" s="8">
        <v>54</v>
      </c>
      <c r="BI672" s="8">
        <v>54</v>
      </c>
      <c r="BJ672" s="14">
        <f>IF(ISTEXT(Table2[[#This Row],[j.cam]]),Table2[[#This Row],[j]],Table2[[#This Row],[j.cam]])</f>
        <v>58</v>
      </c>
      <c r="BK672" s="8">
        <v>61</v>
      </c>
      <c r="BL672" s="14">
        <f>IF(ISTEXT(Table2[[#This Row],[k.cam]]), Table2[[#This Row],[k]], Table2[[#This Row],[k.cam]])</f>
        <v>58</v>
      </c>
      <c r="BM672" s="4">
        <v>58</v>
      </c>
      <c r="BN672" s="8">
        <v>58</v>
      </c>
      <c r="BO672" s="4">
        <v>3</v>
      </c>
      <c r="BP672" s="4">
        <f>Table2[[#This Row],[final_obs_date]]-Table2[[#This Row],[i]]</f>
        <v>7</v>
      </c>
      <c r="BQ672" s="4" t="e">
        <f>Table2[[#This Row],[final_obs_date2]]&gt;Table2[[#This Row],[estHD]]+3</f>
        <v>#VALUE!</v>
      </c>
      <c r="BR672" s="27" t="s">
        <v>428</v>
      </c>
      <c r="BS672" s="3" t="s">
        <v>45</v>
      </c>
      <c r="BT672" s="79" t="s">
        <v>1366</v>
      </c>
      <c r="BU672" s="26" t="s">
        <v>429</v>
      </c>
      <c r="BV672" s="79" t="s">
        <v>1450</v>
      </c>
      <c r="BW672" s="49"/>
      <c r="BX672" s="47" t="s">
        <v>957</v>
      </c>
      <c r="BY672" s="36" t="s">
        <v>878</v>
      </c>
    </row>
    <row r="673" spans="1:77" hidden="1" x14ac:dyDescent="0.35">
      <c r="A673" s="64">
        <v>30933</v>
      </c>
      <c r="B673" s="2" t="s">
        <v>35</v>
      </c>
      <c r="C673" s="46">
        <v>2021</v>
      </c>
      <c r="D673" s="3">
        <v>29.764749999999999</v>
      </c>
      <c r="E673" s="3">
        <v>-93.148949999999999</v>
      </c>
      <c r="F673" s="3">
        <v>50</v>
      </c>
      <c r="G673" s="3">
        <v>50</v>
      </c>
      <c r="H673" s="3" t="s">
        <v>26</v>
      </c>
      <c r="I673" s="43"/>
      <c r="J673" s="116">
        <v>65</v>
      </c>
      <c r="K673" s="4">
        <v>67</v>
      </c>
      <c r="L673" s="22">
        <f>IF(ISNUMBER(Table2[[#This Row],[estHD]]),ABS(Table2[[#This Row],[HD]]-Table2[[#This Row],[estHD]]),"NA")</f>
        <v>2</v>
      </c>
      <c r="M673" s="4" t="b">
        <f>Table2[[#This Row],[HD]]=Table2[[#This Row],[estHD]]</f>
        <v>0</v>
      </c>
      <c r="N673" s="4">
        <f>IF(ISNUMBER(Table2[[#This Row],[HD]]),Table2[[#This Row],[HD]]-16,"NA")</f>
        <v>51</v>
      </c>
      <c r="O673" s="31">
        <v>51</v>
      </c>
      <c r="P673" s="23">
        <f>IF(ISNUMBER(Table2[[#This Row],[nest_age1]]),ABS(Table2[[#This Row],[nest_age1]]-Table2[[#This Row],[nest_age_feb]]),"NA")</f>
        <v>2</v>
      </c>
      <c r="Q673" s="24">
        <f>IF(ISNUMBER(Table2[[#This Row],[final_obs_int2]]),ABS(Table2[[#This Row],[final_obs_int2]]-Table2[[#This Row],[final_obs_int_feb]]), "NA")</f>
        <v>2</v>
      </c>
      <c r="R673" s="24">
        <f>(Table2[[#This Row],[k_adj]]-Table2[[#This Row],[estHD]])/Table2[[#This Row],[estHD]]</f>
        <v>3.0769230769230771E-2</v>
      </c>
      <c r="S673" s="20" t="s">
        <v>75</v>
      </c>
      <c r="T673" s="20" t="str">
        <f>Table2[[#This Row],[camera_old]]</f>
        <v>Y</v>
      </c>
      <c r="U673" s="22" t="s">
        <v>88</v>
      </c>
      <c r="V673" s="16" t="s">
        <v>37</v>
      </c>
      <c r="W673" s="16">
        <v>20</v>
      </c>
      <c r="X673" s="145">
        <v>4</v>
      </c>
      <c r="Y673" s="147" t="s">
        <v>37</v>
      </c>
      <c r="Z673" s="146" t="s">
        <v>37</v>
      </c>
      <c r="AA673" s="4" t="str">
        <f>Table2[[#This Row],[field_fate]]</f>
        <v>H</v>
      </c>
      <c r="AB673" s="4" t="str">
        <f>Table2[[#This Row],[field_fate2]]</f>
        <v>H</v>
      </c>
      <c r="AC673" s="94" t="str">
        <f>Table2[[#This Row],[field_fate3]]</f>
        <v>H</v>
      </c>
      <c r="AD673" s="94" t="str">
        <f>Table2[[#This Row],[field_fate4]]</f>
        <v>H</v>
      </c>
      <c r="AE673" s="94" t="str">
        <f>Table2[[#This Row],[field_fate5]]</f>
        <v>H</v>
      </c>
      <c r="AF673" s="94" t="str">
        <f>Table2[[#This Row],[field_fate5]]</f>
        <v>H</v>
      </c>
      <c r="AG673" s="94" t="str">
        <f>Table2[[#This Row],[field_fate5]]</f>
        <v>H</v>
      </c>
      <c r="AH673" s="94" t="str">
        <f>Table2[[#This Row],[field_fate2]]</f>
        <v>H</v>
      </c>
      <c r="AI673" s="94" t="str">
        <f>Table2[[#This Row],[field_fate8]]</f>
        <v>H</v>
      </c>
      <c r="AJ673" s="94" t="str">
        <f>Table2[[#This Row],[field_fate10]]</f>
        <v>H</v>
      </c>
      <c r="AK673" s="94" t="b">
        <f>Table2[[#This Row],[field_fate_feb]]=Table2[[#This Row],[field_fate10]]</f>
        <v>1</v>
      </c>
      <c r="AL673" s="43" t="s">
        <v>37</v>
      </c>
      <c r="AM673" s="160" t="b">
        <f>Table2[[#This Row],[cam_fate2]]="NA"</f>
        <v>0</v>
      </c>
      <c r="AN673" s="19" t="str">
        <f>Table2[[#This Row],[cam_fate1]]</f>
        <v>H</v>
      </c>
      <c r="AO673" s="2" t="s">
        <v>37</v>
      </c>
      <c r="AP673" s="5" t="str">
        <f>Table2[[#This Row],[final_fate1]]</f>
        <v>H</v>
      </c>
      <c r="AQ673" s="6">
        <v>18</v>
      </c>
      <c r="AR673" s="72">
        <v>20</v>
      </c>
      <c r="AS673" s="155">
        <f>Table2[[#This Row],[final_obs_date]]-Table2[[#This Row],[init_date]]</f>
        <v>18</v>
      </c>
      <c r="AT673" s="155">
        <f>(Table2[[#This Row],[final_obs_date2]]-Table2[[#This Row],[estHD]])+16</f>
        <v>20</v>
      </c>
      <c r="AU673" s="38">
        <v>2</v>
      </c>
      <c r="AV673" s="33">
        <v>2</v>
      </c>
      <c r="AW673" s="33">
        <f>Table2[[#This Row],[final_obs_date2]]-Table2[[#This Row],[pen_obs_date]]</f>
        <v>4</v>
      </c>
      <c r="AX673" s="67">
        <v>69</v>
      </c>
      <c r="AY673" s="157">
        <f>Table2[[#This Row],[final_obs_date]]</f>
        <v>69</v>
      </c>
      <c r="AZ673" s="6">
        <v>65</v>
      </c>
      <c r="BA673" s="92" t="s">
        <v>60</v>
      </c>
      <c r="BB673" s="6" t="b">
        <f>Table2[[#This Row],[final_obs_date]]&lt;(Table2[[#This Row],[estHD]]-2)</f>
        <v>0</v>
      </c>
      <c r="BC673" s="32">
        <f>IF(Table2[[#This Row],[field_fate]]="H",1,0)</f>
        <v>1</v>
      </c>
      <c r="BD673" s="16">
        <f>IF(Table2[[#This Row],[cam_fate2]]="H",1,0)</f>
        <v>1</v>
      </c>
      <c r="BE673" s="6" t="b">
        <f>NOT(Table2[[#This Row],[HF_C]]=Table2[[#This Row],[HF]])</f>
        <v>0</v>
      </c>
      <c r="BF673" s="38" t="b">
        <f>NOT(Table2[[#This Row],[cam_fate2]]=Table2[[#This Row],[field_fate3]])</f>
        <v>0</v>
      </c>
      <c r="BG673" s="38" t="b">
        <f>OR(Table2[[#This Row],[field_fate3]]="U",Table2[[#This Row],[field_fate3]]="U-H")</f>
        <v>0</v>
      </c>
      <c r="BH673" s="8">
        <v>54</v>
      </c>
      <c r="BI673" s="8">
        <v>68</v>
      </c>
      <c r="BJ673" s="14">
        <f>IF(ISTEXT(Table2[[#This Row],[j.cam]]),Table2[[#This Row],[j]],Table2[[#This Row],[j.cam]])</f>
        <v>67</v>
      </c>
      <c r="BK673" s="8">
        <v>68</v>
      </c>
      <c r="BL673" s="14">
        <f>IF(ISTEXT(Table2[[#This Row],[k.cam]]), Table2[[#This Row],[k]], Table2[[#This Row],[k.cam]])</f>
        <v>67</v>
      </c>
      <c r="BM673" s="4">
        <v>67</v>
      </c>
      <c r="BN673" s="8">
        <v>67</v>
      </c>
      <c r="BO673" s="4">
        <v>5</v>
      </c>
      <c r="BP673" s="4">
        <f>Table2[[#This Row],[final_obs_date]]-Table2[[#This Row],[i]]</f>
        <v>15</v>
      </c>
      <c r="BQ673" s="4" t="b">
        <f>Table2[[#This Row],[final_obs_date2]]&gt;Table2[[#This Row],[estHD]]+3</f>
        <v>1</v>
      </c>
      <c r="BR673" s="3" t="s">
        <v>33</v>
      </c>
      <c r="BS673" s="3" t="s">
        <v>430</v>
      </c>
      <c r="BT673" s="125" t="s">
        <v>1408</v>
      </c>
      <c r="BU673" s="4" t="s">
        <v>431</v>
      </c>
      <c r="BV673" s="79" t="s">
        <v>1693</v>
      </c>
      <c r="BW673" s="69"/>
      <c r="BX673" s="36"/>
      <c r="BY673" s="36" t="s">
        <v>879</v>
      </c>
    </row>
    <row r="674" spans="1:77" ht="24" hidden="1" x14ac:dyDescent="0.35">
      <c r="A674" s="64">
        <v>30934</v>
      </c>
      <c r="B674" s="2" t="s">
        <v>35</v>
      </c>
      <c r="C674" s="46">
        <v>2021</v>
      </c>
      <c r="D674" s="3">
        <v>29.766909999999999</v>
      </c>
      <c r="E674" s="3">
        <v>-93.1584</v>
      </c>
      <c r="F674" s="3">
        <v>60</v>
      </c>
      <c r="G674" s="3">
        <v>40</v>
      </c>
      <c r="H674" s="3" t="s">
        <v>26</v>
      </c>
      <c r="I674" s="43"/>
      <c r="J674" s="116">
        <v>66</v>
      </c>
      <c r="K674" s="4">
        <v>66</v>
      </c>
      <c r="L674" s="22">
        <f>IF(ISNUMBER(Table2[[#This Row],[estHD]]),ABS(Table2[[#This Row],[HD]]-Table2[[#This Row],[estHD]]),"NA")</f>
        <v>0</v>
      </c>
      <c r="M674" s="4" t="b">
        <f>Table2[[#This Row],[HD]]=Table2[[#This Row],[estHD]]</f>
        <v>1</v>
      </c>
      <c r="N674" s="4">
        <f>IF(ISNUMBER(Table2[[#This Row],[HD]]),Table2[[#This Row],[HD]]-16,"NA")</f>
        <v>50</v>
      </c>
      <c r="O674" s="89">
        <v>50</v>
      </c>
      <c r="P674" s="23">
        <f>IF(ISNUMBER(Table2[[#This Row],[nest_age1]]),ABS(Table2[[#This Row],[nest_age1]]-Table2[[#This Row],[nest_age_feb]]),"NA")</f>
        <v>10</v>
      </c>
      <c r="Q674" s="24">
        <f>IF(ISNUMBER(Table2[[#This Row],[final_obs_int2]]),ABS(Table2[[#This Row],[final_obs_int2]]-Table2[[#This Row],[final_obs_int_feb]]), "NA")</f>
        <v>1</v>
      </c>
      <c r="R674" s="24"/>
      <c r="S674" s="20" t="s">
        <v>75</v>
      </c>
      <c r="T674" s="20" t="str">
        <f>Table2[[#This Row],[camera_old]]</f>
        <v>Y</v>
      </c>
      <c r="U674" s="22" t="s">
        <v>88</v>
      </c>
      <c r="V674" s="16" t="s">
        <v>36</v>
      </c>
      <c r="W674" s="16">
        <v>9</v>
      </c>
      <c r="X674" s="145">
        <v>5</v>
      </c>
      <c r="Y674" s="147" t="s">
        <v>36</v>
      </c>
      <c r="Z674" s="146" t="s">
        <v>36</v>
      </c>
      <c r="AA674" s="4" t="str">
        <f>Table2[[#This Row],[field_fate]]</f>
        <v>A</v>
      </c>
      <c r="AB674" s="12" t="s">
        <v>1704</v>
      </c>
      <c r="AC674" s="133" t="s">
        <v>36</v>
      </c>
      <c r="AD674" s="144" t="s">
        <v>90</v>
      </c>
      <c r="AE674" s="136" t="str">
        <f>Table2[[#This Row],[field_fate5]]</f>
        <v>U</v>
      </c>
      <c r="AF674" s="95" t="str">
        <f>Table2[[#This Row],[field_fate5]]</f>
        <v>U</v>
      </c>
      <c r="AG674" s="95" t="s">
        <v>36</v>
      </c>
      <c r="AH674" s="95" t="str">
        <f>Table2[[#This Row],[field_fate2]]</f>
        <v>A</v>
      </c>
      <c r="AI674" s="95" t="str">
        <f>Table2[[#This Row],[field_fate8]]</f>
        <v>A</v>
      </c>
      <c r="AJ674" s="95" t="str">
        <f>Table2[[#This Row],[field_fate10]]</f>
        <v>A</v>
      </c>
      <c r="AK674" s="95" t="b">
        <f>Table2[[#This Row],[field_fate_feb]]=Table2[[#This Row],[field_fate10]]</f>
        <v>1</v>
      </c>
      <c r="AL674" s="43" t="s">
        <v>36</v>
      </c>
      <c r="AM674" s="160" t="b">
        <f>Table2[[#This Row],[cam_fate2]]="NA"</f>
        <v>0</v>
      </c>
      <c r="AN674" s="159" t="str">
        <f>Table2[[#This Row],[cam_fate1]]</f>
        <v>A</v>
      </c>
      <c r="AO674" s="2" t="s">
        <v>36</v>
      </c>
      <c r="AP674" s="5" t="str">
        <f>Table2[[#This Row],[final_fate1]]</f>
        <v>A</v>
      </c>
      <c r="AQ674" s="6">
        <v>19</v>
      </c>
      <c r="AR674" s="72">
        <v>19</v>
      </c>
      <c r="AS674" s="155">
        <f>Table2[[#This Row],[final_obs_date]]-Table2[[#This Row],[init_date]]</f>
        <v>19</v>
      </c>
      <c r="AT674" s="155">
        <f>(Table2[[#This Row],[final_obs_date2]]-Table2[[#This Row],[estHD]])+16</f>
        <v>19</v>
      </c>
      <c r="AU674" s="38">
        <v>4</v>
      </c>
      <c r="AV674" s="33">
        <v>4</v>
      </c>
      <c r="AW674" s="33">
        <f>Table2[[#This Row],[final_obs_date2]]-Table2[[#This Row],[pen_obs_date]]</f>
        <v>8</v>
      </c>
      <c r="AX674" s="67">
        <v>69</v>
      </c>
      <c r="AY674" s="158">
        <v>69</v>
      </c>
      <c r="AZ674" s="6">
        <v>61</v>
      </c>
      <c r="BA674" s="92" t="s">
        <v>60</v>
      </c>
      <c r="BB674" s="86" t="b">
        <f>Table2[[#This Row],[final_obs_date]]&lt;(Table2[[#This Row],[estHD]]-2)</f>
        <v>0</v>
      </c>
      <c r="BC674" s="83">
        <f>IF(Table2[[#This Row],[field_fate]]="H",1,0)</f>
        <v>0</v>
      </c>
      <c r="BD674" s="82">
        <f>IF(Table2[[#This Row],[cam_fate2]]="H",1,0)</f>
        <v>0</v>
      </c>
      <c r="BE674" s="84" t="b">
        <f>NOT(Table2[[#This Row],[HF_C]]=Table2[[#This Row],[HF]])</f>
        <v>0</v>
      </c>
      <c r="BF674" s="85" t="b">
        <f>NOT(Table2[[#This Row],[cam_fate2]]=Table2[[#This Row],[field_fate3]])</f>
        <v>1</v>
      </c>
      <c r="BG674" s="85" t="b">
        <f>OR(Table2[[#This Row],[field_fate3]]="U",Table2[[#This Row],[field_fate3]]="U-H")</f>
        <v>0</v>
      </c>
      <c r="BH674" s="8">
        <v>54</v>
      </c>
      <c r="BI674" s="8">
        <v>65</v>
      </c>
      <c r="BJ674" s="14">
        <f>IF(ISTEXT(Table2[[#This Row],[j.cam]]),Table2[[#This Row],[j]],Table2[[#This Row],[j.cam]])</f>
        <v>65</v>
      </c>
      <c r="BK674" s="8">
        <v>69</v>
      </c>
      <c r="BL674" s="14">
        <f>IF(ISTEXT(Table2[[#This Row],[k.cam]]), Table2[[#This Row],[k]], Table2[[#This Row],[k.cam]])</f>
        <v>69</v>
      </c>
      <c r="BM674" s="87" t="s">
        <v>24</v>
      </c>
      <c r="BN674" s="87" t="s">
        <v>24</v>
      </c>
      <c r="BO674" s="4">
        <v>3</v>
      </c>
      <c r="BP674" s="4">
        <f>Table2[[#This Row],[final_obs_date]]-Table2[[#This Row],[i]]</f>
        <v>15</v>
      </c>
      <c r="BQ674" s="4" t="b">
        <f>Table2[[#This Row],[final_obs_date2]]&gt;Table2[[#This Row],[estHD]]+3</f>
        <v>0</v>
      </c>
      <c r="BR674" s="3" t="s">
        <v>58</v>
      </c>
      <c r="BS674" s="28" t="s">
        <v>58</v>
      </c>
      <c r="BT674" s="125" t="s">
        <v>1340</v>
      </c>
      <c r="BU674" s="122" t="s">
        <v>432</v>
      </c>
      <c r="BV674" s="88" t="s">
        <v>1454</v>
      </c>
      <c r="BW674" s="69" t="s">
        <v>485</v>
      </c>
      <c r="BX674" s="36"/>
      <c r="BY674" s="36" t="s">
        <v>880</v>
      </c>
    </row>
    <row r="675" spans="1:77" ht="18.5" hidden="1" x14ac:dyDescent="0.35">
      <c r="A675" s="64">
        <v>30935</v>
      </c>
      <c r="B675" s="2" t="s">
        <v>35</v>
      </c>
      <c r="C675" s="46">
        <v>2021</v>
      </c>
      <c r="D675" s="3">
        <v>29.76829</v>
      </c>
      <c r="E675" s="3">
        <v>-93.16422</v>
      </c>
      <c r="F675" s="3">
        <v>70</v>
      </c>
      <c r="G675" s="3">
        <v>60</v>
      </c>
      <c r="H675" s="3" t="s">
        <v>26</v>
      </c>
      <c r="I675" s="43"/>
      <c r="J675" s="116">
        <v>74</v>
      </c>
      <c r="K675" s="4">
        <v>77</v>
      </c>
      <c r="L675" s="22">
        <f>IF(ISNUMBER(Table2[[#This Row],[estHD]]),ABS(Table2[[#This Row],[HD]]-Table2[[#This Row],[estHD]]),"NA")</f>
        <v>3</v>
      </c>
      <c r="M675" s="4" t="b">
        <f>Table2[[#This Row],[HD]]=Table2[[#This Row],[estHD]]</f>
        <v>0</v>
      </c>
      <c r="N675" s="4">
        <f>IF(ISNUMBER(Table2[[#This Row],[HD]]),Table2[[#This Row],[HD]]-16,"NA")</f>
        <v>61</v>
      </c>
      <c r="O675" s="31">
        <v>61</v>
      </c>
      <c r="P675" s="23">
        <f>IF(ISNUMBER(Table2[[#This Row],[nest_age1]]),ABS(Table2[[#This Row],[nest_age1]]-Table2[[#This Row],[nest_age_feb]]),"NA")</f>
        <v>4</v>
      </c>
      <c r="Q675" s="24">
        <f>IF(ISNUMBER(Table2[[#This Row],[final_obs_int2]]),ABS(Table2[[#This Row],[final_obs_int2]]-Table2[[#This Row],[final_obs_int_feb]]), "NA")</f>
        <v>0</v>
      </c>
      <c r="R675" s="24">
        <f>(Table2[[#This Row],[k_adj]]-Table2[[#This Row],[estHD]])/Table2[[#This Row],[estHD]]</f>
        <v>4.0540540540540543E-2</v>
      </c>
      <c r="S675" s="20" t="s">
        <v>75</v>
      </c>
      <c r="T675" s="20" t="str">
        <f>Table2[[#This Row],[camera_old]]</f>
        <v>Y</v>
      </c>
      <c r="U675" s="22" t="s">
        <v>88</v>
      </c>
      <c r="V675" s="16" t="s">
        <v>37</v>
      </c>
      <c r="W675" s="16">
        <v>17</v>
      </c>
      <c r="X675" s="145">
        <v>5</v>
      </c>
      <c r="Y675" s="148" t="s">
        <v>37</v>
      </c>
      <c r="Z675" s="146" t="s">
        <v>37</v>
      </c>
      <c r="AA675" s="4" t="str">
        <f>Table2[[#This Row],[field_fate]]</f>
        <v>H</v>
      </c>
      <c r="AB675" s="4" t="str">
        <f>Table2[[#This Row],[field_fate2]]</f>
        <v>H</v>
      </c>
      <c r="AC675" s="94" t="str">
        <f>Table2[[#This Row],[field_fate3]]</f>
        <v>H</v>
      </c>
      <c r="AD675" s="94" t="str">
        <f>Table2[[#This Row],[field_fate4]]</f>
        <v>H</v>
      </c>
      <c r="AE675" s="94" t="str">
        <f>Table2[[#This Row],[field_fate5]]</f>
        <v>H</v>
      </c>
      <c r="AF675" s="94" t="str">
        <f>Table2[[#This Row],[field_fate5]]</f>
        <v>H</v>
      </c>
      <c r="AG675" s="94" t="str">
        <f>Table2[[#This Row],[field_fate5]]</f>
        <v>H</v>
      </c>
      <c r="AH675" s="94" t="str">
        <f>Table2[[#This Row],[field_fate2]]</f>
        <v>H</v>
      </c>
      <c r="AI675" s="94" t="str">
        <f>Table2[[#This Row],[field_fate8]]</f>
        <v>H</v>
      </c>
      <c r="AJ675" s="94" t="str">
        <f>Table2[[#This Row],[field_fate10]]</f>
        <v>H</v>
      </c>
      <c r="AK675" s="94" t="b">
        <f>Table2[[#This Row],[field_fate_feb]]=Table2[[#This Row],[field_fate10]]</f>
        <v>1</v>
      </c>
      <c r="AL675" s="43" t="s">
        <v>37</v>
      </c>
      <c r="AM675" s="160" t="b">
        <f>Table2[[#This Row],[cam_fate2]]="NA"</f>
        <v>0</v>
      </c>
      <c r="AN675" s="19" t="str">
        <f>Table2[[#This Row],[cam_fate1]]</f>
        <v>H</v>
      </c>
      <c r="AO675" s="2" t="s">
        <v>37</v>
      </c>
      <c r="AP675" s="5" t="str">
        <f>Table2[[#This Row],[final_fate1]]</f>
        <v>H</v>
      </c>
      <c r="AQ675" s="6">
        <v>13</v>
      </c>
      <c r="AR675" s="72">
        <v>16</v>
      </c>
      <c r="AS675" s="155">
        <f>Table2[[#This Row],[final_obs_date]]-Table2[[#This Row],[init_date]]</f>
        <v>20</v>
      </c>
      <c r="AT675" s="155">
        <f>(Table2[[#This Row],[final_obs_date2]]-Table2[[#This Row],[estHD]])+16</f>
        <v>23</v>
      </c>
      <c r="AU675" s="38">
        <v>5</v>
      </c>
      <c r="AV675" s="33">
        <v>5</v>
      </c>
      <c r="AW675" s="119">
        <f>Table2[[#This Row],[final_obs_date2]]-Table2[[#This Row],[pen_obs_date]]</f>
        <v>4</v>
      </c>
      <c r="AX675" s="68">
        <v>81</v>
      </c>
      <c r="AY675" s="157">
        <v>81</v>
      </c>
      <c r="AZ675" s="10">
        <v>77</v>
      </c>
      <c r="BA675" s="92" t="s">
        <v>60</v>
      </c>
      <c r="BB675" s="6" t="b">
        <f>Table2[[#This Row],[final_obs_date]]&lt;(Table2[[#This Row],[estHD]]-2)</f>
        <v>0</v>
      </c>
      <c r="BC675" s="32">
        <f>IF(Table2[[#This Row],[field_fate]]="H",1,0)</f>
        <v>1</v>
      </c>
      <c r="BD675" s="16">
        <f>IF(Table2[[#This Row],[cam_fate2]]="H",1,0)</f>
        <v>1</v>
      </c>
      <c r="BE675" s="6" t="b">
        <f>NOT(Table2[[#This Row],[HF_C]]=Table2[[#This Row],[HF]])</f>
        <v>0</v>
      </c>
      <c r="BF675" s="38" t="b">
        <f>NOT(Table2[[#This Row],[cam_fate2]]=Table2[[#This Row],[field_fate3]])</f>
        <v>0</v>
      </c>
      <c r="BG675" s="38" t="b">
        <f>OR(Table2[[#This Row],[field_fate3]]="U",Table2[[#This Row],[field_fate3]]="U-H")</f>
        <v>0</v>
      </c>
      <c r="BH675" s="8">
        <v>61</v>
      </c>
      <c r="BI675" s="80">
        <v>81</v>
      </c>
      <c r="BJ675" s="14">
        <f>IF(ISTEXT(Table2[[#This Row],[j.cam]]),Table2[[#This Row],[j]],Table2[[#This Row],[j.cam]])</f>
        <v>77</v>
      </c>
      <c r="BK675" s="8">
        <v>81</v>
      </c>
      <c r="BL675" s="14">
        <f>IF(ISTEXT(Table2[[#This Row],[k.cam]]), Table2[[#This Row],[k]], Table2[[#This Row],[k.cam]])</f>
        <v>77</v>
      </c>
      <c r="BM675" s="4">
        <v>77</v>
      </c>
      <c r="BN675" s="8">
        <v>77</v>
      </c>
      <c r="BO675" s="4">
        <v>4</v>
      </c>
      <c r="BP675" s="4">
        <f>Table2[[#This Row],[final_obs_date]]-Table2[[#This Row],[i]]</f>
        <v>20</v>
      </c>
      <c r="BQ675" s="4" t="b">
        <f>Table2[[#This Row],[final_obs_date2]]&gt;Table2[[#This Row],[estHD]]+3</f>
        <v>1</v>
      </c>
      <c r="BR675" s="3" t="s">
        <v>33</v>
      </c>
      <c r="BS675" s="28" t="s">
        <v>33</v>
      </c>
      <c r="BT675" s="125" t="s">
        <v>1342</v>
      </c>
      <c r="BU675" s="4" t="s">
        <v>433</v>
      </c>
      <c r="BV675" s="79" t="s">
        <v>1598</v>
      </c>
      <c r="BW675" s="69" t="s">
        <v>990</v>
      </c>
      <c r="BX675" s="36"/>
      <c r="BY675" s="36" t="s">
        <v>881</v>
      </c>
    </row>
    <row r="676" spans="1:77" x14ac:dyDescent="0.35">
      <c r="A676" s="64">
        <v>30937</v>
      </c>
      <c r="B676" s="2" t="s">
        <v>35</v>
      </c>
      <c r="C676" s="46">
        <v>2021</v>
      </c>
      <c r="D676" s="3">
        <v>29.763580000000001</v>
      </c>
      <c r="E676" s="3">
        <v>-93.142970000000005</v>
      </c>
      <c r="F676" s="3">
        <v>0</v>
      </c>
      <c r="G676" s="3">
        <v>0</v>
      </c>
      <c r="H676" s="3" t="s">
        <v>24</v>
      </c>
      <c r="I676" s="43"/>
      <c r="J676" s="116" t="s">
        <v>24</v>
      </c>
      <c r="K676" s="4">
        <v>69</v>
      </c>
      <c r="L676" s="22" t="str">
        <f>IF(ISNUMBER(Table2[[#This Row],[estHD]]),ABS(Table2[[#This Row],[HD]]-Table2[[#This Row],[estHD]]),"NA")</f>
        <v>NA</v>
      </c>
      <c r="M676" s="4" t="b">
        <f>Table2[[#This Row],[HD]]=Table2[[#This Row],[estHD]]</f>
        <v>0</v>
      </c>
      <c r="N676" s="4">
        <f>IF(ISNUMBER(Table2[[#This Row],[HD]]),Table2[[#This Row],[HD]]-19,"NA")</f>
        <v>50</v>
      </c>
      <c r="O676" s="31">
        <v>50</v>
      </c>
      <c r="P676" s="23" t="e">
        <f>IF(ISNUMBER(Table2[[#This Row],[nest_age1]]),ABS(Table2[[#This Row],[nest_age1]]-Table2[[#This Row],[nest_age_feb]]),"NA")</f>
        <v>#VALUE!</v>
      </c>
      <c r="Q676" s="24">
        <f>IF(ISNUMBER(Table2[[#This Row],[final_obs_int2]]),ABS(Table2[[#This Row],[final_obs_int2]]-Table2[[#This Row],[final_obs_int_feb]]), "NA")</f>
        <v>4</v>
      </c>
      <c r="R676" s="24" t="e">
        <f>(Table2[[#This Row],[k_adj]]-Table2[[#This Row],[estHD]])/Table2[[#This Row],[estHD]]</f>
        <v>#VALUE!</v>
      </c>
      <c r="S676" s="21" t="s">
        <v>965</v>
      </c>
      <c r="T676" s="21" t="s">
        <v>75</v>
      </c>
      <c r="U676" s="52" t="s">
        <v>75</v>
      </c>
      <c r="V676" s="16" t="s">
        <v>24</v>
      </c>
      <c r="W676" s="16" t="s">
        <v>24</v>
      </c>
      <c r="X676" s="145">
        <v>0</v>
      </c>
      <c r="Y676" s="147" t="s">
        <v>24</v>
      </c>
      <c r="Z676" s="146" t="s">
        <v>37</v>
      </c>
      <c r="AA676" s="4" t="str">
        <f>Table2[[#This Row],[field_fate]]</f>
        <v>H</v>
      </c>
      <c r="AB676" s="4" t="str">
        <f>Table2[[#This Row],[field_fate2]]</f>
        <v>H</v>
      </c>
      <c r="AC676" s="94" t="str">
        <f>Table2[[#This Row],[field_fate3]]</f>
        <v>H</v>
      </c>
      <c r="AD676" s="94" t="str">
        <f>Table2[[#This Row],[field_fate4]]</f>
        <v>H</v>
      </c>
      <c r="AE676" s="94" t="str">
        <f>Table2[[#This Row],[field_fate5]]</f>
        <v>H</v>
      </c>
      <c r="AF676" s="94" t="str">
        <f>Table2[[#This Row],[field_fate5]]</f>
        <v>H</v>
      </c>
      <c r="AG676" s="94" t="str">
        <f>Table2[[#This Row],[field_fate5]]</f>
        <v>H</v>
      </c>
      <c r="AH676" s="94" t="str">
        <f>Table2[[#This Row],[field_fate2]]</f>
        <v>H</v>
      </c>
      <c r="AI676" s="94" t="str">
        <f>Table2[[#This Row],[field_fate8]]</f>
        <v>H</v>
      </c>
      <c r="AJ676" s="94" t="str">
        <f>Table2[[#This Row],[field_fate10]]</f>
        <v>H</v>
      </c>
      <c r="AK676" s="94" t="b">
        <f>Table2[[#This Row],[field_fate_feb]]=Table2[[#This Row],[field_fate10]]</f>
        <v>0</v>
      </c>
      <c r="AL676" s="43" t="s">
        <v>37</v>
      </c>
      <c r="AM676" s="160" t="b">
        <f>Table2[[#This Row],[cam_fate2]]="NA"</f>
        <v>0</v>
      </c>
      <c r="AN676" s="19" t="str">
        <f>Table2[[#This Row],[cam_fate1]]</f>
        <v>H</v>
      </c>
      <c r="AO676" s="2" t="s">
        <v>37</v>
      </c>
      <c r="AP676" s="5" t="str">
        <f>Table2[[#This Row],[final_fate1]]</f>
        <v>H</v>
      </c>
      <c r="AQ676" s="6">
        <v>19</v>
      </c>
      <c r="AR676" s="72">
        <v>19</v>
      </c>
      <c r="AS676" s="155">
        <f>Table2[[#This Row],[final_obs_date]]-Table2[[#This Row],[init_date]]</f>
        <v>19</v>
      </c>
      <c r="AT676" s="155" t="e">
        <f>(Table2[[#This Row],[final_obs_date2]]-Table2[[#This Row],[estHD]])+19</f>
        <v>#VALUE!</v>
      </c>
      <c r="AU676" s="38">
        <v>4</v>
      </c>
      <c r="AV676" s="33">
        <v>4</v>
      </c>
      <c r="AW676" s="33">
        <f>Table2[[#This Row],[final_obs_date2]]-Table2[[#This Row],[pen_obs_date]]</f>
        <v>4</v>
      </c>
      <c r="AX676" s="67">
        <v>69</v>
      </c>
      <c r="AY676" s="157">
        <f>Table2[[#This Row],[final_obs_date]]</f>
        <v>69</v>
      </c>
      <c r="AZ676" s="6">
        <v>65</v>
      </c>
      <c r="BA676" s="92" t="s">
        <v>47</v>
      </c>
      <c r="BB676" s="6" t="e">
        <f>Table2[[#This Row],[final_obs_date]]&lt;(Table2[[#This Row],[estHD]]-2)</f>
        <v>#VALUE!</v>
      </c>
      <c r="BC676" s="25">
        <f>IF(Table2[[#This Row],[field_fate]]="H",1,0)</f>
        <v>1</v>
      </c>
      <c r="BD676" s="16">
        <f>IF(Table2[[#This Row],[cam_fate2]]="H",1,0)</f>
        <v>1</v>
      </c>
      <c r="BE676" s="6" t="b">
        <f>NOT(Table2[[#This Row],[HF_C]]=Table2[[#This Row],[HF]])</f>
        <v>0</v>
      </c>
      <c r="BF676" s="38" t="b">
        <f>NOT(Table2[[#This Row],[cam_fate2]]=Table2[[#This Row],[field_fate3]])</f>
        <v>0</v>
      </c>
      <c r="BG676" s="38" t="b">
        <f>OR(Table2[[#This Row],[field_fate3]]="U",Table2[[#This Row],[field_fate3]]="U-H")</f>
        <v>0</v>
      </c>
      <c r="BH676" s="8">
        <v>61</v>
      </c>
      <c r="BI676" s="8">
        <v>69</v>
      </c>
      <c r="BJ676" s="14">
        <f>IF(ISTEXT(Table2[[#This Row],[j.cam]]),Table2[[#This Row],[j]],Table2[[#This Row],[j.cam]])</f>
        <v>69</v>
      </c>
      <c r="BK676" s="8">
        <v>69</v>
      </c>
      <c r="BL676" s="14">
        <f>IF(ISTEXT(Table2[[#This Row],[k.cam]]), Table2[[#This Row],[k]], Table2[[#This Row],[k.cam]])</f>
        <v>69</v>
      </c>
      <c r="BM676" s="4" t="s">
        <v>24</v>
      </c>
      <c r="BN676" s="8" t="s">
        <v>24</v>
      </c>
      <c r="BO676" s="4">
        <v>3</v>
      </c>
      <c r="BP676" s="4">
        <f>Table2[[#This Row],[final_obs_date]]-Table2[[#This Row],[i]]</f>
        <v>8</v>
      </c>
      <c r="BQ676" s="4" t="e">
        <f>Table2[[#This Row],[final_obs_date2]]&gt;Table2[[#This Row],[estHD]]+3</f>
        <v>#VALUE!</v>
      </c>
      <c r="BR676" s="3" t="s">
        <v>58</v>
      </c>
      <c r="BS676" s="3" t="s">
        <v>127</v>
      </c>
      <c r="BT676" s="125" t="s">
        <v>1340</v>
      </c>
      <c r="BU676" s="4" t="s">
        <v>434</v>
      </c>
      <c r="BV676" s="79" t="s">
        <v>1454</v>
      </c>
      <c r="BW676" s="69"/>
      <c r="BX676" s="36"/>
      <c r="BY676" s="36" t="s">
        <v>882</v>
      </c>
    </row>
    <row r="677" spans="1:77" x14ac:dyDescent="0.35">
      <c r="A677" s="64">
        <v>30938</v>
      </c>
      <c r="B677" s="2" t="s">
        <v>122</v>
      </c>
      <c r="C677" s="46">
        <v>2021</v>
      </c>
      <c r="D677" s="3">
        <v>29.75647</v>
      </c>
      <c r="E677" s="3">
        <v>-93.109229999999997</v>
      </c>
      <c r="F677" s="3">
        <v>0</v>
      </c>
      <c r="G677" s="3">
        <v>0</v>
      </c>
      <c r="H677" s="3" t="s">
        <v>24</v>
      </c>
      <c r="I677" s="43"/>
      <c r="J677" s="116">
        <v>65</v>
      </c>
      <c r="K677" s="4">
        <v>64</v>
      </c>
      <c r="L677" s="22">
        <f>IF(ISNUMBER(Table2[[#This Row],[estHD]]),ABS(Table2[[#This Row],[HD]]-Table2[[#This Row],[estHD]]),"NA")</f>
        <v>1</v>
      </c>
      <c r="M677" s="4" t="b">
        <f>Table2[[#This Row],[HD]]=Table2[[#This Row],[estHD]]</f>
        <v>0</v>
      </c>
      <c r="N677" s="4">
        <f>IF(ISNUMBER(Table2[[#This Row],[HD]]),Table2[[#This Row],[HD]]-19,"NA")</f>
        <v>45</v>
      </c>
      <c r="O677" s="31">
        <v>45</v>
      </c>
      <c r="P677" s="23">
        <f>IF(ISNUMBER(Table2[[#This Row],[nest_age1]]),ABS(Table2[[#This Row],[nest_age1]]-Table2[[#This Row],[nest_age_feb]]),"NA")</f>
        <v>1</v>
      </c>
      <c r="Q677" s="25">
        <f>IF(ISNUMBER(Table2[[#This Row],[final_obs_int2]]),ABS(Table2[[#This Row],[final_obs_int2]]-Table2[[#This Row],[final_obs_int_feb]]), "NA")</f>
        <v>0</v>
      </c>
      <c r="R677" s="24">
        <f>(Table2[[#This Row],[k_adj]]-Table2[[#This Row],[estHD]])/Table2[[#This Row],[estHD]]</f>
        <v>-1.5384615384615385E-2</v>
      </c>
      <c r="S677" s="20" t="s">
        <v>75</v>
      </c>
      <c r="T677" s="20" t="str">
        <f>Table2[[#This Row],[camera_old]]</f>
        <v>Y</v>
      </c>
      <c r="U677" s="22" t="s">
        <v>88</v>
      </c>
      <c r="V677" s="16" t="s">
        <v>37</v>
      </c>
      <c r="W677" s="16">
        <v>19</v>
      </c>
      <c r="X677" s="145">
        <v>4</v>
      </c>
      <c r="Y677" s="153" t="s">
        <v>104</v>
      </c>
      <c r="Z677" s="146" t="s">
        <v>104</v>
      </c>
      <c r="AA677" s="5" t="s">
        <v>37</v>
      </c>
      <c r="AB677" s="2" t="str">
        <f>Table2[[#This Row],[field_fate]]</f>
        <v>U-H</v>
      </c>
      <c r="AC677" s="127" t="str">
        <f>Table2[[#This Row],[field_fate3]]</f>
        <v>U-H</v>
      </c>
      <c r="AD677" s="141" t="s">
        <v>90</v>
      </c>
      <c r="AE677" s="114" t="s">
        <v>104</v>
      </c>
      <c r="AF677" s="94" t="str">
        <f>Table2[[#This Row],[field_fate5]]</f>
        <v>U</v>
      </c>
      <c r="AG677" s="94" t="str">
        <f>Table2[[#This Row],[field_fate5]]</f>
        <v>U</v>
      </c>
      <c r="AH677" s="94" t="str">
        <f>Table2[[#This Row],[field_fate2]]</f>
        <v>H</v>
      </c>
      <c r="AI677" s="163" t="s">
        <v>37</v>
      </c>
      <c r="AJ677" s="94" t="s">
        <v>37</v>
      </c>
      <c r="AK677" s="94" t="b">
        <f>Table2[[#This Row],[field_fate_feb]]=Table2[[#This Row],[field_fate10]]</f>
        <v>0</v>
      </c>
      <c r="AL677" s="43" t="s">
        <v>37</v>
      </c>
      <c r="AM677" s="160" t="b">
        <f>Table2[[#This Row],[cam_fate2]]="NA"</f>
        <v>0</v>
      </c>
      <c r="AN677" s="19" t="str">
        <f>Table2[[#This Row],[cam_fate1]]</f>
        <v>H</v>
      </c>
      <c r="AO677" s="2" t="s">
        <v>37</v>
      </c>
      <c r="AP677" s="5" t="str">
        <f>Table2[[#This Row],[final_fate1]]</f>
        <v>H</v>
      </c>
      <c r="AQ677" s="6">
        <v>20</v>
      </c>
      <c r="AR677" s="72">
        <v>19</v>
      </c>
      <c r="AS677" s="155">
        <f>Table2[[#This Row],[final_obs_date]]-Table2[[#This Row],[init_date]]</f>
        <v>20</v>
      </c>
      <c r="AT677" s="155">
        <f>(Table2[[#This Row],[final_obs_date2]]-Table2[[#This Row],[estHD]])+19</f>
        <v>19</v>
      </c>
      <c r="AU677" s="40">
        <v>4</v>
      </c>
      <c r="AV677" s="33">
        <v>4</v>
      </c>
      <c r="AW677" s="33">
        <f>Table2[[#This Row],[final_obs_date2]]-Table2[[#This Row],[pen_obs_date]]</f>
        <v>4</v>
      </c>
      <c r="AX677" s="67">
        <v>65</v>
      </c>
      <c r="AY677" s="157">
        <f>Table2[[#This Row],[final_obs_date]]</f>
        <v>65</v>
      </c>
      <c r="AZ677" s="6">
        <v>61</v>
      </c>
      <c r="BA677" s="92" t="s">
        <v>47</v>
      </c>
      <c r="BB677" s="6" t="b">
        <f>Table2[[#This Row],[final_obs_date]]&lt;(Table2[[#This Row],[estHD]]-2)</f>
        <v>0</v>
      </c>
      <c r="BC677" s="32">
        <f>IF(Table2[[#This Row],[field_fate2]]="H",1,0)</f>
        <v>1</v>
      </c>
      <c r="BD677" s="16">
        <f>IF(Table2[[#This Row],[cam_fate2]]="H",1,0)</f>
        <v>1</v>
      </c>
      <c r="BE677" s="6" t="b">
        <f>NOT(Table2[[#This Row],[HF_C]]=Table2[[#This Row],[HF]])</f>
        <v>0</v>
      </c>
      <c r="BF677" s="38" t="b">
        <f>NOT(Table2[[#This Row],[cam_fate2]]=Table2[[#This Row],[field_fate3]])</f>
        <v>1</v>
      </c>
      <c r="BG677" s="38" t="b">
        <f>OR(Table2[[#This Row],[field_fate3]]="U",Table2[[#This Row],[field_fate3]]="U-H")</f>
        <v>1</v>
      </c>
      <c r="BH677" s="8">
        <v>61</v>
      </c>
      <c r="BI677" s="80">
        <v>65</v>
      </c>
      <c r="BJ677" s="14">
        <f>IF(ISTEXT(Table2[[#This Row],[j.cam]]),Table2[[#This Row],[j]],Table2[[#This Row],[j.cam]])</f>
        <v>64</v>
      </c>
      <c r="BK677" s="8">
        <v>65</v>
      </c>
      <c r="BL677" s="14">
        <f>IF(ISTEXT(Table2[[#This Row],[k.cam]]), Table2[[#This Row],[k]], Table2[[#This Row],[k.cam]])</f>
        <v>64</v>
      </c>
      <c r="BM677" s="4">
        <v>64</v>
      </c>
      <c r="BN677" s="8">
        <v>64</v>
      </c>
      <c r="BO677" s="4">
        <v>3</v>
      </c>
      <c r="BP677" s="4">
        <f>Table2[[#This Row],[final_obs_date]]-Table2[[#This Row],[i]]</f>
        <v>4</v>
      </c>
      <c r="BQ677" s="4" t="b">
        <f>Table2[[#This Row],[final_obs_date2]]&gt;Table2[[#This Row],[estHD]]+3</f>
        <v>0</v>
      </c>
      <c r="BR677" s="27" t="s">
        <v>176</v>
      </c>
      <c r="BS677" s="3" t="s">
        <v>45</v>
      </c>
      <c r="BT677" s="125" t="s">
        <v>1409</v>
      </c>
      <c r="BU677" s="4" t="s">
        <v>235</v>
      </c>
      <c r="BV677" s="79" t="s">
        <v>1571</v>
      </c>
      <c r="BW677" s="69" t="s">
        <v>972</v>
      </c>
      <c r="BX677" s="54" t="s">
        <v>967</v>
      </c>
      <c r="BY677" s="36" t="s">
        <v>883</v>
      </c>
    </row>
    <row r="678" spans="1:77" hidden="1" x14ac:dyDescent="0.35">
      <c r="A678" s="64">
        <v>30940</v>
      </c>
      <c r="B678" s="2" t="s">
        <v>122</v>
      </c>
      <c r="C678" s="46">
        <v>2021</v>
      </c>
      <c r="D678" s="3">
        <v>29.756350000000001</v>
      </c>
      <c r="E678" s="3">
        <v>-93.107789999999994</v>
      </c>
      <c r="F678" s="3">
        <v>20</v>
      </c>
      <c r="G678" s="3">
        <v>20</v>
      </c>
      <c r="H678" s="3" t="s">
        <v>354</v>
      </c>
      <c r="I678" s="43"/>
      <c r="J678" s="55" t="s">
        <v>24</v>
      </c>
      <c r="K678" s="4" t="s">
        <v>24</v>
      </c>
      <c r="L678" s="22" t="str">
        <f>IF(ISNUMBER(Table2[[#This Row],[estHD]]),ABS(Table2[[#This Row],[HD]]-Table2[[#This Row],[estHD]]),"NA")</f>
        <v>NA</v>
      </c>
      <c r="M678" s="4" t="b">
        <f>Table2[[#This Row],[HD]]=Table2[[#This Row],[estHD]]</f>
        <v>1</v>
      </c>
      <c r="N678" s="4" t="str">
        <f>IF(ISNUMBER([1]!Table2[[#This Row],[hatch_date]]), [1]!Table2[[#This Row],[hatch_date]]-28, "NA")</f>
        <v>NA</v>
      </c>
      <c r="O678" s="31" t="s">
        <v>24</v>
      </c>
      <c r="P678" s="23" t="str">
        <f>IF(ISNUMBER(Table2[[#This Row],[nest_age1]]),ABS(Table2[[#This Row],[nest_age1]]-Table2[[#This Row],[nest_age_feb]]),"NA")</f>
        <v>NA</v>
      </c>
      <c r="Q678" s="24">
        <f>IF(ISNUMBER(Table2[[#This Row],[final_obs_int2]]),ABS(Table2[[#This Row],[final_obs_int2]]-Table2[[#This Row],[final_obs_int_feb]]), "NA")</f>
        <v>0</v>
      </c>
      <c r="R678" s="24"/>
      <c r="S678" s="57" t="s">
        <v>88</v>
      </c>
      <c r="T678" s="57" t="str">
        <f>Table2[[#This Row],[camera_old]]</f>
        <v>N</v>
      </c>
      <c r="U678" s="24"/>
      <c r="V678" s="16" t="s">
        <v>37</v>
      </c>
      <c r="W678" s="16" t="s">
        <v>24</v>
      </c>
      <c r="X678" s="145">
        <v>3</v>
      </c>
      <c r="Y678" s="149" t="s">
        <v>104</v>
      </c>
      <c r="Z678" s="146" t="s">
        <v>104</v>
      </c>
      <c r="AA678" s="4" t="str">
        <f>Table2[[#This Row],[field_fate]]</f>
        <v>U-H</v>
      </c>
      <c r="AB678" s="4" t="str">
        <f>Table2[[#This Row],[field_fate2]]</f>
        <v>U-H</v>
      </c>
      <c r="AC678" s="4" t="str">
        <f>Table2[[#This Row],[field_fate3]]</f>
        <v>U-H</v>
      </c>
      <c r="AD678" s="4" t="str">
        <f>Table2[[#This Row],[field_fate4]]</f>
        <v>U-H</v>
      </c>
      <c r="AE678" s="4" t="str">
        <f>Table2[[#This Row],[field_fate5]]</f>
        <v>U-H</v>
      </c>
      <c r="AF678" s="4" t="str">
        <f>Table2[[#This Row],[field_fate5]]</f>
        <v>U-H</v>
      </c>
      <c r="AG678" s="4" t="str">
        <f>Table2[[#This Row],[field_fate5]]</f>
        <v>U-H</v>
      </c>
      <c r="AH678" s="4" t="str">
        <f>Table2[[#This Row],[field_fate2]]</f>
        <v>U-H</v>
      </c>
      <c r="AI678" s="4" t="str">
        <f>Table2[[#This Row],[field_fate8]]</f>
        <v>U-H</v>
      </c>
      <c r="AJ678" s="4" t="str">
        <f>Table2[[#This Row],[field_fate10]]</f>
        <v>U-H</v>
      </c>
      <c r="AK678" s="4" t="b">
        <f>Table2[[#This Row],[field_fate_feb]]=Table2[[#This Row],[field_fate10]]</f>
        <v>1</v>
      </c>
      <c r="AL678" s="43" t="s">
        <v>24</v>
      </c>
      <c r="AM678" s="43" t="b">
        <f>Table2[[#This Row],[cam_fate2]]="NA"</f>
        <v>1</v>
      </c>
      <c r="AN678" s="19" t="str">
        <f>Table2[[#This Row],[cam_fate1]]</f>
        <v>NA</v>
      </c>
      <c r="AO678" s="2" t="s">
        <v>24</v>
      </c>
      <c r="AP678" s="5" t="str">
        <f>Table2[[#This Row],[final_fate1]]</f>
        <v>NA</v>
      </c>
      <c r="AQ678" s="6" t="s">
        <v>24</v>
      </c>
      <c r="AR678" s="7" t="s">
        <v>24</v>
      </c>
      <c r="AS678" s="7" t="e">
        <f>Table2[[#This Row],[final_obs_date]]-Table2[[#This Row],[init_date]]</f>
        <v>#VALUE!</v>
      </c>
      <c r="AT678" s="7" t="e">
        <f>(Table2[[#This Row],[final_obs_date2]]-Table2[[#This Row],[estHD]])+16</f>
        <v>#VALUE!</v>
      </c>
      <c r="AU678" s="38">
        <v>3</v>
      </c>
      <c r="AV678" s="33">
        <v>3</v>
      </c>
      <c r="AW678" s="33">
        <f>Table2[[#This Row],[final_obs_date2]]-Table2[[#This Row],[pen_obs_date]]</f>
        <v>72</v>
      </c>
      <c r="AX678" s="67">
        <v>72</v>
      </c>
      <c r="AY678" s="6">
        <f>Table2[[#This Row],[final_obs_date]]</f>
        <v>72</v>
      </c>
      <c r="AZ678" s="6"/>
      <c r="BA678" s="91" t="s">
        <v>23</v>
      </c>
      <c r="BB678" s="6" t="e">
        <f>Table2[[#This Row],[final_obs_date]]&lt;(Table2[[#This Row],[estHD]]-2)</f>
        <v>#VALUE!</v>
      </c>
      <c r="BC678" s="24">
        <f>IF(Table2[[#This Row],[field_fate]]="H",1,0)</f>
        <v>0</v>
      </c>
      <c r="BD678" s="16">
        <f>IF(Table2[[#This Row],[cam_fate2]]="H",1,0)</f>
        <v>0</v>
      </c>
      <c r="BE678" s="6" t="b">
        <f>NOT(Table2[[#This Row],[HF_C]]=Table2[[#This Row],[HF]])</f>
        <v>0</v>
      </c>
      <c r="BF678" s="6" t="b">
        <f>NOT(Table2[[#This Row],[cam_fate2]]=Table2[[#This Row],[field_fate3]])</f>
        <v>1</v>
      </c>
      <c r="BG678" s="6" t="b">
        <f>OR(Table2[[#This Row],[field_fate3]]="U",Table2[[#This Row],[field_fate3]]="U-H")</f>
        <v>1</v>
      </c>
      <c r="BH678" s="8">
        <v>61</v>
      </c>
      <c r="BI678" s="8">
        <v>69</v>
      </c>
      <c r="BJ678" s="14">
        <f>IF(ISTEXT(Table2[[#This Row],[j.cam]]),Table2[[#This Row],[j]],Table2[[#This Row],[j.cam]])</f>
        <v>70</v>
      </c>
      <c r="BK678" s="9">
        <v>72</v>
      </c>
      <c r="BL678" s="15">
        <f>IF(ISTEXT(Table2[[#This Row],[k.cam]]), Table2[[#This Row],[k]], Table2[[#This Row],[k.cam]])</f>
        <v>70</v>
      </c>
      <c r="BM678" s="4">
        <v>70</v>
      </c>
      <c r="BN678" s="8">
        <v>70</v>
      </c>
      <c r="BO678" s="4">
        <v>4</v>
      </c>
      <c r="BP678" s="4">
        <f>Table2[[#This Row],[final_obs_date]]-Table2[[#This Row],[i]]</f>
        <v>11</v>
      </c>
      <c r="BQ678" s="4" t="e">
        <f>Table2[[#This Row],[final_obs_date2]]&gt;Table2[[#This Row],[estHD]]+3</f>
        <v>#VALUE!</v>
      </c>
      <c r="BR678" s="4" t="s">
        <v>27</v>
      </c>
      <c r="BS678" s="4" t="s">
        <v>45</v>
      </c>
      <c r="BT678" s="79" t="s">
        <v>1343</v>
      </c>
      <c r="BU678" s="26" t="s">
        <v>106</v>
      </c>
      <c r="BV678" s="79" t="s">
        <v>1659</v>
      </c>
      <c r="BW678" s="49"/>
      <c r="BX678" s="47"/>
      <c r="BY678" s="36" t="s">
        <v>884</v>
      </c>
    </row>
    <row r="679" spans="1:77" hidden="1" x14ac:dyDescent="0.35">
      <c r="A679" s="64">
        <v>30941</v>
      </c>
      <c r="B679" s="2" t="s">
        <v>122</v>
      </c>
      <c r="C679" s="46">
        <v>2021</v>
      </c>
      <c r="D679" s="3">
        <v>29.757850000000001</v>
      </c>
      <c r="E679" s="3">
        <v>-93.117490000000004</v>
      </c>
      <c r="F679" s="3">
        <v>0</v>
      </c>
      <c r="G679" s="3">
        <v>5</v>
      </c>
      <c r="H679" s="3" t="s">
        <v>354</v>
      </c>
      <c r="I679" s="43"/>
      <c r="J679" s="116">
        <v>69</v>
      </c>
      <c r="K679" s="4">
        <v>69</v>
      </c>
      <c r="L679" s="22">
        <f>IF(ISNUMBER(Table2[[#This Row],[estHD]]),ABS(Table2[[#This Row],[HD]]-Table2[[#This Row],[estHD]]),"NA")</f>
        <v>0</v>
      </c>
      <c r="M679" s="4" t="b">
        <f>Table2[[#This Row],[HD]]=Table2[[#This Row],[estHD]]</f>
        <v>1</v>
      </c>
      <c r="N679" s="4" t="str">
        <f>IF(ISNUMBER([1]!Table2[[#This Row],[hatch_date]]),[1]!Table2[[#This Row],[hatch_date]]-19,"NA")</f>
        <v>NA</v>
      </c>
      <c r="O679" s="31">
        <v>50</v>
      </c>
      <c r="P679" s="23">
        <f>IF(ISNUMBER(Table2[[#This Row],[nest_age1]]),ABS(Table2[[#This Row],[nest_age1]]-Table2[[#This Row],[nest_age_feb]]),"NA")</f>
        <v>0</v>
      </c>
      <c r="Q679" s="24">
        <f>IF(ISNUMBER(Table2[[#This Row],[final_obs_int2]]),ABS(Table2[[#This Row],[final_obs_int2]]-Table2[[#This Row],[final_obs_int_feb]]), "NA")</f>
        <v>0</v>
      </c>
      <c r="R679" s="24">
        <f>(Table2[[#This Row],[k_adj]]-Table2[[#This Row],[estHD]])/Table2[[#This Row],[estHD]]</f>
        <v>0</v>
      </c>
      <c r="S679" s="20" t="s">
        <v>75</v>
      </c>
      <c r="T679" s="20" t="str">
        <f>Table2[[#This Row],[camera_old]]</f>
        <v>Y</v>
      </c>
      <c r="U679" s="22" t="s">
        <v>88</v>
      </c>
      <c r="V679" s="16" t="s">
        <v>24</v>
      </c>
      <c r="W679" s="16">
        <v>19</v>
      </c>
      <c r="X679" s="145">
        <v>4</v>
      </c>
      <c r="Y679" s="147" t="s">
        <v>37</v>
      </c>
      <c r="Z679" s="146" t="s">
        <v>37</v>
      </c>
      <c r="AA679" s="4" t="str">
        <f>Table2[[#This Row],[field_fate]]</f>
        <v>H</v>
      </c>
      <c r="AB679" s="4" t="str">
        <f>Table2[[#This Row],[field_fate2]]</f>
        <v>H</v>
      </c>
      <c r="AC679" s="94" t="str">
        <f>Table2[[#This Row],[field_fate3]]</f>
        <v>H</v>
      </c>
      <c r="AD679" s="94" t="str">
        <f>Table2[[#This Row],[field_fate4]]</f>
        <v>H</v>
      </c>
      <c r="AE679" s="94" t="str">
        <f>Table2[[#This Row],[field_fate5]]</f>
        <v>H</v>
      </c>
      <c r="AF679" s="94" t="str">
        <f>Table2[[#This Row],[field_fate5]]</f>
        <v>H</v>
      </c>
      <c r="AG679" s="94" t="str">
        <f>Table2[[#This Row],[field_fate5]]</f>
        <v>H</v>
      </c>
      <c r="AH679" s="94" t="str">
        <f>Table2[[#This Row],[field_fate2]]</f>
        <v>H</v>
      </c>
      <c r="AI679" s="94" t="str">
        <f>Table2[[#This Row],[field_fate8]]</f>
        <v>H</v>
      </c>
      <c r="AJ679" s="94" t="str">
        <f>Table2[[#This Row],[field_fate10]]</f>
        <v>H</v>
      </c>
      <c r="AK679" s="94" t="b">
        <f>Table2[[#This Row],[field_fate_feb]]=Table2[[#This Row],[field_fate10]]</f>
        <v>1</v>
      </c>
      <c r="AL679" s="43" t="s">
        <v>37</v>
      </c>
      <c r="AM679" s="160" t="b">
        <f>Table2[[#This Row],[cam_fate2]]="NA"</f>
        <v>0</v>
      </c>
      <c r="AN679" s="19" t="str">
        <f>Table2[[#This Row],[cam_fate1]]</f>
        <v>H</v>
      </c>
      <c r="AO679" s="2" t="s">
        <v>37</v>
      </c>
      <c r="AP679" s="5" t="str">
        <f>Table2[[#This Row],[final_fate1]]</f>
        <v>H</v>
      </c>
      <c r="AQ679" s="6">
        <v>19</v>
      </c>
      <c r="AR679" s="72">
        <v>19</v>
      </c>
      <c r="AS679" s="155">
        <f>Table2[[#This Row],[final_obs_date]]-Table2[[#This Row],[init_date]]</f>
        <v>19</v>
      </c>
      <c r="AT679" s="155">
        <f>(Table2[[#This Row],[final_obs_date2]]-Table2[[#This Row],[estHD]])+19</f>
        <v>19</v>
      </c>
      <c r="AU679" s="38">
        <v>4</v>
      </c>
      <c r="AV679" s="33">
        <v>4</v>
      </c>
      <c r="AW679" s="33">
        <f>Table2[[#This Row],[final_obs_date2]]-Table2[[#This Row],[pen_obs_date]]</f>
        <v>4</v>
      </c>
      <c r="AX679" s="67">
        <v>69</v>
      </c>
      <c r="AY679" s="157">
        <f>Table2[[#This Row],[final_obs_date]]</f>
        <v>69</v>
      </c>
      <c r="AZ679" s="6">
        <v>65</v>
      </c>
      <c r="BA679" s="92" t="s">
        <v>47</v>
      </c>
      <c r="BB679" s="6" t="b">
        <f>Table2[[#This Row],[final_obs_date]]&lt;(Table2[[#This Row],[estHD]]-2)</f>
        <v>0</v>
      </c>
      <c r="BC679" s="32">
        <f>IF(Table2[[#This Row],[field_fate]]="H",1,0)</f>
        <v>1</v>
      </c>
      <c r="BD679" s="16">
        <f>IF(Table2[[#This Row],[cam_fate2]]="H",1,0)</f>
        <v>1</v>
      </c>
      <c r="BE679" s="6" t="b">
        <f>NOT(Table2[[#This Row],[HF_C]]=Table2[[#This Row],[HF]])</f>
        <v>0</v>
      </c>
      <c r="BF679" s="38" t="b">
        <f>NOT(Table2[[#This Row],[cam_fate2]]=Table2[[#This Row],[field_fate3]])</f>
        <v>0</v>
      </c>
      <c r="BG679" s="38" t="b">
        <f>OR(Table2[[#This Row],[field_fate3]]="U",Table2[[#This Row],[field_fate3]]="U-H")</f>
        <v>0</v>
      </c>
      <c r="BH679" s="8">
        <v>61</v>
      </c>
      <c r="BI679" s="8">
        <v>69</v>
      </c>
      <c r="BJ679" s="14">
        <f>IF(ISTEXT(Table2[[#This Row],[j.cam]]),Table2[[#This Row],[j]],Table2[[#This Row],[j.cam]])</f>
        <v>69</v>
      </c>
      <c r="BK679" s="8">
        <v>69</v>
      </c>
      <c r="BL679" s="14">
        <f>IF(ISTEXT(Table2[[#This Row],[k.cam]]), Table2[[#This Row],[k]], Table2[[#This Row],[k.cam]])</f>
        <v>69</v>
      </c>
      <c r="BM679" s="4" t="s">
        <v>24</v>
      </c>
      <c r="BN679" s="8" t="s">
        <v>24</v>
      </c>
      <c r="BO679" s="4">
        <v>3</v>
      </c>
      <c r="BP679" s="4">
        <f>Table2[[#This Row],[final_obs_date]]-Table2[[#This Row],[i]]</f>
        <v>8</v>
      </c>
      <c r="BQ679" s="4" t="b">
        <f>Table2[[#This Row],[final_obs_date2]]&gt;Table2[[#This Row],[estHD]]+3</f>
        <v>0</v>
      </c>
      <c r="BR679" s="3" t="s">
        <v>33</v>
      </c>
      <c r="BS679" s="3" t="s">
        <v>139</v>
      </c>
      <c r="BT679" s="125" t="s">
        <v>1340</v>
      </c>
      <c r="BU679" s="4" t="s">
        <v>392</v>
      </c>
      <c r="BV679" s="79" t="s">
        <v>1454</v>
      </c>
      <c r="BW679" s="69"/>
      <c r="BX679" s="36"/>
      <c r="BY679" s="36" t="s">
        <v>885</v>
      </c>
    </row>
    <row r="680" spans="1:77" hidden="1" x14ac:dyDescent="0.35">
      <c r="A680" s="64">
        <v>30944</v>
      </c>
      <c r="B680" s="2" t="s">
        <v>35</v>
      </c>
      <c r="C680" s="46">
        <v>2021</v>
      </c>
      <c r="D680" s="3">
        <v>29.760390000000001</v>
      </c>
      <c r="E680" s="3">
        <v>-93.129779999999997</v>
      </c>
      <c r="F680" s="3">
        <v>40</v>
      </c>
      <c r="G680" s="3">
        <v>40</v>
      </c>
      <c r="H680" s="3" t="s">
        <v>26</v>
      </c>
      <c r="I680" s="43"/>
      <c r="J680" s="55">
        <v>69</v>
      </c>
      <c r="K680" s="4">
        <v>69</v>
      </c>
      <c r="L680" s="22">
        <f>IF(ISNUMBER(Table2[[#This Row],[estHD]]),ABS(Table2[[#This Row],[HD]]-Table2[[#This Row],[estHD]]),"NA")</f>
        <v>0</v>
      </c>
      <c r="M680" s="4" t="b">
        <f>Table2[[#This Row],[HD]]=Table2[[#This Row],[estHD]]</f>
        <v>1</v>
      </c>
      <c r="N680" s="4" t="str">
        <f>IF(ISNUMBER([1]!Table2[[#This Row],[hatch_date]]), [1]!Table2[[#This Row],[hatch_date]]-16, "NA")</f>
        <v>NA</v>
      </c>
      <c r="O680" s="31">
        <v>53</v>
      </c>
      <c r="P680" s="23">
        <f>IF(ISNUMBER(Table2[[#This Row],[nest_age1]]),ABS(Table2[[#This Row],[nest_age1]]-Table2[[#This Row],[nest_age_feb]]),"NA")</f>
        <v>0</v>
      </c>
      <c r="Q680" s="24">
        <f>IF(ISNUMBER(Table2[[#This Row],[final_obs_int2]]),ABS(Table2[[#This Row],[final_obs_int2]]-Table2[[#This Row],[final_obs_int_feb]]), "NA")</f>
        <v>0</v>
      </c>
      <c r="R680" s="24"/>
      <c r="S680" s="57" t="s">
        <v>88</v>
      </c>
      <c r="T680" s="57" t="str">
        <f>Table2[[#This Row],[camera_old]]</f>
        <v>N</v>
      </c>
      <c r="U680" s="24"/>
      <c r="V680" s="16" t="s">
        <v>37</v>
      </c>
      <c r="W680" s="16">
        <v>16</v>
      </c>
      <c r="X680" s="145">
        <v>4</v>
      </c>
      <c r="Y680" s="148" t="s">
        <v>37</v>
      </c>
      <c r="Z680" s="146" t="s">
        <v>37</v>
      </c>
      <c r="AA680" s="4" t="str">
        <f>Table2[[#This Row],[field_fate]]</f>
        <v>H</v>
      </c>
      <c r="AB680" s="4" t="str">
        <f>Table2[[#This Row],[field_fate2]]</f>
        <v>H</v>
      </c>
      <c r="AC680" s="4" t="str">
        <f>Table2[[#This Row],[field_fate3]]</f>
        <v>H</v>
      </c>
      <c r="AD680" s="4" t="str">
        <f>Table2[[#This Row],[field_fate4]]</f>
        <v>H</v>
      </c>
      <c r="AE680" s="4" t="str">
        <f>Table2[[#This Row],[field_fate5]]</f>
        <v>H</v>
      </c>
      <c r="AF680" s="4" t="str">
        <f>Table2[[#This Row],[field_fate5]]</f>
        <v>H</v>
      </c>
      <c r="AG680" s="4" t="str">
        <f>Table2[[#This Row],[field_fate5]]</f>
        <v>H</v>
      </c>
      <c r="AH680" s="4" t="str">
        <f>Table2[[#This Row],[field_fate2]]</f>
        <v>H</v>
      </c>
      <c r="AI680" s="4" t="str">
        <f>Table2[[#This Row],[field_fate8]]</f>
        <v>H</v>
      </c>
      <c r="AJ680" s="4" t="str">
        <f>Table2[[#This Row],[field_fate10]]</f>
        <v>H</v>
      </c>
      <c r="AK680" s="4" t="b">
        <f>Table2[[#This Row],[field_fate_feb]]=Table2[[#This Row],[field_fate10]]</f>
        <v>1</v>
      </c>
      <c r="AL680" s="43" t="s">
        <v>24</v>
      </c>
      <c r="AM680" s="43" t="b">
        <f>Table2[[#This Row],[cam_fate2]]="NA"</f>
        <v>1</v>
      </c>
      <c r="AN680" s="19" t="str">
        <f>Table2[[#This Row],[cam_fate1]]</f>
        <v>NA</v>
      </c>
      <c r="AO680" s="2" t="s">
        <v>24</v>
      </c>
      <c r="AP680" s="5" t="str">
        <f>Table2[[#This Row],[final_fate1]]</f>
        <v>NA</v>
      </c>
      <c r="AQ680" s="6">
        <v>16</v>
      </c>
      <c r="AR680" s="7">
        <v>16</v>
      </c>
      <c r="AS680" s="7">
        <f>Table2[[#This Row],[final_obs_date]]-Table2[[#This Row],[init_date]]</f>
        <v>16</v>
      </c>
      <c r="AT680" s="7">
        <f>(Table2[[#This Row],[final_obs_date2]]-Table2[[#This Row],[estHD]])+16</f>
        <v>16</v>
      </c>
      <c r="AU680" s="38">
        <v>4</v>
      </c>
      <c r="AV680" s="33">
        <v>4</v>
      </c>
      <c r="AW680" s="33">
        <f>Table2[[#This Row],[final_obs_date2]]-Table2[[#This Row],[pen_obs_date]]</f>
        <v>69</v>
      </c>
      <c r="AX680" s="67">
        <v>69</v>
      </c>
      <c r="AY680" s="6">
        <f>Table2[[#This Row],[final_obs_date]]</f>
        <v>69</v>
      </c>
      <c r="AZ680" s="6"/>
      <c r="BA680" s="91" t="s">
        <v>60</v>
      </c>
      <c r="BB680" s="6" t="b">
        <f>Table2[[#This Row],[final_obs_date]]&lt;(Table2[[#This Row],[estHD]]-2)</f>
        <v>0</v>
      </c>
      <c r="BC680" s="24">
        <f>IF(Table2[[#This Row],[field_fate]]="H",1,0)</f>
        <v>1</v>
      </c>
      <c r="BD680" s="16">
        <f>IF(Table2[[#This Row],[cam_fate2]]="H",1,0)</f>
        <v>0</v>
      </c>
      <c r="BE680" s="6" t="b">
        <f>NOT(Table2[[#This Row],[HF_C]]=Table2[[#This Row],[HF]])</f>
        <v>1</v>
      </c>
      <c r="BF680" s="6" t="b">
        <f>NOT(Table2[[#This Row],[cam_fate2]]=Table2[[#This Row],[field_fate3]])</f>
        <v>1</v>
      </c>
      <c r="BG680" s="6" t="b">
        <f>OR(Table2[[#This Row],[field_fate3]]="U",Table2[[#This Row],[field_fate3]]="U-H")</f>
        <v>0</v>
      </c>
      <c r="BH680" s="8">
        <v>65</v>
      </c>
      <c r="BI680" s="8">
        <v>69</v>
      </c>
      <c r="BJ680" s="14">
        <f>IF(ISTEXT(Table2[[#This Row],[j.cam]]),Table2[[#This Row],[j]],Table2[[#This Row],[j.cam]])</f>
        <v>69</v>
      </c>
      <c r="BK680" s="9">
        <v>69</v>
      </c>
      <c r="BL680" s="15">
        <f>IF(ISTEXT(Table2[[#This Row],[k.cam]]), Table2[[#This Row],[k]], Table2[[#This Row],[k.cam]])</f>
        <v>69</v>
      </c>
      <c r="BM680" s="4" t="s">
        <v>24</v>
      </c>
      <c r="BN680" s="8" t="s">
        <v>24</v>
      </c>
      <c r="BO680" s="4">
        <v>2</v>
      </c>
      <c r="BP680" s="4">
        <f>Table2[[#This Row],[final_obs_date]]-Table2[[#This Row],[i]]</f>
        <v>4</v>
      </c>
      <c r="BQ680" s="4" t="b">
        <f>Table2[[#This Row],[final_obs_date2]]&gt;Table2[[#This Row],[estHD]]+3</f>
        <v>0</v>
      </c>
      <c r="BR680" s="4" t="s">
        <v>33</v>
      </c>
      <c r="BS680" s="4" t="s">
        <v>435</v>
      </c>
      <c r="BT680" s="79" t="s">
        <v>1345</v>
      </c>
      <c r="BU680" s="26" t="s">
        <v>436</v>
      </c>
      <c r="BV680" s="79" t="s">
        <v>1429</v>
      </c>
      <c r="BW680" s="49"/>
      <c r="BX680" s="47"/>
      <c r="BY680" s="36" t="s">
        <v>24</v>
      </c>
    </row>
    <row r="681" spans="1:77" x14ac:dyDescent="0.35">
      <c r="A681" s="64">
        <v>30945</v>
      </c>
      <c r="B681" s="2" t="s">
        <v>35</v>
      </c>
      <c r="C681" s="46">
        <v>2021</v>
      </c>
      <c r="D681" s="3">
        <v>29.763729999999999</v>
      </c>
      <c r="E681" s="3">
        <v>-93.143829999999994</v>
      </c>
      <c r="F681" s="3">
        <v>30</v>
      </c>
      <c r="G681" s="3">
        <v>30</v>
      </c>
      <c r="H681" s="3" t="s">
        <v>24</v>
      </c>
      <c r="I681" s="43"/>
      <c r="J681" s="116" t="s">
        <v>24</v>
      </c>
      <c r="K681" s="4" t="s">
        <v>24</v>
      </c>
      <c r="L681" s="22" t="str">
        <f>IF(ISNUMBER(Table2[[#This Row],[estHD]]),ABS(Table2[[#This Row],[HD]]-Table2[[#This Row],[estHD]]),"NA")</f>
        <v>NA</v>
      </c>
      <c r="M681" s="4" t="b">
        <f>Table2[[#This Row],[HD]]=Table2[[#This Row],[estHD]]</f>
        <v>1</v>
      </c>
      <c r="N681" s="4" t="str">
        <f>IF(ISNUMBER([1]!Table2[[#This Row],[hatch_date]]), [1]!Table2[[#This Row],[hatch_date]]-16, "NA")</f>
        <v>NA</v>
      </c>
      <c r="O681" s="31" t="s">
        <v>24</v>
      </c>
      <c r="P681" s="23" t="str">
        <f>IF(ISNUMBER(Table2[[#This Row],[nest_age1]]),ABS(Table2[[#This Row],[nest_age1]]-Table2[[#This Row],[nest_age_feb]]),"NA")</f>
        <v>NA</v>
      </c>
      <c r="Q681" s="24">
        <f>IF(ISNUMBER(Table2[[#This Row],[final_obs_int2]]),ABS(Table2[[#This Row],[final_obs_int2]]-Table2[[#This Row],[final_obs_int_feb]]), "NA")</f>
        <v>0</v>
      </c>
      <c r="R681" s="24"/>
      <c r="S681" s="20" t="s">
        <v>75</v>
      </c>
      <c r="T681" s="20" t="str">
        <f>Table2[[#This Row],[camera_old]]</f>
        <v>Y</v>
      </c>
      <c r="U681" s="22" t="s">
        <v>88</v>
      </c>
      <c r="V681" s="16" t="s">
        <v>24</v>
      </c>
      <c r="W681" s="16" t="s">
        <v>24</v>
      </c>
      <c r="X681" s="145">
        <v>4</v>
      </c>
      <c r="Y681" s="153" t="s">
        <v>90</v>
      </c>
      <c r="Z681" s="146" t="s">
        <v>31</v>
      </c>
      <c r="AA681" s="4" t="str">
        <f>Table2[[#This Row],[field_fate]]</f>
        <v>D</v>
      </c>
      <c r="AB681" s="4" t="str">
        <f>Table2[[#This Row],[field_fate2]]</f>
        <v>D</v>
      </c>
      <c r="AC681" s="98" t="str">
        <f>Table2[[#This Row],[field_fate3]]</f>
        <v>D</v>
      </c>
      <c r="AD681" s="141" t="s">
        <v>90</v>
      </c>
      <c r="AE681" s="114" t="s">
        <v>31</v>
      </c>
      <c r="AF681" s="94" t="s">
        <v>31</v>
      </c>
      <c r="AG681" s="94" t="s">
        <v>31</v>
      </c>
      <c r="AH681" s="94" t="str">
        <f>Table2[[#This Row],[field_fate2]]</f>
        <v>D</v>
      </c>
      <c r="AI681" s="94" t="str">
        <f>Table2[[#This Row],[field_fate8]]</f>
        <v>D</v>
      </c>
      <c r="AJ681" s="94" t="str">
        <f>Table2[[#This Row],[field_fate10]]</f>
        <v>D</v>
      </c>
      <c r="AK681" s="94" t="b">
        <f>Table2[[#This Row],[field_fate_feb]]=Table2[[#This Row],[field_fate10]]</f>
        <v>0</v>
      </c>
      <c r="AL681" s="43" t="s">
        <v>31</v>
      </c>
      <c r="AM681" s="160" t="b">
        <f>Table2[[#This Row],[cam_fate2]]="NA"</f>
        <v>0</v>
      </c>
      <c r="AN681" s="19" t="str">
        <f>Table2[[#This Row],[cam_fate1]]</f>
        <v>D</v>
      </c>
      <c r="AO681" s="2" t="s">
        <v>31</v>
      </c>
      <c r="AP681" s="5" t="str">
        <f>Table2[[#This Row],[final_fate1]]</f>
        <v>D</v>
      </c>
      <c r="AQ681" s="6" t="s">
        <v>24</v>
      </c>
      <c r="AR681" s="72" t="s">
        <v>24</v>
      </c>
      <c r="AS681" s="155" t="e">
        <f>Table2[[#This Row],[final_obs_date]]-Table2[[#This Row],[init_date]]</f>
        <v>#VALUE!</v>
      </c>
      <c r="AT681" s="155" t="e">
        <f>(Table2[[#This Row],[final_obs_date2]]-Table2[[#This Row],[estHD]])+16</f>
        <v>#VALUE!</v>
      </c>
      <c r="AU681" s="38">
        <v>4</v>
      </c>
      <c r="AV681" s="33">
        <v>4</v>
      </c>
      <c r="AW681" s="33">
        <f>Table2[[#This Row],[final_obs_date2]]-Table2[[#This Row],[pen_obs_date]]</f>
        <v>4</v>
      </c>
      <c r="AX681" s="67">
        <v>69</v>
      </c>
      <c r="AY681" s="157">
        <f>Table2[[#This Row],[final_obs_date]]</f>
        <v>69</v>
      </c>
      <c r="AZ681" s="6">
        <v>65</v>
      </c>
      <c r="BA681" s="92" t="s">
        <v>60</v>
      </c>
      <c r="BB681" s="6" t="e">
        <f>Table2[[#This Row],[final_obs_date]]&lt;(Table2[[#This Row],[estHD]]-2)</f>
        <v>#VALUE!</v>
      </c>
      <c r="BC681" s="32">
        <f>IF(Table2[[#This Row],[field_fate]]="H",1,0)</f>
        <v>0</v>
      </c>
      <c r="BD681" s="16">
        <f>IF(Table2[[#This Row],[cam_fate2]]="H",1,0)</f>
        <v>0</v>
      </c>
      <c r="BE681" s="6" t="b">
        <f>NOT(Table2[[#This Row],[HF_C]]=Table2[[#This Row],[HF]])</f>
        <v>0</v>
      </c>
      <c r="BF681" s="38" t="b">
        <f>NOT(Table2[[#This Row],[cam_fate2]]=Table2[[#This Row],[field_fate3]])</f>
        <v>0</v>
      </c>
      <c r="BG681" s="38" t="b">
        <f>OR(Table2[[#This Row],[field_fate3]]="U",Table2[[#This Row],[field_fate3]]="U-H")</f>
        <v>0</v>
      </c>
      <c r="BH681" s="8">
        <v>65</v>
      </c>
      <c r="BI681" s="8">
        <v>65</v>
      </c>
      <c r="BJ681" s="14">
        <f>IF(ISTEXT(Table2[[#This Row],[j.cam]]),Table2[[#This Row],[j]],Table2[[#This Row],[j.cam]])</f>
        <v>65</v>
      </c>
      <c r="BK681" s="8">
        <v>69</v>
      </c>
      <c r="BL681" s="14">
        <f>IF(ISTEXT(Table2[[#This Row],[k.cam]]), Table2[[#This Row],[k]], Table2[[#This Row],[k.cam]])</f>
        <v>69</v>
      </c>
      <c r="BM681" s="4" t="s">
        <v>24</v>
      </c>
      <c r="BN681" s="8" t="s">
        <v>24</v>
      </c>
      <c r="BO681" s="4">
        <v>2</v>
      </c>
      <c r="BP681" s="4">
        <f>Table2[[#This Row],[final_obs_date]]-Table2[[#This Row],[i]]</f>
        <v>4</v>
      </c>
      <c r="BQ681" s="4" t="e">
        <f>Table2[[#This Row],[final_obs_date2]]&gt;Table2[[#This Row],[estHD]]+3</f>
        <v>#VALUE!</v>
      </c>
      <c r="BR681" s="3" t="s">
        <v>33</v>
      </c>
      <c r="BS681" s="3" t="s">
        <v>45</v>
      </c>
      <c r="BT681" s="125" t="s">
        <v>1345</v>
      </c>
      <c r="BU681" s="4" t="s">
        <v>87</v>
      </c>
      <c r="BV681" s="79" t="s">
        <v>1429</v>
      </c>
      <c r="BW681" s="69" t="s">
        <v>1733</v>
      </c>
      <c r="BX681" s="36"/>
      <c r="BY681" s="36" t="s">
        <v>886</v>
      </c>
    </row>
    <row r="682" spans="1:77" hidden="1" x14ac:dyDescent="0.35">
      <c r="A682" s="64">
        <v>30946</v>
      </c>
      <c r="B682" s="2" t="s">
        <v>35</v>
      </c>
      <c r="C682" s="46">
        <v>2021</v>
      </c>
      <c r="D682" s="3">
        <v>29.765720000000002</v>
      </c>
      <c r="E682" s="3">
        <v>-93.153109999999998</v>
      </c>
      <c r="F682" s="3">
        <v>20</v>
      </c>
      <c r="G682" s="3">
        <v>20</v>
      </c>
      <c r="H682" s="3" t="s">
        <v>24</v>
      </c>
      <c r="I682" s="43"/>
      <c r="J682" s="116">
        <v>81</v>
      </c>
      <c r="K682" s="4">
        <v>79</v>
      </c>
      <c r="L682" s="22">
        <f>IF(ISNUMBER(Table2[[#This Row],[estHD]]),ABS(Table2[[#This Row],[HD]]-Table2[[#This Row],[estHD]]),"NA")</f>
        <v>2</v>
      </c>
      <c r="M682" s="4" t="b">
        <f>Table2[[#This Row],[HD]]=Table2[[#This Row],[estHD]]</f>
        <v>0</v>
      </c>
      <c r="N682" s="4">
        <f>IF(ISNUMBER(Table2[[#This Row],[HD]]),Table2[[#This Row],[HD]]-19,"NA")</f>
        <v>60</v>
      </c>
      <c r="O682" s="31">
        <v>60</v>
      </c>
      <c r="P682" s="23">
        <f>IF(ISNUMBER(Table2[[#This Row],[nest_age1]]),ABS(Table2[[#This Row],[nest_age1]]-Table2[[#This Row],[nest_age_feb]]),"NA")</f>
        <v>6</v>
      </c>
      <c r="Q682" s="24">
        <f>IF(ISNUMBER(Table2[[#This Row],[final_obs_int2]]),ABS(Table2[[#This Row],[final_obs_int2]]-Table2[[#This Row],[final_obs_int_feb]]), "NA")</f>
        <v>1</v>
      </c>
      <c r="R682" s="24">
        <f>(Table2[[#This Row],[k_adj]]-Table2[[#This Row],[estHD]])/Table2[[#This Row],[estHD]]</f>
        <v>-2.4691358024691357E-2</v>
      </c>
      <c r="S682" s="20" t="s">
        <v>75</v>
      </c>
      <c r="T682" s="20" t="str">
        <f>Table2[[#This Row],[camera_old]]</f>
        <v>Y</v>
      </c>
      <c r="U682" s="22" t="s">
        <v>88</v>
      </c>
      <c r="V682" s="16" t="s">
        <v>48</v>
      </c>
      <c r="W682" s="16">
        <v>15</v>
      </c>
      <c r="X682" s="145">
        <v>5</v>
      </c>
      <c r="Y682" s="149" t="s">
        <v>90</v>
      </c>
      <c r="Z682" s="146" t="s">
        <v>90</v>
      </c>
      <c r="AA682" s="4" t="str">
        <f>Table2[[#This Row],[field_fate]]</f>
        <v>U</v>
      </c>
      <c r="AB682" s="65" t="str">
        <f>Table2[[#This Row],[field_fate2]]</f>
        <v>U</v>
      </c>
      <c r="AC682" s="106" t="str">
        <f>Table2[[#This Row],[field_fate3]]</f>
        <v>U</v>
      </c>
      <c r="AD682" s="140" t="str">
        <f>Table2[[#This Row],[field_fate4]]</f>
        <v>U</v>
      </c>
      <c r="AE682" s="134" t="str">
        <f>Table2[[#This Row],[field_fate5]]</f>
        <v>U</v>
      </c>
      <c r="AF682" s="93" t="str">
        <f>Table2[[#This Row],[field_fate5]]</f>
        <v>U</v>
      </c>
      <c r="AG682" s="93" t="str">
        <f>Table2[[#This Row],[field_fate5]]</f>
        <v>U</v>
      </c>
      <c r="AH682" s="93" t="str">
        <f>Table2[[#This Row],[field_fate2]]</f>
        <v>U</v>
      </c>
      <c r="AI682" s="93" t="str">
        <f>Table2[[#This Row],[field_fate8]]</f>
        <v>U</v>
      </c>
      <c r="AJ682" s="93" t="str">
        <f>Table2[[#This Row],[field_fate10]]</f>
        <v>U</v>
      </c>
      <c r="AK682" s="93" t="b">
        <f>Table2[[#This Row],[field_fate_feb]]=Table2[[#This Row],[field_fate10]]</f>
        <v>1</v>
      </c>
      <c r="AL682" s="43" t="s">
        <v>37</v>
      </c>
      <c r="AM682" s="160" t="b">
        <f>Table2[[#This Row],[cam_fate2]]="NA"</f>
        <v>0</v>
      </c>
      <c r="AN682" s="19" t="str">
        <f>Table2[[#This Row],[cam_fate1]]</f>
        <v>H</v>
      </c>
      <c r="AO682" s="2" t="s">
        <v>37</v>
      </c>
      <c r="AP682" s="5" t="str">
        <f>Table2[[#This Row],[final_fate1]]</f>
        <v>H</v>
      </c>
      <c r="AQ682" s="6">
        <v>21</v>
      </c>
      <c r="AR682" s="72">
        <v>19</v>
      </c>
      <c r="AS682" s="155">
        <f>Table2[[#This Row],[final_obs_date]]-Table2[[#This Row],[init_date]]</f>
        <v>21</v>
      </c>
      <c r="AT682" s="155">
        <f>(Table2[[#This Row],[final_obs_date2]]-Table2[[#This Row],[estHD]])+19</f>
        <v>19</v>
      </c>
      <c r="AU682" s="38">
        <v>4</v>
      </c>
      <c r="AV682" s="33">
        <v>4</v>
      </c>
      <c r="AW682" s="33">
        <f>Table2[[#This Row],[final_obs_date2]]-Table2[[#This Row],[pen_obs_date]]</f>
        <v>4</v>
      </c>
      <c r="AX682" s="67">
        <v>81</v>
      </c>
      <c r="AY682" s="157">
        <f>Table2[[#This Row],[final_obs_date]]</f>
        <v>81</v>
      </c>
      <c r="AZ682" s="6">
        <v>77</v>
      </c>
      <c r="BA682" s="92" t="s">
        <v>47</v>
      </c>
      <c r="BB682" s="6" t="b">
        <f>Table2[[#This Row],[final_obs_date]]&lt;(Table2[[#This Row],[estHD]]-2)</f>
        <v>0</v>
      </c>
      <c r="BC682" s="32">
        <v>7</v>
      </c>
      <c r="BD682" s="16">
        <f>IF(Table2[[#This Row],[cam_fate2]]="H",1,0)</f>
        <v>1</v>
      </c>
      <c r="BE682" s="6" t="b">
        <f>NOT(Table2[[#This Row],[HF_C]]=Table2[[#This Row],[HF]])</f>
        <v>1</v>
      </c>
      <c r="BF682" s="38" t="b">
        <f>NOT(Table2[[#This Row],[cam_fate2]]=Table2[[#This Row],[field_fate3]])</f>
        <v>1</v>
      </c>
      <c r="BG682" s="38" t="b">
        <f>OR(Table2[[#This Row],[field_fate3]]="U",Table2[[#This Row],[field_fate3]]="U-H")</f>
        <v>1</v>
      </c>
      <c r="BH682" s="8">
        <v>65</v>
      </c>
      <c r="BI682" s="8">
        <v>77</v>
      </c>
      <c r="BJ682" s="14">
        <f>IF(ISTEXT(Table2[[#This Row],[j.cam]]),Table2[[#This Row],[j]],Table2[[#This Row],[j.cam]])</f>
        <v>79</v>
      </c>
      <c r="BK682" s="8">
        <v>81</v>
      </c>
      <c r="BL682" s="14">
        <f>IF(ISTEXT(Table2[[#This Row],[k.cam]]), Table2[[#This Row],[k]], Table2[[#This Row],[k.cam]])</f>
        <v>79</v>
      </c>
      <c r="BM682" s="4">
        <v>79</v>
      </c>
      <c r="BN682" s="8">
        <v>79</v>
      </c>
      <c r="BO682" s="4">
        <v>5</v>
      </c>
      <c r="BP682" s="4">
        <f>Table2[[#This Row],[final_obs_date]]-Table2[[#This Row],[i]]</f>
        <v>16</v>
      </c>
      <c r="BQ682" s="4" t="b">
        <f>Table2[[#This Row],[final_obs_date2]]&gt;Table2[[#This Row],[estHD]]+3</f>
        <v>0</v>
      </c>
      <c r="BR682" s="3" t="s">
        <v>33</v>
      </c>
      <c r="BS682" s="3" t="s">
        <v>45</v>
      </c>
      <c r="BT682" s="125" t="s">
        <v>1410</v>
      </c>
      <c r="BU682" s="4" t="s">
        <v>437</v>
      </c>
      <c r="BV682" s="79" t="s">
        <v>1694</v>
      </c>
      <c r="BW682" s="131" t="s">
        <v>1724</v>
      </c>
      <c r="BX682" s="36" t="s">
        <v>948</v>
      </c>
      <c r="BY682" s="47" t="s">
        <v>887</v>
      </c>
    </row>
    <row r="683" spans="1:77" hidden="1" x14ac:dyDescent="0.35">
      <c r="A683" s="64">
        <v>30948</v>
      </c>
      <c r="B683" s="2" t="s">
        <v>35</v>
      </c>
      <c r="C683" s="46">
        <v>2021</v>
      </c>
      <c r="D683" s="3">
        <v>29.761479999999999</v>
      </c>
      <c r="E683" s="3">
        <v>-93.13288</v>
      </c>
      <c r="F683" s="3">
        <v>5</v>
      </c>
      <c r="G683" s="3">
        <v>5</v>
      </c>
      <c r="H683" s="3" t="s">
        <v>24</v>
      </c>
      <c r="I683" s="43"/>
      <c r="J683" s="55" t="s">
        <v>24</v>
      </c>
      <c r="K683" s="4" t="s">
        <v>24</v>
      </c>
      <c r="L683" s="22" t="str">
        <f>IF(ISNUMBER(Table2[[#This Row],[estHD]]),ABS(Table2[[#This Row],[HD]]-Table2[[#This Row],[estHD]]),"NA")</f>
        <v>NA</v>
      </c>
      <c r="M683" s="4" t="b">
        <f>Table2[[#This Row],[HD]]=Table2[[#This Row],[estHD]]</f>
        <v>1</v>
      </c>
      <c r="N683" s="4" t="str">
        <f>IF(ISNUMBER([1]!Table2[[#This Row],[hatch_date]]), [1]!Table2[[#This Row],[hatch_date]]-16, "NA")</f>
        <v>NA</v>
      </c>
      <c r="O683" s="31" t="s">
        <v>24</v>
      </c>
      <c r="P683" s="23" t="str">
        <f>IF(ISNUMBER(Table2[[#This Row],[nest_age1]]),ABS(Table2[[#This Row],[nest_age1]]-Table2[[#This Row],[nest_age_feb]]),"NA")</f>
        <v>NA</v>
      </c>
      <c r="Q683" s="24">
        <f>IF(ISNUMBER(Table2[[#This Row],[final_obs_int2]]),ABS(Table2[[#This Row],[final_obs_int2]]-Table2[[#This Row],[final_obs_int_feb]]), "NA")</f>
        <v>0</v>
      </c>
      <c r="R683" s="24"/>
      <c r="S683" s="57" t="s">
        <v>88</v>
      </c>
      <c r="T683" s="57" t="str">
        <f>Table2[[#This Row],[camera_old]]</f>
        <v>N</v>
      </c>
      <c r="U683" s="24"/>
      <c r="V683" s="16" t="s">
        <v>24</v>
      </c>
      <c r="W683" s="16" t="s">
        <v>24</v>
      </c>
      <c r="X683" s="145">
        <v>4</v>
      </c>
      <c r="Y683" s="147" t="s">
        <v>48</v>
      </c>
      <c r="Z683" s="146" t="s">
        <v>48</v>
      </c>
      <c r="AA683" s="4" t="str">
        <f>Table2[[#This Row],[field_fate]]</f>
        <v>F</v>
      </c>
      <c r="AB683" s="4" t="str">
        <f>Table2[[#This Row],[field_fate2]]</f>
        <v>F</v>
      </c>
      <c r="AC683" s="4" t="str">
        <f>Table2[[#This Row],[field_fate3]]</f>
        <v>F</v>
      </c>
      <c r="AD683" s="4" t="str">
        <f>Table2[[#This Row],[field_fate4]]</f>
        <v>F</v>
      </c>
      <c r="AE683" s="4" t="str">
        <f>Table2[[#This Row],[field_fate5]]</f>
        <v>F</v>
      </c>
      <c r="AF683" s="4" t="str">
        <f>Table2[[#This Row],[field_fate5]]</f>
        <v>F</v>
      </c>
      <c r="AG683" s="4" t="str">
        <f>Table2[[#This Row],[field_fate5]]</f>
        <v>F</v>
      </c>
      <c r="AH683" s="4" t="str">
        <f>Table2[[#This Row],[field_fate2]]</f>
        <v>F</v>
      </c>
      <c r="AI683" s="4" t="str">
        <f>Table2[[#This Row],[field_fate8]]</f>
        <v>F</v>
      </c>
      <c r="AJ683" s="4" t="str">
        <f>Table2[[#This Row],[field_fate10]]</f>
        <v>F</v>
      </c>
      <c r="AK683" s="4" t="b">
        <f>Table2[[#This Row],[field_fate_feb]]=Table2[[#This Row],[field_fate10]]</f>
        <v>1</v>
      </c>
      <c r="AL683" s="43" t="s">
        <v>24</v>
      </c>
      <c r="AM683" s="43" t="b">
        <f>Table2[[#This Row],[cam_fate2]]="NA"</f>
        <v>1</v>
      </c>
      <c r="AN683" s="19" t="str">
        <f>Table2[[#This Row],[cam_fate1]]</f>
        <v>NA</v>
      </c>
      <c r="AO683" s="2" t="s">
        <v>48</v>
      </c>
      <c r="AP683" s="5" t="str">
        <f>Table2[[#This Row],[final_fate1]]</f>
        <v>F</v>
      </c>
      <c r="AQ683" s="6" t="s">
        <v>24</v>
      </c>
      <c r="AR683" s="7" t="s">
        <v>24</v>
      </c>
      <c r="AS683" s="7" t="e">
        <f>Table2[[#This Row],[final_obs_date]]-Table2[[#This Row],[init_date]]</f>
        <v>#VALUE!</v>
      </c>
      <c r="AT683" s="7" t="e">
        <f>(Table2[[#This Row],[final_obs_date2]]-Table2[[#This Row],[estHD]])+16</f>
        <v>#VALUE!</v>
      </c>
      <c r="AU683" s="38">
        <v>4</v>
      </c>
      <c r="AV683" s="33">
        <v>4</v>
      </c>
      <c r="AW683" s="33">
        <f>Table2[[#This Row],[final_obs_date2]]-Table2[[#This Row],[pen_obs_date]]</f>
        <v>69</v>
      </c>
      <c r="AX683" s="67">
        <v>69</v>
      </c>
      <c r="AY683" s="6">
        <f>Table2[[#This Row],[final_obs_date]]</f>
        <v>69</v>
      </c>
      <c r="AZ683" s="6"/>
      <c r="BA683" s="91" t="s">
        <v>60</v>
      </c>
      <c r="BB683" s="6" t="e">
        <f>Table2[[#This Row],[final_obs_date]]&lt;(Table2[[#This Row],[estHD]]-2)</f>
        <v>#VALUE!</v>
      </c>
      <c r="BC683" s="24">
        <f>IF(Table2[[#This Row],[field_fate]]="H",1,0)</f>
        <v>0</v>
      </c>
      <c r="BD683" s="16">
        <f>IF(Table2[[#This Row],[cam_fate2]]="H",1,0)</f>
        <v>0</v>
      </c>
      <c r="BE683" s="6" t="b">
        <f>NOT(Table2[[#This Row],[HF_C]]=Table2[[#This Row],[HF]])</f>
        <v>0</v>
      </c>
      <c r="BF683" s="6" t="b">
        <f>NOT(Table2[[#This Row],[cam_fate2]]=Table2[[#This Row],[field_fate3]])</f>
        <v>1</v>
      </c>
      <c r="BG683" s="6" t="b">
        <f>OR(Table2[[#This Row],[field_fate3]]="U",Table2[[#This Row],[field_fate3]]="U-H")</f>
        <v>0</v>
      </c>
      <c r="BH683" s="8">
        <v>65</v>
      </c>
      <c r="BI683" s="8">
        <v>65</v>
      </c>
      <c r="BJ683" s="14">
        <f>IF(ISTEXT(Table2[[#This Row],[j.cam]]),Table2[[#This Row],[j]],Table2[[#This Row],[j.cam]])</f>
        <v>65</v>
      </c>
      <c r="BK683" s="9">
        <v>69</v>
      </c>
      <c r="BL683" s="15">
        <f>IF(ISTEXT(Table2[[#This Row],[k.cam]]), Table2[[#This Row],[k]], Table2[[#This Row],[k.cam]])</f>
        <v>69</v>
      </c>
      <c r="BM683" s="4" t="s">
        <v>24</v>
      </c>
      <c r="BN683" s="8" t="s">
        <v>24</v>
      </c>
      <c r="BO683" s="4">
        <v>2</v>
      </c>
      <c r="BP683" s="4">
        <f>Table2[[#This Row],[final_obs_date]]-Table2[[#This Row],[i]]</f>
        <v>4</v>
      </c>
      <c r="BQ683" s="4" t="e">
        <f>Table2[[#This Row],[final_obs_date2]]&gt;Table2[[#This Row],[estHD]]+3</f>
        <v>#VALUE!</v>
      </c>
      <c r="BR683" s="4" t="s">
        <v>33</v>
      </c>
      <c r="BS683" s="4" t="s">
        <v>45</v>
      </c>
      <c r="BT683" s="79" t="s">
        <v>1345</v>
      </c>
      <c r="BU683" s="26" t="s">
        <v>87</v>
      </c>
      <c r="BV683" s="79" t="s">
        <v>1429</v>
      </c>
      <c r="BW683" s="49"/>
      <c r="BX683" s="47"/>
      <c r="BY683" s="36" t="s">
        <v>888</v>
      </c>
    </row>
    <row r="684" spans="1:77" hidden="1" x14ac:dyDescent="0.35">
      <c r="A684" s="64">
        <v>30949</v>
      </c>
      <c r="B684" s="2" t="s">
        <v>122</v>
      </c>
      <c r="C684" s="46">
        <v>2021</v>
      </c>
      <c r="D684" s="3">
        <v>29.759080000000001</v>
      </c>
      <c r="E684" s="3">
        <v>-93.119569999999996</v>
      </c>
      <c r="F684" s="3">
        <v>90</v>
      </c>
      <c r="G684" s="3">
        <v>80</v>
      </c>
      <c r="H684" s="3" t="s">
        <v>354</v>
      </c>
      <c r="I684" s="43"/>
      <c r="J684" s="116" t="s">
        <v>24</v>
      </c>
      <c r="K684" s="4">
        <v>69</v>
      </c>
      <c r="L684" s="22" t="str">
        <f>IF(ISNUMBER(Table2[[#This Row],[estHD]]),ABS(Table2[[#This Row],[HD]]-Table2[[#This Row],[estHD]]),"NA")</f>
        <v>NA</v>
      </c>
      <c r="M684" s="4" t="b">
        <f>Table2[[#This Row],[HD]]=Table2[[#This Row],[estHD]]</f>
        <v>0</v>
      </c>
      <c r="N684" s="4" t="str">
        <f>IF(ISNUMBER([1]!Table2[[#This Row],[hatch_date]]), [1]!Table2[[#This Row],[hatch_date]]-16, "NA")</f>
        <v>NA</v>
      </c>
      <c r="O684" s="31">
        <v>53</v>
      </c>
      <c r="P684" s="23">
        <f>IF(ISNUMBER(Table2[[#This Row],[nest_age1]]),ABS(Table2[[#This Row],[nest_age1]]-Table2[[#This Row],[nest_age_feb]]),"NA")</f>
        <v>0</v>
      </c>
      <c r="Q684" s="24">
        <f>IF(ISNUMBER(Table2[[#This Row],[final_obs_int2]]),ABS(Table2[[#This Row],[final_obs_int2]]-Table2[[#This Row],[final_obs_int_feb]]), "NA")</f>
        <v>0</v>
      </c>
      <c r="R684" s="24" t="e">
        <f>(Table2[[#This Row],[k_adj]]-Table2[[#This Row],[estHD]])/Table2[[#This Row],[estHD]]</f>
        <v>#VALUE!</v>
      </c>
      <c r="S684" s="20" t="s">
        <v>75</v>
      </c>
      <c r="T684" s="20" t="str">
        <f>Table2[[#This Row],[camera_old]]</f>
        <v>Y</v>
      </c>
      <c r="U684" s="22" t="s">
        <v>88</v>
      </c>
      <c r="V684" s="16" t="s">
        <v>37</v>
      </c>
      <c r="W684" s="16">
        <v>16</v>
      </c>
      <c r="X684" s="145">
        <v>4</v>
      </c>
      <c r="Y684" s="147" t="s">
        <v>37</v>
      </c>
      <c r="Z684" s="146" t="s">
        <v>37</v>
      </c>
      <c r="AA684" s="4" t="str">
        <f>Table2[[#This Row],[field_fate]]</f>
        <v>H</v>
      </c>
      <c r="AB684" s="4" t="str">
        <f>Table2[[#This Row],[field_fate2]]</f>
        <v>H</v>
      </c>
      <c r="AC684" s="94" t="str">
        <f>Table2[[#This Row],[field_fate3]]</f>
        <v>H</v>
      </c>
      <c r="AD684" s="94" t="str">
        <f>Table2[[#This Row],[field_fate4]]</f>
        <v>H</v>
      </c>
      <c r="AE684" s="94" t="str">
        <f>Table2[[#This Row],[field_fate5]]</f>
        <v>H</v>
      </c>
      <c r="AF684" s="94" t="str">
        <f>Table2[[#This Row],[field_fate5]]</f>
        <v>H</v>
      </c>
      <c r="AG684" s="94" t="str">
        <f>Table2[[#This Row],[field_fate5]]</f>
        <v>H</v>
      </c>
      <c r="AH684" s="94" t="str">
        <f>Table2[[#This Row],[field_fate2]]</f>
        <v>H</v>
      </c>
      <c r="AI684" s="94" t="str">
        <f>Table2[[#This Row],[field_fate8]]</f>
        <v>H</v>
      </c>
      <c r="AJ684" s="94" t="str">
        <f>Table2[[#This Row],[field_fate10]]</f>
        <v>H</v>
      </c>
      <c r="AK684" s="94" t="b">
        <f>Table2[[#This Row],[field_fate_feb]]=Table2[[#This Row],[field_fate10]]</f>
        <v>1</v>
      </c>
      <c r="AL684" s="43" t="s">
        <v>37</v>
      </c>
      <c r="AM684" s="160" t="b">
        <f>Table2[[#This Row],[cam_fate2]]="NA"</f>
        <v>0</v>
      </c>
      <c r="AN684" s="19" t="str">
        <f>Table2[[#This Row],[cam_fate1]]</f>
        <v>H</v>
      </c>
      <c r="AO684" s="2" t="s">
        <v>37</v>
      </c>
      <c r="AP684" s="5" t="str">
        <f>Table2[[#This Row],[final_fate1]]</f>
        <v>H</v>
      </c>
      <c r="AQ684" s="6">
        <v>16</v>
      </c>
      <c r="AR684" s="72">
        <v>16</v>
      </c>
      <c r="AS684" s="155">
        <f>Table2[[#This Row],[final_obs_date]]-Table2[[#This Row],[init_date]]</f>
        <v>16</v>
      </c>
      <c r="AT684" s="155" t="e">
        <f>(Table2[[#This Row],[final_obs_date2]]-Table2[[#This Row],[estHD]])+16</f>
        <v>#VALUE!</v>
      </c>
      <c r="AU684" s="38">
        <v>4</v>
      </c>
      <c r="AV684" s="33">
        <v>4</v>
      </c>
      <c r="AW684" s="33">
        <f>Table2[[#This Row],[final_obs_date2]]-Table2[[#This Row],[pen_obs_date]]</f>
        <v>4</v>
      </c>
      <c r="AX684" s="67">
        <v>69</v>
      </c>
      <c r="AY684" s="157">
        <f>Table2[[#This Row],[final_obs_date]]</f>
        <v>69</v>
      </c>
      <c r="AZ684" s="6">
        <v>65</v>
      </c>
      <c r="BA684" s="92" t="s">
        <v>60</v>
      </c>
      <c r="BB684" s="6" t="e">
        <f>Table2[[#This Row],[final_obs_date]]&lt;(Table2[[#This Row],[estHD]]-2)</f>
        <v>#VALUE!</v>
      </c>
      <c r="BC684" s="32">
        <f>IF(Table2[[#This Row],[field_fate]]="H",1,0)</f>
        <v>1</v>
      </c>
      <c r="BD684" s="16">
        <f>IF(Table2[[#This Row],[cam_fate2]]="H",1,0)</f>
        <v>1</v>
      </c>
      <c r="BE684" s="6" t="b">
        <f>NOT(Table2[[#This Row],[HF_C]]=Table2[[#This Row],[HF]])</f>
        <v>0</v>
      </c>
      <c r="BF684" s="38" t="b">
        <f>NOT(Table2[[#This Row],[cam_fate2]]=Table2[[#This Row],[field_fate3]])</f>
        <v>0</v>
      </c>
      <c r="BG684" s="38" t="b">
        <f>OR(Table2[[#This Row],[field_fate3]]="U",Table2[[#This Row],[field_fate3]]="U-H")</f>
        <v>0</v>
      </c>
      <c r="BH684" s="8">
        <v>65</v>
      </c>
      <c r="BI684" s="8">
        <v>69</v>
      </c>
      <c r="BJ684" s="14">
        <f>IF(ISTEXT(Table2[[#This Row],[j.cam]]),Table2[[#This Row],[j]],Table2[[#This Row],[j.cam]])</f>
        <v>69</v>
      </c>
      <c r="BK684" s="8">
        <v>69</v>
      </c>
      <c r="BL684" s="14">
        <f>IF(ISTEXT(Table2[[#This Row],[k.cam]]), Table2[[#This Row],[k]], Table2[[#This Row],[k.cam]])</f>
        <v>69</v>
      </c>
      <c r="BM684" s="4" t="s">
        <v>24</v>
      </c>
      <c r="BN684" s="8" t="s">
        <v>24</v>
      </c>
      <c r="BO684" s="4">
        <v>2</v>
      </c>
      <c r="BP684" s="4">
        <f>Table2[[#This Row],[final_obs_date]]-Table2[[#This Row],[i]]</f>
        <v>4</v>
      </c>
      <c r="BQ684" s="4" t="e">
        <f>Table2[[#This Row],[final_obs_date2]]&gt;Table2[[#This Row],[estHD]]+3</f>
        <v>#VALUE!</v>
      </c>
      <c r="BR684" s="3" t="s">
        <v>33</v>
      </c>
      <c r="BS684" s="3" t="s">
        <v>438</v>
      </c>
      <c r="BT684" s="125" t="s">
        <v>1345</v>
      </c>
      <c r="BU684" s="4" t="s">
        <v>439</v>
      </c>
      <c r="BV684" s="79" t="s">
        <v>1429</v>
      </c>
      <c r="BW684" s="69"/>
      <c r="BX684" s="36"/>
      <c r="BY684" s="36" t="s">
        <v>889</v>
      </c>
    </row>
    <row r="685" spans="1:77" hidden="1" x14ac:dyDescent="0.35">
      <c r="A685" s="61">
        <v>30950</v>
      </c>
      <c r="B685" s="2" t="s">
        <v>122</v>
      </c>
      <c r="C685" s="46">
        <v>2021</v>
      </c>
      <c r="D685" s="3">
        <v>29.757380000000001</v>
      </c>
      <c r="E685" s="3">
        <v>-93.114140000000006</v>
      </c>
      <c r="F685" s="3">
        <v>0</v>
      </c>
      <c r="G685" s="3">
        <v>0</v>
      </c>
      <c r="H685" s="3" t="s">
        <v>24</v>
      </c>
      <c r="I685" s="43"/>
      <c r="J685" s="116" t="s">
        <v>24</v>
      </c>
      <c r="K685" s="4" t="s">
        <v>24</v>
      </c>
      <c r="L685" s="22" t="str">
        <f>IF(ISNUMBER(Table2[[#This Row],[estHD]]),ABS(Table2[[#This Row],[HD]]-Table2[[#This Row],[estHD]]),"NA")</f>
        <v>NA</v>
      </c>
      <c r="M685" s="4" t="b">
        <f>Table2[[#This Row],[HD]]=Table2[[#This Row],[estHD]]</f>
        <v>1</v>
      </c>
      <c r="N685" s="4" t="str">
        <f>IF(ISNUMBER([1]!Table2[[#This Row],[hatch_date]]),[1]!Table2[[#This Row],[hatch_date]]-19,"NA")</f>
        <v>NA</v>
      </c>
      <c r="O685" s="31" t="s">
        <v>24</v>
      </c>
      <c r="P685" s="23" t="str">
        <f>IF(ISNUMBER(Table2[[#This Row],[nest_age1]]),ABS(Table2[[#This Row],[nest_age1]]-Table2[[#This Row],[nest_age_feb]]),"NA")</f>
        <v>NA</v>
      </c>
      <c r="Q685" s="24">
        <f>IF(ISNUMBER(Table2[[#This Row],[final_obs_int2]]),ABS(Table2[[#This Row],[final_obs_int2]]-Table2[[#This Row],[final_obs_int_feb]]), "NA")</f>
        <v>0</v>
      </c>
      <c r="R685" s="24"/>
      <c r="S685" s="20" t="s">
        <v>75</v>
      </c>
      <c r="T685" s="20" t="str">
        <f>Table2[[#This Row],[camera_old]]</f>
        <v>Y</v>
      </c>
      <c r="U685" s="22" t="s">
        <v>88</v>
      </c>
      <c r="V685" s="16" t="s">
        <v>31</v>
      </c>
      <c r="W685" s="16" t="s">
        <v>24</v>
      </c>
      <c r="X685" s="145">
        <v>3</v>
      </c>
      <c r="Y685" s="147" t="s">
        <v>90</v>
      </c>
      <c r="Z685" s="146" t="s">
        <v>90</v>
      </c>
      <c r="AA685" s="5" t="s">
        <v>90</v>
      </c>
      <c r="AB685" s="65" t="str">
        <f>Table2[[#This Row],[field_fate2]]</f>
        <v>U</v>
      </c>
      <c r="AC685" s="106" t="str">
        <f>Table2[[#This Row],[field_fate3]]</f>
        <v>U</v>
      </c>
      <c r="AD685" s="140" t="str">
        <f>Table2[[#This Row],[field_fate4]]</f>
        <v>U</v>
      </c>
      <c r="AE685" s="134" t="str">
        <f>Table2[[#This Row],[field_fate5]]</f>
        <v>U</v>
      </c>
      <c r="AF685" s="93" t="str">
        <f>Table2[[#This Row],[field_fate5]]</f>
        <v>U</v>
      </c>
      <c r="AG685" s="93" t="str">
        <f>Table2[[#This Row],[field_fate5]]</f>
        <v>U</v>
      </c>
      <c r="AH685" s="93" t="str">
        <f>Table2[[#This Row],[field_fate2]]</f>
        <v>U</v>
      </c>
      <c r="AI685" s="93" t="str">
        <f>Table2[[#This Row],[field_fate8]]</f>
        <v>U</v>
      </c>
      <c r="AJ685" s="93" t="str">
        <f>Table2[[#This Row],[field_fate10]]</f>
        <v>U</v>
      </c>
      <c r="AK685" s="93" t="b">
        <f>Table2[[#This Row],[field_fate_feb]]=Table2[[#This Row],[field_fate10]]</f>
        <v>1</v>
      </c>
      <c r="AL685" s="43" t="s">
        <v>31</v>
      </c>
      <c r="AM685" s="160" t="b">
        <f>Table2[[#This Row],[cam_fate2]]="NA"</f>
        <v>0</v>
      </c>
      <c r="AN685" s="19" t="str">
        <f>Table2[[#This Row],[cam_fate1]]</f>
        <v>D</v>
      </c>
      <c r="AO685" s="2" t="s">
        <v>31</v>
      </c>
      <c r="AP685" s="5" t="str">
        <f>Table2[[#This Row],[final_fate1]]</f>
        <v>D</v>
      </c>
      <c r="AQ685" s="6" t="s">
        <v>24</v>
      </c>
      <c r="AR685" s="72" t="s">
        <v>24</v>
      </c>
      <c r="AS685" s="155" t="e">
        <f>Table2[[#This Row],[final_obs_date]]-Table2[[#This Row],[init_date]]</f>
        <v>#VALUE!</v>
      </c>
      <c r="AT685" s="155" t="e">
        <f>(Table2[[#This Row],[final_obs_date2]]-Table2[[#This Row],[estHD]])+19</f>
        <v>#VALUE!</v>
      </c>
      <c r="AU685" s="38">
        <v>3</v>
      </c>
      <c r="AV685" s="33">
        <v>3</v>
      </c>
      <c r="AW685" s="33">
        <f>Table2[[#This Row],[final_obs_date2]]-Table2[[#This Row],[pen_obs_date]]</f>
        <v>3</v>
      </c>
      <c r="AX685" s="67">
        <v>72</v>
      </c>
      <c r="AY685" s="157">
        <f>Table2[[#This Row],[final_obs_date]]</f>
        <v>72</v>
      </c>
      <c r="AZ685" s="6">
        <v>69</v>
      </c>
      <c r="BA685" s="92" t="s">
        <v>47</v>
      </c>
      <c r="BB685" s="6" t="e">
        <f>Table2[[#This Row],[final_obs_date]]&lt;(Table2[[#This Row],[estHD]]-2)</f>
        <v>#VALUE!</v>
      </c>
      <c r="BC685" s="32">
        <v>7</v>
      </c>
      <c r="BD685" s="16">
        <f>IF(Table2[[#This Row],[cam_fate2]]="H",1,0)</f>
        <v>0</v>
      </c>
      <c r="BE685" s="6" t="b">
        <f>NOT(Table2[[#This Row],[HF_C]]=Table2[[#This Row],[HF]])</f>
        <v>1</v>
      </c>
      <c r="BF685" s="38" t="b">
        <f>NOT(Table2[[#This Row],[cam_fate2]]=Table2[[#This Row],[field_fate3]])</f>
        <v>1</v>
      </c>
      <c r="BG685" s="38" t="b">
        <f>OR(Table2[[#This Row],[field_fate3]]="U",Table2[[#This Row],[field_fate3]]="U-H")</f>
        <v>1</v>
      </c>
      <c r="BH685" s="8">
        <v>65</v>
      </c>
      <c r="BI685" s="8">
        <v>69</v>
      </c>
      <c r="BJ685" s="14">
        <f>IF(ISTEXT(Table2[[#This Row],[j.cam]]),Table2[[#This Row],[j]],Table2[[#This Row],[j.cam]])</f>
        <v>69</v>
      </c>
      <c r="BK685" s="8">
        <v>72</v>
      </c>
      <c r="BL685" s="14">
        <f>IF(ISTEXT(Table2[[#This Row],[k.cam]]), Table2[[#This Row],[k]], Table2[[#This Row],[k.cam]])</f>
        <v>72</v>
      </c>
      <c r="BM685" s="4" t="s">
        <v>24</v>
      </c>
      <c r="BN685" s="8" t="s">
        <v>24</v>
      </c>
      <c r="BO685" s="4">
        <v>3</v>
      </c>
      <c r="BP685" s="4">
        <f>Table2[[#This Row],[final_obs_date]]-Table2[[#This Row],[i]]</f>
        <v>7</v>
      </c>
      <c r="BQ685" s="4" t="e">
        <f>Table2[[#This Row],[final_obs_date2]]&gt;Table2[[#This Row],[estHD]]+3</f>
        <v>#VALUE!</v>
      </c>
      <c r="BR685" s="3" t="s">
        <v>33</v>
      </c>
      <c r="BS685" s="3" t="s">
        <v>45</v>
      </c>
      <c r="BT685" s="125" t="s">
        <v>1369</v>
      </c>
      <c r="BU685" s="4" t="s">
        <v>132</v>
      </c>
      <c r="BV685" s="79" t="s">
        <v>1450</v>
      </c>
      <c r="BW685" s="131" t="s">
        <v>1724</v>
      </c>
      <c r="BX685" s="36" t="s">
        <v>949</v>
      </c>
      <c r="BY685" s="53" t="s">
        <v>978</v>
      </c>
    </row>
    <row r="686" spans="1:77" hidden="1" x14ac:dyDescent="0.35">
      <c r="A686" s="64">
        <v>30951</v>
      </c>
      <c r="B686" s="2" t="s">
        <v>122</v>
      </c>
      <c r="C686" s="46">
        <v>2021</v>
      </c>
      <c r="D686" s="3">
        <v>29.756499999999999</v>
      </c>
      <c r="E686" s="3">
        <v>-93.109189999999998</v>
      </c>
      <c r="F686" s="3">
        <v>0</v>
      </c>
      <c r="G686" s="3">
        <v>0</v>
      </c>
      <c r="H686" s="3" t="s">
        <v>24</v>
      </c>
      <c r="I686" s="43"/>
      <c r="J686" s="116">
        <v>70</v>
      </c>
      <c r="K686" s="4">
        <v>72</v>
      </c>
      <c r="L686" s="22">
        <f>IF(ISNUMBER(Table2[[#This Row],[estHD]]),ABS(Table2[[#This Row],[HD]]-Table2[[#This Row],[estHD]]),"NA")</f>
        <v>2</v>
      </c>
      <c r="M686" s="4" t="b">
        <f>Table2[[#This Row],[HD]]=Table2[[#This Row],[estHD]]</f>
        <v>0</v>
      </c>
      <c r="N686" s="4">
        <f>IF(ISNUMBER(Table2[[#This Row],[HD]]),Table2[[#This Row],[HD]]-19,"NA")</f>
        <v>53</v>
      </c>
      <c r="O686" s="31">
        <v>53</v>
      </c>
      <c r="P686" s="23">
        <f>IF(ISNUMBER(Table2[[#This Row],[nest_age1]]),ABS(Table2[[#This Row],[nest_age1]]-Table2[[#This Row],[nest_age_feb]]),"NA")</f>
        <v>2</v>
      </c>
      <c r="Q686" s="24">
        <f>IF(ISNUMBER(Table2[[#This Row],[final_obs_int2]]),ABS(Table2[[#This Row],[final_obs_int2]]-Table2[[#This Row],[final_obs_int_feb]]), "NA")</f>
        <v>0</v>
      </c>
      <c r="R686" s="24">
        <f>(Table2[[#This Row],[k_adj]]-Table2[[#This Row],[estHD]])/Table2[[#This Row],[estHD]]</f>
        <v>2.8571428571428571E-2</v>
      </c>
      <c r="S686" s="20" t="s">
        <v>75</v>
      </c>
      <c r="T686" s="20" t="str">
        <f>Table2[[#This Row],[camera_old]]</f>
        <v>Y</v>
      </c>
      <c r="U686" s="22" t="s">
        <v>88</v>
      </c>
      <c r="V686" s="16" t="s">
        <v>37</v>
      </c>
      <c r="W686" s="16">
        <v>21</v>
      </c>
      <c r="X686" s="145">
        <v>3</v>
      </c>
      <c r="Y686" s="147" t="s">
        <v>37</v>
      </c>
      <c r="Z686" s="146" t="s">
        <v>37</v>
      </c>
      <c r="AA686" s="4" t="str">
        <f>Table2[[#This Row],[field_fate]]</f>
        <v>H</v>
      </c>
      <c r="AB686" s="4" t="str">
        <f>Table2[[#This Row],[field_fate2]]</f>
        <v>H</v>
      </c>
      <c r="AC686" s="94" t="str">
        <f>Table2[[#This Row],[field_fate3]]</f>
        <v>H</v>
      </c>
      <c r="AD686" s="94" t="str">
        <f>Table2[[#This Row],[field_fate4]]</f>
        <v>H</v>
      </c>
      <c r="AE686" s="94" t="str">
        <f>Table2[[#This Row],[field_fate5]]</f>
        <v>H</v>
      </c>
      <c r="AF686" s="94" t="str">
        <f>Table2[[#This Row],[field_fate5]]</f>
        <v>H</v>
      </c>
      <c r="AG686" s="94" t="str">
        <f>Table2[[#This Row],[field_fate5]]</f>
        <v>H</v>
      </c>
      <c r="AH686" s="94" t="str">
        <f>Table2[[#This Row],[field_fate2]]</f>
        <v>H</v>
      </c>
      <c r="AI686" s="94" t="str">
        <f>Table2[[#This Row],[field_fate8]]</f>
        <v>H</v>
      </c>
      <c r="AJ686" s="94" t="str">
        <f>Table2[[#This Row],[field_fate10]]</f>
        <v>H</v>
      </c>
      <c r="AK686" s="94" t="b">
        <f>Table2[[#This Row],[field_fate_feb]]=Table2[[#This Row],[field_fate10]]</f>
        <v>1</v>
      </c>
      <c r="AL686" s="43" t="s">
        <v>37</v>
      </c>
      <c r="AM686" s="160" t="b">
        <f>Table2[[#This Row],[cam_fate2]]="NA"</f>
        <v>0</v>
      </c>
      <c r="AN686" s="19" t="str">
        <f>Table2[[#This Row],[cam_fate1]]</f>
        <v>H</v>
      </c>
      <c r="AO686" s="2" t="s">
        <v>37</v>
      </c>
      <c r="AP686" s="5" t="str">
        <f>Table2[[#This Row],[final_fate1]]</f>
        <v>H</v>
      </c>
      <c r="AQ686" s="6">
        <v>19</v>
      </c>
      <c r="AR686" s="72">
        <v>21</v>
      </c>
      <c r="AS686" s="155">
        <f>Table2[[#This Row],[final_obs_date]]-Table2[[#This Row],[init_date]]</f>
        <v>19</v>
      </c>
      <c r="AT686" s="155">
        <f>(Table2[[#This Row],[final_obs_date2]]-Table2[[#This Row],[estHD]])+19</f>
        <v>21</v>
      </c>
      <c r="AU686" s="38">
        <v>3</v>
      </c>
      <c r="AV686" s="33">
        <v>3</v>
      </c>
      <c r="AW686" s="33">
        <f>Table2[[#This Row],[final_obs_date2]]-Table2[[#This Row],[pen_obs_date]]</f>
        <v>3</v>
      </c>
      <c r="AX686" s="67">
        <v>72</v>
      </c>
      <c r="AY686" s="157">
        <f>Table2[[#This Row],[final_obs_date]]</f>
        <v>72</v>
      </c>
      <c r="AZ686" s="6">
        <v>69</v>
      </c>
      <c r="BA686" s="92" t="s">
        <v>47</v>
      </c>
      <c r="BB686" s="6" t="b">
        <f>Table2[[#This Row],[final_obs_date]]&lt;(Table2[[#This Row],[estHD]]-2)</f>
        <v>0</v>
      </c>
      <c r="BC686" s="32">
        <f>IF(Table2[[#This Row],[field_fate]]="H",1,0)</f>
        <v>1</v>
      </c>
      <c r="BD686" s="16">
        <f>IF(Table2[[#This Row],[cam_fate2]]="H",1,0)</f>
        <v>1</v>
      </c>
      <c r="BE686" s="6" t="b">
        <f>NOT(Table2[[#This Row],[HF_C]]=Table2[[#This Row],[HF]])</f>
        <v>0</v>
      </c>
      <c r="BF686" s="38" t="b">
        <f>NOT(Table2[[#This Row],[cam_fate2]]=Table2[[#This Row],[field_fate3]])</f>
        <v>0</v>
      </c>
      <c r="BG686" s="38" t="b">
        <f>OR(Table2[[#This Row],[field_fate3]]="U",Table2[[#This Row],[field_fate3]]="U-H")</f>
        <v>0</v>
      </c>
      <c r="BH686" s="8">
        <v>65</v>
      </c>
      <c r="BI686" s="8">
        <v>72</v>
      </c>
      <c r="BJ686" s="14">
        <f>IF(ISTEXT(Table2[[#This Row],[j.cam]]),Table2[[#This Row],[j]],Table2[[#This Row],[j.cam]])</f>
        <v>72</v>
      </c>
      <c r="BK686" s="8">
        <v>72</v>
      </c>
      <c r="BL686" s="14">
        <f>IF(ISTEXT(Table2[[#This Row],[k.cam]]), Table2[[#This Row],[k]], Table2[[#This Row],[k.cam]])</f>
        <v>72</v>
      </c>
      <c r="BM686" s="4" t="s">
        <v>24</v>
      </c>
      <c r="BN686" s="8" t="s">
        <v>24</v>
      </c>
      <c r="BO686" s="4">
        <v>3</v>
      </c>
      <c r="BP686" s="4">
        <f>Table2[[#This Row],[final_obs_date]]-Table2[[#This Row],[i]]</f>
        <v>7</v>
      </c>
      <c r="BQ686" s="4" t="b">
        <f>Table2[[#This Row],[final_obs_date2]]&gt;Table2[[#This Row],[estHD]]+3</f>
        <v>0</v>
      </c>
      <c r="BR686" s="3" t="s">
        <v>33</v>
      </c>
      <c r="BS686" s="3" t="s">
        <v>165</v>
      </c>
      <c r="BT686" s="125" t="s">
        <v>1369</v>
      </c>
      <c r="BU686" s="4" t="s">
        <v>420</v>
      </c>
      <c r="BV686" s="79" t="s">
        <v>1450</v>
      </c>
      <c r="BW686" s="69"/>
      <c r="BX686" s="36"/>
      <c r="BY686" s="36" t="s">
        <v>890</v>
      </c>
    </row>
    <row r="687" spans="1:77" hidden="1" x14ac:dyDescent="0.35">
      <c r="A687" s="64">
        <v>30954</v>
      </c>
      <c r="B687" s="2" t="s">
        <v>22</v>
      </c>
      <c r="C687" s="46">
        <v>2021</v>
      </c>
      <c r="D687" s="3">
        <v>29.67991</v>
      </c>
      <c r="E687" s="3">
        <v>-92.874269999999996</v>
      </c>
      <c r="F687" s="3">
        <v>10</v>
      </c>
      <c r="G687" s="3">
        <v>10</v>
      </c>
      <c r="H687" s="3" t="s">
        <v>24</v>
      </c>
      <c r="I687" s="43"/>
      <c r="J687" s="55" t="s">
        <v>24</v>
      </c>
      <c r="K687" s="4">
        <v>70</v>
      </c>
      <c r="L687" s="22" t="str">
        <f>IF(ISNUMBER(Table2[[#This Row],[estHD]]),ABS(Table2[[#This Row],[HD]]-Table2[[#This Row],[estHD]]),"NA")</f>
        <v>NA</v>
      </c>
      <c r="M687" s="4" t="b">
        <f>Table2[[#This Row],[HD]]=Table2[[#This Row],[estHD]]</f>
        <v>0</v>
      </c>
      <c r="N687" s="4" t="str">
        <f>IF(ISNUMBER([1]!Table2[[#This Row],[hatch_date]]), [1]!Table2[[#This Row],[hatch_date]]-16, "NA")</f>
        <v>NA</v>
      </c>
      <c r="O687" s="31">
        <v>54</v>
      </c>
      <c r="P687" s="23">
        <f>IF(ISNUMBER(Table2[[#This Row],[nest_age1]]),ABS(Table2[[#This Row],[nest_age1]]-Table2[[#This Row],[nest_age_feb]]),"NA")</f>
        <v>2</v>
      </c>
      <c r="Q687" s="24">
        <f>IF(ISNUMBER(Table2[[#This Row],[final_obs_int2]]),ABS(Table2[[#This Row],[final_obs_int2]]-Table2[[#This Row],[final_obs_int_feb]]), "NA")</f>
        <v>2</v>
      </c>
      <c r="R687" s="24"/>
      <c r="S687" s="20" t="s">
        <v>75</v>
      </c>
      <c r="T687" s="20" t="str">
        <f>Table2[[#This Row],[camera_old]]</f>
        <v>Y</v>
      </c>
      <c r="U687" s="22" t="s">
        <v>88</v>
      </c>
      <c r="V687" s="16" t="s">
        <v>37</v>
      </c>
      <c r="W687" s="16">
        <v>16</v>
      </c>
      <c r="X687" s="145">
        <v>4</v>
      </c>
      <c r="Y687" s="148" t="s">
        <v>37</v>
      </c>
      <c r="Z687" s="146" t="s">
        <v>37</v>
      </c>
      <c r="AA687" s="4" t="str">
        <f>Table2[[#This Row],[field_fate]]</f>
        <v>H</v>
      </c>
      <c r="AB687" s="4" t="str">
        <f>Table2[[#This Row],[field_fate2]]</f>
        <v>H</v>
      </c>
      <c r="AC687" s="94" t="str">
        <f>Table2[[#This Row],[field_fate3]]</f>
        <v>H</v>
      </c>
      <c r="AD687" s="94" t="str">
        <f>Table2[[#This Row],[field_fate4]]</f>
        <v>H</v>
      </c>
      <c r="AE687" s="94" t="str">
        <f>Table2[[#This Row],[field_fate5]]</f>
        <v>H</v>
      </c>
      <c r="AF687" s="94" t="str">
        <f>Table2[[#This Row],[field_fate5]]</f>
        <v>H</v>
      </c>
      <c r="AG687" s="94" t="str">
        <f>Table2[[#This Row],[field_fate5]]</f>
        <v>H</v>
      </c>
      <c r="AH687" s="94" t="str">
        <f>Table2[[#This Row],[field_fate2]]</f>
        <v>H</v>
      </c>
      <c r="AI687" s="94" t="str">
        <f>Table2[[#This Row],[field_fate8]]</f>
        <v>H</v>
      </c>
      <c r="AJ687" s="94" t="str">
        <f>Table2[[#This Row],[field_fate10]]</f>
        <v>H</v>
      </c>
      <c r="AK687" s="94" t="b">
        <f>Table2[[#This Row],[field_fate_feb]]=Table2[[#This Row],[field_fate10]]</f>
        <v>1</v>
      </c>
      <c r="AL687" s="43" t="s">
        <v>37</v>
      </c>
      <c r="AM687" s="43" t="b">
        <f>Table2[[#This Row],[cam_fate2]]="NA"</f>
        <v>0</v>
      </c>
      <c r="AN687" s="19" t="str">
        <f>Table2[[#This Row],[cam_fate1]]</f>
        <v>H</v>
      </c>
      <c r="AO687" s="2" t="s">
        <v>37</v>
      </c>
      <c r="AP687" s="5" t="str">
        <f>Table2[[#This Row],[final_fate1]]</f>
        <v>H</v>
      </c>
      <c r="AQ687" s="6">
        <v>18</v>
      </c>
      <c r="AR687" s="7">
        <v>18</v>
      </c>
      <c r="AS687" s="155">
        <f>Table2[[#This Row],[final_obs_date]]-Table2[[#This Row],[init_date]]</f>
        <v>18</v>
      </c>
      <c r="AT687" s="155" t="e">
        <f>(Table2[[#This Row],[final_obs_date2]]-Table2[[#This Row],[estHD]])+16</f>
        <v>#VALUE!</v>
      </c>
      <c r="AU687" s="38">
        <v>2</v>
      </c>
      <c r="AV687" s="33">
        <v>2</v>
      </c>
      <c r="AW687" s="33">
        <f>Table2[[#This Row],[final_obs_date2]]-Table2[[#This Row],[pen_obs_date]]</f>
        <v>72</v>
      </c>
      <c r="AX687" s="67">
        <v>72</v>
      </c>
      <c r="AY687" s="6">
        <f>Table2[[#This Row],[final_obs_date]]</f>
        <v>72</v>
      </c>
      <c r="AZ687" s="6"/>
      <c r="BA687" s="91" t="s">
        <v>60</v>
      </c>
      <c r="BB687" s="6" t="e">
        <f>Table2[[#This Row],[final_obs_date]]&lt;(Table2[[#This Row],[estHD]]-2)</f>
        <v>#VALUE!</v>
      </c>
      <c r="BC687" s="32">
        <f>IF(Table2[[#This Row],[field_fate]]="H",1,0)</f>
        <v>1</v>
      </c>
      <c r="BD687" s="16">
        <f>IF(Table2[[#This Row],[cam_fate2]]="H",1,0)</f>
        <v>1</v>
      </c>
      <c r="BE687" s="6" t="b">
        <f>NOT(Table2[[#This Row],[HF_C]]=Table2[[#This Row],[HF]])</f>
        <v>0</v>
      </c>
      <c r="BF687" s="6" t="b">
        <f>NOT(Table2[[#This Row],[cam_fate2]]=Table2[[#This Row],[field_fate3]])</f>
        <v>0</v>
      </c>
      <c r="BG687" s="6" t="b">
        <f>OR(Table2[[#This Row],[field_fate3]]="U",Table2[[#This Row],[field_fate3]]="U-H")</f>
        <v>0</v>
      </c>
      <c r="BH687" s="8">
        <v>66</v>
      </c>
      <c r="BI687" s="8">
        <v>70</v>
      </c>
      <c r="BJ687" s="14">
        <f>IF(ISTEXT(Table2[[#This Row],[j.cam]]),Table2[[#This Row],[j]],Table2[[#This Row],[j.cam]])</f>
        <v>70</v>
      </c>
      <c r="BK687" s="8">
        <v>70</v>
      </c>
      <c r="BL687" s="14">
        <f>IF(ISTEXT(Table2[[#This Row],[k.cam]]), Table2[[#This Row],[k]], Table2[[#This Row],[k.cam]])</f>
        <v>70</v>
      </c>
      <c r="BM687" s="4" t="s">
        <v>24</v>
      </c>
      <c r="BN687" s="8" t="s">
        <v>24</v>
      </c>
      <c r="BO687" s="4">
        <v>2</v>
      </c>
      <c r="BP687" s="4">
        <f>Table2[[#This Row],[final_obs_date]]-Table2[[#This Row],[i]]</f>
        <v>6</v>
      </c>
      <c r="BQ687" s="4" t="e">
        <f>Table2[[#This Row],[final_obs_date2]]&gt;Table2[[#This Row],[estHD]]+3</f>
        <v>#VALUE!</v>
      </c>
      <c r="BR687" s="3" t="s">
        <v>33</v>
      </c>
      <c r="BS687" s="3" t="s">
        <v>55</v>
      </c>
      <c r="BT687" s="88" t="s">
        <v>1411</v>
      </c>
      <c r="BU687" s="26" t="s">
        <v>440</v>
      </c>
      <c r="BV687" s="79" t="s">
        <v>1456</v>
      </c>
      <c r="BW687" s="49"/>
      <c r="BX687" s="47"/>
      <c r="BY687" s="36" t="s">
        <v>891</v>
      </c>
    </row>
    <row r="688" spans="1:77" ht="15" thickBot="1" x14ac:dyDescent="0.4">
      <c r="A688" s="64">
        <v>30955</v>
      </c>
      <c r="B688" s="2" t="s">
        <v>35</v>
      </c>
      <c r="C688" s="46">
        <v>2021</v>
      </c>
      <c r="D688" s="3">
        <v>29.765709999999999</v>
      </c>
      <c r="E688" s="3">
        <v>-93.152079999999998</v>
      </c>
      <c r="F688" s="3">
        <v>0</v>
      </c>
      <c r="G688" s="3">
        <v>0</v>
      </c>
      <c r="H688" s="3" t="s">
        <v>24</v>
      </c>
      <c r="I688" s="43"/>
      <c r="J688" s="116">
        <v>84</v>
      </c>
      <c r="K688" s="4">
        <v>84</v>
      </c>
      <c r="L688" s="22">
        <f>IF(ISNUMBER(Table2[[#This Row],[estHD]]),ABS(Table2[[#This Row],[HD]]-Table2[[#This Row],[estHD]]),"NA")</f>
        <v>0</v>
      </c>
      <c r="M688" s="4" t="b">
        <f>Table2[[#This Row],[HD]]=Table2[[#This Row],[estHD]]</f>
        <v>1</v>
      </c>
      <c r="N688" s="4">
        <f>IF(ISNUMBER(Table2[[#This Row],[HD]]),Table2[[#This Row],[HD]]-19,"NA")</f>
        <v>65</v>
      </c>
      <c r="O688" s="31">
        <v>65</v>
      </c>
      <c r="P688" s="23">
        <f>IF(ISNUMBER(Table2[[#This Row],[nest_age1]]),ABS(Table2[[#This Row],[nest_age1]]-Table2[[#This Row],[nest_age_feb]]),"NA")</f>
        <v>3</v>
      </c>
      <c r="Q688" s="24">
        <f>IF(ISNUMBER(Table2[[#This Row],[final_obs_int2]]),ABS(Table2[[#This Row],[final_obs_int2]]-Table2[[#This Row],[final_obs_int_feb]]), "NA")</f>
        <v>0</v>
      </c>
      <c r="R688" s="24"/>
      <c r="S688" s="20" t="s">
        <v>75</v>
      </c>
      <c r="T688" s="20" t="str">
        <f>Table2[[#This Row],[camera_old]]</f>
        <v>Y</v>
      </c>
      <c r="U688" s="22" t="s">
        <v>88</v>
      </c>
      <c r="V688" s="16" t="s">
        <v>24</v>
      </c>
      <c r="W688" s="16">
        <v>19</v>
      </c>
      <c r="X688" s="145">
        <v>4</v>
      </c>
      <c r="Y688" s="153" t="s">
        <v>90</v>
      </c>
      <c r="Z688" s="146" t="s">
        <v>91</v>
      </c>
      <c r="AA688" s="4" t="str">
        <f>Table2[[#This Row],[field_fate]]</f>
        <v>Hu</v>
      </c>
      <c r="AB688" s="4" t="str">
        <f>Table2[[#This Row],[field_fate2]]</f>
        <v>Hu</v>
      </c>
      <c r="AC688" s="94" t="str">
        <f>Table2[[#This Row],[field_fate3]]</f>
        <v>Hu</v>
      </c>
      <c r="AD688" s="94" t="str">
        <f>Table2[[#This Row],[field_fate4]]</f>
        <v>Hu</v>
      </c>
      <c r="AE688" s="94" t="str">
        <f>Table2[[#This Row],[field_fate5]]</f>
        <v>Hu</v>
      </c>
      <c r="AF688" s="94" t="str">
        <f>Table2[[#This Row],[field_fate5]]</f>
        <v>Hu</v>
      </c>
      <c r="AG688" s="94" t="str">
        <f>Table2[[#This Row],[field_fate5]]</f>
        <v>Hu</v>
      </c>
      <c r="AH688" s="94" t="str">
        <f>Table2[[#This Row],[field_fate2]]</f>
        <v>Hu</v>
      </c>
      <c r="AI688" s="94" t="str">
        <f>Table2[[#This Row],[field_fate8]]</f>
        <v>Hu</v>
      </c>
      <c r="AJ688" s="94" t="str">
        <f>Table2[[#This Row],[field_fate10]]</f>
        <v>Hu</v>
      </c>
      <c r="AK688" s="94" t="b">
        <f>Table2[[#This Row],[field_fate_feb]]=Table2[[#This Row],[field_fate10]]</f>
        <v>0</v>
      </c>
      <c r="AL688" s="43" t="s">
        <v>91</v>
      </c>
      <c r="AM688" s="160" t="b">
        <f>Table2[[#This Row],[cam_fate2]]="NA"</f>
        <v>0</v>
      </c>
      <c r="AN688" s="19" t="str">
        <f>Table2[[#This Row],[cam_fate1]]</f>
        <v>Hu</v>
      </c>
      <c r="AO688" s="2" t="s">
        <v>91</v>
      </c>
      <c r="AP688" s="5" t="str">
        <f>Table2[[#This Row],[final_fate1]]</f>
        <v>Hu</v>
      </c>
      <c r="AQ688" s="6">
        <v>16</v>
      </c>
      <c r="AR688" s="72">
        <v>16</v>
      </c>
      <c r="AS688" s="155">
        <f>Table2[[#This Row],[final_obs_date]]-Table2[[#This Row],[init_date]]</f>
        <v>16</v>
      </c>
      <c r="AT688" s="155">
        <f>(Table2[[#This Row],[final_obs_date2]]-Table2[[#This Row],[estHD]])+19</f>
        <v>16</v>
      </c>
      <c r="AU688" s="38">
        <v>4</v>
      </c>
      <c r="AV688" s="33">
        <v>4</v>
      </c>
      <c r="AW688" s="33">
        <f>Table2[[#This Row],[final_obs_date2]]-Table2[[#This Row],[pen_obs_date]]</f>
        <v>4</v>
      </c>
      <c r="AX688" s="67">
        <v>81</v>
      </c>
      <c r="AY688" s="157">
        <f>Table2[[#This Row],[final_obs_date]]</f>
        <v>81</v>
      </c>
      <c r="AZ688" s="6">
        <v>77</v>
      </c>
      <c r="BA688" s="92" t="s">
        <v>47</v>
      </c>
      <c r="BB688" s="6" t="b">
        <f>Table2[[#This Row],[final_obs_date]]&lt;(Table2[[#This Row],[estHD]]-2)</f>
        <v>1</v>
      </c>
      <c r="BC688" s="32">
        <f>IF(Table2[[#This Row],[field_fate]]="H",1,0)</f>
        <v>0</v>
      </c>
      <c r="BD688" s="16">
        <f>IF(Table2[[#This Row],[cam_fate2]]="H",1,0)</f>
        <v>0</v>
      </c>
      <c r="BE688" s="6" t="b">
        <f>NOT(Table2[[#This Row],[HF_C]]=Table2[[#This Row],[HF]])</f>
        <v>0</v>
      </c>
      <c r="BF688" s="38" t="b">
        <f>NOT(Table2[[#This Row],[cam_fate2]]=Table2[[#This Row],[field_fate3]])</f>
        <v>0</v>
      </c>
      <c r="BG688" s="38" t="b">
        <f>OR(Table2[[#This Row],[field_fate3]]="U",Table2[[#This Row],[field_fate3]]="U-H")</f>
        <v>0</v>
      </c>
      <c r="BH688" s="8">
        <v>69</v>
      </c>
      <c r="BI688" s="8">
        <v>77</v>
      </c>
      <c r="BJ688" s="14">
        <f>IF(ISTEXT(Table2[[#This Row],[j.cam]]),Table2[[#This Row],[j]],Table2[[#This Row],[j.cam]])</f>
        <v>77</v>
      </c>
      <c r="BK688" s="8">
        <v>81</v>
      </c>
      <c r="BL688" s="14">
        <f>IF(ISTEXT(Table2[[#This Row],[k.cam]]), Table2[[#This Row],[k]], Table2[[#This Row],[k.cam]])</f>
        <v>81</v>
      </c>
      <c r="BM688" s="4" t="s">
        <v>24</v>
      </c>
      <c r="BN688" s="8" t="s">
        <v>24</v>
      </c>
      <c r="BO688" s="4">
        <v>5</v>
      </c>
      <c r="BP688" s="4">
        <f>Table2[[#This Row],[final_obs_date]]-Table2[[#This Row],[i]]</f>
        <v>12</v>
      </c>
      <c r="BQ688" s="4" t="b">
        <f>Table2[[#This Row],[final_obs_date2]]&gt;Table2[[#This Row],[estHD]]+3</f>
        <v>0</v>
      </c>
      <c r="BR688" s="3" t="s">
        <v>33</v>
      </c>
      <c r="BS688" s="3" t="s">
        <v>45</v>
      </c>
      <c r="BT688" s="125" t="s">
        <v>1412</v>
      </c>
      <c r="BU688" s="4" t="s">
        <v>105</v>
      </c>
      <c r="BV688" s="79" t="s">
        <v>1695</v>
      </c>
      <c r="BW688" s="69"/>
      <c r="BX688" s="36"/>
      <c r="BY688" s="36" t="s">
        <v>892</v>
      </c>
    </row>
    <row r="689" spans="1:77" ht="15" hidden="1" thickBot="1" x14ac:dyDescent="0.4">
      <c r="A689" s="64">
        <v>30956</v>
      </c>
      <c r="B689" s="2" t="s">
        <v>35</v>
      </c>
      <c r="C689" s="46">
        <v>2021</v>
      </c>
      <c r="D689" s="3">
        <v>29.76652</v>
      </c>
      <c r="E689" s="3">
        <v>-93.156909999999996</v>
      </c>
      <c r="F689" s="3">
        <v>60</v>
      </c>
      <c r="G689" s="3">
        <v>60</v>
      </c>
      <c r="H689" s="3" t="s">
        <v>24</v>
      </c>
      <c r="I689" s="43"/>
      <c r="J689" s="116" t="s">
        <v>24</v>
      </c>
      <c r="K689" s="4">
        <v>74</v>
      </c>
      <c r="L689" s="22" t="str">
        <f>IF(ISNUMBER(Table2[[#This Row],[estHD]]),ABS(Table2[[#This Row],[HD]]-Table2[[#This Row],[estHD]]),"NA")</f>
        <v>NA</v>
      </c>
      <c r="M689" s="4" t="b">
        <f>Table2[[#This Row],[HD]]=Table2[[#This Row],[estHD]]</f>
        <v>0</v>
      </c>
      <c r="N689" s="4" t="str">
        <f>IF(ISNUMBER([1]!Table2[[#This Row],[hatch_date]]), [1]!Table2[[#This Row],[hatch_date]]-16, "NA")</f>
        <v>NA</v>
      </c>
      <c r="O689" s="31">
        <v>58</v>
      </c>
      <c r="P689" s="23">
        <f>IF(ISNUMBER(Table2[[#This Row],[nest_age1]]),ABS(Table2[[#This Row],[nest_age1]]-Table2[[#This Row],[nest_age_feb]]),"NA")</f>
        <v>0</v>
      </c>
      <c r="Q689" s="24">
        <f>IF(ISNUMBER(Table2[[#This Row],[final_obs_int2]]),ABS(Table2[[#This Row],[final_obs_int2]]-Table2[[#This Row],[final_obs_int_feb]]), "NA")</f>
        <v>0</v>
      </c>
      <c r="R689" s="24"/>
      <c r="S689" s="21" t="s">
        <v>448</v>
      </c>
      <c r="T689" s="21" t="s">
        <v>75</v>
      </c>
      <c r="U689" s="52" t="s">
        <v>75</v>
      </c>
      <c r="V689" s="16" t="s">
        <v>37</v>
      </c>
      <c r="W689" s="16">
        <v>16</v>
      </c>
      <c r="X689" s="145">
        <v>2</v>
      </c>
      <c r="Y689" s="149" t="s">
        <v>37</v>
      </c>
      <c r="Z689" s="146" t="s">
        <v>37</v>
      </c>
      <c r="AA689" s="4" t="str">
        <f>Table2[[#This Row],[field_fate]]</f>
        <v>H</v>
      </c>
      <c r="AB689" s="4" t="str">
        <f>Table2[[#This Row],[field_fate2]]</f>
        <v>H</v>
      </c>
      <c r="AC689" s="94" t="str">
        <f>Table2[[#This Row],[field_fate3]]</f>
        <v>H</v>
      </c>
      <c r="AD689" s="94" t="str">
        <f>Table2[[#This Row],[field_fate4]]</f>
        <v>H</v>
      </c>
      <c r="AE689" s="94" t="str">
        <f>Table2[[#This Row],[field_fate5]]</f>
        <v>H</v>
      </c>
      <c r="AF689" s="94" t="str">
        <f>Table2[[#This Row],[field_fate5]]</f>
        <v>H</v>
      </c>
      <c r="AG689" s="94" t="str">
        <f>Table2[[#This Row],[field_fate5]]</f>
        <v>H</v>
      </c>
      <c r="AH689" s="94" t="str">
        <f>Table2[[#This Row],[field_fate2]]</f>
        <v>H</v>
      </c>
      <c r="AI689" s="94" t="str">
        <f>Table2[[#This Row],[field_fate8]]</f>
        <v>H</v>
      </c>
      <c r="AJ689" s="94" t="str">
        <f>Table2[[#This Row],[field_fate10]]</f>
        <v>H</v>
      </c>
      <c r="AK689" s="94" t="b">
        <f>Table2[[#This Row],[field_fate_feb]]=Table2[[#This Row],[field_fate10]]</f>
        <v>1</v>
      </c>
      <c r="AL689" s="43" t="s">
        <v>37</v>
      </c>
      <c r="AM689" s="160" t="b">
        <f>Table2[[#This Row],[cam_fate2]]="NA"</f>
        <v>0</v>
      </c>
      <c r="AN689" s="19" t="str">
        <f>Table2[[#This Row],[cam_fate1]]</f>
        <v>H</v>
      </c>
      <c r="AO689" s="2" t="s">
        <v>37</v>
      </c>
      <c r="AP689" s="5" t="str">
        <f>Table2[[#This Row],[final_fate1]]</f>
        <v>H</v>
      </c>
      <c r="AQ689" s="6">
        <v>16</v>
      </c>
      <c r="AR689" s="72">
        <v>16</v>
      </c>
      <c r="AS689" s="155">
        <f>Table2[[#This Row],[final_obs_date]]-Table2[[#This Row],[init_date]]</f>
        <v>16</v>
      </c>
      <c r="AT689" s="155" t="e">
        <f>(Table2[[#This Row],[final_obs_date2]]-Table2[[#This Row],[estHD]])+16</f>
        <v>#VALUE!</v>
      </c>
      <c r="AU689" s="38">
        <v>2</v>
      </c>
      <c r="AV689" s="33">
        <v>2</v>
      </c>
      <c r="AW689" s="33">
        <f>Table2[[#This Row],[final_obs_date2]]-Table2[[#This Row],[pen_obs_date]]</f>
        <v>2</v>
      </c>
      <c r="AX689" s="67">
        <v>74</v>
      </c>
      <c r="AY689" s="157">
        <f>Table2[[#This Row],[final_obs_date]]</f>
        <v>74</v>
      </c>
      <c r="AZ689" s="6">
        <v>72</v>
      </c>
      <c r="BA689" s="92" t="s">
        <v>60</v>
      </c>
      <c r="BB689" s="6" t="e">
        <f>Table2[[#This Row],[final_obs_date]]&lt;(Table2[[#This Row],[estHD]]-2)</f>
        <v>#VALUE!</v>
      </c>
      <c r="BC689" s="25">
        <f>IF(Table2[[#This Row],[field_fate]]="H",1,0)</f>
        <v>1</v>
      </c>
      <c r="BD689" s="16">
        <f>IF(Table2[[#This Row],[cam_fate2]]="H",1,0)</f>
        <v>1</v>
      </c>
      <c r="BE689" s="6" t="b">
        <f>NOT(Table2[[#This Row],[HF_C]]=Table2[[#This Row],[HF]])</f>
        <v>0</v>
      </c>
      <c r="BF689" s="38" t="b">
        <f>NOT(Table2[[#This Row],[cam_fate2]]=Table2[[#This Row],[field_fate3]])</f>
        <v>0</v>
      </c>
      <c r="BG689" s="38" t="b">
        <f>OR(Table2[[#This Row],[field_fate3]]="U",Table2[[#This Row],[field_fate3]]="U-H")</f>
        <v>0</v>
      </c>
      <c r="BH689" s="8">
        <v>69</v>
      </c>
      <c r="BI689" s="8">
        <v>74</v>
      </c>
      <c r="BJ689" s="14">
        <f>IF(ISTEXT(Table2[[#This Row],[j.cam]]),Table2[[#This Row],[j]],Table2[[#This Row],[j.cam]])</f>
        <v>74</v>
      </c>
      <c r="BK689" s="8">
        <v>74</v>
      </c>
      <c r="BL689" s="14">
        <f>IF(ISTEXT(Table2[[#This Row],[k.cam]]), Table2[[#This Row],[k]], Table2[[#This Row],[k.cam]])</f>
        <v>74</v>
      </c>
      <c r="BM689" s="4" t="s">
        <v>24</v>
      </c>
      <c r="BN689" s="8" t="s">
        <v>24</v>
      </c>
      <c r="BO689" s="4">
        <v>3</v>
      </c>
      <c r="BP689" s="4">
        <f>Table2[[#This Row],[final_obs_date]]-Table2[[#This Row],[i]]</f>
        <v>5</v>
      </c>
      <c r="BQ689" s="4" t="e">
        <f>Table2[[#This Row],[final_obs_date2]]&gt;Table2[[#This Row],[estHD]]+3</f>
        <v>#VALUE!</v>
      </c>
      <c r="BR689" s="3" t="s">
        <v>33</v>
      </c>
      <c r="BS689" s="3" t="s">
        <v>165</v>
      </c>
      <c r="BT689" s="125" t="s">
        <v>1413</v>
      </c>
      <c r="BU689" s="4" t="s">
        <v>420</v>
      </c>
      <c r="BV689" s="79" t="s">
        <v>1521</v>
      </c>
      <c r="BW689" s="69"/>
      <c r="BX689" s="36"/>
      <c r="BY689" s="36" t="s">
        <v>893</v>
      </c>
    </row>
    <row r="690" spans="1:77" ht="15" hidden="1" thickBot="1" x14ac:dyDescent="0.4">
      <c r="A690" s="64">
        <v>30957</v>
      </c>
      <c r="B690" s="2" t="s">
        <v>35</v>
      </c>
      <c r="C690" s="46">
        <v>2021</v>
      </c>
      <c r="D690" s="3">
        <v>29.767890000000001</v>
      </c>
      <c r="E690" s="3">
        <v>-93.16046</v>
      </c>
      <c r="F690" s="3">
        <v>0</v>
      </c>
      <c r="G690" s="3">
        <v>0</v>
      </c>
      <c r="H690" s="3" t="s">
        <v>24</v>
      </c>
      <c r="I690" s="43"/>
      <c r="J690" s="55" t="s">
        <v>24</v>
      </c>
      <c r="K690" s="4" t="s">
        <v>24</v>
      </c>
      <c r="L690" s="22" t="str">
        <f>IF(ISNUMBER(Table2[[#This Row],[estHD]]),ABS(Table2[[#This Row],[HD]]-Table2[[#This Row],[estHD]]),"NA")</f>
        <v>NA</v>
      </c>
      <c r="M690" s="4" t="b">
        <f>Table2[[#This Row],[HD]]=Table2[[#This Row],[estHD]]</f>
        <v>1</v>
      </c>
      <c r="N690" s="4" t="str">
        <f>IF(ISNUMBER([1]!Table2[[#This Row],[hatch_date]]),[1]!Table2[[#This Row],[hatch_date]]-19,"NA")</f>
        <v>NA</v>
      </c>
      <c r="O690" s="31" t="s">
        <v>24</v>
      </c>
      <c r="P690" s="23" t="str">
        <f>IF(ISNUMBER(Table2[[#This Row],[nest_age1]]),ABS(Table2[[#This Row],[nest_age1]]-Table2[[#This Row],[nest_age_feb]]),"NA")</f>
        <v>NA</v>
      </c>
      <c r="Q690" s="24">
        <f>IF(ISNUMBER(Table2[[#This Row],[final_obs_int2]]),ABS(Table2[[#This Row],[final_obs_int2]]-Table2[[#This Row],[final_obs_int_feb]]), "NA")</f>
        <v>2</v>
      </c>
      <c r="R690" s="24"/>
      <c r="S690" s="57" t="s">
        <v>88</v>
      </c>
      <c r="T690" s="57" t="str">
        <f>Table2[[#This Row],[camera_old]]</f>
        <v>N</v>
      </c>
      <c r="U690" s="24"/>
      <c r="V690" s="16" t="s">
        <v>24</v>
      </c>
      <c r="W690" s="16" t="s">
        <v>24</v>
      </c>
      <c r="X690" s="145">
        <v>3</v>
      </c>
      <c r="Y690" s="147" t="s">
        <v>104</v>
      </c>
      <c r="Z690" s="146" t="s">
        <v>104</v>
      </c>
      <c r="AA690" s="4" t="str">
        <f>Table2[[#This Row],[field_fate]]</f>
        <v>U-H</v>
      </c>
      <c r="AB690" s="4" t="str">
        <f>Table2[[#This Row],[field_fate2]]</f>
        <v>U-H</v>
      </c>
      <c r="AC690" s="4" t="str">
        <f>Table2[[#This Row],[field_fate3]]</f>
        <v>U-H</v>
      </c>
      <c r="AD690" s="4" t="str">
        <f>Table2[[#This Row],[field_fate4]]</f>
        <v>U-H</v>
      </c>
      <c r="AE690" s="4" t="str">
        <f>Table2[[#This Row],[field_fate5]]</f>
        <v>U-H</v>
      </c>
      <c r="AF690" s="4" t="str">
        <f>Table2[[#This Row],[field_fate5]]</f>
        <v>U-H</v>
      </c>
      <c r="AG690" s="4" t="str">
        <f>Table2[[#This Row],[field_fate5]]</f>
        <v>U-H</v>
      </c>
      <c r="AH690" s="4" t="str">
        <f>Table2[[#This Row],[field_fate2]]</f>
        <v>U-H</v>
      </c>
      <c r="AI690" s="4" t="str">
        <f>Table2[[#This Row],[field_fate8]]</f>
        <v>U-H</v>
      </c>
      <c r="AJ690" s="4" t="str">
        <f>Table2[[#This Row],[field_fate10]]</f>
        <v>U-H</v>
      </c>
      <c r="AK690" s="4" t="b">
        <f>Table2[[#This Row],[field_fate_feb]]=Table2[[#This Row],[field_fate10]]</f>
        <v>1</v>
      </c>
      <c r="AL690" s="43" t="s">
        <v>24</v>
      </c>
      <c r="AM690" s="43" t="b">
        <f>Table2[[#This Row],[cam_fate2]]="NA"</f>
        <v>1</v>
      </c>
      <c r="AN690" s="19" t="str">
        <f>Table2[[#This Row],[cam_fate1]]</f>
        <v>NA</v>
      </c>
      <c r="AO690" s="2" t="s">
        <v>104</v>
      </c>
      <c r="AP690" s="5" t="str">
        <f>Table2[[#This Row],[final_fate1]]</f>
        <v>U-H</v>
      </c>
      <c r="AQ690" s="6" t="s">
        <v>24</v>
      </c>
      <c r="AR690" s="7" t="s">
        <v>24</v>
      </c>
      <c r="AS690" s="7" t="e">
        <f>Table2[[#This Row],[final_obs_date]]-Table2[[#This Row],[init_date]]</f>
        <v>#VALUE!</v>
      </c>
      <c r="AT690" s="7" t="e">
        <f>(Table2[[#This Row],[final_obs_date2]]-Table2[[#This Row],[estHD]])+16</f>
        <v>#VALUE!</v>
      </c>
      <c r="AU690" s="41">
        <v>2</v>
      </c>
      <c r="AV690" s="33">
        <v>5</v>
      </c>
      <c r="AW690" s="33">
        <f>Table2[[#This Row],[final_obs_date2]]-Table2[[#This Row],[pen_obs_date]]</f>
        <v>74</v>
      </c>
      <c r="AX690" s="67">
        <v>74</v>
      </c>
      <c r="AY690" s="6">
        <f>Table2[[#This Row],[final_obs_date]]</f>
        <v>74</v>
      </c>
      <c r="AZ690" s="6"/>
      <c r="BA690" s="91" t="s">
        <v>47</v>
      </c>
      <c r="BB690" s="6" t="e">
        <f>Table2[[#This Row],[final_obs_date]]&lt;(Table2[[#This Row],[estHD]]-2)</f>
        <v>#VALUE!</v>
      </c>
      <c r="BC690" s="24">
        <f>IF(Table2[[#This Row],[field_fate]]="H",1,0)</f>
        <v>0</v>
      </c>
      <c r="BD690" s="16">
        <f>IF(Table2[[#This Row],[cam_fate2]]="H",1,0)</f>
        <v>0</v>
      </c>
      <c r="BE690" s="6" t="b">
        <f>NOT(Table2[[#This Row],[HF_C]]=Table2[[#This Row],[HF]])</f>
        <v>0</v>
      </c>
      <c r="BF690" s="6" t="b">
        <f>NOT(Table2[[#This Row],[cam_fate2]]=Table2[[#This Row],[field_fate3]])</f>
        <v>1</v>
      </c>
      <c r="BG690" s="6" t="b">
        <f>OR(Table2[[#This Row],[field_fate3]]="U",Table2[[#This Row],[field_fate3]]="U-H")</f>
        <v>1</v>
      </c>
      <c r="BH690" s="8">
        <v>69</v>
      </c>
      <c r="BI690" s="8">
        <v>69</v>
      </c>
      <c r="BJ690" s="14">
        <f>IF(ISTEXT(Table2[[#This Row],[j.cam]]),Table2[[#This Row],[j]],Table2[[#This Row],[j.cam]])</f>
        <v>69</v>
      </c>
      <c r="BK690" s="9">
        <v>74</v>
      </c>
      <c r="BL690" s="15">
        <f>IF(ISTEXT(Table2[[#This Row],[k.cam]]), Table2[[#This Row],[k]], Table2[[#This Row],[k.cam]])</f>
        <v>74</v>
      </c>
      <c r="BM690" s="4" t="s">
        <v>24</v>
      </c>
      <c r="BN690" s="8" t="s">
        <v>24</v>
      </c>
      <c r="BO690" s="4">
        <v>3</v>
      </c>
      <c r="BP690" s="4">
        <f>Table2[[#This Row],[final_obs_date]]-Table2[[#This Row],[i]]</f>
        <v>5</v>
      </c>
      <c r="BQ690" s="4" t="e">
        <f>Table2[[#This Row],[final_obs_date2]]&gt;Table2[[#This Row],[estHD]]+3</f>
        <v>#VALUE!</v>
      </c>
      <c r="BR690" s="12" t="s">
        <v>55</v>
      </c>
      <c r="BS690" s="4" t="s">
        <v>45</v>
      </c>
      <c r="BT690" s="79" t="s">
        <v>1413</v>
      </c>
      <c r="BU690" s="26" t="s">
        <v>441</v>
      </c>
      <c r="BV690" s="79" t="s">
        <v>1521</v>
      </c>
      <c r="BW690" s="49" t="s">
        <v>470</v>
      </c>
      <c r="BX690" s="47"/>
      <c r="BY690" s="36" t="s">
        <v>894</v>
      </c>
    </row>
    <row r="691" spans="1:77" ht="15" hidden="1" thickBot="1" x14ac:dyDescent="0.4">
      <c r="A691" s="64">
        <v>30958</v>
      </c>
      <c r="B691" s="2" t="s">
        <v>35</v>
      </c>
      <c r="C691" s="46">
        <v>2021</v>
      </c>
      <c r="D691" s="3">
        <v>29.769513</v>
      </c>
      <c r="E691" s="3">
        <v>-93.172409000000002</v>
      </c>
      <c r="F691" s="3">
        <v>60</v>
      </c>
      <c r="G691" s="3">
        <v>50</v>
      </c>
      <c r="H691" s="3" t="s">
        <v>24</v>
      </c>
      <c r="I691" s="43"/>
      <c r="J691" s="116" t="s">
        <v>24</v>
      </c>
      <c r="K691" s="4">
        <v>81</v>
      </c>
      <c r="L691" s="22" t="str">
        <f>IF(ISNUMBER(Table2[[#This Row],[estHD]]),ABS(Table2[[#This Row],[HD]]-Table2[[#This Row],[estHD]]),"NA")</f>
        <v>NA</v>
      </c>
      <c r="M691" s="4" t="b">
        <f>Table2[[#This Row],[HD]]=Table2[[#This Row],[estHD]]</f>
        <v>0</v>
      </c>
      <c r="N691" s="4" t="str">
        <f>IF(ISNUMBER([1]!Table2[[#This Row],[hatch_date]]), [1]!Table2[[#This Row],[hatch_date]]-16, "NA")</f>
        <v>NA</v>
      </c>
      <c r="O691" s="31">
        <v>65</v>
      </c>
      <c r="P691" s="23">
        <f>IF(ISNUMBER(Table2[[#This Row],[nest_age1]]),ABS(Table2[[#This Row],[nest_age1]]-Table2[[#This Row],[nest_age_feb]]),"NA")</f>
        <v>0</v>
      </c>
      <c r="Q691" s="24">
        <f>IF(ISNUMBER(Table2[[#This Row],[final_obs_int2]]),ABS(Table2[[#This Row],[final_obs_int2]]-Table2[[#This Row],[final_obs_int_feb]]), "NA")</f>
        <v>0</v>
      </c>
      <c r="R691" s="24" t="e">
        <f>(Table2[[#This Row],[k_adj]]-Table2[[#This Row],[estHD]])/Table2[[#This Row],[estHD]]</f>
        <v>#VALUE!</v>
      </c>
      <c r="S691" s="21" t="s">
        <v>965</v>
      </c>
      <c r="T691" s="21" t="s">
        <v>75</v>
      </c>
      <c r="U691" s="52" t="s">
        <v>75</v>
      </c>
      <c r="V691" s="16" t="s">
        <v>37</v>
      </c>
      <c r="W691" s="16">
        <v>16</v>
      </c>
      <c r="X691" s="145">
        <v>7</v>
      </c>
      <c r="Y691" s="147" t="s">
        <v>37</v>
      </c>
      <c r="Z691" s="146" t="s">
        <v>37</v>
      </c>
      <c r="AA691" s="4" t="str">
        <f>Table2[[#This Row],[field_fate]]</f>
        <v>H</v>
      </c>
      <c r="AB691" s="4" t="str">
        <f>Table2[[#This Row],[field_fate2]]</f>
        <v>H</v>
      </c>
      <c r="AC691" s="94" t="str">
        <f>Table2[[#This Row],[field_fate3]]</f>
        <v>H</v>
      </c>
      <c r="AD691" s="94" t="str">
        <f>Table2[[#This Row],[field_fate4]]</f>
        <v>H</v>
      </c>
      <c r="AE691" s="94" t="str">
        <f>Table2[[#This Row],[field_fate5]]</f>
        <v>H</v>
      </c>
      <c r="AF691" s="94" t="str">
        <f>Table2[[#This Row],[field_fate5]]</f>
        <v>H</v>
      </c>
      <c r="AG691" s="94" t="str">
        <f>Table2[[#This Row],[field_fate5]]</f>
        <v>H</v>
      </c>
      <c r="AH691" s="94" t="str">
        <f>Table2[[#This Row],[field_fate2]]</f>
        <v>H</v>
      </c>
      <c r="AI691" s="94" t="str">
        <f>Table2[[#This Row],[field_fate8]]</f>
        <v>H</v>
      </c>
      <c r="AJ691" s="94" t="str">
        <f>Table2[[#This Row],[field_fate10]]</f>
        <v>H</v>
      </c>
      <c r="AK691" s="94" t="b">
        <f>Table2[[#This Row],[field_fate_feb]]=Table2[[#This Row],[field_fate10]]</f>
        <v>1</v>
      </c>
      <c r="AL691" s="43" t="s">
        <v>37</v>
      </c>
      <c r="AM691" s="160" t="b">
        <f>Table2[[#This Row],[cam_fate2]]="NA"</f>
        <v>0</v>
      </c>
      <c r="AN691" s="19" t="str">
        <f>Table2[[#This Row],[cam_fate1]]</f>
        <v>H</v>
      </c>
      <c r="AO691" s="2" t="s">
        <v>37</v>
      </c>
      <c r="AP691" s="5" t="str">
        <f>Table2[[#This Row],[final_fate1]]</f>
        <v>H</v>
      </c>
      <c r="AQ691" s="6">
        <v>16</v>
      </c>
      <c r="AR691" s="72">
        <v>16</v>
      </c>
      <c r="AS691" s="155">
        <f>Table2[[#This Row],[final_obs_date]]-Table2[[#This Row],[init_date]]</f>
        <v>16</v>
      </c>
      <c r="AT691" s="155" t="e">
        <f>(Table2[[#This Row],[final_obs_date2]]-Table2[[#This Row],[estHD]])+16</f>
        <v>#VALUE!</v>
      </c>
      <c r="AU691" s="38">
        <v>7</v>
      </c>
      <c r="AV691" s="33">
        <v>7</v>
      </c>
      <c r="AW691" s="33">
        <f>Table2[[#This Row],[final_obs_date2]]-Table2[[#This Row],[pen_obs_date]]</f>
        <v>7</v>
      </c>
      <c r="AX691" s="67">
        <v>81</v>
      </c>
      <c r="AY691" s="157">
        <f>Table2[[#This Row],[final_obs_date]]</f>
        <v>81</v>
      </c>
      <c r="AZ691" s="6">
        <v>74</v>
      </c>
      <c r="BA691" s="92" t="s">
        <v>60</v>
      </c>
      <c r="BB691" s="6" t="e">
        <f>Table2[[#This Row],[final_obs_date]]&lt;(Table2[[#This Row],[estHD]]-2)</f>
        <v>#VALUE!</v>
      </c>
      <c r="BC691" s="32">
        <f>IF(Table2[[#This Row],[field_fate]]="H",1,0)</f>
        <v>1</v>
      </c>
      <c r="BD691" s="16">
        <f>IF(Table2[[#This Row],[cam_fate2]]="H",1,0)</f>
        <v>1</v>
      </c>
      <c r="BE691" s="6" t="b">
        <f>NOT(Table2[[#This Row],[HF_C]]=Table2[[#This Row],[HF]])</f>
        <v>0</v>
      </c>
      <c r="BF691" s="38" t="b">
        <f>NOT(Table2[[#This Row],[cam_fate2]]=Table2[[#This Row],[field_fate3]])</f>
        <v>0</v>
      </c>
      <c r="BG691" s="38" t="b">
        <f>OR(Table2[[#This Row],[field_fate3]]="U",Table2[[#This Row],[field_fate3]]="U-H")</f>
        <v>0</v>
      </c>
      <c r="BH691" s="8">
        <v>74</v>
      </c>
      <c r="BI691" s="8">
        <v>81</v>
      </c>
      <c r="BJ691" s="14">
        <f>IF(ISTEXT(Table2[[#This Row],[j.cam]]),Table2[[#This Row],[j]],Table2[[#This Row],[j.cam]])</f>
        <v>81</v>
      </c>
      <c r="BK691" s="8">
        <v>81</v>
      </c>
      <c r="BL691" s="14">
        <f>IF(ISTEXT(Table2[[#This Row],[k.cam]]), Table2[[#This Row],[k]], Table2[[#This Row],[k.cam]])</f>
        <v>81</v>
      </c>
      <c r="BM691" s="4" t="s">
        <v>24</v>
      </c>
      <c r="BN691" s="8" t="s">
        <v>24</v>
      </c>
      <c r="BO691" s="4">
        <v>2</v>
      </c>
      <c r="BP691" s="4">
        <f>Table2[[#This Row],[final_obs_date]]-Table2[[#This Row],[i]]</f>
        <v>7</v>
      </c>
      <c r="BQ691" s="4" t="e">
        <f>Table2[[#This Row],[final_obs_date2]]&gt;Table2[[#This Row],[estHD]]+3</f>
        <v>#VALUE!</v>
      </c>
      <c r="BR691" s="3" t="s">
        <v>33</v>
      </c>
      <c r="BS691" s="3" t="s">
        <v>442</v>
      </c>
      <c r="BT691" s="125" t="s">
        <v>1414</v>
      </c>
      <c r="BU691" s="4" t="s">
        <v>443</v>
      </c>
      <c r="BV691" s="79" t="s">
        <v>1475</v>
      </c>
      <c r="BW691" s="69"/>
      <c r="BX691" s="36"/>
      <c r="BY691" s="36" t="s">
        <v>895</v>
      </c>
    </row>
    <row r="692" spans="1:77" ht="15" hidden="1" thickBot="1" x14ac:dyDescent="0.4">
      <c r="A692" s="64">
        <v>30959</v>
      </c>
      <c r="B692" s="2" t="s">
        <v>35</v>
      </c>
      <c r="C692" s="46">
        <v>2021</v>
      </c>
      <c r="D692" s="3">
        <v>29.768969999999999</v>
      </c>
      <c r="E692" s="3">
        <v>-93.168440000000004</v>
      </c>
      <c r="F692" s="3">
        <v>0</v>
      </c>
      <c r="G692" s="3">
        <v>20</v>
      </c>
      <c r="H692" s="3" t="s">
        <v>24</v>
      </c>
      <c r="I692" s="43"/>
      <c r="J692" s="116">
        <v>88</v>
      </c>
      <c r="K692" s="4">
        <v>88</v>
      </c>
      <c r="L692" s="22">
        <f>IF(ISNUMBER(Table2[[#This Row],[estHD]]),ABS(Table2[[#This Row],[HD]]-Table2[[#This Row],[estHD]]),"NA")</f>
        <v>0</v>
      </c>
      <c r="M692" s="4" t="b">
        <f>Table2[[#This Row],[HD]]=Table2[[#This Row],[estHD]]</f>
        <v>1</v>
      </c>
      <c r="N692" s="4">
        <f>IF(ISNUMBER(Table2[[#This Row],[HD]]),Table2[[#This Row],[HD]]-19,"NA")</f>
        <v>69</v>
      </c>
      <c r="O692" s="31">
        <v>69</v>
      </c>
      <c r="P692" s="23" t="e">
        <f>IF(ISNUMBER(Table2[[#This Row],[nest_age1]]),ABS(Table2[[#This Row],[nest_age1]]-Table2[[#This Row],[nest_age_feb]]),"NA")</f>
        <v>#VALUE!</v>
      </c>
      <c r="Q692" s="24">
        <f>IF(ISNUMBER(Table2[[#This Row],[final_obs_int2]]),ABS(Table2[[#This Row],[final_obs_int2]]-Table2[[#This Row],[final_obs_int_feb]]), "NA")</f>
        <v>3</v>
      </c>
      <c r="R692" s="24">
        <f>(Table2[[#This Row],[k_adj]]-Table2[[#This Row],[estHD]])/Table2[[#This Row],[estHD]]</f>
        <v>0</v>
      </c>
      <c r="S692" s="20" t="s">
        <v>75</v>
      </c>
      <c r="T692" s="20" t="str">
        <f>Table2[[#This Row],[camera_old]]</f>
        <v>Y</v>
      </c>
      <c r="U692" s="22" t="s">
        <v>88</v>
      </c>
      <c r="V692" s="16" t="s">
        <v>37</v>
      </c>
      <c r="W692" s="16" t="s">
        <v>24</v>
      </c>
      <c r="X692" s="145">
        <v>7</v>
      </c>
      <c r="Y692" s="147" t="s">
        <v>90</v>
      </c>
      <c r="Z692" s="146" t="s">
        <v>90</v>
      </c>
      <c r="AA692" s="4" t="str">
        <f>Table2[[#This Row],[field_fate]]</f>
        <v>U</v>
      </c>
      <c r="AB692" s="65" t="str">
        <f>Table2[[#This Row],[field_fate2]]</f>
        <v>U</v>
      </c>
      <c r="AC692" s="106" t="str">
        <f>Table2[[#This Row],[field_fate3]]</f>
        <v>U</v>
      </c>
      <c r="AD692" s="140" t="str">
        <f>Table2[[#This Row],[field_fate4]]</f>
        <v>U</v>
      </c>
      <c r="AE692" s="134" t="str">
        <f>Table2[[#This Row],[field_fate5]]</f>
        <v>U</v>
      </c>
      <c r="AF692" s="93" t="str">
        <f>Table2[[#This Row],[field_fate5]]</f>
        <v>U</v>
      </c>
      <c r="AG692" s="93" t="str">
        <f>Table2[[#This Row],[field_fate5]]</f>
        <v>U</v>
      </c>
      <c r="AH692" s="93" t="str">
        <f>Table2[[#This Row],[field_fate2]]</f>
        <v>U</v>
      </c>
      <c r="AI692" s="93" t="str">
        <f>Table2[[#This Row],[field_fate8]]</f>
        <v>U</v>
      </c>
      <c r="AJ692" s="93" t="str">
        <f>Table2[[#This Row],[field_fate10]]</f>
        <v>U</v>
      </c>
      <c r="AK692" s="93" t="b">
        <f>Table2[[#This Row],[field_fate_feb]]=Table2[[#This Row],[field_fate10]]</f>
        <v>1</v>
      </c>
      <c r="AL692" s="43" t="s">
        <v>37</v>
      </c>
      <c r="AM692" s="160" t="b">
        <f>Table2[[#This Row],[cam_fate2]]="NA"</f>
        <v>0</v>
      </c>
      <c r="AN692" s="19" t="str">
        <f>Table2[[#This Row],[cam_fate1]]</f>
        <v>H</v>
      </c>
      <c r="AO692" s="2" t="s">
        <v>37</v>
      </c>
      <c r="AP692" s="5" t="str">
        <f>Table2[[#This Row],[final_fate1]]</f>
        <v>H</v>
      </c>
      <c r="AQ692" s="6">
        <v>21</v>
      </c>
      <c r="AR692" s="72">
        <v>21</v>
      </c>
      <c r="AS692" s="155">
        <f>Table2[[#This Row],[final_obs_date]]-Table2[[#This Row],[init_date]]</f>
        <v>21</v>
      </c>
      <c r="AT692" s="155">
        <f>(Table2[[#This Row],[final_obs_date2]]-Table2[[#This Row],[estHD]])+19</f>
        <v>21</v>
      </c>
      <c r="AU692" s="38">
        <v>2</v>
      </c>
      <c r="AV692" s="33">
        <v>4</v>
      </c>
      <c r="AW692" s="33">
        <f>Table2[[#This Row],[final_obs_date2]]-Table2[[#This Row],[pen_obs_date]]</f>
        <v>4</v>
      </c>
      <c r="AX692" s="67">
        <v>90</v>
      </c>
      <c r="AY692" s="157">
        <f>Table2[[#This Row],[final_obs_date]]</f>
        <v>90</v>
      </c>
      <c r="AZ692" s="6">
        <v>86</v>
      </c>
      <c r="BA692" s="92" t="s">
        <v>47</v>
      </c>
      <c r="BB692" s="6" t="b">
        <f>Table2[[#This Row],[final_obs_date]]&lt;(Table2[[#This Row],[estHD]]-2)</f>
        <v>0</v>
      </c>
      <c r="BC692" s="32">
        <v>7</v>
      </c>
      <c r="BD692" s="16">
        <f>IF(Table2[[#This Row],[cam_fate2]]="H",1,0)</f>
        <v>1</v>
      </c>
      <c r="BE692" s="6" t="b">
        <f>NOT(Table2[[#This Row],[HF_C]]=Table2[[#This Row],[HF]])</f>
        <v>1</v>
      </c>
      <c r="BF692" s="38" t="b">
        <f>NOT(Table2[[#This Row],[cam_fate2]]=Table2[[#This Row],[field_fate3]])</f>
        <v>1</v>
      </c>
      <c r="BG692" s="38" t="b">
        <f>OR(Table2[[#This Row],[field_fate3]]="U",Table2[[#This Row],[field_fate3]]="U-H")</f>
        <v>1</v>
      </c>
      <c r="BH692" s="8">
        <v>74</v>
      </c>
      <c r="BI692" s="8">
        <v>86</v>
      </c>
      <c r="BJ692" s="14">
        <f>IF(ISTEXT(Table2[[#This Row],[j.cam]]),Table2[[#This Row],[j]],Table2[[#This Row],[j.cam]])</f>
        <v>88</v>
      </c>
      <c r="BK692" s="8">
        <v>90</v>
      </c>
      <c r="BL692" s="14">
        <f>IF(ISTEXT(Table2[[#This Row],[k.cam]]), Table2[[#This Row],[k]], Table2[[#This Row],[k.cam]])</f>
        <v>88</v>
      </c>
      <c r="BM692" s="4">
        <v>88</v>
      </c>
      <c r="BN692" s="8">
        <v>88</v>
      </c>
      <c r="BO692" s="4">
        <v>4</v>
      </c>
      <c r="BP692" s="4">
        <f>Table2[[#This Row],[final_obs_date]]-Table2[[#This Row],[i]]</f>
        <v>16</v>
      </c>
      <c r="BQ692" s="4" t="b">
        <f>Table2[[#This Row],[final_obs_date2]]&gt;Table2[[#This Row],[estHD]]+3</f>
        <v>0</v>
      </c>
      <c r="BR692" s="3" t="s">
        <v>33</v>
      </c>
      <c r="BS692" s="3" t="s">
        <v>45</v>
      </c>
      <c r="BT692" s="125" t="s">
        <v>1415</v>
      </c>
      <c r="BU692" s="4" t="s">
        <v>302</v>
      </c>
      <c r="BV692" s="79" t="s">
        <v>1696</v>
      </c>
      <c r="BW692" s="131" t="s">
        <v>1724</v>
      </c>
      <c r="BX692" s="36" t="s">
        <v>950</v>
      </c>
      <c r="BY692" s="47" t="s">
        <v>896</v>
      </c>
    </row>
    <row r="693" spans="1:77" ht="26.5" hidden="1" thickBot="1" x14ac:dyDescent="0.4">
      <c r="A693" s="64">
        <v>30960</v>
      </c>
      <c r="B693" s="2" t="s">
        <v>35</v>
      </c>
      <c r="C693" s="46">
        <v>2021</v>
      </c>
      <c r="D693" s="3">
        <v>29.76737</v>
      </c>
      <c r="E693" s="3">
        <v>-93.163229999999999</v>
      </c>
      <c r="F693" s="3">
        <v>0</v>
      </c>
      <c r="G693" s="3">
        <v>0</v>
      </c>
      <c r="H693" s="3" t="s">
        <v>24</v>
      </c>
      <c r="I693" s="43"/>
      <c r="J693" s="116" t="s">
        <v>24</v>
      </c>
      <c r="K693" s="4" t="s">
        <v>24</v>
      </c>
      <c r="L693" s="22" t="str">
        <f>IF(ISNUMBER(Table2[[#This Row],[estHD]]),ABS(Table2[[#This Row],[HD]]-Table2[[#This Row],[estHD]]),"NA")</f>
        <v>NA</v>
      </c>
      <c r="M693" s="4" t="b">
        <f>Table2[[#This Row],[HD]]=Table2[[#This Row],[estHD]]</f>
        <v>1</v>
      </c>
      <c r="N693" s="4" t="str">
        <f>IF(ISNUMBER([1]!Table2[[#This Row],[hatch_date]]),[1]!Table2[[#This Row],[hatch_date]]-19,"NA")</f>
        <v>NA</v>
      </c>
      <c r="O693" s="31" t="s">
        <v>24</v>
      </c>
      <c r="P693" s="23" t="str">
        <f>IF(ISNUMBER(Table2[[#This Row],[nest_age1]]),ABS(Table2[[#This Row],[nest_age1]]-Table2[[#This Row],[nest_age_feb]]),"NA")</f>
        <v>NA</v>
      </c>
      <c r="Q693" s="24">
        <f>IF(ISNUMBER(Table2[[#This Row],[final_obs_int2]]),ABS(Table2[[#This Row],[final_obs_int2]]-Table2[[#This Row],[final_obs_int_feb]]), "NA")</f>
        <v>5</v>
      </c>
      <c r="R693" s="24"/>
      <c r="S693" s="20" t="s">
        <v>75</v>
      </c>
      <c r="T693" s="20" t="str">
        <f>Table2[[#This Row],[camera_old]]</f>
        <v>Y</v>
      </c>
      <c r="U693" s="22" t="s">
        <v>88</v>
      </c>
      <c r="V693" s="16" t="s">
        <v>90</v>
      </c>
      <c r="W693" s="16" t="s">
        <v>24</v>
      </c>
      <c r="X693" s="145">
        <v>4</v>
      </c>
      <c r="Y693" s="148" t="s">
        <v>90</v>
      </c>
      <c r="Z693" s="146" t="s">
        <v>90</v>
      </c>
      <c r="AA693" s="4" t="str">
        <f>Table2[[#This Row],[field_fate]]</f>
        <v>U</v>
      </c>
      <c r="AB693" s="65" t="str">
        <f>Table2[[#This Row],[field_fate2]]</f>
        <v>U</v>
      </c>
      <c r="AC693" s="93" t="str">
        <f>Table2[[#This Row],[field_fate3]]</f>
        <v>U</v>
      </c>
      <c r="AD693" s="93" t="str">
        <f>Table2[[#This Row],[field_fate4]]</f>
        <v>U</v>
      </c>
      <c r="AE693" s="100" t="str">
        <f>Table2[[#This Row],[field_fate5]]</f>
        <v>U</v>
      </c>
      <c r="AF693" s="93" t="str">
        <f>Table2[[#This Row],[field_fate5]]</f>
        <v>U</v>
      </c>
      <c r="AG693" s="93" t="str">
        <f>Table2[[#This Row],[field_fate5]]</f>
        <v>U</v>
      </c>
      <c r="AH693" s="93" t="str">
        <f>Table2[[#This Row],[field_fate2]]</f>
        <v>U</v>
      </c>
      <c r="AI693" s="93" t="str">
        <f>Table2[[#This Row],[field_fate8]]</f>
        <v>U</v>
      </c>
      <c r="AJ693" s="93" t="str">
        <f>Table2[[#This Row],[field_fate10]]</f>
        <v>U</v>
      </c>
      <c r="AK693" s="93" t="b">
        <f>Table2[[#This Row],[field_fate_feb]]=Table2[[#This Row],[field_fate10]]</f>
        <v>1</v>
      </c>
      <c r="AL693" s="43" t="s">
        <v>24</v>
      </c>
      <c r="AM693" s="43" t="b">
        <f>Table2[[#This Row],[cam_fate2]]="NA"</f>
        <v>1</v>
      </c>
      <c r="AN693" s="19" t="str">
        <f>Table2[[#This Row],[cam_fate1]]</f>
        <v>NA</v>
      </c>
      <c r="AO693" s="2" t="s">
        <v>24</v>
      </c>
      <c r="AP693" s="5" t="str">
        <f>Table2[[#This Row],[final_fate1]]</f>
        <v>NA</v>
      </c>
      <c r="AQ693" s="6" t="s">
        <v>24</v>
      </c>
      <c r="AR693" s="72" t="s">
        <v>24</v>
      </c>
      <c r="AS693" s="72" t="e">
        <f>Table2[[#This Row],[final_obs_date]]-Table2[[#This Row],[init_date]]</f>
        <v>#VALUE!</v>
      </c>
      <c r="AT693" s="72" t="e">
        <f>(Table2[[#This Row],[final_obs_date2]]-Table2[[#This Row],[estHD]])+16</f>
        <v>#VALUE!</v>
      </c>
      <c r="AU693" s="41">
        <v>4</v>
      </c>
      <c r="AV693" s="33">
        <v>9</v>
      </c>
      <c r="AW693" s="33">
        <f>Table2[[#This Row],[final_obs_date2]]-Table2[[#This Row],[pen_obs_date]]</f>
        <v>90</v>
      </c>
      <c r="AX693" s="67">
        <v>90</v>
      </c>
      <c r="AY693" s="156">
        <f>Table2[[#This Row],[final_obs_date]]</f>
        <v>90</v>
      </c>
      <c r="AZ693" s="6"/>
      <c r="BA693" s="92" t="s">
        <v>47</v>
      </c>
      <c r="BB693" s="6" t="e">
        <f>Table2[[#This Row],[final_obs_date]]&lt;(Table2[[#This Row],[estHD]]-2)</f>
        <v>#VALUE!</v>
      </c>
      <c r="BC693" s="32">
        <v>7</v>
      </c>
      <c r="BD693" s="16" t="s">
        <v>24</v>
      </c>
      <c r="BE693" s="6" t="b">
        <f>NOT(Table2[[#This Row],[HF_C]]=Table2[[#This Row],[HF]])</f>
        <v>1</v>
      </c>
      <c r="BF693" s="38" t="b">
        <f>NOT(Table2[[#This Row],[cam_fate2]]=Table2[[#This Row],[field_fate3]])</f>
        <v>1</v>
      </c>
      <c r="BG693" s="38" t="b">
        <f>OR(Table2[[#This Row],[field_fate3]]="U",Table2[[#This Row],[field_fate3]]="U-H")</f>
        <v>1</v>
      </c>
      <c r="BH693" s="8">
        <v>74</v>
      </c>
      <c r="BI693" s="8">
        <v>86</v>
      </c>
      <c r="BJ693" s="14">
        <f>IF(ISTEXT(Table2[[#This Row],[j.cam]]),Table2[[#This Row],[j]],Table2[[#This Row],[j.cam]])</f>
        <v>86</v>
      </c>
      <c r="BK693" s="8">
        <v>90</v>
      </c>
      <c r="BL693" s="14">
        <f>IF(ISTEXT(Table2[[#This Row],[k.cam]]), Table2[[#This Row],[k]], Table2[[#This Row],[k.cam]])</f>
        <v>90</v>
      </c>
      <c r="BM693" s="4" t="s">
        <v>24</v>
      </c>
      <c r="BN693" s="8" t="s">
        <v>24</v>
      </c>
      <c r="BO693" s="4">
        <v>4</v>
      </c>
      <c r="BP693" s="4">
        <f>Table2[[#This Row],[final_obs_date]]-Table2[[#This Row],[i]]</f>
        <v>16</v>
      </c>
      <c r="BQ693" s="4" t="e">
        <f>Table2[[#This Row],[final_obs_date2]]&gt;Table2[[#This Row],[estHD]]+3</f>
        <v>#VALUE!</v>
      </c>
      <c r="BR693" s="28" t="s">
        <v>55</v>
      </c>
      <c r="BS693" s="3" t="s">
        <v>45</v>
      </c>
      <c r="BT693" s="125" t="s">
        <v>1415</v>
      </c>
      <c r="BU693" s="4" t="s">
        <v>444</v>
      </c>
      <c r="BV693" s="79" t="s">
        <v>1697</v>
      </c>
      <c r="BW693" s="69" t="s">
        <v>471</v>
      </c>
      <c r="BX693" s="73" t="s">
        <v>995</v>
      </c>
      <c r="BY693" s="47" t="s">
        <v>897</v>
      </c>
    </row>
    <row r="694" spans="1:77" ht="19" thickBot="1" x14ac:dyDescent="0.4">
      <c r="A694" s="64">
        <v>30961</v>
      </c>
      <c r="B694" s="2" t="s">
        <v>35</v>
      </c>
      <c r="C694" s="46">
        <v>2021</v>
      </c>
      <c r="D694" s="3">
        <v>29.767469999999999</v>
      </c>
      <c r="E694" s="3">
        <v>-93.163650000000004</v>
      </c>
      <c r="F694" s="3">
        <v>5</v>
      </c>
      <c r="G694" s="3">
        <v>5</v>
      </c>
      <c r="H694" s="3" t="s">
        <v>24</v>
      </c>
      <c r="I694" s="43"/>
      <c r="J694" s="116" t="s">
        <v>24</v>
      </c>
      <c r="K694" s="4" t="s">
        <v>24</v>
      </c>
      <c r="L694" s="22" t="str">
        <f>IF(ISNUMBER(Table2[[#This Row],[estHD]]),ABS(Table2[[#This Row],[HD]]-Table2[[#This Row],[estHD]]),"NA")</f>
        <v>NA</v>
      </c>
      <c r="M694" s="4" t="b">
        <f>Table2[[#This Row],[HD]]=Table2[[#This Row],[estHD]]</f>
        <v>1</v>
      </c>
      <c r="N694" s="4" t="str">
        <f>IF(ISNUMBER([1]!Table2[[#This Row],[hatch_date]]),[1]!Table2[[#This Row],[hatch_date]]-19,"NA")</f>
        <v>NA</v>
      </c>
      <c r="O694" s="31" t="s">
        <v>24</v>
      </c>
      <c r="P694" s="23" t="str">
        <f>IF(ISNUMBER(Table2[[#This Row],[nest_age1]]),ABS(Table2[[#This Row],[nest_age1]]-Table2[[#This Row],[nest_age_feb]]),"NA")</f>
        <v>NA</v>
      </c>
      <c r="Q694" s="24">
        <f>IF(ISNUMBER(Table2[[#This Row],[final_obs_int2]]),ABS(Table2[[#This Row],[final_obs_int2]]-Table2[[#This Row],[final_obs_int_feb]]), "NA")</f>
        <v>0</v>
      </c>
      <c r="R694" s="24"/>
      <c r="S694" s="20" t="s">
        <v>75</v>
      </c>
      <c r="T694" s="20" t="str">
        <f>Table2[[#This Row],[camera_old]]</f>
        <v>Y</v>
      </c>
      <c r="U694" s="22" t="s">
        <v>88</v>
      </c>
      <c r="V694" s="16" t="s">
        <v>31</v>
      </c>
      <c r="W694" s="16" t="s">
        <v>24</v>
      </c>
      <c r="X694" s="145">
        <v>7</v>
      </c>
      <c r="Y694" s="153" t="s">
        <v>25</v>
      </c>
      <c r="Z694" s="146" t="s">
        <v>25</v>
      </c>
      <c r="AA694" s="4" t="str">
        <f>Table2[[#This Row],[field_fate]]</f>
        <v>S</v>
      </c>
      <c r="AB694" s="4" t="str">
        <f>Table2[[#This Row],[field_fate2]]</f>
        <v>S</v>
      </c>
      <c r="AC694" s="98" t="str">
        <f>Table2[[#This Row],[field_fate3]]</f>
        <v>S</v>
      </c>
      <c r="AD694" s="141" t="s">
        <v>90</v>
      </c>
      <c r="AE694" s="137" t="str">
        <f>Table2[[#This Row],[field_fate5]]</f>
        <v>U</v>
      </c>
      <c r="AF694" s="114" t="str">
        <f>Table2[[#This Row],[field_fate5]]</f>
        <v>U</v>
      </c>
      <c r="AG694" s="114" t="str">
        <f>Table2[[#This Row],[field_fate5]]</f>
        <v>U</v>
      </c>
      <c r="AH694" s="114" t="str">
        <f>Table2[[#This Row],[field_fate2]]</f>
        <v>S</v>
      </c>
      <c r="AI694" s="114" t="str">
        <f>Table2[[#This Row],[field_fate8]]</f>
        <v>U</v>
      </c>
      <c r="AJ694" s="114" t="str">
        <f>Table2[[#This Row],[field_fate10]]</f>
        <v>U</v>
      </c>
      <c r="AK694" s="94" t="b">
        <f>Table2[[#This Row],[field_fate_feb]]=Table2[[#This Row],[field_fate10]]</f>
        <v>0</v>
      </c>
      <c r="AL694" s="43" t="s">
        <v>31</v>
      </c>
      <c r="AM694" s="160" t="b">
        <f>Table2[[#This Row],[cam_fate2]]="NA"</f>
        <v>0</v>
      </c>
      <c r="AN694" s="19" t="str">
        <f>Table2[[#This Row],[cam_fate1]]</f>
        <v>D</v>
      </c>
      <c r="AO694" s="2" t="s">
        <v>31</v>
      </c>
      <c r="AP694" s="5" t="str">
        <f>Table2[[#This Row],[final_fate1]]</f>
        <v>D</v>
      </c>
      <c r="AQ694" s="6" t="s">
        <v>24</v>
      </c>
      <c r="AR694" s="72" t="s">
        <v>24</v>
      </c>
      <c r="AS694" s="155" t="e">
        <f>Table2[[#This Row],[final_obs_date]]-Table2[[#This Row],[init_date]]</f>
        <v>#VALUE!</v>
      </c>
      <c r="AT694" s="155" t="e">
        <f>(Table2[[#This Row],[final_obs_date2]]-Table2[[#This Row],[estHD]])+19</f>
        <v>#VALUE!</v>
      </c>
      <c r="AU694" s="38">
        <v>7</v>
      </c>
      <c r="AV694" s="33">
        <v>7</v>
      </c>
      <c r="AW694" s="33">
        <f>Table2[[#This Row],[final_obs_date2]]-Table2[[#This Row],[pen_obs_date]]</f>
        <v>7</v>
      </c>
      <c r="AX694" s="67">
        <v>81</v>
      </c>
      <c r="AY694" s="157">
        <f>Table2[[#This Row],[final_obs_date]]</f>
        <v>81</v>
      </c>
      <c r="AZ694" s="6">
        <v>74</v>
      </c>
      <c r="BA694" s="92" t="s">
        <v>47</v>
      </c>
      <c r="BB694" s="6" t="e">
        <f>Table2[[#This Row],[final_obs_date]]&lt;(Table2[[#This Row],[estHD]]-2)</f>
        <v>#VALUE!</v>
      </c>
      <c r="BC694" s="32">
        <f>IF(Table2[[#This Row],[field_fate]]="H",1,0)</f>
        <v>0</v>
      </c>
      <c r="BD694" s="16">
        <f>IF(Table2[[#This Row],[cam_fate2]]="H",1,0)</f>
        <v>0</v>
      </c>
      <c r="BE694" s="6" t="b">
        <f>NOT(Table2[[#This Row],[HF_C]]=Table2[[#This Row],[HF]])</f>
        <v>0</v>
      </c>
      <c r="BF694" s="38" t="b">
        <f>NOT(Table2[[#This Row],[cam_fate2]]=Table2[[#This Row],[field_fate3]])</f>
        <v>1</v>
      </c>
      <c r="BG694" s="38" t="b">
        <f>OR(Table2[[#This Row],[field_fate3]]="U",Table2[[#This Row],[field_fate3]]="U-H")</f>
        <v>0</v>
      </c>
      <c r="BH694" s="8">
        <v>74</v>
      </c>
      <c r="BI694" s="8">
        <v>74</v>
      </c>
      <c r="BJ694" s="14">
        <f>IF(ISTEXT(Table2[[#This Row],[j.cam]]),Table2[[#This Row],[j]],Table2[[#This Row],[j.cam]])</f>
        <v>74</v>
      </c>
      <c r="BK694" s="8">
        <v>81</v>
      </c>
      <c r="BL694" s="14">
        <f>IF(ISTEXT(Table2[[#This Row],[k.cam]]), Table2[[#This Row],[k]], Table2[[#This Row],[k.cam]])</f>
        <v>81</v>
      </c>
      <c r="BM694" s="4" t="s">
        <v>24</v>
      </c>
      <c r="BN694" s="8" t="s">
        <v>24</v>
      </c>
      <c r="BO694" s="4">
        <v>2</v>
      </c>
      <c r="BP694" s="4">
        <f>Table2[[#This Row],[final_obs_date]]-Table2[[#This Row],[i]]</f>
        <v>7</v>
      </c>
      <c r="BQ694" s="4" t="e">
        <f>Table2[[#This Row],[final_obs_date2]]&gt;Table2[[#This Row],[estHD]]+3</f>
        <v>#VALUE!</v>
      </c>
      <c r="BR694" s="3" t="s">
        <v>27</v>
      </c>
      <c r="BS694" s="3" t="s">
        <v>45</v>
      </c>
      <c r="BT694" s="125" t="s">
        <v>1414</v>
      </c>
      <c r="BU694" s="4" t="s">
        <v>183</v>
      </c>
      <c r="BV694" s="79" t="s">
        <v>1475</v>
      </c>
      <c r="BW694" s="69"/>
      <c r="BX694" s="36"/>
      <c r="BY694" s="36" t="s">
        <v>898</v>
      </c>
    </row>
    <row r="695" spans="1:77" hidden="1" x14ac:dyDescent="0.35">
      <c r="A695" s="64">
        <v>30962</v>
      </c>
      <c r="B695" s="2" t="s">
        <v>35</v>
      </c>
      <c r="C695" s="46">
        <v>2021</v>
      </c>
      <c r="D695" s="3">
        <v>29.763860000000001</v>
      </c>
      <c r="E695" s="3">
        <v>-93.144620000000003</v>
      </c>
      <c r="F695" s="3">
        <v>10</v>
      </c>
      <c r="G695" s="3">
        <v>10</v>
      </c>
      <c r="H695" s="3" t="s">
        <v>24</v>
      </c>
      <c r="I695" s="43"/>
      <c r="J695" s="116">
        <v>91</v>
      </c>
      <c r="K695" s="4">
        <v>92</v>
      </c>
      <c r="L695" s="22">
        <f>IF(ISNUMBER(Table2[[#This Row],[estHD]]),ABS(Table2[[#This Row],[HD]]-Table2[[#This Row],[estHD]]),"NA")</f>
        <v>1</v>
      </c>
      <c r="M695" s="4" t="b">
        <f>Table2[[#This Row],[HD]]=Table2[[#This Row],[estHD]]</f>
        <v>0</v>
      </c>
      <c r="N695" s="4">
        <f>IF(ISNUMBER(Table2[[#This Row],[HD]]),Table2[[#This Row],[HD]]-16,"NA")</f>
        <v>76</v>
      </c>
      <c r="O695" s="31">
        <v>76</v>
      </c>
      <c r="P695" s="23" t="e">
        <f>IF(ISNUMBER(Table2[[#This Row],[nest_age1]]),ABS(Table2[[#This Row],[nest_age1]]-Table2[[#This Row],[nest_age_feb]]),"NA")</f>
        <v>#VALUE!</v>
      </c>
      <c r="Q695" s="24">
        <f>IF(ISNUMBER(Table2[[#This Row],[final_obs_int2]]),ABS(Table2[[#This Row],[final_obs_int2]]-Table2[[#This Row],[final_obs_int_feb]]), "NA")</f>
        <v>3</v>
      </c>
      <c r="R695" s="24"/>
      <c r="S695" s="21" t="s">
        <v>448</v>
      </c>
      <c r="T695" s="21" t="s">
        <v>75</v>
      </c>
      <c r="U695" s="52" t="s">
        <v>75</v>
      </c>
      <c r="V695" s="16" t="s">
        <v>24</v>
      </c>
      <c r="W695" s="16" t="s">
        <v>24</v>
      </c>
      <c r="X695" s="145">
        <v>5</v>
      </c>
      <c r="Y695" s="149" t="s">
        <v>37</v>
      </c>
      <c r="Z695" s="146" t="s">
        <v>37</v>
      </c>
      <c r="AA695" s="4" t="str">
        <f>Table2[[#This Row],[field_fate]]</f>
        <v>H</v>
      </c>
      <c r="AB695" s="4" t="str">
        <f>Table2[[#This Row],[field_fate2]]</f>
        <v>H</v>
      </c>
      <c r="AC695" s="98" t="str">
        <f>Table2[[#This Row],[field_fate3]]</f>
        <v>H</v>
      </c>
      <c r="AD695" s="141" t="s">
        <v>90</v>
      </c>
      <c r="AE695" s="138" t="s">
        <v>37</v>
      </c>
      <c r="AF695" s="94" t="s">
        <v>37</v>
      </c>
      <c r="AG695" s="94" t="s">
        <v>37</v>
      </c>
      <c r="AH695" s="94" t="str">
        <f>Table2[[#This Row],[field_fate2]]</f>
        <v>H</v>
      </c>
      <c r="AI695" s="94" t="str">
        <f>Table2[[#This Row],[field_fate8]]</f>
        <v>H</v>
      </c>
      <c r="AJ695" s="94" t="str">
        <f>Table2[[#This Row],[field_fate10]]</f>
        <v>H</v>
      </c>
      <c r="AK695" s="94" t="b">
        <f>Table2[[#This Row],[field_fate_feb]]=Table2[[#This Row],[field_fate10]]</f>
        <v>1</v>
      </c>
      <c r="AL695" s="43" t="s">
        <v>37</v>
      </c>
      <c r="AM695" s="160" t="b">
        <f>Table2[[#This Row],[cam_fate2]]="NA"</f>
        <v>0</v>
      </c>
      <c r="AN695" s="19" t="str">
        <f>Table2[[#This Row],[cam_fate1]]</f>
        <v>H</v>
      </c>
      <c r="AO695" s="2" t="s">
        <v>37</v>
      </c>
      <c r="AP695" s="5" t="str">
        <f>Table2[[#This Row],[final_fate1]]</f>
        <v>H</v>
      </c>
      <c r="AQ695" s="6">
        <v>18</v>
      </c>
      <c r="AR695" s="72">
        <v>19</v>
      </c>
      <c r="AS695" s="155">
        <f>Table2[[#This Row],[final_obs_date]]-Table2[[#This Row],[init_date]]</f>
        <v>18</v>
      </c>
      <c r="AT695" s="155">
        <f>(Table2[[#This Row],[final_obs_date2]]-Table2[[#This Row],[estHD]])+16</f>
        <v>19</v>
      </c>
      <c r="AU695" s="38">
        <v>2</v>
      </c>
      <c r="AV695" s="33">
        <v>2</v>
      </c>
      <c r="AW695" s="33">
        <f>Table2[[#This Row],[final_obs_date2]]-Table2[[#This Row],[pen_obs_date]]</f>
        <v>4</v>
      </c>
      <c r="AX695" s="67">
        <v>94</v>
      </c>
      <c r="AY695" s="157">
        <f>Table2[[#This Row],[final_obs_date]]</f>
        <v>94</v>
      </c>
      <c r="AZ695" s="6">
        <v>90</v>
      </c>
      <c r="BA695" s="92" t="s">
        <v>60</v>
      </c>
      <c r="BB695" s="6" t="b">
        <f>Table2[[#This Row],[final_obs_date]]&lt;(Table2[[#This Row],[estHD]]-2)</f>
        <v>0</v>
      </c>
      <c r="BC695" s="25">
        <f>IF(Table2[[#This Row],[field_fate]]="H",1,0)</f>
        <v>1</v>
      </c>
      <c r="BD695" s="16">
        <f>IF(Table2[[#This Row],[cam_fate2]]="H",1,0)</f>
        <v>1</v>
      </c>
      <c r="BE695" s="6" t="b">
        <f>NOT(Table2[[#This Row],[HF_C]]=Table2[[#This Row],[HF]])</f>
        <v>0</v>
      </c>
      <c r="BF695" s="38" t="b">
        <f>NOT(Table2[[#This Row],[cam_fate2]]=Table2[[#This Row],[field_fate3]])</f>
        <v>0</v>
      </c>
      <c r="BG695" s="38" t="b">
        <f>OR(Table2[[#This Row],[field_fate3]]="U",Table2[[#This Row],[field_fate3]]="U-H")</f>
        <v>0</v>
      </c>
      <c r="BH695" s="8">
        <v>74</v>
      </c>
      <c r="BI695" s="8">
        <v>92</v>
      </c>
      <c r="BJ695" s="14">
        <f>IF(ISTEXT(Table2[[#This Row],[j.cam]]),Table2[[#This Row],[j]],Table2[[#This Row],[j.cam]])</f>
        <v>92</v>
      </c>
      <c r="BK695" s="8">
        <v>92</v>
      </c>
      <c r="BL695" s="14">
        <f>IF(ISTEXT(Table2[[#This Row],[k.cam]]), Table2[[#This Row],[k]], Table2[[#This Row],[k.cam]])</f>
        <v>92</v>
      </c>
      <c r="BM695" s="4" t="s">
        <v>24</v>
      </c>
      <c r="BN695" s="8" t="s">
        <v>24</v>
      </c>
      <c r="BO695" s="4">
        <v>5</v>
      </c>
      <c r="BP695" s="4">
        <f>Table2[[#This Row],[final_obs_date]]-Table2[[#This Row],[i]]</f>
        <v>20</v>
      </c>
      <c r="BQ695" s="4" t="b">
        <f>Table2[[#This Row],[final_obs_date2]]&gt;Table2[[#This Row],[estHD]]+3</f>
        <v>0</v>
      </c>
      <c r="BR695" s="3" t="s">
        <v>33</v>
      </c>
      <c r="BS695" s="3" t="s">
        <v>53</v>
      </c>
      <c r="BT695" s="125" t="s">
        <v>1416</v>
      </c>
      <c r="BU695" s="4" t="s">
        <v>445</v>
      </c>
      <c r="BV695" s="79" t="s">
        <v>1698</v>
      </c>
      <c r="BW695" s="69"/>
      <c r="BX695" s="36"/>
      <c r="BY695" s="36" t="s">
        <v>899</v>
      </c>
    </row>
    <row r="696" spans="1:77" hidden="1" x14ac:dyDescent="0.35">
      <c r="A696" s="64">
        <v>30963</v>
      </c>
      <c r="B696" s="2" t="s">
        <v>35</v>
      </c>
      <c r="C696" s="46">
        <v>2021</v>
      </c>
      <c r="D696" s="3">
        <v>29.762160000000002</v>
      </c>
      <c r="E696" s="3">
        <v>-93.135990000000007</v>
      </c>
      <c r="F696" s="3">
        <v>5</v>
      </c>
      <c r="G696" s="3">
        <v>5</v>
      </c>
      <c r="H696" s="3" t="s">
        <v>446</v>
      </c>
      <c r="I696" s="43"/>
      <c r="J696" s="116">
        <v>75</v>
      </c>
      <c r="K696" s="4">
        <v>76</v>
      </c>
      <c r="L696" s="22">
        <f>IF(ISNUMBER(Table2[[#This Row],[estHD]]),ABS(Table2[[#This Row],[HD]]-Table2[[#This Row],[estHD]]),"NA")</f>
        <v>1</v>
      </c>
      <c r="M696" s="4" t="b">
        <f>Table2[[#This Row],[HD]]=Table2[[#This Row],[estHD]]</f>
        <v>0</v>
      </c>
      <c r="N696" s="4">
        <f>IF(ISNUMBER(Table2[[#This Row],[HD]]),Table2[[#This Row],[HD]]-16,"NA")</f>
        <v>60</v>
      </c>
      <c r="O696" s="31">
        <v>60</v>
      </c>
      <c r="P696" s="23">
        <f>IF(ISNUMBER(Table2[[#This Row],[nest_age1]]),ABS(Table2[[#This Row],[nest_age1]]-Table2[[#This Row],[nest_age_feb]]),"NA")</f>
        <v>5</v>
      </c>
      <c r="Q696" s="24">
        <f>IF(ISNUMBER(Table2[[#This Row],[final_obs_int2]]),ABS(Table2[[#This Row],[final_obs_int2]]-Table2[[#This Row],[final_obs_int_feb]]), "NA")</f>
        <v>2</v>
      </c>
      <c r="R696" s="24">
        <f>(Table2[[#This Row],[k_adj]]-Table2[[#This Row],[estHD]])/Table2[[#This Row],[estHD]]</f>
        <v>1.3333333333333334E-2</v>
      </c>
      <c r="S696" s="20" t="s">
        <v>75</v>
      </c>
      <c r="T696" s="20" t="str">
        <f>Table2[[#This Row],[camera_old]]</f>
        <v>Y</v>
      </c>
      <c r="U696" s="22" t="s">
        <v>88</v>
      </c>
      <c r="V696" s="16" t="s">
        <v>37</v>
      </c>
      <c r="W696" s="16">
        <v>16</v>
      </c>
      <c r="X696" s="145">
        <v>3</v>
      </c>
      <c r="Y696" s="148" t="s">
        <v>37</v>
      </c>
      <c r="Z696" s="146" t="s">
        <v>37</v>
      </c>
      <c r="AA696" s="4" t="str">
        <f>Table2[[#This Row],[field_fate]]</f>
        <v>H</v>
      </c>
      <c r="AB696" s="4" t="str">
        <f>Table2[[#This Row],[field_fate2]]</f>
        <v>H</v>
      </c>
      <c r="AC696" s="94" t="str">
        <f>Table2[[#This Row],[field_fate3]]</f>
        <v>H</v>
      </c>
      <c r="AD696" s="94" t="str">
        <f>Table2[[#This Row],[field_fate4]]</f>
        <v>H</v>
      </c>
      <c r="AE696" s="105" t="str">
        <f>Table2[[#This Row],[field_fate5]]</f>
        <v>H</v>
      </c>
      <c r="AF696" s="94" t="str">
        <f>Table2[[#This Row],[field_fate5]]</f>
        <v>H</v>
      </c>
      <c r="AG696" s="94" t="str">
        <f>Table2[[#This Row],[field_fate5]]</f>
        <v>H</v>
      </c>
      <c r="AH696" s="94" t="str">
        <f>Table2[[#This Row],[field_fate2]]</f>
        <v>H</v>
      </c>
      <c r="AI696" s="94" t="str">
        <f>Table2[[#This Row],[field_fate8]]</f>
        <v>H</v>
      </c>
      <c r="AJ696" s="94" t="str">
        <f>Table2[[#This Row],[field_fate10]]</f>
        <v>H</v>
      </c>
      <c r="AK696" s="94" t="b">
        <f>Table2[[#This Row],[field_fate_feb]]=Table2[[#This Row],[field_fate10]]</f>
        <v>1</v>
      </c>
      <c r="AL696" s="43" t="s">
        <v>37</v>
      </c>
      <c r="AM696" s="160" t="b">
        <f>Table2[[#This Row],[cam_fate2]]="NA"</f>
        <v>0</v>
      </c>
      <c r="AN696" s="19" t="str">
        <f>Table2[[#This Row],[cam_fate1]]</f>
        <v>H</v>
      </c>
      <c r="AO696" s="2" t="s">
        <v>37</v>
      </c>
      <c r="AP696" s="5" t="str">
        <f>Table2[[#This Row],[final_fate1]]</f>
        <v>H</v>
      </c>
      <c r="AQ696" s="6">
        <v>21</v>
      </c>
      <c r="AR696" s="72">
        <v>22</v>
      </c>
      <c r="AS696" s="155">
        <f>Table2[[#This Row],[final_obs_date]]-Table2[[#This Row],[init_date]]</f>
        <v>21</v>
      </c>
      <c r="AT696" s="155">
        <f>(Table2[[#This Row],[final_obs_date2]]-Table2[[#This Row],[estHD]])+16</f>
        <v>22</v>
      </c>
      <c r="AU696" s="38">
        <v>5</v>
      </c>
      <c r="AV696" s="33">
        <v>5</v>
      </c>
      <c r="AW696" s="33">
        <f>Table2[[#This Row],[final_obs_date2]]-Table2[[#This Row],[pen_obs_date]]</f>
        <v>7</v>
      </c>
      <c r="AX696" s="67">
        <v>81</v>
      </c>
      <c r="AY696" s="157">
        <f>Table2[[#This Row],[final_obs_date]]</f>
        <v>81</v>
      </c>
      <c r="AZ696" s="6">
        <v>74</v>
      </c>
      <c r="BA696" s="92" t="s">
        <v>60</v>
      </c>
      <c r="BB696" s="6" t="b">
        <f>Table2[[#This Row],[final_obs_date]]&lt;(Table2[[#This Row],[estHD]]-2)</f>
        <v>0</v>
      </c>
      <c r="BC696" s="32">
        <f>IF(Table2[[#This Row],[field_fate]]="H",1,0)</f>
        <v>1</v>
      </c>
      <c r="BD696" s="16">
        <f>IF(Table2[[#This Row],[cam_fate2]]="H",1,0)</f>
        <v>1</v>
      </c>
      <c r="BE696" s="6" t="b">
        <f>NOT(Table2[[#This Row],[HF_C]]=Table2[[#This Row],[HF]])</f>
        <v>0</v>
      </c>
      <c r="BF696" s="38" t="b">
        <f>NOT(Table2[[#This Row],[cam_fate2]]=Table2[[#This Row],[field_fate3]])</f>
        <v>0</v>
      </c>
      <c r="BG696" s="38" t="b">
        <f>OR(Table2[[#This Row],[field_fate3]]="U",Table2[[#This Row],[field_fate3]]="U-H")</f>
        <v>0</v>
      </c>
      <c r="BH696" s="8">
        <v>74</v>
      </c>
      <c r="BI696" s="8">
        <v>76</v>
      </c>
      <c r="BJ696" s="14">
        <f>IF(ISTEXT(Table2[[#This Row],[j.cam]]),Table2[[#This Row],[j]],Table2[[#This Row],[j.cam]])</f>
        <v>76</v>
      </c>
      <c r="BK696" s="8">
        <v>76</v>
      </c>
      <c r="BL696" s="14">
        <f>IF(ISTEXT(Table2[[#This Row],[k.cam]]), Table2[[#This Row],[k]], Table2[[#This Row],[k.cam]])</f>
        <v>76</v>
      </c>
      <c r="BM696" s="4" t="s">
        <v>24</v>
      </c>
      <c r="BN696" s="8" t="s">
        <v>24</v>
      </c>
      <c r="BO696" s="4">
        <v>2</v>
      </c>
      <c r="BP696" s="4">
        <f>Table2[[#This Row],[final_obs_date]]-Table2[[#This Row],[i]]</f>
        <v>7</v>
      </c>
      <c r="BQ696" s="4" t="b">
        <f>Table2[[#This Row],[final_obs_date2]]&gt;Table2[[#This Row],[estHD]]+3</f>
        <v>1</v>
      </c>
      <c r="BR696" s="3" t="s">
        <v>33</v>
      </c>
      <c r="BS696" s="3" t="s">
        <v>53</v>
      </c>
      <c r="BT696" s="125" t="s">
        <v>1414</v>
      </c>
      <c r="BU696" s="4" t="s">
        <v>418</v>
      </c>
      <c r="BV696" s="79" t="s">
        <v>1464</v>
      </c>
      <c r="BW696" s="69"/>
      <c r="BX696" s="36" t="s">
        <v>955</v>
      </c>
      <c r="BY696" s="36" t="s">
        <v>900</v>
      </c>
    </row>
    <row r="697" spans="1:77" ht="15" hidden="1" thickBot="1" x14ac:dyDescent="0.4">
      <c r="A697" s="64">
        <v>30965</v>
      </c>
      <c r="B697" s="2" t="s">
        <v>35</v>
      </c>
      <c r="C697" s="46">
        <v>2021</v>
      </c>
      <c r="D697" s="3">
        <v>29.767669999999999</v>
      </c>
      <c r="E697" s="3">
        <v>-93.161820000000006</v>
      </c>
      <c r="F697" s="3">
        <v>10</v>
      </c>
      <c r="G697" s="3">
        <v>30</v>
      </c>
      <c r="H697" s="3" t="s">
        <v>24</v>
      </c>
      <c r="I697" s="43"/>
      <c r="J697" s="116" t="s">
        <v>24</v>
      </c>
      <c r="K697" s="4" t="s">
        <v>24</v>
      </c>
      <c r="L697" s="22" t="str">
        <f>IF(ISNUMBER(Table2[[#This Row],[estHD]]),ABS(Table2[[#This Row],[HD]]-Table2[[#This Row],[estHD]]),"NA")</f>
        <v>NA</v>
      </c>
      <c r="M697" s="4" t="b">
        <f>Table2[[#This Row],[HD]]=Table2[[#This Row],[estHD]]</f>
        <v>1</v>
      </c>
      <c r="N697" s="4" t="str">
        <f>IF(ISNUMBER([1]!Table2[[#This Row],[hatch_date]]),[1]!Table2[[#This Row],[hatch_date]]-19,"NA")</f>
        <v>NA</v>
      </c>
      <c r="O697" s="31" t="s">
        <v>24</v>
      </c>
      <c r="P697" s="23" t="str">
        <f>IF(ISNUMBER(Table2[[#This Row],[nest_age1]]),ABS(Table2[[#This Row],[nest_age1]]-Table2[[#This Row],[nest_age_feb]]),"NA")</f>
        <v>NA</v>
      </c>
      <c r="Q697" s="24">
        <f>IF(ISNUMBER(Table2[[#This Row],[final_obs_int2]]),ABS(Table2[[#This Row],[final_obs_int2]]-Table2[[#This Row],[final_obs_int_feb]]), "NA")</f>
        <v>1</v>
      </c>
      <c r="R697" s="24"/>
      <c r="S697" s="20" t="s">
        <v>75</v>
      </c>
      <c r="T697" s="20" t="str">
        <f>Table2[[#This Row],[camera_old]]</f>
        <v>Y</v>
      </c>
      <c r="U697" s="22" t="s">
        <v>88</v>
      </c>
      <c r="V697" s="16" t="s">
        <v>24</v>
      </c>
      <c r="W697" s="16" t="s">
        <v>24</v>
      </c>
      <c r="X697" s="145">
        <v>4</v>
      </c>
      <c r="Y697" s="147" t="s">
        <v>90</v>
      </c>
      <c r="Z697" s="146" t="s">
        <v>31</v>
      </c>
      <c r="AA697" s="4" t="str">
        <f>Table2[[#This Row],[field_fate]]</f>
        <v>D</v>
      </c>
      <c r="AB697" s="4" t="str">
        <f>Table2[[#This Row],[field_fate2]]</f>
        <v>D</v>
      </c>
      <c r="AC697" s="98" t="str">
        <f>Table2[[#This Row],[field_fate3]]</f>
        <v>D</v>
      </c>
      <c r="AD697" s="141" t="s">
        <v>90</v>
      </c>
      <c r="AE697" s="137" t="str">
        <f>Table2[[#This Row],[field_fate5]]</f>
        <v>U</v>
      </c>
      <c r="AF697" s="114" t="str">
        <f>Table2[[#This Row],[field_fate5]]</f>
        <v>U</v>
      </c>
      <c r="AG697" s="114" t="s">
        <v>31</v>
      </c>
      <c r="AH697" s="114" t="str">
        <f>Table2[[#This Row],[field_fate2]]</f>
        <v>D</v>
      </c>
      <c r="AI697" s="114" t="s">
        <v>90</v>
      </c>
      <c r="AJ697" s="114" t="str">
        <f>Table2[[#This Row],[field_fate10]]</f>
        <v>U</v>
      </c>
      <c r="AK697" s="94" t="b">
        <f>Table2[[#This Row],[field_fate_feb]]=Table2[[#This Row],[field_fate10]]</f>
        <v>1</v>
      </c>
      <c r="AL697" s="43" t="s">
        <v>31</v>
      </c>
      <c r="AM697" s="160" t="b">
        <f>Table2[[#This Row],[cam_fate2]]="NA"</f>
        <v>0</v>
      </c>
      <c r="AN697" s="19" t="str">
        <f>Table2[[#This Row],[cam_fate1]]</f>
        <v>D</v>
      </c>
      <c r="AO697" s="2" t="s">
        <v>31</v>
      </c>
      <c r="AP697" s="5" t="str">
        <f>Table2[[#This Row],[final_fate1]]</f>
        <v>D</v>
      </c>
      <c r="AQ697" s="6" t="s">
        <v>24</v>
      </c>
      <c r="AR697" s="72" t="s">
        <v>24</v>
      </c>
      <c r="AS697" s="155" t="e">
        <f>Table2[[#This Row],[final_obs_date]]-Table2[[#This Row],[init_date]]</f>
        <v>#VALUE!</v>
      </c>
      <c r="AT697" s="155" t="e">
        <f>(Table2[[#This Row],[final_obs_date2]]-Table2[[#This Row],[estHD]])+19</f>
        <v>#VALUE!</v>
      </c>
      <c r="AU697" s="38">
        <v>5</v>
      </c>
      <c r="AV697" s="33">
        <v>5</v>
      </c>
      <c r="AW697" s="33">
        <f>Table2[[#This Row],[final_obs_date2]]-Table2[[#This Row],[pen_obs_date]]</f>
        <v>5</v>
      </c>
      <c r="AX697" s="67">
        <v>86</v>
      </c>
      <c r="AY697" s="157">
        <f>Table2[[#This Row],[final_obs_date]]</f>
        <v>86</v>
      </c>
      <c r="AZ697" s="6">
        <v>81</v>
      </c>
      <c r="BA697" s="92" t="s">
        <v>47</v>
      </c>
      <c r="BB697" s="6" t="e">
        <f>Table2[[#This Row],[final_obs_date]]&lt;(Table2[[#This Row],[estHD]]-2)</f>
        <v>#VALUE!</v>
      </c>
      <c r="BC697" s="32">
        <f>IF(Table2[[#This Row],[field_fate]]="H",1,0)</f>
        <v>0</v>
      </c>
      <c r="BD697" s="16">
        <f>IF(Table2[[#This Row],[cam_fate2]]="H",1,0)</f>
        <v>0</v>
      </c>
      <c r="BE697" s="6" t="b">
        <f>NOT(Table2[[#This Row],[HF_C]]=Table2[[#This Row],[HF]])</f>
        <v>0</v>
      </c>
      <c r="BF697" s="38" t="b">
        <f>NOT(Table2[[#This Row],[cam_fate2]]=Table2[[#This Row],[field_fate3]])</f>
        <v>0</v>
      </c>
      <c r="BG697" s="38" t="b">
        <f>OR(Table2[[#This Row],[field_fate3]]="U",Table2[[#This Row],[field_fate3]]="U-H")</f>
        <v>0</v>
      </c>
      <c r="BH697" s="8">
        <v>81</v>
      </c>
      <c r="BI697" s="8">
        <v>81</v>
      </c>
      <c r="BJ697" s="14">
        <f>IF(ISTEXT(Table2[[#This Row],[j.cam]]),Table2[[#This Row],[j]],Table2[[#This Row],[j.cam]])</f>
        <v>81</v>
      </c>
      <c r="BK697" s="8">
        <v>86</v>
      </c>
      <c r="BL697" s="14">
        <f>IF(ISTEXT(Table2[[#This Row],[k.cam]]), Table2[[#This Row],[k]], Table2[[#This Row],[k.cam]])</f>
        <v>86</v>
      </c>
      <c r="BM697" s="4" t="s">
        <v>24</v>
      </c>
      <c r="BN697" s="8" t="s">
        <v>24</v>
      </c>
      <c r="BO697" s="4">
        <v>2</v>
      </c>
      <c r="BP697" s="4">
        <f>Table2[[#This Row],[final_obs_date]]-Table2[[#This Row],[i]]</f>
        <v>5</v>
      </c>
      <c r="BQ697" s="4" t="e">
        <f>Table2[[#This Row],[final_obs_date2]]&gt;Table2[[#This Row],[estHD]]+3</f>
        <v>#VALUE!</v>
      </c>
      <c r="BR697" s="3" t="s">
        <v>58</v>
      </c>
      <c r="BS697" s="3" t="s">
        <v>45</v>
      </c>
      <c r="BT697" s="125" t="s">
        <v>1417</v>
      </c>
      <c r="BU697" s="4" t="s">
        <v>117</v>
      </c>
      <c r="BV697" s="79" t="s">
        <v>1464</v>
      </c>
      <c r="BW697" s="69"/>
      <c r="BX697" s="36"/>
      <c r="BY697" s="36" t="s">
        <v>901</v>
      </c>
    </row>
    <row r="698" spans="1:77" hidden="1" x14ac:dyDescent="0.35">
      <c r="A698" s="64">
        <v>30966</v>
      </c>
      <c r="B698" s="2" t="s">
        <v>35</v>
      </c>
      <c r="C698" s="46">
        <v>2021</v>
      </c>
      <c r="D698" s="3">
        <v>29.76154</v>
      </c>
      <c r="E698" s="3">
        <v>-93.133960000000002</v>
      </c>
      <c r="F698" s="3">
        <v>0</v>
      </c>
      <c r="G698" s="3">
        <v>0</v>
      </c>
      <c r="H698" s="3" t="s">
        <v>24</v>
      </c>
      <c r="I698" s="43"/>
      <c r="J698" s="55" t="s">
        <v>24</v>
      </c>
      <c r="K698" s="4" t="s">
        <v>24</v>
      </c>
      <c r="L698" s="22" t="str">
        <f>IF(ISNUMBER(Table2[[#This Row],[estHD]]),ABS(Table2[[#This Row],[HD]]-Table2[[#This Row],[estHD]]),"NA")</f>
        <v>NA</v>
      </c>
      <c r="M698" s="4" t="b">
        <f>Table2[[#This Row],[HD]]=Table2[[#This Row],[estHD]]</f>
        <v>1</v>
      </c>
      <c r="N698" s="4" t="str">
        <f>IF(ISNUMBER([1]!Table2[[#This Row],[hatch_date]]), [1]!Table2[[#This Row],[hatch_date]]-16, "NA")</f>
        <v>NA</v>
      </c>
      <c r="O698" s="31" t="s">
        <v>24</v>
      </c>
      <c r="P698" s="23" t="str">
        <f>IF(ISNUMBER(Table2[[#This Row],[nest_age1]]),ABS(Table2[[#This Row],[nest_age1]]-Table2[[#This Row],[nest_age_feb]]),"NA")</f>
        <v>NA</v>
      </c>
      <c r="Q698" s="24">
        <f>IF(ISNUMBER(Table2[[#This Row],[final_obs_int2]]),ABS(Table2[[#This Row],[final_obs_int2]]-Table2[[#This Row],[final_obs_int_feb]]), "NA")</f>
        <v>3</v>
      </c>
      <c r="R698" s="24"/>
      <c r="S698" s="57" t="s">
        <v>88</v>
      </c>
      <c r="T698" s="57" t="str">
        <f>Table2[[#This Row],[camera_old]]</f>
        <v>N</v>
      </c>
      <c r="U698" s="24"/>
      <c r="V698" s="16" t="s">
        <v>24</v>
      </c>
      <c r="W698" s="16" t="s">
        <v>24</v>
      </c>
      <c r="X698" s="145">
        <v>8</v>
      </c>
      <c r="Y698" s="149" t="s">
        <v>91</v>
      </c>
      <c r="Z698" s="146" t="s">
        <v>91</v>
      </c>
      <c r="AA698" s="4" t="str">
        <f>Table2[[#This Row],[field_fate]]</f>
        <v>Hu</v>
      </c>
      <c r="AB698" s="4" t="str">
        <f>Table2[[#This Row],[field_fate2]]</f>
        <v>Hu</v>
      </c>
      <c r="AC698" s="4" t="str">
        <f>Table2[[#This Row],[field_fate3]]</f>
        <v>Hu</v>
      </c>
      <c r="AD698" s="4" t="str">
        <f>Table2[[#This Row],[field_fate4]]</f>
        <v>Hu</v>
      </c>
      <c r="AE698" s="101" t="str">
        <f>Table2[[#This Row],[field_fate5]]</f>
        <v>Hu</v>
      </c>
      <c r="AF698" s="4" t="str">
        <f>Table2[[#This Row],[field_fate5]]</f>
        <v>Hu</v>
      </c>
      <c r="AG698" s="4" t="str">
        <f>Table2[[#This Row],[field_fate5]]</f>
        <v>Hu</v>
      </c>
      <c r="AH698" s="4" t="str">
        <f>Table2[[#This Row],[field_fate2]]</f>
        <v>Hu</v>
      </c>
      <c r="AI698" s="4" t="str">
        <f>Table2[[#This Row],[field_fate8]]</f>
        <v>Hu</v>
      </c>
      <c r="AJ698" s="4" t="str">
        <f>Table2[[#This Row],[field_fate10]]</f>
        <v>Hu</v>
      </c>
      <c r="AK698" s="4" t="b">
        <f>Table2[[#This Row],[field_fate_feb]]=Table2[[#This Row],[field_fate10]]</f>
        <v>1</v>
      </c>
      <c r="AL698" s="43" t="s">
        <v>24</v>
      </c>
      <c r="AM698" s="43" t="b">
        <f>Table2[[#This Row],[cam_fate2]]="NA"</f>
        <v>1</v>
      </c>
      <c r="AN698" s="19" t="str">
        <f>Table2[[#This Row],[cam_fate1]]</f>
        <v>NA</v>
      </c>
      <c r="AO698" s="2" t="s">
        <v>91</v>
      </c>
      <c r="AP698" s="5" t="str">
        <f>Table2[[#This Row],[final_fate1]]</f>
        <v>Hu</v>
      </c>
      <c r="AQ698" s="6" t="s">
        <v>24</v>
      </c>
      <c r="AR698" s="7" t="s">
        <v>24</v>
      </c>
      <c r="AS698" s="7" t="e">
        <f>Table2[[#This Row],[final_obs_date]]-Table2[[#This Row],[init_date]]</f>
        <v>#VALUE!</v>
      </c>
      <c r="AT698" s="7" t="e">
        <f>(Table2[[#This Row],[final_obs_date2]]-Table2[[#This Row],[estHD]])+16</f>
        <v>#VALUE!</v>
      </c>
      <c r="AU698" s="38">
        <v>5</v>
      </c>
      <c r="AV698" s="33">
        <v>5</v>
      </c>
      <c r="AW698" s="33">
        <f>Table2[[#This Row],[final_obs_date2]]-Table2[[#This Row],[pen_obs_date]]</f>
        <v>86</v>
      </c>
      <c r="AX698" s="67">
        <v>86</v>
      </c>
      <c r="AY698" s="6">
        <f>Table2[[#This Row],[final_obs_date]]</f>
        <v>86</v>
      </c>
      <c r="AZ698" s="6"/>
      <c r="BA698" s="91" t="s">
        <v>60</v>
      </c>
      <c r="BB698" s="6" t="e">
        <f>Table2[[#This Row],[final_obs_date]]&lt;(Table2[[#This Row],[estHD]]-2)</f>
        <v>#VALUE!</v>
      </c>
      <c r="BC698" s="24">
        <f>IF(Table2[[#This Row],[field_fate]]="H",1,0)</f>
        <v>0</v>
      </c>
      <c r="BD698" s="16">
        <f>IF(Table2[[#This Row],[cam_fate2]]="H",1,0)</f>
        <v>0</v>
      </c>
      <c r="BE698" s="6" t="b">
        <f>NOT(Table2[[#This Row],[HF_C]]=Table2[[#This Row],[HF]])</f>
        <v>0</v>
      </c>
      <c r="BF698" s="6" t="b">
        <f>NOT(Table2[[#This Row],[cam_fate2]]=Table2[[#This Row],[field_fate3]])</f>
        <v>1</v>
      </c>
      <c r="BG698" s="6" t="b">
        <f>OR(Table2[[#This Row],[field_fate3]]="U",Table2[[#This Row],[field_fate3]]="U-H")</f>
        <v>0</v>
      </c>
      <c r="BH698" s="8">
        <v>81</v>
      </c>
      <c r="BI698" s="8">
        <v>81</v>
      </c>
      <c r="BJ698" s="14">
        <f>IF(ISTEXT(Table2[[#This Row],[j.cam]]),Table2[[#This Row],[j]],Table2[[#This Row],[j.cam]])</f>
        <v>81</v>
      </c>
      <c r="BK698" s="9">
        <v>86</v>
      </c>
      <c r="BL698" s="15">
        <f>IF(ISTEXT(Table2[[#This Row],[k.cam]]), Table2[[#This Row],[k]], Table2[[#This Row],[k.cam]])</f>
        <v>86</v>
      </c>
      <c r="BM698" s="4" t="s">
        <v>24</v>
      </c>
      <c r="BN698" s="8" t="s">
        <v>24</v>
      </c>
      <c r="BO698" s="4">
        <v>2</v>
      </c>
      <c r="BP698" s="4">
        <f>Table2[[#This Row],[final_obs_date]]-Table2[[#This Row],[i]]</f>
        <v>5</v>
      </c>
      <c r="BQ698" s="4" t="e">
        <f>Table2[[#This Row],[final_obs_date2]]&gt;Table2[[#This Row],[estHD]]+3</f>
        <v>#VALUE!</v>
      </c>
      <c r="BR698" s="4" t="s">
        <v>33</v>
      </c>
      <c r="BS698" s="4" t="s">
        <v>45</v>
      </c>
      <c r="BT698" s="79" t="s">
        <v>1417</v>
      </c>
      <c r="BU698" s="26" t="s">
        <v>87</v>
      </c>
      <c r="BV698" s="79" t="s">
        <v>1464</v>
      </c>
      <c r="BW698" s="49"/>
      <c r="BX698" s="47"/>
      <c r="BY698" s="36" t="s">
        <v>902</v>
      </c>
    </row>
    <row r="699" spans="1:77" hidden="1" x14ac:dyDescent="0.35">
      <c r="A699" s="64">
        <v>30967</v>
      </c>
      <c r="B699" s="2" t="s">
        <v>35</v>
      </c>
      <c r="C699" s="46">
        <v>2021</v>
      </c>
      <c r="D699" s="3">
        <v>29.763660000000002</v>
      </c>
      <c r="E699" s="3">
        <v>-93.141459999999995</v>
      </c>
      <c r="F699" s="3">
        <v>0</v>
      </c>
      <c r="G699" s="3">
        <v>5</v>
      </c>
      <c r="H699" s="3" t="s">
        <v>24</v>
      </c>
      <c r="I699" s="43"/>
      <c r="J699" s="55" t="s">
        <v>24</v>
      </c>
      <c r="K699" s="4" t="s">
        <v>24</v>
      </c>
      <c r="L699" s="22" t="str">
        <f>IF(ISNUMBER(Table2[[#This Row],[estHD]]),ABS(Table2[[#This Row],[HD]]-Table2[[#This Row],[estHD]]),"NA")</f>
        <v>NA</v>
      </c>
      <c r="M699" s="4" t="b">
        <f>Table2[[#This Row],[HD]]=Table2[[#This Row],[estHD]]</f>
        <v>1</v>
      </c>
      <c r="N699" s="4" t="str">
        <f>IF(ISNUMBER([1]!Table2[[#This Row],[hatch_date]]),[1]!Table2[[#This Row],[hatch_date]]-19,"NA")</f>
        <v>NA</v>
      </c>
      <c r="O699" s="31" t="s">
        <v>24</v>
      </c>
      <c r="P699" s="23" t="str">
        <f>IF(ISNUMBER(Table2[[#This Row],[nest_age1]]),ABS(Table2[[#This Row],[nest_age1]]-Table2[[#This Row],[nest_age_feb]]),"NA")</f>
        <v>NA</v>
      </c>
      <c r="Q699" s="24">
        <f>IF(ISNUMBER(Table2[[#This Row],[final_obs_int2]]),ABS(Table2[[#This Row],[final_obs_int2]]-Table2[[#This Row],[final_obs_int_feb]]), "NA")</f>
        <v>0</v>
      </c>
      <c r="R699" s="24"/>
      <c r="S699" s="21" t="s">
        <v>172</v>
      </c>
      <c r="T699" s="21" t="str">
        <f>Table2[[#This Row],[camera_old]]</f>
        <v>Y?</v>
      </c>
      <c r="U699" s="52" t="s">
        <v>75</v>
      </c>
      <c r="V699" s="16" t="s">
        <v>24</v>
      </c>
      <c r="W699" s="16" t="s">
        <v>24</v>
      </c>
      <c r="X699" s="145">
        <v>5</v>
      </c>
      <c r="Y699" s="148" t="s">
        <v>90</v>
      </c>
      <c r="Z699" s="146" t="s">
        <v>90</v>
      </c>
      <c r="AA699" s="4" t="str">
        <f>Table2[[#This Row],[field_fate]]</f>
        <v>U</v>
      </c>
      <c r="AB699" s="4" t="str">
        <f>Table2[[#This Row],[field_fate2]]</f>
        <v>U</v>
      </c>
      <c r="AC699" s="4" t="str">
        <f>Table2[[#This Row],[field_fate3]]</f>
        <v>U</v>
      </c>
      <c r="AD699" s="4" t="str">
        <f>Table2[[#This Row],[field_fate4]]</f>
        <v>U</v>
      </c>
      <c r="AE699" s="4" t="str">
        <f>Table2[[#This Row],[field_fate5]]</f>
        <v>U</v>
      </c>
      <c r="AF699" s="4" t="str">
        <f>Table2[[#This Row],[field_fate5]]</f>
        <v>U</v>
      </c>
      <c r="AG699" s="4" t="str">
        <f>Table2[[#This Row],[field_fate5]]</f>
        <v>U</v>
      </c>
      <c r="AH699" s="4" t="str">
        <f>Table2[[#This Row],[field_fate2]]</f>
        <v>U</v>
      </c>
      <c r="AI699" s="4" t="str">
        <f>Table2[[#This Row],[field_fate8]]</f>
        <v>U</v>
      </c>
      <c r="AJ699" s="4" t="str">
        <f>Table2[[#This Row],[field_fate10]]</f>
        <v>U</v>
      </c>
      <c r="AK699" s="4" t="b">
        <f>Table2[[#This Row],[field_fate_feb]]=Table2[[#This Row],[field_fate10]]</f>
        <v>1</v>
      </c>
      <c r="AL699" s="43" t="s">
        <v>24</v>
      </c>
      <c r="AM699" s="43" t="b">
        <f>Table2[[#This Row],[cam_fate2]]="NA"</f>
        <v>1</v>
      </c>
      <c r="AN699" s="19" t="str">
        <f>Table2[[#This Row],[cam_fate1]]</f>
        <v>NA</v>
      </c>
      <c r="AO699" s="2" t="s">
        <v>90</v>
      </c>
      <c r="AP699" s="5" t="s">
        <v>24</v>
      </c>
      <c r="AQ699" s="6" t="s">
        <v>24</v>
      </c>
      <c r="AR699" s="7" t="s">
        <v>24</v>
      </c>
      <c r="AS699" s="7" t="e">
        <f>Table2[[#This Row],[final_obs_date]]-Table2[[#This Row],[init_date]]</f>
        <v>#VALUE!</v>
      </c>
      <c r="AT699" s="7" t="e">
        <f>(Table2[[#This Row],[final_obs_date2]]-Table2[[#This Row],[estHD]])+16</f>
        <v>#VALUE!</v>
      </c>
      <c r="AU699" s="38">
        <v>5</v>
      </c>
      <c r="AV699" s="33">
        <v>5</v>
      </c>
      <c r="AW699" s="33">
        <f>Table2[[#This Row],[final_obs_date2]]-Table2[[#This Row],[pen_obs_date]]</f>
        <v>86</v>
      </c>
      <c r="AX699" s="67">
        <v>86</v>
      </c>
      <c r="AY699" s="6">
        <f>Table2[[#This Row],[final_obs_date]]</f>
        <v>86</v>
      </c>
      <c r="AZ699" s="6"/>
      <c r="BA699" s="91" t="s">
        <v>47</v>
      </c>
      <c r="BB699" s="6" t="e">
        <f>Table2[[#This Row],[final_obs_date]]&lt;(Table2[[#This Row],[estHD]]-2)</f>
        <v>#VALUE!</v>
      </c>
      <c r="BC699" s="25">
        <f>IF(Table2[[#This Row],[field_fate]]="H",1,0)</f>
        <v>0</v>
      </c>
      <c r="BD699" s="16">
        <f>IF(Table2[[#This Row],[cam_fate2]]="H",1,0)</f>
        <v>0</v>
      </c>
      <c r="BE699" s="6" t="b">
        <f>NOT(Table2[[#This Row],[HF_C]]=Table2[[#This Row],[HF]])</f>
        <v>0</v>
      </c>
      <c r="BF699" s="6" t="b">
        <f>NOT(Table2[[#This Row],[cam_fate2]]=Table2[[#This Row],[field_fate3]])</f>
        <v>1</v>
      </c>
      <c r="BG699" s="6" t="b">
        <f>OR(Table2[[#This Row],[field_fate3]]="U",Table2[[#This Row],[field_fate3]]="U-H")</f>
        <v>1</v>
      </c>
      <c r="BH699" s="8">
        <v>81</v>
      </c>
      <c r="BI699" s="8">
        <v>81</v>
      </c>
      <c r="BJ699" s="14">
        <f>IF(ISTEXT(Table2[[#This Row],[j.cam]]),Table2[[#This Row],[j]],Table2[[#This Row],[j.cam]])</f>
        <v>81</v>
      </c>
      <c r="BK699" s="8">
        <v>86</v>
      </c>
      <c r="BL699" s="14">
        <f>IF(ISTEXT(Table2[[#This Row],[k.cam]]), Table2[[#This Row],[k]], Table2[[#This Row],[k.cam]])</f>
        <v>86</v>
      </c>
      <c r="BM699" s="4" t="s">
        <v>24</v>
      </c>
      <c r="BN699" s="8" t="s">
        <v>24</v>
      </c>
      <c r="BO699" s="4">
        <v>2</v>
      </c>
      <c r="BP699" s="4">
        <f>Table2[[#This Row],[final_obs_date]]-Table2[[#This Row],[i]]</f>
        <v>5</v>
      </c>
      <c r="BQ699" s="4" t="e">
        <f>Table2[[#This Row],[final_obs_date2]]&gt;Table2[[#This Row],[estHD]]+3</f>
        <v>#VALUE!</v>
      </c>
      <c r="BR699" s="3" t="s">
        <v>33</v>
      </c>
      <c r="BS699" s="3" t="s">
        <v>45</v>
      </c>
      <c r="BT699" s="79" t="s">
        <v>1417</v>
      </c>
      <c r="BU699" s="26" t="s">
        <v>87</v>
      </c>
      <c r="BV699" s="79" t="s">
        <v>1464</v>
      </c>
      <c r="BW699" s="49"/>
      <c r="BX699" s="47" t="s">
        <v>957</v>
      </c>
      <c r="BY699" s="47" t="s">
        <v>901</v>
      </c>
    </row>
    <row r="700" spans="1:77" hidden="1" x14ac:dyDescent="0.35">
      <c r="A700" s="64">
        <v>30970</v>
      </c>
      <c r="B700" s="2" t="s">
        <v>35</v>
      </c>
      <c r="C700" s="46">
        <v>2021</v>
      </c>
      <c r="D700" s="3">
        <v>29.766549999999999</v>
      </c>
      <c r="E700" s="3">
        <v>-93.156310000000005</v>
      </c>
      <c r="F700" s="3">
        <v>30</v>
      </c>
      <c r="G700" s="3">
        <v>30</v>
      </c>
      <c r="H700" s="3" t="s">
        <v>24</v>
      </c>
      <c r="I700" s="43"/>
      <c r="J700" s="116">
        <v>101</v>
      </c>
      <c r="K700" s="4">
        <v>101</v>
      </c>
      <c r="L700" s="22">
        <f>IF(ISNUMBER(Table2[[#This Row],[estHD]]),ABS(Table2[[#This Row],[HD]]-Table2[[#This Row],[estHD]]),"NA")</f>
        <v>0</v>
      </c>
      <c r="M700" s="4" t="b">
        <f>Table2[[#This Row],[HD]]=Table2[[#This Row],[estHD]]</f>
        <v>1</v>
      </c>
      <c r="N700" s="4" t="str">
        <f>IF(ISNUMBER([1]!Table2[[#This Row],[hatch_date]]),[1]!Table2[[#This Row],[hatch_date]]-19,"NA")</f>
        <v>NA</v>
      </c>
      <c r="O700" s="31">
        <v>82</v>
      </c>
      <c r="P700" s="23">
        <f>IF(ISNUMBER(Table2[[#This Row],[nest_age1]]),ABS(Table2[[#This Row],[nest_age1]]-Table2[[#This Row],[nest_age_feb]]),"NA")</f>
        <v>0</v>
      </c>
      <c r="Q700" s="24">
        <f>IF(ISNUMBER(Table2[[#This Row],[final_obs_int2]]),ABS(Table2[[#This Row],[final_obs_int2]]-Table2[[#This Row],[final_obs_int_feb]]), "NA")</f>
        <v>0</v>
      </c>
      <c r="R700" s="24"/>
      <c r="S700" s="20" t="s">
        <v>75</v>
      </c>
      <c r="T700" s="20" t="str">
        <f>Table2[[#This Row],[camera_old]]</f>
        <v>Y</v>
      </c>
      <c r="U700" s="22" t="s">
        <v>88</v>
      </c>
      <c r="V700" s="16" t="s">
        <v>48</v>
      </c>
      <c r="W700" s="16">
        <v>8</v>
      </c>
      <c r="X700" s="145">
        <v>4</v>
      </c>
      <c r="Y700" s="147" t="s">
        <v>48</v>
      </c>
      <c r="Z700" s="146" t="s">
        <v>48</v>
      </c>
      <c r="AA700" s="4" t="str">
        <f>Table2[[#This Row],[field_fate]]</f>
        <v>F</v>
      </c>
      <c r="AB700" s="4" t="str">
        <f>Table2[[#This Row],[field_fate2]]</f>
        <v>F</v>
      </c>
      <c r="AC700" s="94" t="str">
        <f>Table2[[#This Row],[field_fate3]]</f>
        <v>F</v>
      </c>
      <c r="AD700" s="94" t="s">
        <v>90</v>
      </c>
      <c r="AE700" s="94" t="str">
        <f>Table2[[#This Row],[field_fate5]]</f>
        <v>U</v>
      </c>
      <c r="AF700" s="94" t="str">
        <f>Table2[[#This Row],[field_fate5]]</f>
        <v>U</v>
      </c>
      <c r="AG700" s="94" t="str">
        <f>Table2[[#This Row],[field_fate5]]</f>
        <v>U</v>
      </c>
      <c r="AH700" s="94" t="str">
        <f>Table2[[#This Row],[field_fate2]]</f>
        <v>F</v>
      </c>
      <c r="AI700" s="94" t="s">
        <v>48</v>
      </c>
      <c r="AJ700" s="94" t="str">
        <f>Table2[[#This Row],[field_fate10]]</f>
        <v>F</v>
      </c>
      <c r="AK700" s="94" t="b">
        <f>Table2[[#This Row],[field_fate_feb]]=Table2[[#This Row],[field_fate10]]</f>
        <v>1</v>
      </c>
      <c r="AL700" s="43" t="s">
        <v>24</v>
      </c>
      <c r="AM700" s="43" t="b">
        <f>Table2[[#This Row],[cam_fate2]]="NA"</f>
        <v>1</v>
      </c>
      <c r="AN700" s="19" t="str">
        <f>Table2[[#This Row],[cam_fate1]]</f>
        <v>NA</v>
      </c>
      <c r="AO700" s="2" t="s">
        <v>24</v>
      </c>
      <c r="AP700" s="5" t="str">
        <f>Table2[[#This Row],[final_fate1]]</f>
        <v>NA</v>
      </c>
      <c r="AQ700" s="6">
        <v>8</v>
      </c>
      <c r="AR700" s="72">
        <v>8</v>
      </c>
      <c r="AS700" s="72">
        <f>Table2[[#This Row],[final_obs_date]]-Table2[[#This Row],[init_date]]</f>
        <v>8</v>
      </c>
      <c r="AT700" s="72">
        <f>(Table2[[#This Row],[final_obs_date2]]-Table2[[#This Row],[estHD]])+16</f>
        <v>5</v>
      </c>
      <c r="AU700" s="38">
        <v>4</v>
      </c>
      <c r="AV700" s="33">
        <v>4</v>
      </c>
      <c r="AW700" s="33">
        <f>Table2[[#This Row],[final_obs_date2]]-Table2[[#This Row],[pen_obs_date]]</f>
        <v>90</v>
      </c>
      <c r="AX700" s="67">
        <v>90</v>
      </c>
      <c r="AY700" s="156">
        <f>Table2[[#This Row],[final_obs_date]]</f>
        <v>90</v>
      </c>
      <c r="AZ700" s="6"/>
      <c r="BA700" s="92" t="s">
        <v>47</v>
      </c>
      <c r="BB700" s="6" t="b">
        <f>Table2[[#This Row],[final_obs_date]]&lt;(Table2[[#This Row],[estHD]]-2)</f>
        <v>1</v>
      </c>
      <c r="BC700" s="32">
        <f>IF(Table2[[#This Row],[field_fate]]="H",1,0)</f>
        <v>0</v>
      </c>
      <c r="BD700" s="16" t="s">
        <v>24</v>
      </c>
      <c r="BE700" s="6" t="b">
        <f>NOT(Table2[[#This Row],[HF_C]]=Table2[[#This Row],[HF]])</f>
        <v>1</v>
      </c>
      <c r="BF700" s="38" t="b">
        <f>NOT(Table2[[#This Row],[cam_fate2]]=Table2[[#This Row],[field_fate3]])</f>
        <v>1</v>
      </c>
      <c r="BG700" s="38" t="b">
        <f>OR(Table2[[#This Row],[field_fate3]]="U",Table2[[#This Row],[field_fate3]]="U-H")</f>
        <v>0</v>
      </c>
      <c r="BH700" s="8">
        <v>81</v>
      </c>
      <c r="BI700" s="8">
        <v>86</v>
      </c>
      <c r="BJ700" s="14">
        <f>IF(ISTEXT(Table2[[#This Row],[j.cam]]),Table2[[#This Row],[j]],Table2[[#This Row],[j.cam]])</f>
        <v>86</v>
      </c>
      <c r="BK700" s="8">
        <v>90</v>
      </c>
      <c r="BL700" s="14">
        <f>IF(ISTEXT(Table2[[#This Row],[k.cam]]), Table2[[#This Row],[k]], Table2[[#This Row],[k.cam]])</f>
        <v>90</v>
      </c>
      <c r="BM700" s="4" t="s">
        <v>24</v>
      </c>
      <c r="BN700" s="8" t="s">
        <v>24</v>
      </c>
      <c r="BO700" s="4">
        <v>3</v>
      </c>
      <c r="BP700" s="4">
        <f>Table2[[#This Row],[final_obs_date]]-Table2[[#This Row],[i]]</f>
        <v>9</v>
      </c>
      <c r="BQ700" s="4" t="b">
        <f>Table2[[#This Row],[final_obs_date2]]&gt;Table2[[#This Row],[estHD]]+3</f>
        <v>0</v>
      </c>
      <c r="BR700" s="3" t="s">
        <v>33</v>
      </c>
      <c r="BS700" s="3" t="s">
        <v>45</v>
      </c>
      <c r="BT700" s="125" t="s">
        <v>1418</v>
      </c>
      <c r="BU700" s="4" t="s">
        <v>132</v>
      </c>
      <c r="BV700" s="79" t="s">
        <v>1470</v>
      </c>
      <c r="BW700" s="69"/>
      <c r="BX700" s="73" t="s">
        <v>951</v>
      </c>
      <c r="BY700" s="36" t="s">
        <v>903</v>
      </c>
    </row>
    <row r="701" spans="1:77" hidden="1" x14ac:dyDescent="0.35">
      <c r="A701" s="64">
        <v>30971</v>
      </c>
      <c r="B701" s="2" t="s">
        <v>122</v>
      </c>
      <c r="C701" s="46">
        <v>2021</v>
      </c>
      <c r="D701" s="3">
        <v>29.757079999999998</v>
      </c>
      <c r="E701" s="3">
        <v>-93.111890000000002</v>
      </c>
      <c r="F701" s="3" t="s">
        <v>24</v>
      </c>
      <c r="G701" s="3" t="s">
        <v>24</v>
      </c>
      <c r="H701" s="3" t="s">
        <v>354</v>
      </c>
      <c r="I701" s="43"/>
      <c r="J701" s="55" t="s">
        <v>24</v>
      </c>
      <c r="K701" s="4" t="s">
        <v>24</v>
      </c>
      <c r="L701" s="22" t="str">
        <f>IF(ISNUMBER(Table2[[#This Row],[estHD]]),ABS(Table2[[#This Row],[HD]]-Table2[[#This Row],[estHD]]),"NA")</f>
        <v>NA</v>
      </c>
      <c r="M701" s="4" t="b">
        <f>Table2[[#This Row],[HD]]=Table2[[#This Row],[estHD]]</f>
        <v>1</v>
      </c>
      <c r="N701" s="4" t="str">
        <f>IF(ISNUMBER([1]!Table2[[#This Row],[hatch_date]]),[1]!Table2[[#This Row],[hatch_date]]-19,"NA")</f>
        <v>NA</v>
      </c>
      <c r="O701" s="31" t="s">
        <v>24</v>
      </c>
      <c r="P701" s="23" t="str">
        <f>IF(ISNUMBER(Table2[[#This Row],[nest_age1]]),ABS(Table2[[#This Row],[nest_age1]]-Table2[[#This Row],[nest_age_feb]]),"NA")</f>
        <v>NA</v>
      </c>
      <c r="Q701" s="24">
        <f>IF(ISNUMBER(Table2[[#This Row],[final_obs_int2]]),ABS(Table2[[#This Row],[final_obs_int2]]-Table2[[#This Row],[final_obs_int_feb]]), "NA")</f>
        <v>0</v>
      </c>
      <c r="R701" s="24"/>
      <c r="S701" s="57" t="s">
        <v>88</v>
      </c>
      <c r="T701" s="57" t="str">
        <f>Table2[[#This Row],[camera_old]]</f>
        <v>N</v>
      </c>
      <c r="U701" s="24"/>
      <c r="V701" s="16" t="s">
        <v>24</v>
      </c>
      <c r="W701" s="16" t="s">
        <v>24</v>
      </c>
      <c r="X701" s="145">
        <v>5</v>
      </c>
      <c r="Y701" s="150" t="s">
        <v>90</v>
      </c>
      <c r="Z701" s="146" t="s">
        <v>90</v>
      </c>
      <c r="AA701" s="4" t="str">
        <f>Table2[[#This Row],[field_fate]]</f>
        <v>U</v>
      </c>
      <c r="AB701" s="4" t="str">
        <f>Table2[[#This Row],[field_fate2]]</f>
        <v>U</v>
      </c>
      <c r="AC701" s="4" t="str">
        <f>Table2[[#This Row],[field_fate3]]</f>
        <v>U</v>
      </c>
      <c r="AD701" s="4" t="str">
        <f>Table2[[#This Row],[field_fate4]]</f>
        <v>U</v>
      </c>
      <c r="AE701" s="4" t="str">
        <f>Table2[[#This Row],[field_fate5]]</f>
        <v>U</v>
      </c>
      <c r="AF701" s="4" t="str">
        <f>Table2[[#This Row],[field_fate5]]</f>
        <v>U</v>
      </c>
      <c r="AG701" s="4" t="str">
        <f>Table2[[#This Row],[field_fate5]]</f>
        <v>U</v>
      </c>
      <c r="AH701" s="4" t="str">
        <f>Table2[[#This Row],[field_fate2]]</f>
        <v>U</v>
      </c>
      <c r="AI701" s="4" t="str">
        <f>Table2[[#This Row],[field_fate8]]</f>
        <v>U</v>
      </c>
      <c r="AJ701" s="4" t="str">
        <f>Table2[[#This Row],[field_fate10]]</f>
        <v>U</v>
      </c>
      <c r="AK701" s="4" t="b">
        <f>Table2[[#This Row],[field_fate_feb]]=Table2[[#This Row],[field_fate10]]</f>
        <v>1</v>
      </c>
      <c r="AL701" s="43" t="s">
        <v>24</v>
      </c>
      <c r="AM701" s="43" t="b">
        <f>Table2[[#This Row],[cam_fate2]]="NA"</f>
        <v>1</v>
      </c>
      <c r="AN701" s="19" t="str">
        <f>Table2[[#This Row],[cam_fate1]]</f>
        <v>NA</v>
      </c>
      <c r="AO701" s="2" t="s">
        <v>24</v>
      </c>
      <c r="AP701" s="5" t="str">
        <f>Table2[[#This Row],[final_fate1]]</f>
        <v>NA</v>
      </c>
      <c r="AQ701" s="6" t="s">
        <v>24</v>
      </c>
      <c r="AR701" s="7" t="s">
        <v>24</v>
      </c>
      <c r="AS701" s="7" t="e">
        <f>Table2[[#This Row],[final_obs_date]]-Table2[[#This Row],[init_date]]</f>
        <v>#VALUE!</v>
      </c>
      <c r="AT701" s="7" t="e">
        <f>(Table2[[#This Row],[final_obs_date2]]-Table2[[#This Row],[estHD]])+16</f>
        <v>#VALUE!</v>
      </c>
      <c r="AU701" s="38">
        <v>5</v>
      </c>
      <c r="AV701" s="33">
        <v>5</v>
      </c>
      <c r="AW701" s="33">
        <f>Table2[[#This Row],[final_obs_date2]]-Table2[[#This Row],[pen_obs_date]]</f>
        <v>94</v>
      </c>
      <c r="AX701" s="67">
        <v>94</v>
      </c>
      <c r="AY701" s="6">
        <f>Table2[[#This Row],[final_obs_date]]</f>
        <v>94</v>
      </c>
      <c r="AZ701" s="6"/>
      <c r="BA701" s="91" t="s">
        <v>47</v>
      </c>
      <c r="BB701" s="6" t="e">
        <f>Table2[[#This Row],[final_obs_date]]&lt;(Table2[[#This Row],[estHD]]-2)</f>
        <v>#VALUE!</v>
      </c>
      <c r="BC701" s="24">
        <f>IF(Table2[[#This Row],[field_fate]]="H",1,0)</f>
        <v>0</v>
      </c>
      <c r="BD701" s="16">
        <f>IF(Table2[[#This Row],[cam_fate2]]="H",1,0)</f>
        <v>0</v>
      </c>
      <c r="BE701" s="6" t="b">
        <f>NOT(Table2[[#This Row],[HF_C]]=Table2[[#This Row],[HF]])</f>
        <v>0</v>
      </c>
      <c r="BF701" s="6" t="b">
        <f>NOT(Table2[[#This Row],[cam_fate2]]=Table2[[#This Row],[field_fate3]])</f>
        <v>1</v>
      </c>
      <c r="BG701" s="6" t="b">
        <f>OR(Table2[[#This Row],[field_fate3]]="U",Table2[[#This Row],[field_fate3]]="U-H")</f>
        <v>1</v>
      </c>
      <c r="BH701" s="8">
        <v>82</v>
      </c>
      <c r="BI701" s="8">
        <v>82</v>
      </c>
      <c r="BJ701" s="14">
        <f>IF(ISTEXT(Table2[[#This Row],[j.cam]]),Table2[[#This Row],[j]],Table2[[#This Row],[j.cam]])</f>
        <v>82</v>
      </c>
      <c r="BK701" s="9">
        <v>94</v>
      </c>
      <c r="BL701" s="15">
        <f>IF(ISTEXT(Table2[[#This Row],[k.cam]]), Table2[[#This Row],[k]], Table2[[#This Row],[k.cam]])</f>
        <v>94</v>
      </c>
      <c r="BM701" s="4" t="s">
        <v>24</v>
      </c>
      <c r="BN701" s="8" t="s">
        <v>24</v>
      </c>
      <c r="BO701" s="4">
        <v>4</v>
      </c>
      <c r="BP701" s="4">
        <f>Table2[[#This Row],[final_obs_date]]-Table2[[#This Row],[i]]</f>
        <v>12</v>
      </c>
      <c r="BQ701" s="4" t="e">
        <f>Table2[[#This Row],[final_obs_date2]]&gt;Table2[[#This Row],[estHD]]+3</f>
        <v>#VALUE!</v>
      </c>
      <c r="BR701" s="4" t="s">
        <v>33</v>
      </c>
      <c r="BS701" s="4" t="s">
        <v>45</v>
      </c>
      <c r="BT701" s="79" t="s">
        <v>1419</v>
      </c>
      <c r="BU701" s="26" t="s">
        <v>302</v>
      </c>
      <c r="BV701" s="79" t="s">
        <v>1661</v>
      </c>
      <c r="BW701" s="49"/>
      <c r="BX701" s="47"/>
      <c r="BY701" s="36" t="s">
        <v>904</v>
      </c>
    </row>
    <row r="702" spans="1:77" hidden="1" x14ac:dyDescent="0.35">
      <c r="A702" s="64">
        <v>30974</v>
      </c>
      <c r="B702" s="2" t="s">
        <v>35</v>
      </c>
      <c r="C702" s="46">
        <v>2021</v>
      </c>
      <c r="D702" s="3">
        <v>29.766690000000001</v>
      </c>
      <c r="E702" s="3">
        <v>-93.15719</v>
      </c>
      <c r="F702" s="3">
        <v>30</v>
      </c>
      <c r="G702" s="3">
        <v>30</v>
      </c>
      <c r="H702" s="3" t="s">
        <v>24</v>
      </c>
      <c r="I702" s="43"/>
      <c r="J702" s="116" t="s">
        <v>24</v>
      </c>
      <c r="K702" s="4" t="s">
        <v>24</v>
      </c>
      <c r="L702" s="22" t="str">
        <f>IF(ISNUMBER(Table2[[#This Row],[estHD]]),ABS(Table2[[#This Row],[HD]]-Table2[[#This Row],[estHD]]),"NA")</f>
        <v>NA</v>
      </c>
      <c r="M702" s="4" t="b">
        <f>Table2[[#This Row],[HD]]=Table2[[#This Row],[estHD]]</f>
        <v>1</v>
      </c>
      <c r="N702" s="4" t="str">
        <f>IF(ISNUMBER([1]!Table2[[#This Row],[hatch_date]]),[1]!Table2[[#This Row],[hatch_date]]-19,"NA")</f>
        <v>NA</v>
      </c>
      <c r="O702" s="31" t="s">
        <v>24</v>
      </c>
      <c r="P702" s="23" t="str">
        <f>IF(ISNUMBER(Table2[[#This Row],[nest_age1]]),ABS(Table2[[#This Row],[nest_age1]]-Table2[[#This Row],[nest_age_feb]]),"NA")</f>
        <v>NA</v>
      </c>
      <c r="Q702" s="24">
        <f>IF(ISNUMBER(Table2[[#This Row],[final_obs_int2]]),ABS(Table2[[#This Row],[final_obs_int2]]-Table2[[#This Row],[final_obs_int_feb]]), "NA")</f>
        <v>5</v>
      </c>
      <c r="R702" s="24"/>
      <c r="S702" s="20" t="s">
        <v>75</v>
      </c>
      <c r="T702" s="20" t="str">
        <f>Table2[[#This Row],[camera_old]]</f>
        <v>Y</v>
      </c>
      <c r="U702" s="22" t="s">
        <v>88</v>
      </c>
      <c r="V702" s="16" t="s">
        <v>24</v>
      </c>
      <c r="W702" s="16" t="s">
        <v>24</v>
      </c>
      <c r="X702" s="145">
        <v>0</v>
      </c>
      <c r="Y702" s="153" t="s">
        <v>90</v>
      </c>
      <c r="Z702" s="146" t="s">
        <v>31</v>
      </c>
      <c r="AA702" s="4" t="str">
        <f>Table2[[#This Row],[field_fate]]</f>
        <v>D</v>
      </c>
      <c r="AB702" s="4" t="str">
        <f>Table2[[#This Row],[field_fate2]]</f>
        <v>D</v>
      </c>
      <c r="AC702" s="94" t="str">
        <f>Table2[[#This Row],[field_fate3]]</f>
        <v>D</v>
      </c>
      <c r="AD702" s="94" t="str">
        <f>Table2[[#This Row],[field_fate4]]</f>
        <v>D</v>
      </c>
      <c r="AE702" s="94" t="str">
        <f>Table2[[#This Row],[field_fate5]]</f>
        <v>D</v>
      </c>
      <c r="AF702" s="94" t="str">
        <f>Table2[[#This Row],[field_fate5]]</f>
        <v>D</v>
      </c>
      <c r="AG702" s="94" t="str">
        <f>Table2[[#This Row],[field_fate5]]</f>
        <v>D</v>
      </c>
      <c r="AH702" s="94" t="str">
        <f>Table2[[#This Row],[field_fate2]]</f>
        <v>D</v>
      </c>
      <c r="AI702" s="94" t="s">
        <v>90</v>
      </c>
      <c r="AJ702" s="94" t="str">
        <f>Table2[[#This Row],[field_fate10]]</f>
        <v>U</v>
      </c>
      <c r="AK702" s="94" t="b">
        <f>Table2[[#This Row],[field_fate_feb]]=Table2[[#This Row],[field_fate10]]</f>
        <v>1</v>
      </c>
      <c r="AL702" s="43" t="s">
        <v>31</v>
      </c>
      <c r="AM702" s="160" t="b">
        <f>Table2[[#This Row],[cam_fate2]]="NA"</f>
        <v>0</v>
      </c>
      <c r="AN702" s="19" t="str">
        <f>Table2[[#This Row],[cam_fate1]]</f>
        <v>D</v>
      </c>
      <c r="AO702" s="2" t="s">
        <v>31</v>
      </c>
      <c r="AP702" s="5" t="str">
        <f>Table2[[#This Row],[final_fate1]]</f>
        <v>D</v>
      </c>
      <c r="AQ702" s="6" t="s">
        <v>24</v>
      </c>
      <c r="AR702" s="72" t="s">
        <v>24</v>
      </c>
      <c r="AS702" s="155" t="e">
        <f>Table2[[#This Row],[final_obs_date]]-Table2[[#This Row],[init_date]]</f>
        <v>#VALUE!</v>
      </c>
      <c r="AT702" s="155" t="e">
        <f>(Table2[[#This Row],[final_obs_date2]]-Table2[[#This Row],[estHD]])+19</f>
        <v>#VALUE!</v>
      </c>
      <c r="AU702" s="38">
        <v>5</v>
      </c>
      <c r="AV702" s="33">
        <v>5</v>
      </c>
      <c r="AW702" s="33">
        <f>Table2[[#This Row],[final_obs_date2]]-Table2[[#This Row],[pen_obs_date]]</f>
        <v>5</v>
      </c>
      <c r="AX702" s="67">
        <v>99</v>
      </c>
      <c r="AY702" s="157">
        <f>Table2[[#This Row],[final_obs_date]]</f>
        <v>99</v>
      </c>
      <c r="AZ702" s="6">
        <v>94</v>
      </c>
      <c r="BA702" s="92" t="s">
        <v>47</v>
      </c>
      <c r="BB702" s="6" t="e">
        <f>Table2[[#This Row],[final_obs_date]]&lt;(Table2[[#This Row],[estHD]]-2)</f>
        <v>#VALUE!</v>
      </c>
      <c r="BC702" s="32">
        <f>IF(Table2[[#This Row],[field_fate]]="H",1,0)</f>
        <v>0</v>
      </c>
      <c r="BD702" s="16">
        <f>IF(Table2[[#This Row],[cam_fate2]]="H",1,0)</f>
        <v>0</v>
      </c>
      <c r="BE702" s="6" t="b">
        <f>NOT(Table2[[#This Row],[HF_C]]=Table2[[#This Row],[HF]])</f>
        <v>0</v>
      </c>
      <c r="BF702" s="38" t="b">
        <f>NOT(Table2[[#This Row],[cam_fate2]]=Table2[[#This Row],[field_fate3]])</f>
        <v>0</v>
      </c>
      <c r="BG702" s="38" t="b">
        <f>OR(Table2[[#This Row],[field_fate3]]="U",Table2[[#This Row],[field_fate3]]="U-H")</f>
        <v>0</v>
      </c>
      <c r="BH702" s="8">
        <v>94</v>
      </c>
      <c r="BI702" s="8">
        <v>94</v>
      </c>
      <c r="BJ702" s="14">
        <f>IF(ISTEXT(Table2[[#This Row],[j.cam]]),Table2[[#This Row],[j]],Table2[[#This Row],[j.cam]])</f>
        <v>94</v>
      </c>
      <c r="BK702" s="8">
        <v>99</v>
      </c>
      <c r="BL702" s="14">
        <f>IF(ISTEXT(Table2[[#This Row],[k.cam]]), Table2[[#This Row],[k]], Table2[[#This Row],[k.cam]])</f>
        <v>99</v>
      </c>
      <c r="BM702" s="4" t="s">
        <v>24</v>
      </c>
      <c r="BN702" s="8" t="s">
        <v>24</v>
      </c>
      <c r="BO702" s="4">
        <v>2</v>
      </c>
      <c r="BP702" s="4">
        <f>Table2[[#This Row],[final_obs_date]]-Table2[[#This Row],[i]]</f>
        <v>5</v>
      </c>
      <c r="BQ702" s="4" t="e">
        <f>Table2[[#This Row],[final_obs_date2]]&gt;Table2[[#This Row],[estHD]]+3</f>
        <v>#VALUE!</v>
      </c>
      <c r="BR702" s="3" t="s">
        <v>33</v>
      </c>
      <c r="BS702" s="3" t="s">
        <v>45</v>
      </c>
      <c r="BT702" s="125" t="s">
        <v>1376</v>
      </c>
      <c r="BU702" s="4" t="s">
        <v>87</v>
      </c>
      <c r="BV702" s="79" t="s">
        <v>1464</v>
      </c>
      <c r="BW702" s="69"/>
      <c r="BX702" s="36"/>
      <c r="BY702" s="36" t="s">
        <v>901</v>
      </c>
    </row>
    <row r="703" spans="1:77" hidden="1" x14ac:dyDescent="0.35">
      <c r="A703" s="64">
        <v>30975</v>
      </c>
      <c r="B703" s="2" t="s">
        <v>35</v>
      </c>
      <c r="C703" s="46">
        <v>2021</v>
      </c>
      <c r="D703" s="3">
        <v>29.768460000000001</v>
      </c>
      <c r="E703" s="3">
        <v>-93.164019999999994</v>
      </c>
      <c r="F703" s="3" t="s">
        <v>24</v>
      </c>
      <c r="G703" s="3" t="s">
        <v>24</v>
      </c>
      <c r="H703" s="3" t="s">
        <v>26</v>
      </c>
      <c r="I703" s="43"/>
      <c r="J703" s="55" t="s">
        <v>24</v>
      </c>
      <c r="K703" s="4" t="s">
        <v>24</v>
      </c>
      <c r="L703" s="22" t="str">
        <f>IF(ISNUMBER(Table2[[#This Row],[estHD]]),ABS(Table2[[#This Row],[HD]]-Table2[[#This Row],[estHD]]),"NA")</f>
        <v>NA</v>
      </c>
      <c r="M703" s="4" t="b">
        <f>Table2[[#This Row],[HD]]=Table2[[#This Row],[estHD]]</f>
        <v>1</v>
      </c>
      <c r="N703" s="4" t="str">
        <f>IF(ISNUMBER([1]!Table2[[#This Row],[hatch_date]]),[1]!Table2[[#This Row],[hatch_date]]-19,"NA")</f>
        <v>NA</v>
      </c>
      <c r="O703" s="31" t="s">
        <v>24</v>
      </c>
      <c r="P703" s="23" t="str">
        <f>IF(ISNUMBER(Table2[[#This Row],[nest_age1]]),ABS(Table2[[#This Row],[nest_age1]]-Table2[[#This Row],[nest_age_feb]]),"NA")</f>
        <v>NA</v>
      </c>
      <c r="Q703" s="24">
        <f>IF(ISNUMBER(Table2[[#This Row],[final_obs_int2]]),ABS(Table2[[#This Row],[final_obs_int2]]-Table2[[#This Row],[final_obs_int_feb]]), "NA")</f>
        <v>0</v>
      </c>
      <c r="R703" s="24"/>
      <c r="S703" s="57" t="s">
        <v>88</v>
      </c>
      <c r="T703" s="57" t="str">
        <f>Table2[[#This Row],[camera_old]]</f>
        <v>N</v>
      </c>
      <c r="U703" s="24"/>
      <c r="V703" s="16" t="s">
        <v>24</v>
      </c>
      <c r="W703" s="16" t="s">
        <v>24</v>
      </c>
      <c r="X703" s="145">
        <v>3</v>
      </c>
      <c r="Y703" s="150" t="s">
        <v>90</v>
      </c>
      <c r="Z703" s="146" t="s">
        <v>90</v>
      </c>
      <c r="AA703" s="4" t="str">
        <f>Table2[[#This Row],[field_fate]]</f>
        <v>U</v>
      </c>
      <c r="AB703" s="4" t="str">
        <f>Table2[[#This Row],[field_fate2]]</f>
        <v>U</v>
      </c>
      <c r="AC703" s="4" t="str">
        <f>Table2[[#This Row],[field_fate3]]</f>
        <v>U</v>
      </c>
      <c r="AD703" s="4" t="str">
        <f>Table2[[#This Row],[field_fate4]]</f>
        <v>U</v>
      </c>
      <c r="AE703" s="4" t="str">
        <f>Table2[[#This Row],[field_fate5]]</f>
        <v>U</v>
      </c>
      <c r="AF703" s="4" t="str">
        <f>Table2[[#This Row],[field_fate5]]</f>
        <v>U</v>
      </c>
      <c r="AG703" s="4" t="str">
        <f>Table2[[#This Row],[field_fate5]]</f>
        <v>U</v>
      </c>
      <c r="AH703" s="4" t="str">
        <f>Table2[[#This Row],[field_fate2]]</f>
        <v>U</v>
      </c>
      <c r="AI703" s="4" t="str">
        <f>Table2[[#This Row],[field_fate8]]</f>
        <v>U</v>
      </c>
      <c r="AJ703" s="4" t="str">
        <f>Table2[[#This Row],[field_fate10]]</f>
        <v>U</v>
      </c>
      <c r="AK703" s="4" t="b">
        <f>Table2[[#This Row],[field_fate_feb]]=Table2[[#This Row],[field_fate10]]</f>
        <v>1</v>
      </c>
      <c r="AL703" s="43" t="s">
        <v>24</v>
      </c>
      <c r="AM703" s="43" t="b">
        <f>Table2[[#This Row],[cam_fate2]]="NA"</f>
        <v>1</v>
      </c>
      <c r="AN703" s="19" t="str">
        <f>Table2[[#This Row],[cam_fate1]]</f>
        <v>NA</v>
      </c>
      <c r="AO703" s="2" t="s">
        <v>90</v>
      </c>
      <c r="AP703" s="5" t="str">
        <f>Table2[[#This Row],[final_fate1]]</f>
        <v>U</v>
      </c>
      <c r="AQ703" s="6" t="s">
        <v>24</v>
      </c>
      <c r="AR703" s="7" t="s">
        <v>24</v>
      </c>
      <c r="AS703" s="7" t="e">
        <f>Table2[[#This Row],[final_obs_date]]-Table2[[#This Row],[init_date]]</f>
        <v>#VALUE!</v>
      </c>
      <c r="AT703" s="7" t="e">
        <f>(Table2[[#This Row],[final_obs_date2]]-Table2[[#This Row],[estHD]])+16</f>
        <v>#VALUE!</v>
      </c>
      <c r="AU703" s="38">
        <v>3</v>
      </c>
      <c r="AV703" s="33">
        <v>3</v>
      </c>
      <c r="AW703" s="33">
        <f>Table2[[#This Row],[final_obs_date2]]-Table2[[#This Row],[pen_obs_date]]</f>
        <v>102</v>
      </c>
      <c r="AX703" s="67">
        <v>102</v>
      </c>
      <c r="AY703" s="6">
        <f>Table2[[#This Row],[final_obs_date]]</f>
        <v>102</v>
      </c>
      <c r="AZ703" s="6"/>
      <c r="BA703" s="91" t="s">
        <v>47</v>
      </c>
      <c r="BB703" s="6" t="e">
        <f>Table2[[#This Row],[final_obs_date]]&lt;(Table2[[#This Row],[estHD]]-2)</f>
        <v>#VALUE!</v>
      </c>
      <c r="BC703" s="24">
        <f>IF(Table2[[#This Row],[field_fate]]="H",1,0)</f>
        <v>0</v>
      </c>
      <c r="BD703" s="16">
        <f>IF(Table2[[#This Row],[cam_fate2]]="H",1,0)</f>
        <v>0</v>
      </c>
      <c r="BE703" s="6" t="b">
        <f>NOT(Table2[[#This Row],[HF_C]]=Table2[[#This Row],[HF]])</f>
        <v>0</v>
      </c>
      <c r="BF703" s="6" t="b">
        <f>NOT(Table2[[#This Row],[cam_fate2]]=Table2[[#This Row],[field_fate3]])</f>
        <v>1</v>
      </c>
      <c r="BG703" s="6" t="b">
        <f>OR(Table2[[#This Row],[field_fate3]]="U",Table2[[#This Row],[field_fate3]]="U-H")</f>
        <v>1</v>
      </c>
      <c r="BH703" s="8">
        <v>94</v>
      </c>
      <c r="BI703" s="8">
        <v>99</v>
      </c>
      <c r="BJ703" s="14">
        <f>IF(ISTEXT(Table2[[#This Row],[j.cam]]),Table2[[#This Row],[j]],Table2[[#This Row],[j.cam]])</f>
        <v>99</v>
      </c>
      <c r="BK703" s="9">
        <v>102</v>
      </c>
      <c r="BL703" s="15">
        <f>IF(ISTEXT(Table2[[#This Row],[k.cam]]), Table2[[#This Row],[k]], Table2[[#This Row],[k.cam]])</f>
        <v>102</v>
      </c>
      <c r="BM703" s="4" t="s">
        <v>24</v>
      </c>
      <c r="BN703" s="8" t="s">
        <v>24</v>
      </c>
      <c r="BO703" s="4">
        <v>3</v>
      </c>
      <c r="BP703" s="4">
        <f>Table2[[#This Row],[final_obs_date]]-Table2[[#This Row],[i]]</f>
        <v>8</v>
      </c>
      <c r="BQ703" s="4" t="e">
        <f>Table2[[#This Row],[final_obs_date2]]&gt;Table2[[#This Row],[estHD]]+3</f>
        <v>#VALUE!</v>
      </c>
      <c r="BR703" s="4" t="s">
        <v>33</v>
      </c>
      <c r="BS703" s="4" t="s">
        <v>45</v>
      </c>
      <c r="BT703" s="79" t="s">
        <v>1377</v>
      </c>
      <c r="BU703" s="26" t="s">
        <v>132</v>
      </c>
      <c r="BV703" s="79" t="s">
        <v>1434</v>
      </c>
      <c r="BW703" s="49"/>
      <c r="BX703" s="47"/>
      <c r="BY703" s="36" t="s">
        <v>901</v>
      </c>
    </row>
    <row r="704" spans="1:77" x14ac:dyDescent="0.35">
      <c r="A704" s="64">
        <v>30979</v>
      </c>
      <c r="B704" s="2" t="s">
        <v>122</v>
      </c>
      <c r="C704" s="46">
        <v>2021</v>
      </c>
      <c r="D704" s="3">
        <v>29.757239999999999</v>
      </c>
      <c r="E704" s="3">
        <v>-93.113299999999995</v>
      </c>
      <c r="F704" s="3">
        <v>0</v>
      </c>
      <c r="G704" s="3">
        <v>0</v>
      </c>
      <c r="H704" s="3" t="s">
        <v>24</v>
      </c>
      <c r="I704" s="43"/>
      <c r="J704" s="116" t="s">
        <v>24</v>
      </c>
      <c r="K704" s="4" t="s">
        <v>24</v>
      </c>
      <c r="L704" s="22" t="str">
        <f>IF(ISNUMBER(Table2[[#This Row],[estHD]]),ABS(Table2[[#This Row],[HD]]-Table2[[#This Row],[estHD]]),"NA")</f>
        <v>NA</v>
      </c>
      <c r="M704" s="4" t="b">
        <f>Table2[[#This Row],[HD]]=Table2[[#This Row],[estHD]]</f>
        <v>1</v>
      </c>
      <c r="N704" s="4" t="str">
        <f>IF(ISNUMBER([1]!Table2[[#This Row],[hatch_date]]),[1]!Table2[[#This Row],[hatch_date]]-19,"NA")</f>
        <v>NA</v>
      </c>
      <c r="O704" s="89" t="s">
        <v>24</v>
      </c>
      <c r="P704" s="23" t="str">
        <f>IF(ISNUMBER(Table2[[#This Row],[nest_age1]]),ABS(Table2[[#This Row],[nest_age1]]-Table2[[#This Row],[nest_age_feb]]),"NA")</f>
        <v>NA</v>
      </c>
      <c r="Q704" s="24" t="e">
        <f>IF(ISNUMBER(Table2[[#This Row],[final_obs_int2]]),ABS(Table2[[#This Row],[final_obs_int2]]-Table2[[#This Row],[final_obs_int_feb]]), "NA")</f>
        <v>#VALUE!</v>
      </c>
      <c r="R704" s="24"/>
      <c r="S704" s="21" t="s">
        <v>75</v>
      </c>
      <c r="T704" s="21" t="str">
        <f>Table2[[#This Row],[camera_old]]</f>
        <v>Y</v>
      </c>
      <c r="U704" s="22" t="s">
        <v>88</v>
      </c>
      <c r="V704" s="16" t="s">
        <v>24</v>
      </c>
      <c r="W704" s="16" t="s">
        <v>24</v>
      </c>
      <c r="X704" s="145" t="s">
        <v>24</v>
      </c>
      <c r="Y704" s="147" t="s">
        <v>24</v>
      </c>
      <c r="Z704" s="146" t="s">
        <v>90</v>
      </c>
      <c r="AA704" s="4" t="str">
        <f>Table2[[#This Row],[field_fate]]</f>
        <v>U</v>
      </c>
      <c r="AB704" s="65" t="str">
        <f>Table2[[#This Row],[field_fate2]]</f>
        <v>U</v>
      </c>
      <c r="AC704" s="106" t="str">
        <f>Table2[[#This Row],[field_fate3]]</f>
        <v>U</v>
      </c>
      <c r="AD704" s="140" t="str">
        <f>Table2[[#This Row],[field_fate4]]</f>
        <v>U</v>
      </c>
      <c r="AE704" s="134" t="str">
        <f>Table2[[#This Row],[field_fate5]]</f>
        <v>U</v>
      </c>
      <c r="AF704" s="93" t="str">
        <f>Table2[[#This Row],[field_fate5]]</f>
        <v>U</v>
      </c>
      <c r="AG704" s="93" t="str">
        <f>Table2[[#This Row],[field_fate5]]</f>
        <v>U</v>
      </c>
      <c r="AH704" s="93" t="str">
        <f>Table2[[#This Row],[field_fate2]]</f>
        <v>U</v>
      </c>
      <c r="AI704" s="93" t="str">
        <f>Table2[[#This Row],[field_fate8]]</f>
        <v>U</v>
      </c>
      <c r="AJ704" s="93" t="str">
        <f>Table2[[#This Row],[field_fate10]]</f>
        <v>U</v>
      </c>
      <c r="AK704" s="93" t="b">
        <f>Table2[[#This Row],[field_fate_feb]]=Table2[[#This Row],[field_fate10]]</f>
        <v>0</v>
      </c>
      <c r="AL704" s="43" t="s">
        <v>36</v>
      </c>
      <c r="AM704" s="160" t="b">
        <f>Table2[[#This Row],[cam_fate2]]="NA"</f>
        <v>0</v>
      </c>
      <c r="AN704" s="159" t="str">
        <f>Table2[[#This Row],[cam_fate1]]</f>
        <v>A</v>
      </c>
      <c r="AO704" s="2" t="s">
        <v>36</v>
      </c>
      <c r="AP704" s="5" t="str">
        <f>Table2[[#This Row],[final_fate1]]</f>
        <v>A</v>
      </c>
      <c r="AQ704" s="6" t="s">
        <v>24</v>
      </c>
      <c r="AR704" s="72" t="s">
        <v>24</v>
      </c>
      <c r="AS704" s="155" t="e">
        <f>Table2[[#This Row],[final_obs_date]]-Table2[[#This Row],[init_date]]</f>
        <v>#VALUE!</v>
      </c>
      <c r="AT704" s="155" t="e">
        <f>(Table2[[#This Row],[final_obs_date2]]-Table2[[#This Row],[estHD]])+19</f>
        <v>#VALUE!</v>
      </c>
      <c r="AU704" s="38">
        <v>6</v>
      </c>
      <c r="AV704" s="33">
        <v>6</v>
      </c>
      <c r="AW704" s="33">
        <f>Table2[[#This Row],[final_obs_date2]]-Table2[[#This Row],[pen_obs_date]]</f>
        <v>6</v>
      </c>
      <c r="AX704" s="67">
        <v>104</v>
      </c>
      <c r="AY704" s="158">
        <f>Table2[[#This Row],[final_obs_date]]</f>
        <v>104</v>
      </c>
      <c r="AZ704" s="6">
        <v>98</v>
      </c>
      <c r="BA704" s="92" t="s">
        <v>47</v>
      </c>
      <c r="BB704" s="86" t="e">
        <f>Table2[[#This Row],[final_obs_date]]&lt;(Table2[[#This Row],[estHD]]-2)</f>
        <v>#VALUE!</v>
      </c>
      <c r="BC704" s="83">
        <v>7</v>
      </c>
      <c r="BD704" s="82">
        <f>IF(Table2[[#This Row],[cam_fate2]]="H",1,0)</f>
        <v>0</v>
      </c>
      <c r="BE704" s="84" t="b">
        <f>NOT(Table2[[#This Row],[HF_C]]=Table2[[#This Row],[HF]])</f>
        <v>1</v>
      </c>
      <c r="BF704" s="85" t="b">
        <f>NOT(Table2[[#This Row],[cam_fate2]]=Table2[[#This Row],[field_fate3]])</f>
        <v>1</v>
      </c>
      <c r="BG704" s="85" t="b">
        <f>OR(Table2[[#This Row],[field_fate3]]="U",Table2[[#This Row],[field_fate3]]="U-H")</f>
        <v>1</v>
      </c>
      <c r="BH704" s="8">
        <v>98</v>
      </c>
      <c r="BI704" s="8">
        <v>98</v>
      </c>
      <c r="BJ704" s="14">
        <f>IF(ISTEXT(Table2[[#This Row],[j.cam]]),Table2[[#This Row],[j]],Table2[[#This Row],[j.cam]])</f>
        <v>98</v>
      </c>
      <c r="BK704" s="8">
        <v>104</v>
      </c>
      <c r="BL704" s="14">
        <f>IF(ISTEXT(Table2[[#This Row],[k.cam]]), Table2[[#This Row],[k]], Table2[[#This Row],[k.cam]])</f>
        <v>104</v>
      </c>
      <c r="BM704" s="87" t="s">
        <v>24</v>
      </c>
      <c r="BN704" s="87" t="s">
        <v>24</v>
      </c>
      <c r="BO704" s="4">
        <v>2</v>
      </c>
      <c r="BP704" s="4">
        <f>Table2[[#This Row],[final_obs_date]]-Table2[[#This Row],[i]]</f>
        <v>6</v>
      </c>
      <c r="BQ704" s="4" t="e">
        <f>Table2[[#This Row],[final_obs_date2]]&gt;Table2[[#This Row],[estHD]]+3</f>
        <v>#VALUE!</v>
      </c>
      <c r="BR704" s="3" t="s">
        <v>33</v>
      </c>
      <c r="BS704" s="3" t="s">
        <v>45</v>
      </c>
      <c r="BT704" s="125" t="s">
        <v>1420</v>
      </c>
      <c r="BU704" s="122" t="s">
        <v>87</v>
      </c>
      <c r="BV704" s="88" t="s">
        <v>1437</v>
      </c>
      <c r="BW704" s="69"/>
      <c r="BX704" s="36" t="s">
        <v>952</v>
      </c>
      <c r="BY704" s="53" t="s">
        <v>901</v>
      </c>
    </row>
    <row r="705" spans="1:77" hidden="1" x14ac:dyDescent="0.35">
      <c r="A705" s="64">
        <v>30980</v>
      </c>
      <c r="B705" s="2" t="s">
        <v>35</v>
      </c>
      <c r="C705" s="46">
        <v>2021</v>
      </c>
      <c r="D705" s="3">
        <v>29.763179999999998</v>
      </c>
      <c r="E705" s="3">
        <v>-93.169479999999993</v>
      </c>
      <c r="F705" s="3">
        <v>0</v>
      </c>
      <c r="G705" s="3">
        <v>0</v>
      </c>
      <c r="H705" s="3" t="s">
        <v>26</v>
      </c>
      <c r="I705" s="43"/>
      <c r="J705" s="55" t="s">
        <v>24</v>
      </c>
      <c r="K705" s="4" t="s">
        <v>24</v>
      </c>
      <c r="L705" s="22" t="str">
        <f>IF(ISNUMBER(Table2[[#This Row],[estHD]]),ABS(Table2[[#This Row],[HD]]-Table2[[#This Row],[estHD]]),"NA")</f>
        <v>NA</v>
      </c>
      <c r="M705" s="4" t="b">
        <f>Table2[[#This Row],[HD]]=Table2[[#This Row],[estHD]]</f>
        <v>1</v>
      </c>
      <c r="N705" s="4" t="str">
        <f>IF(ISNUMBER([1]!Table2[[#This Row],[hatch_date]]),[1]!Table2[[#This Row],[hatch_date]]-19,"NA")</f>
        <v>NA</v>
      </c>
      <c r="O705" s="31" t="s">
        <v>24</v>
      </c>
      <c r="P705" s="23" t="str">
        <f>IF(ISNUMBER(Table2[[#This Row],[nest_age1]]),ABS(Table2[[#This Row],[nest_age1]]-Table2[[#This Row],[nest_age_feb]]),"NA")</f>
        <v>NA</v>
      </c>
      <c r="Q705" s="24">
        <f>IF(ISNUMBER(Table2[[#This Row],[final_obs_int2]]),ABS(Table2[[#This Row],[final_obs_int2]]-Table2[[#This Row],[final_obs_int_feb]]), "NA")</f>
        <v>0</v>
      </c>
      <c r="R705" s="24"/>
      <c r="S705" s="21" t="s">
        <v>172</v>
      </c>
      <c r="T705" s="21" t="str">
        <f>Table2[[#This Row],[camera_old]]</f>
        <v>Y?</v>
      </c>
      <c r="U705" s="52" t="s">
        <v>75</v>
      </c>
      <c r="V705" s="16" t="s">
        <v>24</v>
      </c>
      <c r="W705" s="16" t="s">
        <v>24</v>
      </c>
      <c r="X705" s="145">
        <v>2</v>
      </c>
      <c r="Y705" s="147" t="s">
        <v>31</v>
      </c>
      <c r="Z705" s="146" t="s">
        <v>90</v>
      </c>
      <c r="AA705" s="4" t="str">
        <f>Table2[[#This Row],[field_fate]]</f>
        <v>U</v>
      </c>
      <c r="AB705" s="4" t="str">
        <f>Table2[[#This Row],[field_fate2]]</f>
        <v>U</v>
      </c>
      <c r="AC705" s="4" t="str">
        <f>Table2[[#This Row],[field_fate3]]</f>
        <v>U</v>
      </c>
      <c r="AD705" s="4" t="str">
        <f>Table2[[#This Row],[field_fate4]]</f>
        <v>U</v>
      </c>
      <c r="AE705" s="4" t="str">
        <f>Table2[[#This Row],[field_fate5]]</f>
        <v>U</v>
      </c>
      <c r="AF705" s="4" t="str">
        <f>Table2[[#This Row],[field_fate5]]</f>
        <v>U</v>
      </c>
      <c r="AG705" s="4" t="str">
        <f>Table2[[#This Row],[field_fate5]]</f>
        <v>U</v>
      </c>
      <c r="AH705" s="4" t="str">
        <f>Table2[[#This Row],[field_fate2]]</f>
        <v>U</v>
      </c>
      <c r="AI705" s="4" t="str">
        <f>Table2[[#This Row],[field_fate8]]</f>
        <v>U</v>
      </c>
      <c r="AJ705" s="4" t="str">
        <f>Table2[[#This Row],[field_fate10]]</f>
        <v>U</v>
      </c>
      <c r="AK705" s="4" t="b">
        <f>Table2[[#This Row],[field_fate_feb]]=Table2[[#This Row],[field_fate10]]</f>
        <v>0</v>
      </c>
      <c r="AL705" s="43" t="s">
        <v>31</v>
      </c>
      <c r="AM705" s="43" t="b">
        <f>Table2[[#This Row],[cam_fate2]]="NA"</f>
        <v>1</v>
      </c>
      <c r="AN705" s="19" t="s">
        <v>24</v>
      </c>
      <c r="AO705" s="2" t="s">
        <v>31</v>
      </c>
      <c r="AP705" s="5" t="s">
        <v>24</v>
      </c>
      <c r="AQ705" s="6" t="s">
        <v>24</v>
      </c>
      <c r="AR705" s="7" t="s">
        <v>24</v>
      </c>
      <c r="AS705" s="7" t="e">
        <f>Table2[[#This Row],[final_obs_date]]-Table2[[#This Row],[init_date]]</f>
        <v>#VALUE!</v>
      </c>
      <c r="AT705" s="7" t="e">
        <f>(Table2[[#This Row],[final_obs_date2]]-Table2[[#This Row],[estHD]])+16</f>
        <v>#VALUE!</v>
      </c>
      <c r="AU705" s="38">
        <v>2</v>
      </c>
      <c r="AV705" s="33">
        <v>2</v>
      </c>
      <c r="AW705" s="33">
        <f>Table2[[#This Row],[final_obs_date2]]-Table2[[#This Row],[pen_obs_date]]</f>
        <v>104</v>
      </c>
      <c r="AX705" s="67">
        <v>104</v>
      </c>
      <c r="AY705" s="6">
        <f>Table2[[#This Row],[final_obs_date]]</f>
        <v>104</v>
      </c>
      <c r="AZ705" s="6"/>
      <c r="BA705" s="91" t="s">
        <v>47</v>
      </c>
      <c r="BB705" s="6" t="e">
        <f>Table2[[#This Row],[final_obs_date]]&lt;(Table2[[#This Row],[estHD]]-2)</f>
        <v>#VALUE!</v>
      </c>
      <c r="BC705" s="32">
        <v>7</v>
      </c>
      <c r="BD705" s="16">
        <f>IF(Table2[[#This Row],[cam_fate2]]="H",1,0)</f>
        <v>0</v>
      </c>
      <c r="BE705" s="6" t="b">
        <f>NOT(Table2[[#This Row],[HF_C]]=Table2[[#This Row],[HF]])</f>
        <v>1</v>
      </c>
      <c r="BF705" s="38" t="b">
        <f>NOT(Table2[[#This Row],[cam_fate2]]=Table2[[#This Row],[field_fate3]])</f>
        <v>1</v>
      </c>
      <c r="BG705" s="38" t="b">
        <f>OR(Table2[[#This Row],[field_fate3]]="U",Table2[[#This Row],[field_fate3]]="U-H")</f>
        <v>1</v>
      </c>
      <c r="BH705" s="8">
        <v>102</v>
      </c>
      <c r="BI705" s="8">
        <v>102</v>
      </c>
      <c r="BJ705" s="14">
        <f>IF(ISTEXT(Table2[[#This Row],[j.cam]]),Table2[[#This Row],[j]],Table2[[#This Row],[j.cam]])</f>
        <v>102</v>
      </c>
      <c r="BK705" s="8">
        <v>104</v>
      </c>
      <c r="BL705" s="14">
        <f>IF(ISTEXT(Table2[[#This Row],[k.cam]]), Table2[[#This Row],[k]], Table2[[#This Row],[k.cam]])</f>
        <v>104</v>
      </c>
      <c r="BM705" s="4" t="s">
        <v>24</v>
      </c>
      <c r="BN705" s="8" t="s">
        <v>24</v>
      </c>
      <c r="BO705" s="4">
        <v>3</v>
      </c>
      <c r="BP705" s="4">
        <f>Table2[[#This Row],[final_obs_date]]-Table2[[#This Row],[i]]</f>
        <v>2</v>
      </c>
      <c r="BQ705" s="4" t="e">
        <f>Table2[[#This Row],[final_obs_date2]]&gt;Table2[[#This Row],[estHD]]+3</f>
        <v>#VALUE!</v>
      </c>
      <c r="BR705" s="3" t="s">
        <v>33</v>
      </c>
      <c r="BS705" s="3" t="s">
        <v>45</v>
      </c>
      <c r="BT705" s="79" t="s">
        <v>1421</v>
      </c>
      <c r="BU705" s="26" t="s">
        <v>132</v>
      </c>
      <c r="BV705" s="79" t="s">
        <v>1554</v>
      </c>
      <c r="BW705" s="49" t="s">
        <v>488</v>
      </c>
      <c r="BX705" s="47" t="s">
        <v>953</v>
      </c>
      <c r="BY705" s="47" t="s">
        <v>905</v>
      </c>
    </row>
    <row r="706" spans="1:77" x14ac:dyDescent="0.35">
      <c r="A706" s="61">
        <v>30981</v>
      </c>
      <c r="B706" s="2" t="s">
        <v>35</v>
      </c>
      <c r="C706" s="46">
        <v>2021</v>
      </c>
      <c r="D706" s="3">
        <v>29.763819999999999</v>
      </c>
      <c r="E706" s="3">
        <v>-93.142359999999996</v>
      </c>
      <c r="F706" s="3">
        <v>0</v>
      </c>
      <c r="G706" s="3">
        <v>10</v>
      </c>
      <c r="H706" s="3" t="s">
        <v>26</v>
      </c>
      <c r="I706" s="43"/>
      <c r="J706" s="116">
        <v>114</v>
      </c>
      <c r="K706" s="4">
        <v>114</v>
      </c>
      <c r="L706" s="22">
        <f>IF(ISNUMBER(Table2[[#This Row],[estHD]]),ABS(Table2[[#This Row],[HD]]-Table2[[#This Row],[estHD]]),"NA")</f>
        <v>0</v>
      </c>
      <c r="M706" s="4" t="b">
        <f>Table2[[#This Row],[HD]]=Table2[[#This Row],[estHD]]</f>
        <v>1</v>
      </c>
      <c r="N706" s="4">
        <f>IF(ISNUMBER(Table2[[#This Row],[HD]]),Table2[[#This Row],[HD]]-19,"NA")</f>
        <v>95</v>
      </c>
      <c r="O706" s="31">
        <v>95</v>
      </c>
      <c r="P706" s="23" t="e">
        <f>IF(ISNUMBER(Table2[[#This Row],[nest_age1]]),ABS(Table2[[#This Row],[nest_age1]]-Table2[[#This Row],[nest_age_feb]]),"NA")</f>
        <v>#VALUE!</v>
      </c>
      <c r="Q706" s="24">
        <f>IF(ISNUMBER(Table2[[#This Row],[final_obs_int2]]),ABS(Table2[[#This Row],[final_obs_int2]]-Table2[[#This Row],[final_obs_int_feb]]), "NA")</f>
        <v>1</v>
      </c>
      <c r="R706" s="24"/>
      <c r="S706" s="20" t="s">
        <v>75</v>
      </c>
      <c r="T706" s="20" t="str">
        <f>Table2[[#This Row],[camera_old]]</f>
        <v>Y</v>
      </c>
      <c r="U706" s="22" t="s">
        <v>88</v>
      </c>
      <c r="V706" s="16" t="s">
        <v>24</v>
      </c>
      <c r="W706" s="16" t="s">
        <v>24</v>
      </c>
      <c r="X706" s="145">
        <v>5</v>
      </c>
      <c r="Y706" s="147" t="s">
        <v>24</v>
      </c>
      <c r="Z706" s="146" t="s">
        <v>90</v>
      </c>
      <c r="AA706" s="4" t="str">
        <f>Table2[[#This Row],[field_fate]]</f>
        <v>U</v>
      </c>
      <c r="AB706" s="65" t="str">
        <f>Table2[[#This Row],[field_fate2]]</f>
        <v>U</v>
      </c>
      <c r="AC706" s="106" t="str">
        <f>Table2[[#This Row],[field_fate3]]</f>
        <v>U</v>
      </c>
      <c r="AD706" s="140" t="str">
        <f>Table2[[#This Row],[field_fate4]]</f>
        <v>U</v>
      </c>
      <c r="AE706" s="134" t="str">
        <f>Table2[[#This Row],[field_fate5]]</f>
        <v>U</v>
      </c>
      <c r="AF706" s="93" t="str">
        <f>Table2[[#This Row],[field_fate5]]</f>
        <v>U</v>
      </c>
      <c r="AG706" s="93" t="str">
        <f>Table2[[#This Row],[field_fate5]]</f>
        <v>U</v>
      </c>
      <c r="AH706" s="93" t="str">
        <f>Table2[[#This Row],[field_fate2]]</f>
        <v>U</v>
      </c>
      <c r="AI706" s="93" t="str">
        <f>Table2[[#This Row],[field_fate8]]</f>
        <v>U</v>
      </c>
      <c r="AJ706" s="93" t="str">
        <f>Table2[[#This Row],[field_fate10]]</f>
        <v>U</v>
      </c>
      <c r="AK706" s="93" t="b">
        <f>Table2[[#This Row],[field_fate_feb]]=Table2[[#This Row],[field_fate10]]</f>
        <v>0</v>
      </c>
      <c r="AL706" s="43" t="s">
        <v>48</v>
      </c>
      <c r="AM706" s="160" t="b">
        <f>Table2[[#This Row],[cam_fate2]]="NA"</f>
        <v>0</v>
      </c>
      <c r="AN706" s="19" t="str">
        <f>Table2[[#This Row],[cam_fate1]]</f>
        <v>F</v>
      </c>
      <c r="AO706" s="2" t="s">
        <v>48</v>
      </c>
      <c r="AP706" s="5" t="str">
        <f>Table2[[#This Row],[final_fate1]]</f>
        <v>F</v>
      </c>
      <c r="AQ706" s="6">
        <v>20</v>
      </c>
      <c r="AR706" s="72">
        <v>20</v>
      </c>
      <c r="AS706" s="72">
        <f>Table2[[#This Row],[final_obs_date]]-Table2[[#This Row],[init_date]]</f>
        <v>20</v>
      </c>
      <c r="AT706" s="155">
        <f>(Table2[[#This Row],[final_obs_date2]]-Table2[[#This Row],[estHD]])+19</f>
        <v>20</v>
      </c>
      <c r="AU706" s="38">
        <v>4</v>
      </c>
      <c r="AV706" s="33">
        <v>4</v>
      </c>
      <c r="AW706" s="33">
        <f>Table2[[#This Row],[final_obs_date2]]-Table2[[#This Row],[pen_obs_date]]</f>
        <v>4</v>
      </c>
      <c r="AX706" s="67">
        <v>115</v>
      </c>
      <c r="AY706" s="157">
        <f>Table2[[#This Row],[final_obs_date]]</f>
        <v>115</v>
      </c>
      <c r="AZ706" s="6">
        <v>111</v>
      </c>
      <c r="BA706" s="92" t="s">
        <v>47</v>
      </c>
      <c r="BB706" s="6" t="b">
        <f>Table2[[#This Row],[final_obs_date]]&lt;(Table2[[#This Row],[estHD]]-2)</f>
        <v>0</v>
      </c>
      <c r="BC706" s="32">
        <v>7</v>
      </c>
      <c r="BD706" s="16">
        <f>IF(Table2[[#This Row],[cam_fate2]]="H",1,0)</f>
        <v>0</v>
      </c>
      <c r="BE706" s="6" t="b">
        <f>NOT(Table2[[#This Row],[HF_C]]=Table2[[#This Row],[HF]])</f>
        <v>1</v>
      </c>
      <c r="BF706" s="38" t="b">
        <f>NOT(Table2[[#This Row],[cam_fate2]]=Table2[[#This Row],[field_fate3]])</f>
        <v>1</v>
      </c>
      <c r="BG706" s="38" t="b">
        <f>OR(Table2[[#This Row],[field_fate3]]="U",Table2[[#This Row],[field_fate3]]="U-H")</f>
        <v>1</v>
      </c>
      <c r="BH706" s="8">
        <v>98</v>
      </c>
      <c r="BI706" s="8">
        <v>111</v>
      </c>
      <c r="BJ706" s="14">
        <f>IF(ISTEXT(Table2[[#This Row],[j.cam]]),Table2[[#This Row],[j]],Table2[[#This Row],[j.cam]])</f>
        <v>111</v>
      </c>
      <c r="BK706" s="8">
        <v>115</v>
      </c>
      <c r="BL706" s="14">
        <f>IF(ISTEXT(Table2[[#This Row],[k.cam]]), Table2[[#This Row],[k]], Table2[[#This Row],[k.cam]])</f>
        <v>115</v>
      </c>
      <c r="BM706" s="4" t="s">
        <v>24</v>
      </c>
      <c r="BN706" s="8" t="s">
        <v>24</v>
      </c>
      <c r="BO706" s="4">
        <v>5</v>
      </c>
      <c r="BP706" s="4">
        <f>Table2[[#This Row],[final_obs_date]]-Table2[[#This Row],[i]]</f>
        <v>17</v>
      </c>
      <c r="BQ706" s="4" t="b">
        <f>Table2[[#This Row],[final_obs_date2]]&gt;Table2[[#This Row],[estHD]]+3</f>
        <v>0</v>
      </c>
      <c r="BR706" s="3" t="s">
        <v>33</v>
      </c>
      <c r="BS706" s="3" t="s">
        <v>45</v>
      </c>
      <c r="BT706" s="125" t="s">
        <v>1422</v>
      </c>
      <c r="BU706" s="4" t="s">
        <v>105</v>
      </c>
      <c r="BV706" s="79" t="s">
        <v>1502</v>
      </c>
      <c r="BW706" s="69"/>
      <c r="BX706" s="36" t="s">
        <v>954</v>
      </c>
      <c r="BY706" s="47" t="s">
        <v>24</v>
      </c>
    </row>
    <row r="707" spans="1:77" hidden="1" x14ac:dyDescent="0.35">
      <c r="A707" s="64">
        <v>30982</v>
      </c>
      <c r="B707" s="2" t="s">
        <v>35</v>
      </c>
      <c r="C707" s="46">
        <v>2021</v>
      </c>
      <c r="D707" s="3">
        <v>29.76858</v>
      </c>
      <c r="E707" s="3">
        <v>-93.165009999999995</v>
      </c>
      <c r="F707" s="3">
        <v>10</v>
      </c>
      <c r="G707" s="3">
        <v>10</v>
      </c>
      <c r="H707" s="3" t="s">
        <v>26</v>
      </c>
      <c r="I707" s="43"/>
      <c r="J707" s="55" t="s">
        <v>24</v>
      </c>
      <c r="K707" s="4" t="s">
        <v>24</v>
      </c>
      <c r="L707" s="22" t="str">
        <f>IF(ISNUMBER(Table2[[#This Row],[estHD]]),ABS(Table2[[#This Row],[HD]]-Table2[[#This Row],[estHD]]),"NA")</f>
        <v>NA</v>
      </c>
      <c r="M707" s="4" t="b">
        <f>Table2[[#This Row],[HD]]=Table2[[#This Row],[estHD]]</f>
        <v>1</v>
      </c>
      <c r="N707" s="4" t="str">
        <f>IF(ISNUMBER([1]!Table2[[#This Row],[hatch_date]]),[1]!Table2[[#This Row],[hatch_date]]-19,"NA")</f>
        <v>NA</v>
      </c>
      <c r="O707" s="31" t="s">
        <v>24</v>
      </c>
      <c r="P707" s="23" t="str">
        <f>IF(ISNUMBER(Table2[[#This Row],[nest_age1]]),ABS(Table2[[#This Row],[nest_age1]]-Table2[[#This Row],[nest_age_feb]]),"NA")</f>
        <v>NA</v>
      </c>
      <c r="Q707" s="24">
        <f>IF(ISNUMBER(Table2[[#This Row],[final_obs_int2]]),ABS(Table2[[#This Row],[final_obs_int2]]-Table2[[#This Row],[final_obs_int_feb]]), "NA")</f>
        <v>0</v>
      </c>
      <c r="R707" s="24"/>
      <c r="S707" s="21" t="s">
        <v>172</v>
      </c>
      <c r="T707" s="21" t="str">
        <f>Table2[[#This Row],[camera_old]]</f>
        <v>Y?</v>
      </c>
      <c r="U707" s="52" t="s">
        <v>75</v>
      </c>
      <c r="V707" s="16" t="s">
        <v>24</v>
      </c>
      <c r="W707" s="16" t="s">
        <v>24</v>
      </c>
      <c r="X707" s="145">
        <v>4</v>
      </c>
      <c r="Y707" s="150" t="s">
        <v>31</v>
      </c>
      <c r="Z707" s="146" t="s">
        <v>31</v>
      </c>
      <c r="AA707" s="4" t="str">
        <f>Table2[[#This Row],[field_fate]]</f>
        <v>D</v>
      </c>
      <c r="AB707" s="4" t="str">
        <f>Table2[[#This Row],[field_fate2]]</f>
        <v>D</v>
      </c>
      <c r="AC707" s="4" t="str">
        <f>Table2[[#This Row],[field_fate3]]</f>
        <v>D</v>
      </c>
      <c r="AD707" s="4" t="str">
        <f>Table2[[#This Row],[field_fate4]]</f>
        <v>D</v>
      </c>
      <c r="AE707" s="4" t="str">
        <f>Table2[[#This Row],[field_fate5]]</f>
        <v>D</v>
      </c>
      <c r="AF707" s="4" t="str">
        <f>Table2[[#This Row],[field_fate5]]</f>
        <v>D</v>
      </c>
      <c r="AG707" s="4" t="str">
        <f>Table2[[#This Row],[field_fate5]]</f>
        <v>D</v>
      </c>
      <c r="AH707" s="4" t="str">
        <f>Table2[[#This Row],[field_fate2]]</f>
        <v>D</v>
      </c>
      <c r="AI707" s="4" t="str">
        <f>Table2[[#This Row],[field_fate8]]</f>
        <v>D</v>
      </c>
      <c r="AJ707" s="4" t="str">
        <f>Table2[[#This Row],[field_fate10]]</f>
        <v>D</v>
      </c>
      <c r="AK707" s="4" t="b">
        <f>Table2[[#This Row],[field_fate_feb]]=Table2[[#This Row],[field_fate10]]</f>
        <v>1</v>
      </c>
      <c r="AL707" s="43" t="s">
        <v>24</v>
      </c>
      <c r="AM707" s="43" t="b">
        <f>Table2[[#This Row],[cam_fate2]]="NA"</f>
        <v>1</v>
      </c>
      <c r="AN707" s="19" t="str">
        <f>Table2[[#This Row],[cam_fate1]]</f>
        <v>NA</v>
      </c>
      <c r="AO707" s="2" t="s">
        <v>24</v>
      </c>
      <c r="AP707" s="5" t="str">
        <f>Table2[[#This Row],[final_fate1]]</f>
        <v>NA</v>
      </c>
      <c r="AQ707" s="6" t="s">
        <v>24</v>
      </c>
      <c r="AR707" s="7" t="s">
        <v>24</v>
      </c>
      <c r="AS707" s="7" t="e">
        <f>Table2[[#This Row],[final_obs_date]]-Table2[[#This Row],[init_date]]</f>
        <v>#VALUE!</v>
      </c>
      <c r="AT707" s="7" t="e">
        <f>(Table2[[#This Row],[final_obs_date2]]-Table2[[#This Row],[estHD]])+16</f>
        <v>#VALUE!</v>
      </c>
      <c r="AU707" s="38">
        <v>4</v>
      </c>
      <c r="AV707" s="33">
        <v>4</v>
      </c>
      <c r="AW707" s="33">
        <f>Table2[[#This Row],[final_obs_date2]]-Table2[[#This Row],[pen_obs_date]]</f>
        <v>106</v>
      </c>
      <c r="AX707" s="67">
        <v>106</v>
      </c>
      <c r="AY707" s="6">
        <f>Table2[[#This Row],[final_obs_date]]</f>
        <v>106</v>
      </c>
      <c r="AZ707" s="6"/>
      <c r="BA707" s="91" t="s">
        <v>47</v>
      </c>
      <c r="BB707" s="6" t="e">
        <f>Table2[[#This Row],[final_obs_date]]&lt;(Table2[[#This Row],[estHD]]-2)</f>
        <v>#VALUE!</v>
      </c>
      <c r="BC707" s="25">
        <f>IF(Table2[[#This Row],[field_fate]]="H",1,0)</f>
        <v>0</v>
      </c>
      <c r="BD707" s="16">
        <f>IF(Table2[[#This Row],[cam_fate2]]="H",1,0)</f>
        <v>0</v>
      </c>
      <c r="BE707" s="6" t="b">
        <f>NOT(Table2[[#This Row],[HF_C]]=Table2[[#This Row],[HF]])</f>
        <v>0</v>
      </c>
      <c r="BF707" s="6" t="b">
        <f>NOT(Table2[[#This Row],[cam_fate2]]=Table2[[#This Row],[field_fate3]])</f>
        <v>1</v>
      </c>
      <c r="BG707" s="6" t="b">
        <f>OR(Table2[[#This Row],[field_fate3]]="U",Table2[[#This Row],[field_fate3]]="U-H")</f>
        <v>0</v>
      </c>
      <c r="BH707" s="8">
        <v>102</v>
      </c>
      <c r="BI707" s="8">
        <v>102</v>
      </c>
      <c r="BJ707" s="14">
        <f>IF(ISTEXT(Table2[[#This Row],[j.cam]]),Table2[[#This Row],[j]],Table2[[#This Row],[j.cam]])</f>
        <v>102</v>
      </c>
      <c r="BK707" s="8">
        <v>106</v>
      </c>
      <c r="BL707" s="14">
        <f>IF(ISTEXT(Table2[[#This Row],[k.cam]]), Table2[[#This Row],[k]], Table2[[#This Row],[k.cam]])</f>
        <v>106</v>
      </c>
      <c r="BM707" s="4" t="s">
        <v>24</v>
      </c>
      <c r="BN707" s="8" t="s">
        <v>24</v>
      </c>
      <c r="BO707" s="4">
        <v>2</v>
      </c>
      <c r="BP707" s="4">
        <f>Table2[[#This Row],[final_obs_date]]-Table2[[#This Row],[i]]</f>
        <v>4</v>
      </c>
      <c r="BQ707" s="4" t="e">
        <f>Table2[[#This Row],[final_obs_date2]]&gt;Table2[[#This Row],[estHD]]+3</f>
        <v>#VALUE!</v>
      </c>
      <c r="BR707" s="3" t="s">
        <v>58</v>
      </c>
      <c r="BS707" s="3" t="s">
        <v>365</v>
      </c>
      <c r="BT707" s="79" t="s">
        <v>1423</v>
      </c>
      <c r="BU707" s="26" t="s">
        <v>370</v>
      </c>
      <c r="BV707" s="79" t="s">
        <v>1429</v>
      </c>
      <c r="BW707" s="49" t="s">
        <v>488</v>
      </c>
      <c r="BX707" s="47" t="s">
        <v>957</v>
      </c>
      <c r="BY707" s="36" t="s">
        <v>906</v>
      </c>
    </row>
    <row r="708" spans="1:77" hidden="1" x14ac:dyDescent="0.35">
      <c r="A708" s="64">
        <v>30983</v>
      </c>
      <c r="B708" s="2" t="s">
        <v>35</v>
      </c>
      <c r="C708" s="46">
        <v>2021</v>
      </c>
      <c r="D708" s="3">
        <v>29.766159999999999</v>
      </c>
      <c r="E708" s="3">
        <v>-93.154570000000007</v>
      </c>
      <c r="F708" s="3">
        <v>20</v>
      </c>
      <c r="G708" s="3">
        <v>20</v>
      </c>
      <c r="H708" s="3" t="s">
        <v>26</v>
      </c>
      <c r="I708" s="43"/>
      <c r="J708" s="116" t="s">
        <v>24</v>
      </c>
      <c r="K708" s="4" t="s">
        <v>24</v>
      </c>
      <c r="L708" s="22" t="str">
        <f>IF(ISNUMBER(Table2[[#This Row],[estHD]]),ABS(Table2[[#This Row],[HD]]-Table2[[#This Row],[estHD]]),"NA")</f>
        <v>NA</v>
      </c>
      <c r="M708" s="4" t="b">
        <f>Table2[[#This Row],[HD]]=Table2[[#This Row],[estHD]]</f>
        <v>1</v>
      </c>
      <c r="N708" s="4" t="str">
        <f>IF(ISNUMBER([1]!Table2[[#This Row],[hatch_date]]),[1]!Table2[[#This Row],[hatch_date]]-19,"NA")</f>
        <v>NA</v>
      </c>
      <c r="O708" s="31" t="s">
        <v>24</v>
      </c>
      <c r="P708" s="23" t="str">
        <f>IF(ISNUMBER(Table2[[#This Row],[nest_age1]]),ABS(Table2[[#This Row],[nest_age1]]-Table2[[#This Row],[nest_age_feb]]),"NA")</f>
        <v>NA</v>
      </c>
      <c r="Q708" s="24">
        <f>IF(ISNUMBER(Table2[[#This Row],[final_obs_int2]]),ABS(Table2[[#This Row],[final_obs_int2]]-Table2[[#This Row],[final_obs_int_feb]]), "NA")</f>
        <v>1</v>
      </c>
      <c r="R708" s="24"/>
      <c r="S708" s="20" t="s">
        <v>75</v>
      </c>
      <c r="T708" s="20" t="str">
        <f>Table2[[#This Row],[camera_old]]</f>
        <v>Y</v>
      </c>
      <c r="U708" s="22" t="s">
        <v>88</v>
      </c>
      <c r="V708" s="16" t="s">
        <v>90</v>
      </c>
      <c r="W708" s="16" t="s">
        <v>24</v>
      </c>
      <c r="X708" s="145">
        <v>5</v>
      </c>
      <c r="Y708" s="147" t="s">
        <v>24</v>
      </c>
      <c r="Z708" s="146" t="s">
        <v>90</v>
      </c>
      <c r="AA708" s="4" t="str">
        <f>Table2[[#This Row],[field_fate]]</f>
        <v>U</v>
      </c>
      <c r="AB708" s="65" t="str">
        <f>Table2[[#This Row],[field_fate2]]</f>
        <v>U</v>
      </c>
      <c r="AC708" s="93" t="str">
        <f>Table2[[#This Row],[field_fate3]]</f>
        <v>U</v>
      </c>
      <c r="AD708" s="93" t="str">
        <f>Table2[[#This Row],[field_fate4]]</f>
        <v>U</v>
      </c>
      <c r="AE708" s="93" t="str">
        <f>Table2[[#This Row],[field_fate5]]</f>
        <v>U</v>
      </c>
      <c r="AF708" s="93" t="str">
        <f>Table2[[#This Row],[field_fate5]]</f>
        <v>U</v>
      </c>
      <c r="AG708" s="93" t="str">
        <f>Table2[[#This Row],[field_fate5]]</f>
        <v>U</v>
      </c>
      <c r="AH708" s="93" t="str">
        <f>Table2[[#This Row],[field_fate2]]</f>
        <v>U</v>
      </c>
      <c r="AI708" s="93" t="str">
        <f>Table2[[#This Row],[field_fate8]]</f>
        <v>U</v>
      </c>
      <c r="AJ708" s="93" t="str">
        <f>Table2[[#This Row],[field_fate10]]</f>
        <v>U</v>
      </c>
      <c r="AK708" s="93" t="b">
        <f>Table2[[#This Row],[field_fate_feb]]=Table2[[#This Row],[field_fate10]]</f>
        <v>0</v>
      </c>
      <c r="AL708" s="43" t="s">
        <v>24</v>
      </c>
      <c r="AM708" s="43" t="b">
        <f>Table2[[#This Row],[cam_fate2]]="NA"</f>
        <v>1</v>
      </c>
      <c r="AN708" s="19" t="str">
        <f>Table2[[#This Row],[cam_fate1]]</f>
        <v>NA</v>
      </c>
      <c r="AO708" s="2" t="s">
        <v>24</v>
      </c>
      <c r="AP708" s="5" t="str">
        <f>Table2[[#This Row],[final_fate1]]</f>
        <v>NA</v>
      </c>
      <c r="AQ708" s="6" t="s">
        <v>24</v>
      </c>
      <c r="AR708" s="72" t="s">
        <v>24</v>
      </c>
      <c r="AS708" s="72" t="e">
        <f>Table2[[#This Row],[final_obs_date]]-Table2[[#This Row],[init_date]]</f>
        <v>#VALUE!</v>
      </c>
      <c r="AT708" s="72" t="e">
        <f>(Table2[[#This Row],[final_obs_date2]]-Table2[[#This Row],[estHD]])+16</f>
        <v>#VALUE!</v>
      </c>
      <c r="AU708" s="38">
        <v>4</v>
      </c>
      <c r="AV708" s="33">
        <v>4</v>
      </c>
      <c r="AW708" s="33">
        <f>Table2[[#This Row],[final_obs_date2]]-Table2[[#This Row],[pen_obs_date]]</f>
        <v>111</v>
      </c>
      <c r="AX708" s="67">
        <v>111</v>
      </c>
      <c r="AY708" s="156">
        <f>Table2[[#This Row],[final_obs_date]]</f>
        <v>111</v>
      </c>
      <c r="AZ708" s="6"/>
      <c r="BA708" s="92" t="s">
        <v>47</v>
      </c>
      <c r="BB708" s="6" t="e">
        <f>Table2[[#This Row],[final_obs_date]]&lt;(Table2[[#This Row],[estHD]]-2)</f>
        <v>#VALUE!</v>
      </c>
      <c r="BC708" s="32">
        <v>7</v>
      </c>
      <c r="BD708" s="16" t="s">
        <v>24</v>
      </c>
      <c r="BE708" s="6" t="b">
        <f>NOT(Table2[[#This Row],[HF_C]]=Table2[[#This Row],[HF]])</f>
        <v>1</v>
      </c>
      <c r="BF708" s="38" t="b">
        <f>NOT(Table2[[#This Row],[cam_fate2]]=Table2[[#This Row],[field_fate3]])</f>
        <v>1</v>
      </c>
      <c r="BG708" s="38" t="b">
        <f>OR(Table2[[#This Row],[field_fate3]]="U",Table2[[#This Row],[field_fate3]]="U-H")</f>
        <v>1</v>
      </c>
      <c r="BH708" s="8">
        <v>102</v>
      </c>
      <c r="BI708" s="8">
        <v>107</v>
      </c>
      <c r="BJ708" s="14">
        <f>IF(ISTEXT(Table2[[#This Row],[j.cam]]),Table2[[#This Row],[j]],Table2[[#This Row],[j.cam]])</f>
        <v>107</v>
      </c>
      <c r="BK708" s="8">
        <v>111</v>
      </c>
      <c r="BL708" s="14">
        <f>IF(ISTEXT(Table2[[#This Row],[k.cam]]), Table2[[#This Row],[k]], Table2[[#This Row],[k.cam]])</f>
        <v>111</v>
      </c>
      <c r="BM708" s="4" t="s">
        <v>24</v>
      </c>
      <c r="BN708" s="8" t="s">
        <v>24</v>
      </c>
      <c r="BO708" s="4">
        <v>3</v>
      </c>
      <c r="BP708" s="4">
        <f>Table2[[#This Row],[final_obs_date]]-Table2[[#This Row],[i]]</f>
        <v>9</v>
      </c>
      <c r="BQ708" s="4" t="e">
        <f>Table2[[#This Row],[final_obs_date2]]&gt;Table2[[#This Row],[estHD]]+3</f>
        <v>#VALUE!</v>
      </c>
      <c r="BR708" s="3" t="s">
        <v>33</v>
      </c>
      <c r="BS708" s="3" t="s">
        <v>45</v>
      </c>
      <c r="BT708" s="125" t="s">
        <v>1424</v>
      </c>
      <c r="BU708" s="4" t="s">
        <v>132</v>
      </c>
      <c r="BV708" s="79" t="s">
        <v>1470</v>
      </c>
      <c r="BW708" s="69"/>
      <c r="BX708" s="73" t="s">
        <v>933</v>
      </c>
      <c r="BY708" s="47" t="s">
        <v>24</v>
      </c>
    </row>
    <row r="709" spans="1:77" x14ac:dyDescent="0.35">
      <c r="A709" s="64">
        <v>30986</v>
      </c>
      <c r="B709" s="2" t="s">
        <v>122</v>
      </c>
      <c r="C709" s="46">
        <v>2021</v>
      </c>
      <c r="D709" s="3">
        <v>29.757429999999999</v>
      </c>
      <c r="E709" s="3">
        <v>-93.115600000000001</v>
      </c>
      <c r="F709" s="3" t="s">
        <v>24</v>
      </c>
      <c r="G709" s="3" t="s">
        <v>24</v>
      </c>
      <c r="H709" s="3" t="s">
        <v>354</v>
      </c>
      <c r="I709" s="43"/>
      <c r="J709" s="116" t="s">
        <v>24</v>
      </c>
      <c r="K709" s="4" t="s">
        <v>24</v>
      </c>
      <c r="L709" s="22" t="str">
        <f>IF(ISNUMBER(Table2[[#This Row],[estHD]]),ABS(Table2[[#This Row],[HD]]-Table2[[#This Row],[estHD]]),"NA")</f>
        <v>NA</v>
      </c>
      <c r="M709" s="4" t="b">
        <f>Table2[[#This Row],[HD]]=Table2[[#This Row],[estHD]]</f>
        <v>1</v>
      </c>
      <c r="N709" s="4" t="str">
        <f>IF(ISNUMBER([1]!Table2[[#This Row],[hatch_date]]), [1]!Table2[[#This Row],[hatch_date]]-16, "NA")</f>
        <v>NA</v>
      </c>
      <c r="O709" s="89" t="s">
        <v>24</v>
      </c>
      <c r="P709" s="23" t="str">
        <f>IF(ISNUMBER(Table2[[#This Row],[nest_age1]]),ABS(Table2[[#This Row],[nest_age1]]-Table2[[#This Row],[nest_age_feb]]),"NA")</f>
        <v>NA</v>
      </c>
      <c r="Q709" s="24">
        <f>IF(ISNUMBER(Table2[[#This Row],[final_obs_int2]]),ABS(Table2[[#This Row],[final_obs_int2]]-Table2[[#This Row],[final_obs_int_feb]]), "NA")</f>
        <v>5</v>
      </c>
      <c r="R709" s="24"/>
      <c r="S709" s="20" t="s">
        <v>75</v>
      </c>
      <c r="T709" s="20" t="str">
        <f>Table2[[#This Row],[camera_old]]</f>
        <v>Y</v>
      </c>
      <c r="U709" s="22" t="s">
        <v>88</v>
      </c>
      <c r="V709" s="16" t="s">
        <v>24</v>
      </c>
      <c r="W709" s="16" t="s">
        <v>24</v>
      </c>
      <c r="X709" s="145">
        <v>0</v>
      </c>
      <c r="Y709" s="147" t="s">
        <v>24</v>
      </c>
      <c r="Z709" s="146" t="s">
        <v>31</v>
      </c>
      <c r="AA709" s="4" t="str">
        <f>Table2[[#This Row],[field_fate]]</f>
        <v>D</v>
      </c>
      <c r="AB709" s="4" t="str">
        <f>Table2[[#This Row],[field_fate2]]</f>
        <v>D</v>
      </c>
      <c r="AC709" s="94" t="str">
        <f>Table2[[#This Row],[field_fate3]]</f>
        <v>D</v>
      </c>
      <c r="AD709" s="94" t="str">
        <f>Table2[[#This Row],[field_fate4]]</f>
        <v>D</v>
      </c>
      <c r="AE709" s="94" t="str">
        <f>Table2[[#This Row],[field_fate5]]</f>
        <v>D</v>
      </c>
      <c r="AF709" s="94" t="str">
        <f>Table2[[#This Row],[field_fate5]]</f>
        <v>D</v>
      </c>
      <c r="AG709" s="94" t="str">
        <f>Table2[[#This Row],[field_fate5]]</f>
        <v>D</v>
      </c>
      <c r="AH709" s="94" t="str">
        <f>Table2[[#This Row],[field_fate2]]</f>
        <v>D</v>
      </c>
      <c r="AI709" s="94" t="s">
        <v>31</v>
      </c>
      <c r="AJ709" s="94" t="str">
        <f>Table2[[#This Row],[field_fate10]]</f>
        <v>D</v>
      </c>
      <c r="AK709" s="94" t="b">
        <f>Table2[[#This Row],[field_fate_feb]]=Table2[[#This Row],[field_fate10]]</f>
        <v>0</v>
      </c>
      <c r="AL709" s="43" t="s">
        <v>36</v>
      </c>
      <c r="AM709" s="160" t="b">
        <f>Table2[[#This Row],[cam_fate2]]="NA"</f>
        <v>0</v>
      </c>
      <c r="AN709" s="19" t="s">
        <v>31</v>
      </c>
      <c r="AO709" s="2" t="s">
        <v>36</v>
      </c>
      <c r="AP709" s="5" t="str">
        <f>Table2[[#This Row],[final_fate1]]</f>
        <v>A</v>
      </c>
      <c r="AQ709" s="6" t="s">
        <v>24</v>
      </c>
      <c r="AR709" s="72" t="s">
        <v>24</v>
      </c>
      <c r="AS709" s="155" t="e">
        <f>Table2[[#This Row],[final_obs_date]]-Table2[[#This Row],[init_date]]</f>
        <v>#VALUE!</v>
      </c>
      <c r="AT709" s="155" t="e">
        <f>(Table2[[#This Row],[final_obs_date2]]-Table2[[#This Row],[estHD]])+16</f>
        <v>#VALUE!</v>
      </c>
      <c r="AU709" s="38">
        <v>5</v>
      </c>
      <c r="AV709" s="33">
        <v>5</v>
      </c>
      <c r="AW709" s="33">
        <f>Table2[[#This Row],[final_obs_date2]]-Table2[[#This Row],[pen_obs_date]]</f>
        <v>5</v>
      </c>
      <c r="AX709" s="67">
        <v>109</v>
      </c>
      <c r="AY709" s="157">
        <f>Table2[[#This Row],[final_obs_date]]</f>
        <v>109</v>
      </c>
      <c r="AZ709" s="6">
        <v>104</v>
      </c>
      <c r="BA709" s="92" t="s">
        <v>60</v>
      </c>
      <c r="BB709" s="86" t="e">
        <f>Table2[[#This Row],[final_obs_date]]&lt;(Table2[[#This Row],[estHD]]-2)</f>
        <v>#VALUE!</v>
      </c>
      <c r="BC709" s="83">
        <f>IF(Table2[[#This Row],[field_fate]]="H",1,0)</f>
        <v>0</v>
      </c>
      <c r="BD709" s="82">
        <f>IF(Table2[[#This Row],[cam_fate2]]="H",1,0)</f>
        <v>0</v>
      </c>
      <c r="BE709" s="84" t="b">
        <f>NOT(Table2[[#This Row],[HF_C]]=Table2[[#This Row],[HF]])</f>
        <v>0</v>
      </c>
      <c r="BF709" s="85" t="b">
        <f>NOT(Table2[[#This Row],[cam_fate2]]=Table2[[#This Row],[field_fate3]])</f>
        <v>0</v>
      </c>
      <c r="BG709" s="85" t="b">
        <f>OR(Table2[[#This Row],[field_fate3]]="U",Table2[[#This Row],[field_fate3]]="U-H")</f>
        <v>0</v>
      </c>
      <c r="BH709" s="8">
        <v>104</v>
      </c>
      <c r="BI709" s="8">
        <v>104</v>
      </c>
      <c r="BJ709" s="14">
        <f>IF(ISTEXT(Table2[[#This Row],[j.cam]]),Table2[[#This Row],[j]],Table2[[#This Row],[j.cam]])</f>
        <v>104</v>
      </c>
      <c r="BK709" s="8">
        <v>109</v>
      </c>
      <c r="BL709" s="14">
        <f>IF(ISTEXT(Table2[[#This Row],[k.cam]]), Table2[[#This Row],[k]], Table2[[#This Row],[k.cam]])</f>
        <v>109</v>
      </c>
      <c r="BM709" s="87" t="s">
        <v>24</v>
      </c>
      <c r="BN709" s="87" t="s">
        <v>24</v>
      </c>
      <c r="BO709" s="4">
        <v>2</v>
      </c>
      <c r="BP709" s="4">
        <f>Table2[[#This Row],[final_obs_date]]-Table2[[#This Row],[i]]</f>
        <v>5</v>
      </c>
      <c r="BQ709" s="4" t="e">
        <f>Table2[[#This Row],[final_obs_date2]]&gt;Table2[[#This Row],[estHD]]+3</f>
        <v>#VALUE!</v>
      </c>
      <c r="BR709" s="3" t="s">
        <v>33</v>
      </c>
      <c r="BS709" s="3" t="s">
        <v>45</v>
      </c>
      <c r="BT709" s="125" t="s">
        <v>1425</v>
      </c>
      <c r="BU709" s="122" t="s">
        <v>87</v>
      </c>
      <c r="BV709" s="88" t="s">
        <v>1464</v>
      </c>
      <c r="BW709" s="69"/>
      <c r="BX709" s="36"/>
      <c r="BY709" s="36" t="s">
        <v>907</v>
      </c>
    </row>
    <row r="710" spans="1:77" hidden="1" x14ac:dyDescent="0.35">
      <c r="A710" s="64" t="s">
        <v>24</v>
      </c>
      <c r="B710" s="2" t="s">
        <v>22</v>
      </c>
      <c r="C710" s="2">
        <v>2019</v>
      </c>
      <c r="D710" s="3">
        <v>29.725750000000001</v>
      </c>
      <c r="E710" s="3">
        <v>-92.827449999999999</v>
      </c>
      <c r="F710" s="3">
        <v>0</v>
      </c>
      <c r="G710" s="3">
        <v>0</v>
      </c>
      <c r="H710" s="3" t="s">
        <v>462</v>
      </c>
      <c r="I710" s="43"/>
      <c r="J710" s="55" t="s">
        <v>24</v>
      </c>
      <c r="K710" s="4" t="s">
        <v>24</v>
      </c>
      <c r="L710" s="22" t="str">
        <f>IF(ISNUMBER(Table2[[#This Row],[estHD]]),ABS(Table2[[#This Row],[HD]]-Table2[[#This Row],[estHD]]),"NA")</f>
        <v>NA</v>
      </c>
      <c r="M710" s="4" t="b">
        <f>Table2[[#This Row],[HD]]=Table2[[#This Row],[estHD]]</f>
        <v>1</v>
      </c>
      <c r="N710" s="4" t="str">
        <f>IF(ISNUMBER([1]!Table2[[#This Row],[hatch_date]]),[1]!Table2[[#This Row],[hatch_date]]-19,"NA")</f>
        <v>NA</v>
      </c>
      <c r="O710" s="31" t="s">
        <v>24</v>
      </c>
      <c r="P710" s="23" t="str">
        <f>IF(ISNUMBER(Table2[[#This Row],[nest_age1]]),ABS(Table2[[#This Row],[nest_age1]]-Table2[[#This Row],[nest_age_feb]]),"NA")</f>
        <v>NA</v>
      </c>
      <c r="Q710" s="24" t="str">
        <f>IF(ISNUMBER(Table2[[#This Row],[final_obs_int2]]),ABS(Table2[[#This Row],[final_obs_int2]]-Table2[[#This Row],[final_obs_int_feb]]), "NA")</f>
        <v>NA</v>
      </c>
      <c r="R710" s="24"/>
      <c r="S710" s="57" t="s">
        <v>88</v>
      </c>
      <c r="T710" s="57" t="str">
        <f>Table2[[#This Row],[camera_old]]</f>
        <v>N</v>
      </c>
      <c r="U710" s="24"/>
      <c r="V710" s="16" t="s">
        <v>24</v>
      </c>
      <c r="W710" s="16" t="s">
        <v>24</v>
      </c>
      <c r="X710" s="145" t="s">
        <v>24</v>
      </c>
      <c r="Y710" s="147" t="s">
        <v>90</v>
      </c>
      <c r="Z710" s="146" t="s">
        <v>48</v>
      </c>
      <c r="AA710" s="4" t="str">
        <f>Table2[[#This Row],[field_fate]]</f>
        <v>F</v>
      </c>
      <c r="AB710" s="4" t="str">
        <f>Table2[[#This Row],[field_fate2]]</f>
        <v>F</v>
      </c>
      <c r="AC710" s="4" t="str">
        <f>Table2[[#This Row],[field_fate3]]</f>
        <v>F</v>
      </c>
      <c r="AD710" s="4" t="str">
        <f>Table2[[#This Row],[field_fate4]]</f>
        <v>F</v>
      </c>
      <c r="AE710" s="4" t="str">
        <f>Table2[[#This Row],[field_fate5]]</f>
        <v>F</v>
      </c>
      <c r="AF710" s="4" t="str">
        <f>Table2[[#This Row],[field_fate5]]</f>
        <v>F</v>
      </c>
      <c r="AG710" s="4" t="str">
        <f>Table2[[#This Row],[field_fate5]]</f>
        <v>F</v>
      </c>
      <c r="AH710" s="4" t="str">
        <f>Table2[[#This Row],[field_fate2]]</f>
        <v>F</v>
      </c>
      <c r="AI710" s="4" t="str">
        <f>Table2[[#This Row],[field_fate8]]</f>
        <v>F</v>
      </c>
      <c r="AJ710" s="4" t="str">
        <f>Table2[[#This Row],[field_fate10]]</f>
        <v>F</v>
      </c>
      <c r="AK710" s="4" t="b">
        <f>Table2[[#This Row],[field_fate_feb]]=Table2[[#This Row],[field_fate10]]</f>
        <v>0</v>
      </c>
      <c r="AL710" s="43" t="s">
        <v>24</v>
      </c>
      <c r="AM710" s="43" t="b">
        <f>Table2[[#This Row],[cam_fate2]]="NA"</f>
        <v>1</v>
      </c>
      <c r="AN710" s="19" t="str">
        <f>Table2[[#This Row],[cam_fate1]]</f>
        <v>NA</v>
      </c>
      <c r="AO710" s="2" t="s">
        <v>48</v>
      </c>
      <c r="AP710" s="5" t="str">
        <f>Table2[[#This Row],[final_fate1]]</f>
        <v>F</v>
      </c>
      <c r="AQ710" s="6" t="s">
        <v>24</v>
      </c>
      <c r="AR710" s="7" t="s">
        <v>24</v>
      </c>
      <c r="AS710" s="7" t="e">
        <f>Table2[[#This Row],[final_obs_date]]-Table2[[#This Row],[init_date]]</f>
        <v>#VALUE!</v>
      </c>
      <c r="AT710" s="7" t="e">
        <f>(Table2[[#This Row],[final_obs_date2]]-Table2[[#This Row],[estHD]])+16</f>
        <v>#VALUE!</v>
      </c>
      <c r="AU710" s="38" t="s">
        <v>24</v>
      </c>
      <c r="AV710" s="33" t="s">
        <v>24</v>
      </c>
      <c r="AW710" s="33">
        <f>Table2[[#This Row],[final_obs_date2]]-Table2[[#This Row],[pen_obs_date]]</f>
        <v>91</v>
      </c>
      <c r="AX710" s="67">
        <v>91</v>
      </c>
      <c r="AY710" s="6">
        <f>Table2[[#This Row],[final_obs_date]]</f>
        <v>91</v>
      </c>
      <c r="AZ710" s="6"/>
      <c r="BA710" s="91" t="s">
        <v>47</v>
      </c>
      <c r="BB710" s="6" t="e">
        <f>Table2[[#This Row],[final_obs_date]]&lt;(Table2[[#This Row],[estHD]]-2)</f>
        <v>#VALUE!</v>
      </c>
      <c r="BC710" s="24">
        <f>IF(Table2[[#This Row],[field_fate]]="H",1,0)</f>
        <v>0</v>
      </c>
      <c r="BD710" s="16">
        <f>IF(Table2[[#This Row],[cam_fate2]]="H",1,0)</f>
        <v>0</v>
      </c>
      <c r="BE710" s="6" t="b">
        <f>NOT(Table2[[#This Row],[HF_C]]=Table2[[#This Row],[HF]])</f>
        <v>0</v>
      </c>
      <c r="BF710" s="6" t="b">
        <f>NOT(Table2[[#This Row],[cam_fate2]]=Table2[[#This Row],[field_fate3]])</f>
        <v>1</v>
      </c>
      <c r="BG710" s="6" t="b">
        <f>OR(Table2[[#This Row],[field_fate3]]="U",Table2[[#This Row],[field_fate3]]="U-H")</f>
        <v>0</v>
      </c>
      <c r="BH710" s="8">
        <v>85</v>
      </c>
      <c r="BI710" s="8">
        <v>85</v>
      </c>
      <c r="BJ710" s="14">
        <f>IF(ISTEXT(Table2[[#This Row],[j.cam]]),Table2[[#This Row],[j]],Table2[[#This Row],[j.cam]])</f>
        <v>85</v>
      </c>
      <c r="BK710" s="9">
        <v>91</v>
      </c>
      <c r="BL710" s="15">
        <f>IF(ISTEXT(Table2[[#This Row],[k.cam]]), Table2[[#This Row],[k]], Table2[[#This Row],[k.cam]])</f>
        <v>91</v>
      </c>
      <c r="BM710" s="4" t="s">
        <v>24</v>
      </c>
      <c r="BN710" s="8" t="s">
        <v>24</v>
      </c>
      <c r="BO710" s="4">
        <v>31</v>
      </c>
      <c r="BP710" s="4">
        <f>Table2[[#This Row],[final_obs_date]]-Table2[[#This Row],[i]]</f>
        <v>6</v>
      </c>
      <c r="BQ710" s="4" t="e">
        <f>Table2[[#This Row],[final_obs_date2]]&gt;Table2[[#This Row],[estHD]]+3</f>
        <v>#VALUE!</v>
      </c>
      <c r="BR710" s="4" t="s">
        <v>33</v>
      </c>
      <c r="BS710" s="4" t="s">
        <v>28</v>
      </c>
      <c r="BT710" s="79" t="s">
        <v>1426</v>
      </c>
      <c r="BU710" s="26" t="s">
        <v>447</v>
      </c>
      <c r="BV710" s="79" t="s">
        <v>1699</v>
      </c>
      <c r="BW710" s="49"/>
      <c r="BX710" s="50"/>
      <c r="BY710" s="36" t="s">
        <v>24</v>
      </c>
    </row>
  </sheetData>
  <phoneticPr fontId="24" type="noConversion"/>
  <conditionalFormatting sqref="A2:BN710 BO2:BY259 BO260:BW260 BY260 BO261:BY710">
    <cfRule type="endsWith" dxfId="10" priority="4" operator="endsWith" text="NA">
      <formula>RIGHT(A2,LEN("NA"))="NA"</formula>
    </cfRule>
  </conditionalFormatting>
  <conditionalFormatting sqref="H1:I1048576">
    <cfRule type="containsText" dxfId="9" priority="16" operator="containsText" text="sym">
      <formula>NOT(ISERROR(SEARCH("sym",H1)))</formula>
    </cfRule>
  </conditionalFormatting>
  <conditionalFormatting sqref="N2:R710">
    <cfRule type="containsText" dxfId="8" priority="10" operator="containsText" text="FALSE">
      <formula>NOT(ISERROR(SEARCH("FALSE",N2)))</formula>
    </cfRule>
    <cfRule type="containsText" dxfId="7" priority="11" operator="containsText" text="TRUE">
      <formula>NOT(ISERROR(SEARCH("TRUE",N2)))</formula>
    </cfRule>
  </conditionalFormatting>
  <conditionalFormatting sqref="V2:Y710 BE2:BG710">
    <cfRule type="containsText" dxfId="6" priority="2" operator="containsText" text="FALSE">
      <formula>NOT(ISERROR(SEARCH("FALSE",V2)))</formula>
    </cfRule>
    <cfRule type="containsText" dxfId="5" priority="3" operator="containsText" text="TRUE">
      <formula>NOT(ISERROR(SEARCH("TRUE",V2)))</formula>
    </cfRule>
  </conditionalFormatting>
  <conditionalFormatting sqref="AA1:AK710 AN1:AN710 Q711:Q1048576 AB711:AK1048576 BI711:BI1048576">
    <cfRule type="endsWith" dxfId="4" priority="5" operator="endsWith" text="H">
      <formula>RIGHT(Q1,LEN("H"))="H"</formula>
    </cfRule>
  </conditionalFormatting>
  <conditionalFormatting sqref="AA2:AK710">
    <cfRule type="beginsWith" dxfId="3" priority="1" operator="beginsWith" text="U">
      <formula>LEFT(AA2,LEN("U"))="U"</formula>
    </cfRule>
  </conditionalFormatting>
  <conditionalFormatting sqref="AQ2:AQ710">
    <cfRule type="containsText" dxfId="2" priority="7" operator="containsText" text="FALSE">
      <formula>NOT(ISERROR(SEARCH("FALSE",AQ2)))</formula>
    </cfRule>
    <cfRule type="containsText" dxfId="1" priority="8" operator="containsText" text="TRUE">
      <formula>NOT(ISERROR(SEARCH("TRUE",AQ2)))</formula>
    </cfRule>
  </conditionalFormatting>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nest_data_grouped_0805_1225_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Sarah Bolinger</cp:lastModifiedBy>
  <dcterms:created xsi:type="dcterms:W3CDTF">2025-08-05T18:04:29Z</dcterms:created>
  <dcterms:modified xsi:type="dcterms:W3CDTF">2025-09-03T16:37:04Z</dcterms:modified>
</cp:coreProperties>
</file>